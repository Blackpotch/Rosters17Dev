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120" windowWidth="12120" windowHeight="84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InitialPeriodEnding">DATA!$K$8</definedName>
    <definedName name="JanVal">Roster!$D$104:$AH$109</definedName>
    <definedName name="LegEnd">Roster!$A$6:$A$10</definedName>
    <definedName name="Location">DATA!$D$3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<sst xmlns="http://schemas.openxmlformats.org/spreadsheetml/2006/main" count="4493" uniqueCount="75">
  <si>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</si>
  <si>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</si>
  <si>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</si>
  <si>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</si>
  <si>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</si>
  <si>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</si>
  <si>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</si>
  <si>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</si>
  <si>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</si>
  <si>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</si>
  <si>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</si>
  <si>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</si>
  <si>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</si>
  <si>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</si>
  <si>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</si>
  <si>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</si>
  <si>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</si>
  <si>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</si>
  <si>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</si>
  <si>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</si>
  <si>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</si>
  <si>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</si>
  <si>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</si>
  <si>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</si>
  <si>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</si>
  <si>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</si>
  <si>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</si>
  <si>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</si>
  <si>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</si>
  <si>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</si>
  <si>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</si>
  <si>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</si>
  <si>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</si>
  <si>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</si>
  <si>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</si>
  <si>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</si>
  <si>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</si>
  <si>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</si>
  <si>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</si>
  <si>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</si>
  <si>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</si>
  <si>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</si>
  <si>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</si>
  <si>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</si>
  <si>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</si>
  <si>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</si>
  <si>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</si>
  <si>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</si>
  <si>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</si>
  <si>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</si>
  <si>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</si>
  <si>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</si>
  <si>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</si>
  <si>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</si>
  <si>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</si>
  <si>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</si>
  <si>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</si>
  <si>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</si>
  <si>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</si>
  <si>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</si>
  <si>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</si>
  <si>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</si>
  <si>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</si>
  <si>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</si>
  <si>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</si>
  <si>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</si>
  <si>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</si>
  <si>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</si>
  <si>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</si>
  <si>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</si>
  <si>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</si>
  <si>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</si>
  <si>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</si>
  <si>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2016</t>
  </si>
  <si>
    <t>Periods 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</si>
</sst>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4" fontId="7" fillId="0" borderId="25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/>
    </xf>
    <xf numFmtId="0" fontId="14" fillId="13" borderId="43" xfId="0" applyFont="1" applyFill="1" applyBorder="1" applyAlignment="1" applyProtection="1">
      <alignment horizontal="center"/>
    </xf>
    <xf numFmtId="0" fontId="0" fillId="2" borderId="37" xfId="0" applyFill="1" applyBorder="1" applyAlignment="1" applyProtection="1">
      <alignment horizontal="center"/>
      <protection locked="0"/>
    </xf>
    <xf numFmtId="0" fontId="0" fillId="3" borderId="37" xfId="0" applyFill="1" applyBorder="1" applyAlignment="1" applyProtection="1">
      <alignment horizontal="center"/>
      <protection locked="0"/>
    </xf>
    <xf numFmtId="14" fontId="7" fillId="0" borderId="44" xfId="0" applyNumberFormat="1" applyFont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4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tabSelected="1" zoomScale="130" zoomScaleNormal="130" workbookViewId="0">
      <pane ySplit="10" topLeftCell="A95" activePane="bottomLeft" state="frozen"/>
      <selection pane="bottomLeft" activeCell="D104" sqref="D10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81" t="str">
        <f>Location &amp;  " -  Roster Sheets"</f>
        <v>Oodlawirra Quarantine Station -  Roster Sheets</v>
      </c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06"/>
      <c r="AF1" s="106"/>
      <c r="AG1" s="106"/>
      <c r="AH1" s="106"/>
    </row>
    <row r="2" spans="1:36" s="2" customFormat="1" ht="12" customHeight="1"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06"/>
      <c r="AF2" s="106"/>
      <c r="AG2" s="106"/>
      <c r="AH2" s="106"/>
    </row>
    <row r="3" spans="1:36" s="2" customFormat="1" ht="17.25" customHeight="1">
      <c r="B3" s="29"/>
      <c r="J3" s="179" t="str">
        <f>"Financial Year Commencing - 1st July, "&amp; CurYear-1</f>
        <v>Financial Year Commencing - 1st July, 2015</v>
      </c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06"/>
      <c r="AF3" s="106"/>
      <c r="AG3" s="106"/>
      <c r="AH3" s="106"/>
    </row>
    <row r="4" spans="1:36" s="30" customFormat="1" ht="12" customHeight="1">
      <c r="B4" s="77" t="s">
        <v>73</v>
      </c>
      <c r="C4" s="178"/>
      <c r="D4" s="178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1" customFormat="1" ht="14.25" hidden="1" customHeight="1"/>
    <row r="7" spans="1:36" s="151" customFormat="1" ht="14.25" hidden="1" customHeight="1">
      <c r="C7" s="164" t="s">
        <v>59</v>
      </c>
      <c r="D7" s="166" t="s">
        <v>11</v>
      </c>
      <c r="E7" s="158" t="s">
        <v>60</v>
      </c>
      <c r="F7" s="159" t="s">
        <v>63</v>
      </c>
      <c r="G7" s="160"/>
      <c r="H7" s="160"/>
      <c r="I7" s="160"/>
      <c r="J7" s="162"/>
      <c r="K7" s="163"/>
      <c r="L7" s="157" t="s">
        <v>45</v>
      </c>
      <c r="M7" s="158" t="s">
        <v>60</v>
      </c>
      <c r="N7" s="159" t="s">
        <v>66</v>
      </c>
      <c r="O7" s="160"/>
      <c r="P7" s="160"/>
      <c r="Q7" s="162"/>
      <c r="R7" s="163"/>
      <c r="S7" s="157" t="s">
        <v>58</v>
      </c>
      <c r="T7" s="158" t="s">
        <v>60</v>
      </c>
      <c r="U7" s="159" t="s">
        <v>61</v>
      </c>
      <c r="V7" s="160"/>
      <c r="W7" s="160"/>
      <c r="X7" s="162"/>
      <c r="Y7" s="160"/>
      <c r="Z7" s="157" t="s">
        <v>40</v>
      </c>
      <c r="AA7" s="158" t="s">
        <v>60</v>
      </c>
      <c r="AB7" s="159" t="s">
        <v>70</v>
      </c>
      <c r="AC7" s="160"/>
      <c r="AD7" s="160"/>
      <c r="AE7" s="162"/>
    </row>
    <row r="8" spans="1:36" s="151" customFormat="1" ht="14.25" hidden="1" customHeight="1">
      <c r="C8" s="165"/>
      <c r="D8" s="166" t="s">
        <v>9</v>
      </c>
      <c r="E8" s="158" t="s">
        <v>60</v>
      </c>
      <c r="F8" s="159" t="s">
        <v>64</v>
      </c>
      <c r="G8" s="160"/>
      <c r="H8" s="160"/>
      <c r="I8" s="160"/>
      <c r="J8" s="162"/>
      <c r="K8" s="163"/>
      <c r="L8" s="161" t="s">
        <v>46</v>
      </c>
      <c r="M8" s="158" t="s">
        <v>60</v>
      </c>
      <c r="N8" s="159" t="s">
        <v>67</v>
      </c>
      <c r="O8" s="160"/>
      <c r="P8" s="160"/>
      <c r="Q8" s="162"/>
      <c r="R8" s="163"/>
      <c r="S8" s="157" t="s">
        <v>62</v>
      </c>
      <c r="T8" s="158" t="s">
        <v>60</v>
      </c>
      <c r="U8" s="159" t="s">
        <v>68</v>
      </c>
      <c r="V8" s="160"/>
      <c r="W8" s="160"/>
      <c r="X8" s="162"/>
      <c r="Y8" s="160"/>
      <c r="Z8" s="157" t="s">
        <v>39</v>
      </c>
      <c r="AA8" s="158" t="s">
        <v>60</v>
      </c>
      <c r="AB8" s="159" t="s">
        <v>69</v>
      </c>
      <c r="AC8" s="160"/>
      <c r="AD8" s="160"/>
      <c r="AE8" s="162"/>
    </row>
    <row r="9" spans="1:36" s="151" customFormat="1" ht="14.25" hidden="1" customHeight="1">
      <c r="C9" s="165"/>
      <c r="D9" s="166" t="s">
        <v>10</v>
      </c>
      <c r="E9" s="158" t="s">
        <v>60</v>
      </c>
      <c r="F9" s="159" t="s">
        <v>65</v>
      </c>
      <c r="G9" s="160"/>
      <c r="H9" s="160"/>
      <c r="I9" s="160"/>
      <c r="J9" s="162"/>
      <c r="K9" s="163"/>
      <c r="L9" s="161"/>
      <c r="M9" s="167"/>
      <c r="N9" s="160"/>
      <c r="O9" s="160"/>
      <c r="P9" s="160"/>
      <c r="Q9" s="162"/>
      <c r="R9" s="163"/>
      <c r="S9" s="168"/>
      <c r="T9" s="167"/>
      <c r="U9" s="160"/>
      <c r="V9" s="160"/>
      <c r="W9" s="160"/>
      <c r="X9" s="162"/>
      <c r="Y9" s="160"/>
      <c r="Z9" s="157"/>
      <c r="AA9" s="167"/>
      <c r="AB9" s="160"/>
      <c r="AC9" s="160"/>
      <c r="AD9" s="160"/>
      <c r="AE9" s="162"/>
      <c r="AI9" s="151" t="s">
        <v>62</v>
      </c>
    </row>
    <row r="10" spans="1:36" s="151" customFormat="1" ht="14.25" hidden="1" customHeight="1">
      <c r="D10" s="153"/>
      <c r="E10" s="156"/>
      <c r="K10" s="154"/>
      <c r="L10" s="155"/>
      <c r="M10" s="152"/>
    </row>
    <row r="11" spans="1:36" s="72" customFormat="1" ht="12" customHeight="1"/>
    <row r="12" spans="1:36" s="2" customFormat="1">
      <c r="B12"/>
      <c r="C12" t="str">
        <f>CurYear-1&amp;":"</f>
        <v>2015: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9</v>
      </c>
      <c r="H14" s="4" t="s">
        <v>9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 hidden="1">
      <c r="B23" s="149">
        <v>10</v>
      </c>
      <c r="C23" s="90" t="str">
        <f>LEFT(EmpGName10)&amp;" " &amp;EmpSName10</f>
        <v xml:space="preserve"> 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 hidden="1">
      <c r="B24" s="149">
        <v>11</v>
      </c>
      <c r="C24" s="89" t="str">
        <f>LEFT(EmpGName11)&amp;" " &amp;EmpSName11</f>
        <v xml:space="preserve"> 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 hidden="1">
      <c r="B25" s="149">
        <v>12</v>
      </c>
      <c r="C25" s="90" t="str">
        <f>LEFT(EmpGName12)&amp;" " &amp;EmpSName12</f>
        <v xml:space="preserve"> 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7" spans="2:34" s="6" customFormat="1">
      <c r="B27"/>
      <c r="C27" t="str">
        <f>CurYear-1&amp;":"</f>
        <v>2015:</v>
      </c>
      <c r="D27" s="5" t="str">
        <f t="shared" ref="D27:AH27" si="1">LEFT(TEXT(D28&amp;"-"&amp;$C28&amp;"-"&amp; CurYear-1,"ddd"),2)</f>
        <v>Sa</v>
      </c>
      <c r="E27" s="5" t="str">
        <f t="shared" si="1"/>
        <v>Su</v>
      </c>
      <c r="F27" s="5" t="str">
        <f t="shared" si="1"/>
        <v>Mo</v>
      </c>
      <c r="G27" s="5" t="str">
        <f t="shared" si="1"/>
        <v>Tu</v>
      </c>
      <c r="H27" s="5" t="str">
        <f t="shared" si="1"/>
        <v>We</v>
      </c>
      <c r="I27" s="5" t="str">
        <f t="shared" si="1"/>
        <v>Th</v>
      </c>
      <c r="J27" s="5" t="str">
        <f t="shared" si="1"/>
        <v>Fr</v>
      </c>
      <c r="K27" s="5" t="str">
        <f t="shared" si="1"/>
        <v>Sa</v>
      </c>
      <c r="L27" s="5" t="str">
        <f t="shared" si="1"/>
        <v>Su</v>
      </c>
      <c r="M27" s="5" t="str">
        <f t="shared" si="1"/>
        <v>Mo</v>
      </c>
      <c r="N27" s="5" t="str">
        <f t="shared" si="1"/>
        <v>Tu</v>
      </c>
      <c r="O27" s="5" t="str">
        <f t="shared" si="1"/>
        <v>We</v>
      </c>
      <c r="P27" s="5" t="str">
        <f t="shared" si="1"/>
        <v>Th</v>
      </c>
      <c r="Q27" s="5" t="str">
        <f t="shared" si="1"/>
        <v>Fr</v>
      </c>
      <c r="R27" s="5" t="str">
        <f t="shared" si="1"/>
        <v>Sa</v>
      </c>
      <c r="S27" s="5" t="str">
        <f t="shared" si="1"/>
        <v>Su</v>
      </c>
      <c r="T27" s="5" t="str">
        <f t="shared" si="1"/>
        <v>Mo</v>
      </c>
      <c r="U27" s="5" t="str">
        <f t="shared" si="1"/>
        <v>Tu</v>
      </c>
      <c r="V27" s="5" t="str">
        <f t="shared" si="1"/>
        <v>We</v>
      </c>
      <c r="W27" s="5" t="str">
        <f t="shared" si="1"/>
        <v>Th</v>
      </c>
      <c r="X27" s="5" t="str">
        <f t="shared" si="1"/>
        <v>Fr</v>
      </c>
      <c r="Y27" s="5" t="str">
        <f t="shared" si="1"/>
        <v>Sa</v>
      </c>
      <c r="Z27" s="5" t="str">
        <f t="shared" si="1"/>
        <v>Su</v>
      </c>
      <c r="AA27" s="5" t="str">
        <f t="shared" si="1"/>
        <v>Mo</v>
      </c>
      <c r="AB27" s="5" t="str">
        <f t="shared" si="1"/>
        <v>Tu</v>
      </c>
      <c r="AC27" s="5" t="str">
        <f t="shared" si="1"/>
        <v>We</v>
      </c>
      <c r="AD27" s="5" t="str">
        <f t="shared" si="1"/>
        <v>Th</v>
      </c>
      <c r="AE27" s="5" t="str">
        <f t="shared" si="1"/>
        <v>Fr</v>
      </c>
      <c r="AF27" s="5" t="str">
        <f t="shared" si="1"/>
        <v>Sa</v>
      </c>
      <c r="AG27" s="5" t="str">
        <f t="shared" si="1"/>
        <v>Su</v>
      </c>
      <c r="AH27" s="5" t="str">
        <f t="shared" si="1"/>
        <v>Mo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62</v>
      </c>
      <c r="E29" s="4" t="s">
        <v>62</v>
      </c>
      <c r="F29" s="4" t="s">
        <v>62</v>
      </c>
      <c r="G29" s="4" t="s">
        <v>62</v>
      </c>
      <c r="H29" s="4" t="s">
        <v>62</v>
      </c>
      <c r="I29" s="4" t="s">
        <v>62</v>
      </c>
      <c r="J29" s="4" t="s">
        <v>62</v>
      </c>
      <c r="K29" s="4" t="s">
        <v>62</v>
      </c>
      <c r="L29" s="4" t="s">
        <v>62</v>
      </c>
      <c r="M29" s="4" t="s">
        <v>62</v>
      </c>
      <c r="N29" s="4" t="s">
        <v>62</v>
      </c>
      <c r="O29" s="4" t="s">
        <v>62</v>
      </c>
      <c r="P29" s="4" t="s">
        <v>62</v>
      </c>
      <c r="Q29" s="4" t="s">
        <v>62</v>
      </c>
      <c r="R29" s="4" t="s">
        <v>62</v>
      </c>
      <c r="S29" s="4" t="s">
        <v>62</v>
      </c>
      <c r="T29" s="4" t="s">
        <v>62</v>
      </c>
      <c r="U29" s="4" t="s">
        <v>62</v>
      </c>
      <c r="V29" s="4" t="s">
        <v>62</v>
      </c>
      <c r="W29" s="4" t="s">
        <v>62</v>
      </c>
      <c r="X29" s="4" t="s">
        <v>62</v>
      </c>
      <c r="Y29" s="4" t="s">
        <v>62</v>
      </c>
      <c r="Z29" s="4" t="s">
        <v>62</v>
      </c>
      <c r="AA29" s="4" t="s">
        <v>62</v>
      </c>
      <c r="AB29" s="4" t="s">
        <v>62</v>
      </c>
      <c r="AC29" s="4" t="s">
        <v>62</v>
      </c>
      <c r="AD29" s="4" t="s">
        <v>62</v>
      </c>
      <c r="AE29" s="4" t="s">
        <v>62</v>
      </c>
      <c r="AF29" s="4" t="s">
        <v>62</v>
      </c>
      <c r="AG29" s="4" t="s">
        <v>62</v>
      </c>
      <c r="AH29" s="4" t="s">
        <v>62</v>
      </c>
    </row>
    <row r="30" spans="2:34">
      <c r="B30" s="85">
        <v>2</v>
      </c>
      <c r="C30" s="90" t="str">
        <f>LEFT(EmpGName02)&amp;" " &amp;EmpSName02</f>
        <v>K Stone</v>
      </c>
      <c r="D30" s="3" t="s">
        <v>62</v>
      </c>
      <c r="E30" s="3" t="s">
        <v>62</v>
      </c>
      <c r="F30" s="3" t="s">
        <v>62</v>
      </c>
      <c r="G30" s="3" t="s">
        <v>62</v>
      </c>
      <c r="H30" s="3" t="s">
        <v>62</v>
      </c>
      <c r="I30" s="3" t="s">
        <v>62</v>
      </c>
      <c r="J30" s="3" t="s">
        <v>62</v>
      </c>
      <c r="K30" s="3" t="s">
        <v>62</v>
      </c>
      <c r="L30" s="3" t="s">
        <v>62</v>
      </c>
      <c r="M30" s="3" t="s">
        <v>62</v>
      </c>
      <c r="N30" s="3" t="s">
        <v>62</v>
      </c>
      <c r="O30" s="3" t="s">
        <v>62</v>
      </c>
      <c r="P30" s="3" t="s">
        <v>62</v>
      </c>
      <c r="Q30" s="3" t="s">
        <v>62</v>
      </c>
      <c r="R30" s="3" t="s">
        <v>62</v>
      </c>
      <c r="S30" s="3" t="s">
        <v>62</v>
      </c>
      <c r="T30" s="3" t="s">
        <v>62</v>
      </c>
      <c r="U30" s="3" t="s">
        <v>62</v>
      </c>
      <c r="V30" s="3" t="s">
        <v>62</v>
      </c>
      <c r="W30" s="3" t="s">
        <v>62</v>
      </c>
      <c r="X30" s="3" t="s">
        <v>62</v>
      </c>
      <c r="Y30" s="3" t="s">
        <v>62</v>
      </c>
      <c r="Z30" s="3" t="s">
        <v>62</v>
      </c>
      <c r="AA30" s="3" t="s">
        <v>62</v>
      </c>
      <c r="AB30" s="3" t="s">
        <v>62</v>
      </c>
      <c r="AC30" s="3" t="s">
        <v>62</v>
      </c>
      <c r="AD30" s="3" t="s">
        <v>62</v>
      </c>
      <c r="AE30" s="3" t="s">
        <v>62</v>
      </c>
      <c r="AF30" s="3" t="s">
        <v>62</v>
      </c>
      <c r="AG30" s="3" t="s">
        <v>62</v>
      </c>
      <c r="AH30" s="3" t="s">
        <v>62</v>
      </c>
    </row>
    <row r="31" spans="2:34">
      <c r="B31" s="85">
        <v>3</v>
      </c>
      <c r="C31" s="89" t="str">
        <f>LEFT(EmpGName03)&amp;" " &amp;EmpSName03</f>
        <v>I Thelning</v>
      </c>
      <c r="D31" s="4" t="s">
        <v>62</v>
      </c>
      <c r="E31" s="4" t="s">
        <v>62</v>
      </c>
      <c r="F31" s="4" t="s">
        <v>62</v>
      </c>
      <c r="G31" s="4" t="s">
        <v>62</v>
      </c>
      <c r="H31" s="4" t="s">
        <v>62</v>
      </c>
      <c r="I31" s="4" t="s">
        <v>62</v>
      </c>
      <c r="J31" s="4" t="s">
        <v>62</v>
      </c>
      <c r="K31" s="4" t="s">
        <v>62</v>
      </c>
      <c r="L31" s="4" t="s">
        <v>62</v>
      </c>
      <c r="M31" s="4" t="s">
        <v>62</v>
      </c>
      <c r="N31" s="4" t="s">
        <v>62</v>
      </c>
      <c r="O31" s="4" t="s">
        <v>62</v>
      </c>
      <c r="P31" s="4" t="s">
        <v>62</v>
      </c>
      <c r="Q31" s="4" t="s">
        <v>62</v>
      </c>
      <c r="R31" s="4" t="s">
        <v>62</v>
      </c>
      <c r="S31" s="4" t="s">
        <v>62</v>
      </c>
      <c r="T31" s="4" t="s">
        <v>62</v>
      </c>
      <c r="U31" s="4" t="s">
        <v>62</v>
      </c>
      <c r="V31" s="4" t="s">
        <v>62</v>
      </c>
      <c r="W31" s="4" t="s">
        <v>62</v>
      </c>
      <c r="X31" s="4" t="s">
        <v>62</v>
      </c>
      <c r="Y31" s="4" t="s">
        <v>62</v>
      </c>
      <c r="Z31" s="4" t="s">
        <v>62</v>
      </c>
      <c r="AA31" s="4" t="s">
        <v>62</v>
      </c>
      <c r="AB31" s="4" t="s">
        <v>62</v>
      </c>
      <c r="AC31" s="4" t="s">
        <v>62</v>
      </c>
      <c r="AD31" s="4" t="s">
        <v>62</v>
      </c>
      <c r="AE31" s="4" t="s">
        <v>62</v>
      </c>
      <c r="AF31" s="4" t="s">
        <v>62</v>
      </c>
      <c r="AG31" s="4" t="s">
        <v>62</v>
      </c>
      <c r="AH31" s="4" t="s">
        <v>62</v>
      </c>
    </row>
    <row r="32" spans="2:34">
      <c r="B32" s="85">
        <v>4</v>
      </c>
      <c r="C32" s="90" t="str">
        <f>LEFT(EmpGName04)&amp;" " &amp;EmpSName04</f>
        <v>L King</v>
      </c>
      <c r="D32" s="3" t="s">
        <v>62</v>
      </c>
      <c r="E32" s="3" t="s">
        <v>62</v>
      </c>
      <c r="F32" s="3" t="s">
        <v>62</v>
      </c>
      <c r="G32" s="3" t="s">
        <v>62</v>
      </c>
      <c r="H32" s="3" t="s">
        <v>62</v>
      </c>
      <c r="I32" s="3" t="s">
        <v>62</v>
      </c>
      <c r="J32" s="3" t="s">
        <v>62</v>
      </c>
      <c r="K32" s="3" t="s">
        <v>62</v>
      </c>
      <c r="L32" s="3" t="s">
        <v>62</v>
      </c>
      <c r="M32" s="3" t="s">
        <v>62</v>
      </c>
      <c r="N32" s="3" t="s">
        <v>62</v>
      </c>
      <c r="O32" s="3" t="s">
        <v>62</v>
      </c>
      <c r="P32" s="3" t="s">
        <v>62</v>
      </c>
      <c r="Q32" s="3" t="s">
        <v>62</v>
      </c>
      <c r="R32" s="3" t="s">
        <v>62</v>
      </c>
      <c r="S32" s="3" t="s">
        <v>62</v>
      </c>
      <c r="T32" s="3" t="s">
        <v>62</v>
      </c>
      <c r="U32" s="3" t="s">
        <v>62</v>
      </c>
      <c r="V32" s="3" t="s">
        <v>62</v>
      </c>
      <c r="W32" s="3" t="s">
        <v>62</v>
      </c>
      <c r="X32" s="3" t="s">
        <v>62</v>
      </c>
      <c r="Y32" s="3" t="s">
        <v>62</v>
      </c>
      <c r="Z32" s="3" t="s">
        <v>62</v>
      </c>
      <c r="AA32" s="3" t="s">
        <v>62</v>
      </c>
      <c r="AB32" s="3" t="s">
        <v>62</v>
      </c>
      <c r="AC32" s="3" t="s">
        <v>62</v>
      </c>
      <c r="AD32" s="3" t="s">
        <v>62</v>
      </c>
      <c r="AE32" s="3" t="s">
        <v>62</v>
      </c>
      <c r="AF32" s="3" t="s">
        <v>62</v>
      </c>
      <c r="AG32" s="3" t="s">
        <v>62</v>
      </c>
      <c r="AH32" s="3" t="s">
        <v>62</v>
      </c>
    </row>
    <row r="33" spans="2:34">
      <c r="B33" s="85">
        <v>5</v>
      </c>
      <c r="C33" s="89" t="str">
        <f>LEFT(EmpGName05)&amp;" " &amp;EmpSName05</f>
        <v>D Castle</v>
      </c>
      <c r="D33" s="4" t="s">
        <v>62</v>
      </c>
      <c r="E33" s="4" t="s">
        <v>62</v>
      </c>
      <c r="F33" s="4" t="s">
        <v>62</v>
      </c>
      <c r="G33" s="4" t="s">
        <v>62</v>
      </c>
      <c r="H33" s="4" t="s">
        <v>62</v>
      </c>
      <c r="I33" s="4" t="s">
        <v>62</v>
      </c>
      <c r="J33" s="4" t="s">
        <v>62</v>
      </c>
      <c r="K33" s="4" t="s">
        <v>62</v>
      </c>
      <c r="L33" s="4" t="s">
        <v>62</v>
      </c>
      <c r="M33" s="4" t="s">
        <v>62</v>
      </c>
      <c r="N33" s="4" t="s">
        <v>62</v>
      </c>
      <c r="O33" s="4" t="s">
        <v>62</v>
      </c>
      <c r="P33" s="4" t="s">
        <v>62</v>
      </c>
      <c r="Q33" s="4" t="s">
        <v>62</v>
      </c>
      <c r="R33" s="4" t="s">
        <v>62</v>
      </c>
      <c r="S33" s="4" t="s">
        <v>62</v>
      </c>
      <c r="T33" s="4" t="s">
        <v>62</v>
      </c>
      <c r="U33" s="4" t="s">
        <v>62</v>
      </c>
      <c r="V33" s="4" t="s">
        <v>62</v>
      </c>
      <c r="W33" s="4" t="s">
        <v>62</v>
      </c>
      <c r="X33" s="4" t="s">
        <v>62</v>
      </c>
      <c r="Y33" s="4" t="s">
        <v>62</v>
      </c>
      <c r="Z33" s="4" t="s">
        <v>62</v>
      </c>
      <c r="AA33" s="4" t="s">
        <v>62</v>
      </c>
      <c r="AB33" s="4" t="s">
        <v>62</v>
      </c>
      <c r="AC33" s="4" t="s">
        <v>62</v>
      </c>
      <c r="AD33" s="4" t="s">
        <v>62</v>
      </c>
      <c r="AE33" s="4" t="s">
        <v>62</v>
      </c>
      <c r="AF33" s="4" t="s">
        <v>62</v>
      </c>
      <c r="AG33" s="4" t="s">
        <v>62</v>
      </c>
      <c r="AH33" s="4" t="s">
        <v>62</v>
      </c>
    </row>
    <row r="34" spans="2:34">
      <c r="B34" s="85">
        <v>6</v>
      </c>
      <c r="C34" s="90" t="str">
        <f>LEFT(EmpGName06)&amp;" " &amp;EmpSName06</f>
        <v>R Fielding</v>
      </c>
      <c r="D34" s="3" t="s">
        <v>62</v>
      </c>
      <c r="E34" s="3" t="s">
        <v>62</v>
      </c>
      <c r="F34" s="3" t="s">
        <v>62</v>
      </c>
      <c r="G34" s="3" t="s">
        <v>62</v>
      </c>
      <c r="H34" s="3" t="s">
        <v>62</v>
      </c>
      <c r="I34" s="3" t="s">
        <v>62</v>
      </c>
      <c r="J34" s="3" t="s">
        <v>62</v>
      </c>
      <c r="K34" s="3" t="s">
        <v>62</v>
      </c>
      <c r="L34" s="3" t="s">
        <v>62</v>
      </c>
      <c r="M34" s="3" t="s">
        <v>62</v>
      </c>
      <c r="N34" s="3" t="s">
        <v>62</v>
      </c>
      <c r="O34" s="3" t="s">
        <v>62</v>
      </c>
      <c r="P34" s="3" t="s">
        <v>62</v>
      </c>
      <c r="Q34" s="3" t="s">
        <v>62</v>
      </c>
      <c r="R34" s="3" t="s">
        <v>62</v>
      </c>
      <c r="S34" s="3" t="s">
        <v>62</v>
      </c>
      <c r="T34" s="3" t="s">
        <v>62</v>
      </c>
      <c r="U34" s="3" t="s">
        <v>62</v>
      </c>
      <c r="V34" s="3" t="s">
        <v>62</v>
      </c>
      <c r="W34" s="3" t="s">
        <v>62</v>
      </c>
      <c r="X34" s="3" t="s">
        <v>62</v>
      </c>
      <c r="Y34" s="3" t="s">
        <v>62</v>
      </c>
      <c r="Z34" s="3" t="s">
        <v>62</v>
      </c>
      <c r="AA34" s="3" t="s">
        <v>62</v>
      </c>
      <c r="AB34" s="3" t="s">
        <v>62</v>
      </c>
      <c r="AC34" s="3" t="s">
        <v>62</v>
      </c>
      <c r="AD34" s="3" t="s">
        <v>62</v>
      </c>
      <c r="AE34" s="3" t="s">
        <v>62</v>
      </c>
      <c r="AF34" s="3" t="s">
        <v>62</v>
      </c>
      <c r="AG34" s="3" t="s">
        <v>62</v>
      </c>
      <c r="AH34" s="3" t="s">
        <v>62</v>
      </c>
    </row>
    <row r="35" spans="2:34">
      <c r="B35" s="85">
        <v>7</v>
      </c>
      <c r="C35" s="89" t="str">
        <f>LEFT(EmpGName07)&amp;" " &amp;EmpSName07</f>
        <v>T Sorensen</v>
      </c>
      <c r="D35" s="4" t="s">
        <v>62</v>
      </c>
      <c r="E35" s="4" t="s">
        <v>62</v>
      </c>
      <c r="F35" s="4" t="s">
        <v>62</v>
      </c>
      <c r="G35" s="4" t="s">
        <v>62</v>
      </c>
      <c r="H35" s="4" t="s">
        <v>62</v>
      </c>
      <c r="I35" s="4" t="s">
        <v>62</v>
      </c>
      <c r="J35" s="4" t="s">
        <v>62</v>
      </c>
      <c r="K35" s="4" t="s">
        <v>62</v>
      </c>
      <c r="L35" s="4" t="s">
        <v>62</v>
      </c>
      <c r="M35" s="4" t="s">
        <v>62</v>
      </c>
      <c r="N35" s="4" t="s">
        <v>62</v>
      </c>
      <c r="O35" s="4" t="s">
        <v>62</v>
      </c>
      <c r="P35" s="4" t="s">
        <v>62</v>
      </c>
      <c r="Q35" s="4" t="s">
        <v>62</v>
      </c>
      <c r="R35" s="4" t="s">
        <v>62</v>
      </c>
      <c r="S35" s="4" t="s">
        <v>62</v>
      </c>
      <c r="T35" s="4" t="s">
        <v>62</v>
      </c>
      <c r="U35" s="4" t="s">
        <v>62</v>
      </c>
      <c r="V35" s="4" t="s">
        <v>62</v>
      </c>
      <c r="W35" s="4" t="s">
        <v>62</v>
      </c>
      <c r="X35" s="4" t="s">
        <v>62</v>
      </c>
      <c r="Y35" s="4" t="s">
        <v>62</v>
      </c>
      <c r="Z35" s="4" t="s">
        <v>62</v>
      </c>
      <c r="AA35" s="4" t="s">
        <v>62</v>
      </c>
      <c r="AB35" s="4" t="s">
        <v>62</v>
      </c>
      <c r="AC35" s="4" t="s">
        <v>62</v>
      </c>
      <c r="AD35" s="4" t="s">
        <v>62</v>
      </c>
      <c r="AE35" s="4" t="s">
        <v>62</v>
      </c>
      <c r="AF35" s="4" t="s">
        <v>62</v>
      </c>
      <c r="AG35" s="4" t="s">
        <v>62</v>
      </c>
      <c r="AH35" s="4" t="s">
        <v>62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62</v>
      </c>
      <c r="E36" s="3" t="s">
        <v>62</v>
      </c>
      <c r="F36" s="3" t="s">
        <v>62</v>
      </c>
      <c r="G36" s="3" t="s">
        <v>62</v>
      </c>
      <c r="H36" s="3" t="s">
        <v>62</v>
      </c>
      <c r="I36" s="3" t="s">
        <v>62</v>
      </c>
      <c r="J36" s="3" t="s">
        <v>62</v>
      </c>
      <c r="K36" s="3" t="s">
        <v>62</v>
      </c>
      <c r="L36" s="3" t="s">
        <v>62</v>
      </c>
      <c r="M36" s="3" t="s">
        <v>62</v>
      </c>
      <c r="N36" s="3" t="s">
        <v>62</v>
      </c>
      <c r="O36" s="3" t="s">
        <v>62</v>
      </c>
      <c r="P36" s="3" t="s">
        <v>62</v>
      </c>
      <c r="Q36" s="3" t="s">
        <v>62</v>
      </c>
      <c r="R36" s="3" t="s">
        <v>62</v>
      </c>
      <c r="S36" s="3" t="s">
        <v>62</v>
      </c>
      <c r="T36" s="3" t="s">
        <v>62</v>
      </c>
      <c r="U36" s="3" t="s">
        <v>62</v>
      </c>
      <c r="V36" s="3" t="s">
        <v>62</v>
      </c>
      <c r="W36" s="3" t="s">
        <v>62</v>
      </c>
      <c r="X36" s="3" t="s">
        <v>62</v>
      </c>
      <c r="Y36" s="3" t="s">
        <v>62</v>
      </c>
      <c r="Z36" s="3" t="s">
        <v>62</v>
      </c>
      <c r="AA36" s="3" t="s">
        <v>62</v>
      </c>
      <c r="AB36" s="3" t="s">
        <v>62</v>
      </c>
      <c r="AC36" s="3" t="s">
        <v>62</v>
      </c>
      <c r="AD36" s="3" t="s">
        <v>62</v>
      </c>
      <c r="AE36" s="3" t="s">
        <v>62</v>
      </c>
      <c r="AF36" s="3" t="s">
        <v>62</v>
      </c>
      <c r="AG36" s="3" t="s">
        <v>62</v>
      </c>
      <c r="AH36" s="3" t="s">
        <v>62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62</v>
      </c>
      <c r="E37" s="4" t="s">
        <v>62</v>
      </c>
      <c r="F37" s="4" t="s">
        <v>62</v>
      </c>
      <c r="G37" s="4" t="s">
        <v>62</v>
      </c>
      <c r="H37" s="4" t="s">
        <v>62</v>
      </c>
      <c r="I37" s="4" t="s">
        <v>62</v>
      </c>
      <c r="J37" s="4" t="s">
        <v>62</v>
      </c>
      <c r="K37" s="4" t="s">
        <v>62</v>
      </c>
      <c r="L37" s="4" t="s">
        <v>62</v>
      </c>
      <c r="M37" s="4" t="s">
        <v>62</v>
      </c>
      <c r="N37" s="4" t="s">
        <v>62</v>
      </c>
      <c r="O37" s="4" t="s">
        <v>62</v>
      </c>
      <c r="P37" s="4" t="s">
        <v>62</v>
      </c>
      <c r="Q37" s="4" t="s">
        <v>62</v>
      </c>
      <c r="R37" s="4" t="s">
        <v>62</v>
      </c>
      <c r="S37" s="4" t="s">
        <v>62</v>
      </c>
      <c r="T37" s="4" t="s">
        <v>62</v>
      </c>
      <c r="U37" s="4" t="s">
        <v>62</v>
      </c>
      <c r="V37" s="4" t="s">
        <v>62</v>
      </c>
      <c r="W37" s="4" t="s">
        <v>62</v>
      </c>
      <c r="X37" s="4" t="s">
        <v>62</v>
      </c>
      <c r="Y37" s="4" t="s">
        <v>62</v>
      </c>
      <c r="Z37" s="4" t="s">
        <v>62</v>
      </c>
      <c r="AA37" s="4" t="s">
        <v>62</v>
      </c>
      <c r="AB37" s="4" t="s">
        <v>62</v>
      </c>
      <c r="AC37" s="4" t="s">
        <v>62</v>
      </c>
      <c r="AD37" s="4" t="s">
        <v>62</v>
      </c>
      <c r="AE37" s="4" t="s">
        <v>62</v>
      </c>
      <c r="AF37" s="4" t="s">
        <v>62</v>
      </c>
      <c r="AG37" s="4" t="s">
        <v>62</v>
      </c>
      <c r="AH37" s="4" t="s">
        <v>62</v>
      </c>
    </row>
    <row r="38" spans="2:34" hidden="1">
      <c r="B38" s="149">
        <v>10</v>
      </c>
      <c r="C38" s="90" t="str">
        <f>LEFT(EmpGName10)&amp;" " &amp;EmpSName10</f>
        <v xml:space="preserve"> </v>
      </c>
      <c r="D38" s="3" t="s">
        <v>62</v>
      </c>
      <c r="E38" s="3" t="s">
        <v>62</v>
      </c>
      <c r="F38" s="3" t="s">
        <v>62</v>
      </c>
      <c r="G38" s="3" t="s">
        <v>62</v>
      </c>
      <c r="H38" s="3" t="s">
        <v>62</v>
      </c>
      <c r="I38" s="3" t="s">
        <v>62</v>
      </c>
      <c r="J38" s="3" t="s">
        <v>62</v>
      </c>
      <c r="K38" s="3" t="s">
        <v>62</v>
      </c>
      <c r="L38" s="3" t="s">
        <v>62</v>
      </c>
      <c r="M38" s="3" t="s">
        <v>62</v>
      </c>
      <c r="N38" s="3" t="s">
        <v>62</v>
      </c>
      <c r="O38" s="3" t="s">
        <v>62</v>
      </c>
      <c r="P38" s="3" t="s">
        <v>62</v>
      </c>
      <c r="Q38" s="3" t="s">
        <v>62</v>
      </c>
      <c r="R38" s="3" t="s">
        <v>62</v>
      </c>
      <c r="S38" s="3" t="s">
        <v>62</v>
      </c>
      <c r="T38" s="3" t="s">
        <v>62</v>
      </c>
      <c r="U38" s="3" t="s">
        <v>62</v>
      </c>
      <c r="V38" s="3" t="s">
        <v>62</v>
      </c>
      <c r="W38" s="3" t="s">
        <v>62</v>
      </c>
      <c r="X38" s="3" t="s">
        <v>62</v>
      </c>
      <c r="Y38" s="3" t="s">
        <v>62</v>
      </c>
      <c r="Z38" s="3" t="s">
        <v>62</v>
      </c>
      <c r="AA38" s="3" t="s">
        <v>62</v>
      </c>
      <c r="AB38" s="3" t="s">
        <v>62</v>
      </c>
      <c r="AC38" s="3" t="s">
        <v>62</v>
      </c>
      <c r="AD38" s="3" t="s">
        <v>62</v>
      </c>
      <c r="AE38" s="3" t="s">
        <v>62</v>
      </c>
      <c r="AF38" s="3" t="s">
        <v>62</v>
      </c>
      <c r="AG38" s="3" t="s">
        <v>62</v>
      </c>
      <c r="AH38" s="3" t="s">
        <v>62</v>
      </c>
    </row>
    <row r="39" spans="2:34" hidden="1">
      <c r="B39" s="149">
        <v>11</v>
      </c>
      <c r="C39" s="89" t="str">
        <f>LEFT(EmpGName11)&amp;" " &amp;EmpSName11</f>
        <v xml:space="preserve"> </v>
      </c>
      <c r="D39" s="4" t="s">
        <v>62</v>
      </c>
      <c r="E39" s="4" t="s">
        <v>62</v>
      </c>
      <c r="F39" s="4" t="s">
        <v>62</v>
      </c>
      <c r="G39" s="4" t="s">
        <v>62</v>
      </c>
      <c r="H39" s="4" t="s">
        <v>62</v>
      </c>
      <c r="I39" s="4" t="s">
        <v>62</v>
      </c>
      <c r="J39" s="4" t="s">
        <v>62</v>
      </c>
      <c r="K39" s="4" t="s">
        <v>62</v>
      </c>
      <c r="L39" s="4" t="s">
        <v>62</v>
      </c>
      <c r="M39" s="4" t="s">
        <v>62</v>
      </c>
      <c r="N39" s="4" t="s">
        <v>62</v>
      </c>
      <c r="O39" s="4" t="s">
        <v>62</v>
      </c>
      <c r="P39" s="4" t="s">
        <v>62</v>
      </c>
      <c r="Q39" s="4" t="s">
        <v>62</v>
      </c>
      <c r="R39" s="4" t="s">
        <v>62</v>
      </c>
      <c r="S39" s="4" t="s">
        <v>62</v>
      </c>
      <c r="T39" s="4" t="s">
        <v>62</v>
      </c>
      <c r="U39" s="4" t="s">
        <v>62</v>
      </c>
      <c r="V39" s="4" t="s">
        <v>62</v>
      </c>
      <c r="W39" s="4" t="s">
        <v>62</v>
      </c>
      <c r="X39" s="4" t="s">
        <v>62</v>
      </c>
      <c r="Y39" s="4" t="s">
        <v>62</v>
      </c>
      <c r="Z39" s="4" t="s">
        <v>62</v>
      </c>
      <c r="AA39" s="4" t="s">
        <v>62</v>
      </c>
      <c r="AB39" s="4" t="s">
        <v>62</v>
      </c>
      <c r="AC39" s="4" t="s">
        <v>62</v>
      </c>
      <c r="AD39" s="4" t="s">
        <v>62</v>
      </c>
      <c r="AE39" s="4" t="s">
        <v>62</v>
      </c>
      <c r="AF39" s="4" t="s">
        <v>62</v>
      </c>
      <c r="AG39" s="4" t="s">
        <v>62</v>
      </c>
      <c r="AH39" s="4" t="s">
        <v>62</v>
      </c>
    </row>
    <row r="40" spans="2:34" hidden="1">
      <c r="B40" s="149">
        <v>12</v>
      </c>
      <c r="C40" s="90" t="str">
        <f>LEFT(EmpGName12)&amp;" " &amp;EmpSName12</f>
        <v xml:space="preserve"> </v>
      </c>
      <c r="D40" s="3" t="s">
        <v>62</v>
      </c>
      <c r="E40" s="3" t="s">
        <v>62</v>
      </c>
      <c r="F40" s="3" t="s">
        <v>62</v>
      </c>
      <c r="G40" s="3" t="s">
        <v>62</v>
      </c>
      <c r="H40" s="3" t="s">
        <v>62</v>
      </c>
      <c r="I40" s="3" t="s">
        <v>62</v>
      </c>
      <c r="J40" s="3" t="s">
        <v>62</v>
      </c>
      <c r="K40" s="3" t="s">
        <v>62</v>
      </c>
      <c r="L40" s="3" t="s">
        <v>62</v>
      </c>
      <c r="M40" s="3" t="s">
        <v>62</v>
      </c>
      <c r="N40" s="3" t="s">
        <v>62</v>
      </c>
      <c r="O40" s="3" t="s">
        <v>62</v>
      </c>
      <c r="P40" s="3" t="s">
        <v>62</v>
      </c>
      <c r="Q40" s="3" t="s">
        <v>62</v>
      </c>
      <c r="R40" s="3" t="s">
        <v>62</v>
      </c>
      <c r="S40" s="3" t="s">
        <v>62</v>
      </c>
      <c r="T40" s="3" t="s">
        <v>62</v>
      </c>
      <c r="U40" s="3" t="s">
        <v>62</v>
      </c>
      <c r="V40" s="3" t="s">
        <v>62</v>
      </c>
      <c r="W40" s="3" t="s">
        <v>62</v>
      </c>
      <c r="X40" s="3" t="s">
        <v>62</v>
      </c>
      <c r="Y40" s="3" t="s">
        <v>62</v>
      </c>
      <c r="Z40" s="3" t="s">
        <v>62</v>
      </c>
      <c r="AA40" s="3" t="s">
        <v>62</v>
      </c>
      <c r="AB40" s="3" t="s">
        <v>62</v>
      </c>
      <c r="AC40" s="3" t="s">
        <v>62</v>
      </c>
      <c r="AD40" s="3" t="s">
        <v>62</v>
      </c>
      <c r="AE40" s="3" t="s">
        <v>62</v>
      </c>
      <c r="AF40" s="3" t="s">
        <v>62</v>
      </c>
      <c r="AG40" s="3" t="s">
        <v>62</v>
      </c>
      <c r="AH40" s="3" t="s">
        <v>62</v>
      </c>
    </row>
    <row r="42" spans="2:34" s="9" customFormat="1">
      <c r="B42"/>
      <c r="C42" t="str">
        <f>CurYear-1&amp;":"</f>
        <v>2015:</v>
      </c>
      <c r="D42" s="5" t="str">
        <f t="shared" ref="D42:AG42" si="2">LEFT(TEXT(D43&amp;"-"&amp;$C43&amp;"-"&amp; CurYear-1,"ddd"),2)</f>
        <v>Tu</v>
      </c>
      <c r="E42" s="5" t="str">
        <f t="shared" si="2"/>
        <v>We</v>
      </c>
      <c r="F42" s="5" t="str">
        <f t="shared" si="2"/>
        <v>Th</v>
      </c>
      <c r="G42" s="5" t="str">
        <f t="shared" si="2"/>
        <v>Fr</v>
      </c>
      <c r="H42" s="5" t="str">
        <f t="shared" si="2"/>
        <v>Sa</v>
      </c>
      <c r="I42" s="5" t="str">
        <f t="shared" si="2"/>
        <v>Su</v>
      </c>
      <c r="J42" s="5" t="str">
        <f t="shared" si="2"/>
        <v>Mo</v>
      </c>
      <c r="K42" s="5" t="str">
        <f t="shared" si="2"/>
        <v>Tu</v>
      </c>
      <c r="L42" s="5" t="str">
        <f t="shared" si="2"/>
        <v>We</v>
      </c>
      <c r="M42" s="5" t="str">
        <f t="shared" si="2"/>
        <v>Th</v>
      </c>
      <c r="N42" s="5" t="str">
        <f t="shared" si="2"/>
        <v>Fr</v>
      </c>
      <c r="O42" s="5" t="str">
        <f t="shared" si="2"/>
        <v>Sa</v>
      </c>
      <c r="P42" s="5" t="str">
        <f t="shared" si="2"/>
        <v>Su</v>
      </c>
      <c r="Q42" s="5" t="str">
        <f t="shared" si="2"/>
        <v>Mo</v>
      </c>
      <c r="R42" s="5" t="str">
        <f t="shared" si="2"/>
        <v>Tu</v>
      </c>
      <c r="S42" s="5" t="str">
        <f t="shared" si="2"/>
        <v>We</v>
      </c>
      <c r="T42" s="5" t="str">
        <f t="shared" si="2"/>
        <v>Th</v>
      </c>
      <c r="U42" s="5" t="str">
        <f t="shared" si="2"/>
        <v>Fr</v>
      </c>
      <c r="V42" s="5" t="str">
        <f t="shared" si="2"/>
        <v>Sa</v>
      </c>
      <c r="W42" s="5" t="str">
        <f t="shared" si="2"/>
        <v>Su</v>
      </c>
      <c r="X42" s="5" t="str">
        <f t="shared" si="2"/>
        <v>Mo</v>
      </c>
      <c r="Y42" s="5" t="str">
        <f t="shared" si="2"/>
        <v>Tu</v>
      </c>
      <c r="Z42" s="5" t="str">
        <f t="shared" si="2"/>
        <v>We</v>
      </c>
      <c r="AA42" s="5" t="str">
        <f t="shared" si="2"/>
        <v>Th</v>
      </c>
      <c r="AB42" s="5" t="str">
        <f t="shared" si="2"/>
        <v>Fr</v>
      </c>
      <c r="AC42" s="5" t="str">
        <f t="shared" si="2"/>
        <v>Sa</v>
      </c>
      <c r="AD42" s="5" t="str">
        <f t="shared" si="2"/>
        <v>Su</v>
      </c>
      <c r="AE42" s="5" t="str">
        <f t="shared" si="2"/>
        <v>Mo</v>
      </c>
      <c r="AF42" s="5" t="str">
        <f t="shared" si="2"/>
        <v>Tu</v>
      </c>
      <c r="AG42" s="5" t="str">
        <f t="shared" si="2"/>
        <v>We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62</v>
      </c>
      <c r="E44" s="4" t="s">
        <v>62</v>
      </c>
      <c r="F44" s="4" t="s">
        <v>62</v>
      </c>
      <c r="G44" s="4" t="s">
        <v>62</v>
      </c>
      <c r="H44" s="4" t="s">
        <v>62</v>
      </c>
      <c r="I44" s="4" t="s">
        <v>62</v>
      </c>
      <c r="J44" s="4" t="s">
        <v>62</v>
      </c>
      <c r="K44" s="4" t="s">
        <v>62</v>
      </c>
      <c r="L44" s="4" t="s">
        <v>62</v>
      </c>
      <c r="M44" s="4" t="s">
        <v>62</v>
      </c>
      <c r="N44" s="4" t="s">
        <v>62</v>
      </c>
      <c r="O44" s="4" t="s">
        <v>62</v>
      </c>
      <c r="P44" s="4" t="s">
        <v>62</v>
      </c>
      <c r="Q44" s="4" t="s">
        <v>62</v>
      </c>
      <c r="R44" s="4" t="s">
        <v>62</v>
      </c>
      <c r="S44" s="4" t="s">
        <v>62</v>
      </c>
      <c r="T44" s="4" t="s">
        <v>62</v>
      </c>
      <c r="U44" s="4" t="s">
        <v>62</v>
      </c>
      <c r="V44" s="4" t="s">
        <v>62</v>
      </c>
      <c r="W44" s="4" t="s">
        <v>62</v>
      </c>
      <c r="X44" s="4" t="s">
        <v>62</v>
      </c>
      <c r="Y44" s="4" t="s">
        <v>62</v>
      </c>
      <c r="Z44" s="4" t="s">
        <v>62</v>
      </c>
      <c r="AA44" s="4" t="s">
        <v>62</v>
      </c>
      <c r="AB44" s="4" t="s">
        <v>62</v>
      </c>
      <c r="AC44" s="4" t="s">
        <v>62</v>
      </c>
      <c r="AD44" s="4" t="s">
        <v>62</v>
      </c>
      <c r="AE44" s="4" t="s">
        <v>62</v>
      </c>
      <c r="AF44" s="4" t="s">
        <v>62</v>
      </c>
      <c r="AG44" s="4" t="s">
        <v>62</v>
      </c>
    </row>
    <row r="45" spans="2:34">
      <c r="B45" s="85">
        <v>2</v>
      </c>
      <c r="C45" s="90" t="str">
        <f>LEFT(EmpGName02)&amp;" " &amp;EmpSName02</f>
        <v>K Stone</v>
      </c>
      <c r="D45" s="3" t="s">
        <v>62</v>
      </c>
      <c r="E45" s="3" t="s">
        <v>62</v>
      </c>
      <c r="F45" s="3" t="s">
        <v>62</v>
      </c>
      <c r="G45" s="3" t="s">
        <v>62</v>
      </c>
      <c r="H45" s="3" t="s">
        <v>62</v>
      </c>
      <c r="I45" s="3" t="s">
        <v>62</v>
      </c>
      <c r="J45" s="3" t="s">
        <v>62</v>
      </c>
      <c r="K45" s="3" t="s">
        <v>62</v>
      </c>
      <c r="L45" s="3" t="s">
        <v>62</v>
      </c>
      <c r="M45" s="3" t="s">
        <v>62</v>
      </c>
      <c r="N45" s="3" t="s">
        <v>62</v>
      </c>
      <c r="O45" s="3" t="s">
        <v>62</v>
      </c>
      <c r="P45" s="3" t="s">
        <v>62</v>
      </c>
      <c r="Q45" s="3" t="s">
        <v>62</v>
      </c>
      <c r="R45" s="3" t="s">
        <v>62</v>
      </c>
      <c r="S45" s="3" t="s">
        <v>62</v>
      </c>
      <c r="T45" s="3" t="s">
        <v>62</v>
      </c>
      <c r="U45" s="3" t="s">
        <v>62</v>
      </c>
      <c r="V45" s="3" t="s">
        <v>62</v>
      </c>
      <c r="W45" s="3" t="s">
        <v>62</v>
      </c>
      <c r="X45" s="3" t="s">
        <v>62</v>
      </c>
      <c r="Y45" s="3" t="s">
        <v>62</v>
      </c>
      <c r="Z45" s="3" t="s">
        <v>62</v>
      </c>
      <c r="AA45" s="3" t="s">
        <v>62</v>
      </c>
      <c r="AB45" s="3" t="s">
        <v>62</v>
      </c>
      <c r="AC45" s="3" t="s">
        <v>62</v>
      </c>
      <c r="AD45" s="3" t="s">
        <v>62</v>
      </c>
      <c r="AE45" s="3" t="s">
        <v>62</v>
      </c>
      <c r="AF45" s="3" t="s">
        <v>62</v>
      </c>
      <c r="AG45" s="3" t="s">
        <v>62</v>
      </c>
    </row>
    <row r="46" spans="2:34">
      <c r="B46" s="85">
        <v>3</v>
      </c>
      <c r="C46" s="89" t="str">
        <f>LEFT(EmpGName03)&amp;" " &amp;EmpSName03</f>
        <v>I Thelning</v>
      </c>
      <c r="D46" s="4" t="s">
        <v>62</v>
      </c>
      <c r="E46" s="4" t="s">
        <v>62</v>
      </c>
      <c r="F46" s="4" t="s">
        <v>62</v>
      </c>
      <c r="G46" s="4" t="s">
        <v>62</v>
      </c>
      <c r="H46" s="4" t="s">
        <v>62</v>
      </c>
      <c r="I46" s="4" t="s">
        <v>62</v>
      </c>
      <c r="J46" s="4" t="s">
        <v>62</v>
      </c>
      <c r="K46" s="4" t="s">
        <v>62</v>
      </c>
      <c r="L46" s="4" t="s">
        <v>62</v>
      </c>
      <c r="M46" s="4" t="s">
        <v>62</v>
      </c>
      <c r="N46" s="4" t="s">
        <v>62</v>
      </c>
      <c r="O46" s="4" t="s">
        <v>62</v>
      </c>
      <c r="P46" s="4" t="s">
        <v>62</v>
      </c>
      <c r="Q46" s="4" t="s">
        <v>62</v>
      </c>
      <c r="R46" s="4" t="s">
        <v>62</v>
      </c>
      <c r="S46" s="4" t="s">
        <v>62</v>
      </c>
      <c r="T46" s="4" t="s">
        <v>62</v>
      </c>
      <c r="U46" s="4" t="s">
        <v>62</v>
      </c>
      <c r="V46" s="4" t="s">
        <v>62</v>
      </c>
      <c r="W46" s="4" t="s">
        <v>62</v>
      </c>
      <c r="X46" s="4" t="s">
        <v>62</v>
      </c>
      <c r="Y46" s="4" t="s">
        <v>62</v>
      </c>
      <c r="Z46" s="4" t="s">
        <v>62</v>
      </c>
      <c r="AA46" s="4" t="s">
        <v>62</v>
      </c>
      <c r="AB46" s="4" t="s">
        <v>62</v>
      </c>
      <c r="AC46" s="4" t="s">
        <v>62</v>
      </c>
      <c r="AD46" s="4" t="s">
        <v>62</v>
      </c>
      <c r="AE46" s="4" t="s">
        <v>62</v>
      </c>
      <c r="AF46" s="4" t="s">
        <v>62</v>
      </c>
      <c r="AG46" s="4" t="s">
        <v>62</v>
      </c>
    </row>
    <row r="47" spans="2:34">
      <c r="B47" s="85">
        <v>4</v>
      </c>
      <c r="C47" s="90" t="str">
        <f>LEFT(EmpGName04)&amp;" " &amp;EmpSName04</f>
        <v>L King</v>
      </c>
      <c r="D47" s="3" t="s">
        <v>62</v>
      </c>
      <c r="E47" s="3" t="s">
        <v>62</v>
      </c>
      <c r="F47" s="3" t="s">
        <v>62</v>
      </c>
      <c r="G47" s="3" t="s">
        <v>62</v>
      </c>
      <c r="H47" s="3" t="s">
        <v>62</v>
      </c>
      <c r="I47" s="3" t="s">
        <v>62</v>
      </c>
      <c r="J47" s="3" t="s">
        <v>62</v>
      </c>
      <c r="K47" s="3" t="s">
        <v>62</v>
      </c>
      <c r="L47" s="3" t="s">
        <v>62</v>
      </c>
      <c r="M47" s="3" t="s">
        <v>62</v>
      </c>
      <c r="N47" s="3" t="s">
        <v>62</v>
      </c>
      <c r="O47" s="3" t="s">
        <v>62</v>
      </c>
      <c r="P47" s="3" t="s">
        <v>62</v>
      </c>
      <c r="Q47" s="3" t="s">
        <v>62</v>
      </c>
      <c r="R47" s="3" t="s">
        <v>62</v>
      </c>
      <c r="S47" s="3" t="s">
        <v>62</v>
      </c>
      <c r="T47" s="3" t="s">
        <v>62</v>
      </c>
      <c r="U47" s="3" t="s">
        <v>62</v>
      </c>
      <c r="V47" s="3" t="s">
        <v>62</v>
      </c>
      <c r="W47" s="3" t="s">
        <v>62</v>
      </c>
      <c r="X47" s="3" t="s">
        <v>62</v>
      </c>
      <c r="Y47" s="3" t="s">
        <v>62</v>
      </c>
      <c r="Z47" s="3" t="s">
        <v>62</v>
      </c>
      <c r="AA47" s="3" t="s">
        <v>62</v>
      </c>
      <c r="AB47" s="3" t="s">
        <v>62</v>
      </c>
      <c r="AC47" s="3" t="s">
        <v>62</v>
      </c>
      <c r="AD47" s="3" t="s">
        <v>62</v>
      </c>
      <c r="AE47" s="3" t="s">
        <v>62</v>
      </c>
      <c r="AF47" s="3" t="s">
        <v>62</v>
      </c>
      <c r="AG47" s="3" t="s">
        <v>62</v>
      </c>
    </row>
    <row r="48" spans="2:34">
      <c r="B48" s="85">
        <v>5</v>
      </c>
      <c r="C48" s="89" t="str">
        <f>LEFT(EmpGName05)&amp;" " &amp;EmpSName05</f>
        <v>D Castle</v>
      </c>
      <c r="D48" s="4" t="s">
        <v>62</v>
      </c>
      <c r="E48" s="4" t="s">
        <v>62</v>
      </c>
      <c r="F48" s="4" t="s">
        <v>62</v>
      </c>
      <c r="G48" s="4" t="s">
        <v>62</v>
      </c>
      <c r="H48" s="4" t="s">
        <v>62</v>
      </c>
      <c r="I48" s="4" t="s">
        <v>62</v>
      </c>
      <c r="J48" s="4" t="s">
        <v>62</v>
      </c>
      <c r="K48" s="4" t="s">
        <v>62</v>
      </c>
      <c r="L48" s="4" t="s">
        <v>62</v>
      </c>
      <c r="M48" s="4" t="s">
        <v>62</v>
      </c>
      <c r="N48" s="4" t="s">
        <v>62</v>
      </c>
      <c r="O48" s="4" t="s">
        <v>62</v>
      </c>
      <c r="P48" s="4" t="s">
        <v>62</v>
      </c>
      <c r="Q48" s="4" t="s">
        <v>62</v>
      </c>
      <c r="R48" s="4" t="s">
        <v>62</v>
      </c>
      <c r="S48" s="4" t="s">
        <v>62</v>
      </c>
      <c r="T48" s="4" t="s">
        <v>62</v>
      </c>
      <c r="U48" s="4" t="s">
        <v>62</v>
      </c>
      <c r="V48" s="4" t="s">
        <v>62</v>
      </c>
      <c r="W48" s="4" t="s">
        <v>62</v>
      </c>
      <c r="X48" s="4" t="s">
        <v>62</v>
      </c>
      <c r="Y48" s="4" t="s">
        <v>62</v>
      </c>
      <c r="Z48" s="4" t="s">
        <v>62</v>
      </c>
      <c r="AA48" s="4" t="s">
        <v>62</v>
      </c>
      <c r="AB48" s="4" t="s">
        <v>62</v>
      </c>
      <c r="AC48" s="4" t="s">
        <v>62</v>
      </c>
      <c r="AD48" s="4" t="s">
        <v>62</v>
      </c>
      <c r="AE48" s="4" t="s">
        <v>62</v>
      </c>
      <c r="AF48" s="4" t="s">
        <v>62</v>
      </c>
      <c r="AG48" s="4" t="s">
        <v>62</v>
      </c>
    </row>
    <row r="49" spans="2:34">
      <c r="B49" s="85">
        <v>6</v>
      </c>
      <c r="C49" s="90" t="str">
        <f>LEFT(EmpGName06)&amp;" " &amp;EmpSName06</f>
        <v>R Fielding</v>
      </c>
      <c r="D49" s="3" t="s">
        <v>62</v>
      </c>
      <c r="E49" s="3" t="s">
        <v>62</v>
      </c>
      <c r="F49" s="3" t="s">
        <v>62</v>
      </c>
      <c r="G49" s="3" t="s">
        <v>62</v>
      </c>
      <c r="H49" s="3" t="s">
        <v>62</v>
      </c>
      <c r="I49" s="3" t="s">
        <v>62</v>
      </c>
      <c r="J49" s="3" t="s">
        <v>62</v>
      </c>
      <c r="K49" s="3" t="s">
        <v>62</v>
      </c>
      <c r="L49" s="3" t="s">
        <v>62</v>
      </c>
      <c r="M49" s="3" t="s">
        <v>62</v>
      </c>
      <c r="N49" s="3" t="s">
        <v>62</v>
      </c>
      <c r="O49" s="3" t="s">
        <v>62</v>
      </c>
      <c r="P49" s="3" t="s">
        <v>62</v>
      </c>
      <c r="Q49" s="3" t="s">
        <v>62</v>
      </c>
      <c r="R49" s="3" t="s">
        <v>62</v>
      </c>
      <c r="S49" s="3" t="s">
        <v>62</v>
      </c>
      <c r="T49" s="3" t="s">
        <v>62</v>
      </c>
      <c r="U49" s="3" t="s">
        <v>62</v>
      </c>
      <c r="V49" s="3" t="s">
        <v>62</v>
      </c>
      <c r="W49" s="3" t="s">
        <v>62</v>
      </c>
      <c r="X49" s="3" t="s">
        <v>62</v>
      </c>
      <c r="Y49" s="3" t="s">
        <v>62</v>
      </c>
      <c r="Z49" s="3" t="s">
        <v>62</v>
      </c>
      <c r="AA49" s="3" t="s">
        <v>62</v>
      </c>
      <c r="AB49" s="3" t="s">
        <v>62</v>
      </c>
      <c r="AC49" s="3" t="s">
        <v>62</v>
      </c>
      <c r="AD49" s="3" t="s">
        <v>62</v>
      </c>
      <c r="AE49" s="3" t="s">
        <v>62</v>
      </c>
      <c r="AF49" s="3" t="s">
        <v>62</v>
      </c>
      <c r="AG49" s="3" t="s">
        <v>62</v>
      </c>
    </row>
    <row r="50" spans="2:34">
      <c r="B50" s="85">
        <v>7</v>
      </c>
      <c r="C50" s="89" t="str">
        <f>LEFT(EmpGName07)&amp;" " &amp;EmpSName07</f>
        <v>T Sorensen</v>
      </c>
      <c r="D50" s="4" t="s">
        <v>62</v>
      </c>
      <c r="E50" s="4" t="s">
        <v>62</v>
      </c>
      <c r="F50" s="4" t="s">
        <v>62</v>
      </c>
      <c r="G50" s="4" t="s">
        <v>62</v>
      </c>
      <c r="H50" s="4" t="s">
        <v>62</v>
      </c>
      <c r="I50" s="4" t="s">
        <v>62</v>
      </c>
      <c r="J50" s="4" t="s">
        <v>62</v>
      </c>
      <c r="K50" s="4" t="s">
        <v>62</v>
      </c>
      <c r="L50" s="4" t="s">
        <v>62</v>
      </c>
      <c r="M50" s="4" t="s">
        <v>62</v>
      </c>
      <c r="N50" s="4" t="s">
        <v>62</v>
      </c>
      <c r="O50" s="4" t="s">
        <v>62</v>
      </c>
      <c r="P50" s="4" t="s">
        <v>62</v>
      </c>
      <c r="Q50" s="4" t="s">
        <v>62</v>
      </c>
      <c r="R50" s="4" t="s">
        <v>62</v>
      </c>
      <c r="S50" s="4" t="s">
        <v>62</v>
      </c>
      <c r="T50" s="4" t="s">
        <v>62</v>
      </c>
      <c r="U50" s="4" t="s">
        <v>62</v>
      </c>
      <c r="V50" s="4" t="s">
        <v>62</v>
      </c>
      <c r="W50" s="4" t="s">
        <v>62</v>
      </c>
      <c r="X50" s="4" t="s">
        <v>62</v>
      </c>
      <c r="Y50" s="4" t="s">
        <v>62</v>
      </c>
      <c r="Z50" s="4" t="s">
        <v>62</v>
      </c>
      <c r="AA50" s="4" t="s">
        <v>62</v>
      </c>
      <c r="AB50" s="4" t="s">
        <v>62</v>
      </c>
      <c r="AC50" s="4" t="s">
        <v>62</v>
      </c>
      <c r="AD50" s="4" t="s">
        <v>62</v>
      </c>
      <c r="AE50" s="4" t="s">
        <v>62</v>
      </c>
      <c r="AF50" s="4" t="s">
        <v>62</v>
      </c>
      <c r="AG50" s="4" t="s">
        <v>62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62</v>
      </c>
      <c r="E51" s="3" t="s">
        <v>62</v>
      </c>
      <c r="F51" s="3" t="s">
        <v>62</v>
      </c>
      <c r="G51" s="3" t="s">
        <v>62</v>
      </c>
      <c r="H51" s="3" t="s">
        <v>62</v>
      </c>
      <c r="I51" s="3" t="s">
        <v>62</v>
      </c>
      <c r="J51" s="3" t="s">
        <v>62</v>
      </c>
      <c r="K51" s="3" t="s">
        <v>62</v>
      </c>
      <c r="L51" s="3" t="s">
        <v>62</v>
      </c>
      <c r="M51" s="3" t="s">
        <v>62</v>
      </c>
      <c r="N51" s="3" t="s">
        <v>62</v>
      </c>
      <c r="O51" s="3" t="s">
        <v>62</v>
      </c>
      <c r="P51" s="3" t="s">
        <v>62</v>
      </c>
      <c r="Q51" s="3" t="s">
        <v>62</v>
      </c>
      <c r="R51" s="3" t="s">
        <v>62</v>
      </c>
      <c r="S51" s="3" t="s">
        <v>62</v>
      </c>
      <c r="T51" s="3" t="s">
        <v>62</v>
      </c>
      <c r="U51" s="3" t="s">
        <v>62</v>
      </c>
      <c r="V51" s="3" t="s">
        <v>62</v>
      </c>
      <c r="W51" s="3" t="s">
        <v>62</v>
      </c>
      <c r="X51" s="3" t="s">
        <v>62</v>
      </c>
      <c r="Y51" s="3" t="s">
        <v>62</v>
      </c>
      <c r="Z51" s="3" t="s">
        <v>62</v>
      </c>
      <c r="AA51" s="3" t="s">
        <v>62</v>
      </c>
      <c r="AB51" s="3" t="s">
        <v>62</v>
      </c>
      <c r="AC51" s="3" t="s">
        <v>62</v>
      </c>
      <c r="AD51" s="3" t="s">
        <v>62</v>
      </c>
      <c r="AE51" s="3" t="s">
        <v>62</v>
      </c>
      <c r="AF51" s="3" t="s">
        <v>62</v>
      </c>
      <c r="AG51" s="3" t="s">
        <v>62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62</v>
      </c>
      <c r="E52" s="4" t="s">
        <v>62</v>
      </c>
      <c r="F52" s="4" t="s">
        <v>62</v>
      </c>
      <c r="G52" s="4" t="s">
        <v>62</v>
      </c>
      <c r="H52" s="4" t="s">
        <v>62</v>
      </c>
      <c r="I52" s="4" t="s">
        <v>62</v>
      </c>
      <c r="J52" s="4" t="s">
        <v>62</v>
      </c>
      <c r="K52" s="4" t="s">
        <v>62</v>
      </c>
      <c r="L52" s="4" t="s">
        <v>62</v>
      </c>
      <c r="M52" s="4" t="s">
        <v>62</v>
      </c>
      <c r="N52" s="4" t="s">
        <v>62</v>
      </c>
      <c r="O52" s="4" t="s">
        <v>62</v>
      </c>
      <c r="P52" s="4" t="s">
        <v>62</v>
      </c>
      <c r="Q52" s="4" t="s">
        <v>62</v>
      </c>
      <c r="R52" s="4" t="s">
        <v>62</v>
      </c>
      <c r="S52" s="4" t="s">
        <v>62</v>
      </c>
      <c r="T52" s="4" t="s">
        <v>62</v>
      </c>
      <c r="U52" s="4" t="s">
        <v>62</v>
      </c>
      <c r="V52" s="4" t="s">
        <v>62</v>
      </c>
      <c r="W52" s="4" t="s">
        <v>62</v>
      </c>
      <c r="X52" s="4" t="s">
        <v>62</v>
      </c>
      <c r="Y52" s="4" t="s">
        <v>62</v>
      </c>
      <c r="Z52" s="4" t="s">
        <v>62</v>
      </c>
      <c r="AA52" s="4" t="s">
        <v>62</v>
      </c>
      <c r="AB52" s="4" t="s">
        <v>62</v>
      </c>
      <c r="AC52" s="4" t="s">
        <v>62</v>
      </c>
      <c r="AD52" s="4" t="s">
        <v>62</v>
      </c>
      <c r="AE52" s="4" t="s">
        <v>62</v>
      </c>
      <c r="AF52" s="4" t="s">
        <v>62</v>
      </c>
      <c r="AG52" s="4" t="s">
        <v>62</v>
      </c>
    </row>
    <row r="53" spans="2:34" hidden="1">
      <c r="B53" s="149">
        <v>10</v>
      </c>
      <c r="C53" s="90" t="str">
        <f>LEFT(EmpGName10)&amp;" " &amp;EmpSName10</f>
        <v xml:space="preserve"> </v>
      </c>
      <c r="D53" s="3" t="s">
        <v>62</v>
      </c>
      <c r="E53" s="3" t="s">
        <v>62</v>
      </c>
      <c r="F53" s="3" t="s">
        <v>62</v>
      </c>
      <c r="G53" s="3" t="s">
        <v>62</v>
      </c>
      <c r="H53" s="3" t="s">
        <v>62</v>
      </c>
      <c r="I53" s="3" t="s">
        <v>62</v>
      </c>
      <c r="J53" s="3" t="s">
        <v>62</v>
      </c>
      <c r="K53" s="3" t="s">
        <v>62</v>
      </c>
      <c r="L53" s="3" t="s">
        <v>62</v>
      </c>
      <c r="M53" s="3" t="s">
        <v>62</v>
      </c>
      <c r="N53" s="3" t="s">
        <v>62</v>
      </c>
      <c r="O53" s="3" t="s">
        <v>62</v>
      </c>
      <c r="P53" s="3" t="s">
        <v>62</v>
      </c>
      <c r="Q53" s="3" t="s">
        <v>62</v>
      </c>
      <c r="R53" s="3" t="s">
        <v>62</v>
      </c>
      <c r="S53" s="3" t="s">
        <v>62</v>
      </c>
      <c r="T53" s="3" t="s">
        <v>62</v>
      </c>
      <c r="U53" s="3" t="s">
        <v>62</v>
      </c>
      <c r="V53" s="3" t="s">
        <v>62</v>
      </c>
      <c r="W53" s="3" t="s">
        <v>62</v>
      </c>
      <c r="X53" s="3" t="s">
        <v>62</v>
      </c>
      <c r="Y53" s="3" t="s">
        <v>62</v>
      </c>
      <c r="Z53" s="3" t="s">
        <v>62</v>
      </c>
      <c r="AA53" s="3" t="s">
        <v>62</v>
      </c>
      <c r="AB53" s="3" t="s">
        <v>62</v>
      </c>
      <c r="AC53" s="3" t="s">
        <v>62</v>
      </c>
      <c r="AD53" s="3" t="s">
        <v>62</v>
      </c>
      <c r="AE53" s="3" t="s">
        <v>62</v>
      </c>
      <c r="AF53" s="3" t="s">
        <v>62</v>
      </c>
      <c r="AG53" s="3" t="s">
        <v>62</v>
      </c>
    </row>
    <row r="54" spans="2:34" s="70" customFormat="1" hidden="1">
      <c r="B54" s="149">
        <v>11</v>
      </c>
      <c r="C54" s="89" t="str">
        <f>LEFT(EmpGName11)&amp;" " &amp;EmpSName11</f>
        <v xml:space="preserve"> </v>
      </c>
      <c r="D54" s="4" t="s">
        <v>62</v>
      </c>
      <c r="E54" s="4" t="s">
        <v>62</v>
      </c>
      <c r="F54" s="4" t="s">
        <v>62</v>
      </c>
      <c r="G54" s="4" t="s">
        <v>62</v>
      </c>
      <c r="H54" s="4" t="s">
        <v>62</v>
      </c>
      <c r="I54" s="4" t="s">
        <v>62</v>
      </c>
      <c r="J54" s="4" t="s">
        <v>62</v>
      </c>
      <c r="K54" s="4" t="s">
        <v>62</v>
      </c>
      <c r="L54" s="4" t="s">
        <v>62</v>
      </c>
      <c r="M54" s="4" t="s">
        <v>62</v>
      </c>
      <c r="N54" s="4" t="s">
        <v>62</v>
      </c>
      <c r="O54" s="4" t="s">
        <v>62</v>
      </c>
      <c r="P54" s="4" t="s">
        <v>62</v>
      </c>
      <c r="Q54" s="4" t="s">
        <v>62</v>
      </c>
      <c r="R54" s="4" t="s">
        <v>62</v>
      </c>
      <c r="S54" s="4" t="s">
        <v>62</v>
      </c>
      <c r="T54" s="4" t="s">
        <v>62</v>
      </c>
      <c r="U54" s="4" t="s">
        <v>62</v>
      </c>
      <c r="V54" s="4" t="s">
        <v>62</v>
      </c>
      <c r="W54" s="4" t="s">
        <v>62</v>
      </c>
      <c r="X54" s="4" t="s">
        <v>62</v>
      </c>
      <c r="Y54" s="4" t="s">
        <v>62</v>
      </c>
      <c r="Z54" s="4" t="s">
        <v>62</v>
      </c>
      <c r="AA54" s="4" t="s">
        <v>62</v>
      </c>
      <c r="AB54" s="4" t="s">
        <v>62</v>
      </c>
      <c r="AC54" s="4" t="s">
        <v>62</v>
      </c>
      <c r="AD54" s="4" t="s">
        <v>62</v>
      </c>
      <c r="AE54" s="4" t="s">
        <v>62</v>
      </c>
      <c r="AF54" s="4" t="s">
        <v>62</v>
      </c>
      <c r="AG54" s="4" t="s">
        <v>62</v>
      </c>
      <c r="AH54"/>
    </row>
    <row r="55" spans="2:34" hidden="1">
      <c r="B55" s="149">
        <v>12</v>
      </c>
      <c r="C55" s="90" t="str">
        <f>LEFT(EmpGName12)&amp;" " &amp;EmpSName12</f>
        <v xml:space="preserve"> </v>
      </c>
      <c r="D55" s="3" t="s">
        <v>62</v>
      </c>
      <c r="E55" s="3" t="s">
        <v>62</v>
      </c>
      <c r="F55" s="3" t="s">
        <v>62</v>
      </c>
      <c r="G55" s="3" t="s">
        <v>62</v>
      </c>
      <c r="H55" s="3" t="s">
        <v>62</v>
      </c>
      <c r="I55" s="3" t="s">
        <v>62</v>
      </c>
      <c r="J55" s="3" t="s">
        <v>62</v>
      </c>
      <c r="K55" s="3" t="s">
        <v>62</v>
      </c>
      <c r="L55" s="3" t="s">
        <v>62</v>
      </c>
      <c r="M55" s="3" t="s">
        <v>62</v>
      </c>
      <c r="N55" s="3" t="s">
        <v>62</v>
      </c>
      <c r="O55" s="3" t="s">
        <v>62</v>
      </c>
      <c r="P55" s="3" t="s">
        <v>62</v>
      </c>
      <c r="Q55" s="3" t="s">
        <v>62</v>
      </c>
      <c r="R55" s="3" t="s">
        <v>62</v>
      </c>
      <c r="S55" s="3" t="s">
        <v>62</v>
      </c>
      <c r="T55" s="3" t="s">
        <v>62</v>
      </c>
      <c r="U55" s="3" t="s">
        <v>62</v>
      </c>
      <c r="V55" s="3" t="s">
        <v>62</v>
      </c>
      <c r="W55" s="3" t="s">
        <v>62</v>
      </c>
      <c r="X55" s="3" t="s">
        <v>62</v>
      </c>
      <c r="Y55" s="3" t="s">
        <v>62</v>
      </c>
      <c r="Z55" s="3" t="s">
        <v>62</v>
      </c>
      <c r="AA55" s="3" t="s">
        <v>62</v>
      </c>
      <c r="AB55" s="3" t="s">
        <v>62</v>
      </c>
      <c r="AC55" s="3" t="s">
        <v>62</v>
      </c>
      <c r="AD55" s="3" t="s">
        <v>62</v>
      </c>
      <c r="AE55" s="3" t="s">
        <v>62</v>
      </c>
      <c r="AF55" s="3" t="s">
        <v>62</v>
      </c>
      <c r="AG55" s="3" t="s">
        <v>62</v>
      </c>
    </row>
    <row r="57" spans="2:34">
      <c r="C57" t="str">
        <f>CurYear-1&amp;":"</f>
        <v>2015:</v>
      </c>
      <c r="D57" s="5" t="str">
        <f t="shared" ref="D57:AH57" si="3">LEFT(TEXT(D58&amp;"-"&amp;$C58&amp;"-"&amp; CurYear-1,"ddd"),2)</f>
        <v>Th</v>
      </c>
      <c r="E57" s="5" t="str">
        <f t="shared" si="3"/>
        <v>Fr</v>
      </c>
      <c r="F57" s="5" t="str">
        <f t="shared" si="3"/>
        <v>Sa</v>
      </c>
      <c r="G57" s="5" t="str">
        <f t="shared" si="3"/>
        <v>Su</v>
      </c>
      <c r="H57" s="5" t="str">
        <f t="shared" si="3"/>
        <v>Mo</v>
      </c>
      <c r="I57" s="5" t="str">
        <f t="shared" si="3"/>
        <v>Tu</v>
      </c>
      <c r="J57" s="5" t="str">
        <f t="shared" si="3"/>
        <v>We</v>
      </c>
      <c r="K57" s="5" t="str">
        <f t="shared" si="3"/>
        <v>Th</v>
      </c>
      <c r="L57" s="5" t="str">
        <f t="shared" si="3"/>
        <v>Fr</v>
      </c>
      <c r="M57" s="5" t="str">
        <f t="shared" si="3"/>
        <v>Sa</v>
      </c>
      <c r="N57" s="5" t="str">
        <f t="shared" si="3"/>
        <v>Su</v>
      </c>
      <c r="O57" s="5" t="str">
        <f t="shared" si="3"/>
        <v>Mo</v>
      </c>
      <c r="P57" s="5" t="str">
        <f t="shared" si="3"/>
        <v>Tu</v>
      </c>
      <c r="Q57" s="5" t="str">
        <f t="shared" si="3"/>
        <v>We</v>
      </c>
      <c r="R57" s="5" t="str">
        <f t="shared" si="3"/>
        <v>Th</v>
      </c>
      <c r="S57" s="5" t="str">
        <f t="shared" si="3"/>
        <v>Fr</v>
      </c>
      <c r="T57" s="5" t="str">
        <f t="shared" si="3"/>
        <v>Sa</v>
      </c>
      <c r="U57" s="5" t="str">
        <f t="shared" si="3"/>
        <v>Su</v>
      </c>
      <c r="V57" s="5" t="str">
        <f t="shared" si="3"/>
        <v>Mo</v>
      </c>
      <c r="W57" s="5" t="str">
        <f t="shared" si="3"/>
        <v>Tu</v>
      </c>
      <c r="X57" s="5" t="str">
        <f t="shared" si="3"/>
        <v>We</v>
      </c>
      <c r="Y57" s="5" t="str">
        <f t="shared" si="3"/>
        <v>Th</v>
      </c>
      <c r="Z57" s="5" t="str">
        <f t="shared" si="3"/>
        <v>Fr</v>
      </c>
      <c r="AA57" s="5" t="str">
        <f t="shared" si="3"/>
        <v>Sa</v>
      </c>
      <c r="AB57" s="5" t="str">
        <f t="shared" si="3"/>
        <v>Su</v>
      </c>
      <c r="AC57" s="5" t="str">
        <f t="shared" si="3"/>
        <v>Mo</v>
      </c>
      <c r="AD57" s="5" t="str">
        <f t="shared" si="3"/>
        <v>Tu</v>
      </c>
      <c r="AE57" s="5" t="str">
        <f t="shared" si="3"/>
        <v>We</v>
      </c>
      <c r="AF57" s="5" t="str">
        <f t="shared" si="3"/>
        <v>Th</v>
      </c>
      <c r="AG57" s="5" t="str">
        <f t="shared" si="3"/>
        <v>Fr</v>
      </c>
      <c r="AH57" s="5" t="str">
        <f t="shared" si="3"/>
        <v>Sa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85">
        <v>2</v>
      </c>
      <c r="C60" s="90" t="str">
        <f>LEFT(EmpGName02)&amp;" " &amp;EmpSName02</f>
        <v>K Stone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85">
        <v>3</v>
      </c>
      <c r="C61" s="89" t="str">
        <f>LEFT(EmpGName03)&amp;" " &amp;EmpSName03</f>
        <v>I Thelning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85">
        <v>4</v>
      </c>
      <c r="C62" s="90" t="str">
        <f>LEFT(EmpGName04)&amp;" " &amp;EmpSName04</f>
        <v>L King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85">
        <v>5</v>
      </c>
      <c r="C63" s="89" t="str">
        <f>LEFT(EmpGName05)&amp;" " &amp;EmpSName05</f>
        <v>D Castle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85">
        <v>6</v>
      </c>
      <c r="C64" s="90" t="str">
        <f>LEFT(EmpGName06)&amp;" " &amp;EmpSName06</f>
        <v>R Fielding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85">
        <v>7</v>
      </c>
      <c r="C65" s="89" t="str">
        <f>LEFT(EmpGName07)&amp;" " &amp;EmpSName07</f>
        <v>T Sorensen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49">
        <v>10</v>
      </c>
      <c r="C68" s="90" t="str">
        <f>LEFT(EmpGName10)&amp;" " &amp;EmpSName10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s="70" customFormat="1" hidden="1">
      <c r="B69" s="149">
        <v>11</v>
      </c>
      <c r="C69" s="89" t="str">
        <f>LEFT(EmpGName11)&amp;" " &amp;EmpSName11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49">
        <v>12</v>
      </c>
      <c r="C70" s="90" t="str">
        <f>LEFT(EmpGName12)&amp;" " &amp;EmpSName12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2015:</v>
      </c>
      <c r="D72" s="5" t="str">
        <f t="shared" ref="D72:AG72" si="4">LEFT(TEXT(D73&amp;"-"&amp;$C73&amp;"-"&amp; CurYear-1,"ddd"),2)</f>
        <v>Su</v>
      </c>
      <c r="E72" s="5" t="str">
        <f t="shared" si="4"/>
        <v>Mo</v>
      </c>
      <c r="F72" s="5" t="str">
        <f t="shared" si="4"/>
        <v>Tu</v>
      </c>
      <c r="G72" s="5" t="str">
        <f t="shared" si="4"/>
        <v>We</v>
      </c>
      <c r="H72" s="5" t="str">
        <f t="shared" si="4"/>
        <v>Th</v>
      </c>
      <c r="I72" s="5" t="str">
        <f t="shared" si="4"/>
        <v>Fr</v>
      </c>
      <c r="J72" s="5" t="str">
        <f t="shared" si="4"/>
        <v>Sa</v>
      </c>
      <c r="K72" s="5" t="str">
        <f t="shared" si="4"/>
        <v>Su</v>
      </c>
      <c r="L72" s="5" t="str">
        <f t="shared" si="4"/>
        <v>Mo</v>
      </c>
      <c r="M72" s="5" t="str">
        <f t="shared" si="4"/>
        <v>Tu</v>
      </c>
      <c r="N72" s="5" t="str">
        <f t="shared" si="4"/>
        <v>We</v>
      </c>
      <c r="O72" s="5" t="str">
        <f t="shared" si="4"/>
        <v>Th</v>
      </c>
      <c r="P72" s="5" t="str">
        <f t="shared" si="4"/>
        <v>Fr</v>
      </c>
      <c r="Q72" s="5" t="str">
        <f t="shared" si="4"/>
        <v>Sa</v>
      </c>
      <c r="R72" s="5" t="str">
        <f t="shared" si="4"/>
        <v>Su</v>
      </c>
      <c r="S72" s="5" t="str">
        <f t="shared" si="4"/>
        <v>Mo</v>
      </c>
      <c r="T72" s="5" t="str">
        <f t="shared" si="4"/>
        <v>Tu</v>
      </c>
      <c r="U72" s="5" t="str">
        <f t="shared" si="4"/>
        <v>We</v>
      </c>
      <c r="V72" s="5" t="str">
        <f t="shared" si="4"/>
        <v>Th</v>
      </c>
      <c r="W72" s="5" t="str">
        <f t="shared" si="4"/>
        <v>Fr</v>
      </c>
      <c r="X72" s="5" t="str">
        <f t="shared" si="4"/>
        <v>Sa</v>
      </c>
      <c r="Y72" s="5" t="str">
        <f t="shared" si="4"/>
        <v>Su</v>
      </c>
      <c r="Z72" s="5" t="str">
        <f t="shared" si="4"/>
        <v>Mo</v>
      </c>
      <c r="AA72" s="5" t="str">
        <f t="shared" si="4"/>
        <v>Tu</v>
      </c>
      <c r="AB72" s="5" t="str">
        <f t="shared" si="4"/>
        <v>We</v>
      </c>
      <c r="AC72" s="5" t="str">
        <f t="shared" si="4"/>
        <v>Th</v>
      </c>
      <c r="AD72" s="5" t="str">
        <f t="shared" si="4"/>
        <v>Fr</v>
      </c>
      <c r="AE72" s="5" t="str">
        <f t="shared" si="4"/>
        <v>Sa</v>
      </c>
      <c r="AF72" s="5" t="str">
        <f t="shared" si="4"/>
        <v>Su</v>
      </c>
      <c r="AG72" s="5" t="str">
        <f t="shared" si="4"/>
        <v>Mo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62</v>
      </c>
      <c r="E74" s="4" t="s">
        <v>62</v>
      </c>
      <c r="F74" s="4" t="s">
        <v>62</v>
      </c>
      <c r="G74" s="4" t="s">
        <v>62</v>
      </c>
      <c r="H74" s="4" t="s">
        <v>62</v>
      </c>
      <c r="I74" s="4" t="s">
        <v>62</v>
      </c>
      <c r="J74" s="4" t="s">
        <v>62</v>
      </c>
      <c r="K74" s="4" t="s">
        <v>62</v>
      </c>
      <c r="L74" s="4" t="s">
        <v>62</v>
      </c>
      <c r="M74" s="4" t="s">
        <v>62</v>
      </c>
      <c r="N74" s="4" t="s">
        <v>62</v>
      </c>
      <c r="O74" s="4" t="s">
        <v>62</v>
      </c>
      <c r="P74" s="4" t="s">
        <v>62</v>
      </c>
      <c r="Q74" s="4" t="s">
        <v>62</v>
      </c>
      <c r="R74" s="4" t="s">
        <v>62</v>
      </c>
      <c r="S74" s="4" t="s">
        <v>62</v>
      </c>
      <c r="T74" s="4" t="s">
        <v>62</v>
      </c>
      <c r="U74" s="4" t="s">
        <v>62</v>
      </c>
      <c r="V74" s="4" t="s">
        <v>62</v>
      </c>
      <c r="W74" s="4" t="s">
        <v>62</v>
      </c>
      <c r="X74" s="4" t="s">
        <v>62</v>
      </c>
      <c r="Y74" s="4" t="s">
        <v>62</v>
      </c>
      <c r="Z74" s="4" t="s">
        <v>62</v>
      </c>
      <c r="AA74" s="4" t="s">
        <v>62</v>
      </c>
      <c r="AB74" s="4" t="s">
        <v>62</v>
      </c>
      <c r="AC74" s="4" t="s">
        <v>62</v>
      </c>
      <c r="AD74" s="4" t="s">
        <v>62</v>
      </c>
      <c r="AE74" s="4" t="s">
        <v>62</v>
      </c>
      <c r="AF74" s="4" t="s">
        <v>62</v>
      </c>
      <c r="AG74" s="4" t="s">
        <v>62</v>
      </c>
    </row>
    <row r="75" spans="2:34">
      <c r="B75" s="85">
        <v>2</v>
      </c>
      <c r="C75" s="90" t="str">
        <f>LEFT(EmpGName02)&amp;" " &amp;EmpSName02</f>
        <v>K Stone</v>
      </c>
      <c r="D75" s="3" t="s">
        <v>62</v>
      </c>
      <c r="E75" s="3" t="s">
        <v>62</v>
      </c>
      <c r="F75" s="3" t="s">
        <v>62</v>
      </c>
      <c r="G75" s="3" t="s">
        <v>62</v>
      </c>
      <c r="H75" s="3" t="s">
        <v>62</v>
      </c>
      <c r="I75" s="3" t="s">
        <v>62</v>
      </c>
      <c r="J75" s="3" t="s">
        <v>62</v>
      </c>
      <c r="K75" s="3" t="s">
        <v>62</v>
      </c>
      <c r="L75" s="3" t="s">
        <v>62</v>
      </c>
      <c r="M75" s="3" t="s">
        <v>62</v>
      </c>
      <c r="N75" s="3" t="s">
        <v>62</v>
      </c>
      <c r="O75" s="3" t="s">
        <v>62</v>
      </c>
      <c r="P75" s="3" t="s">
        <v>62</v>
      </c>
      <c r="Q75" s="3" t="s">
        <v>62</v>
      </c>
      <c r="R75" s="3" t="s">
        <v>62</v>
      </c>
      <c r="S75" s="3" t="s">
        <v>62</v>
      </c>
      <c r="T75" s="3" t="s">
        <v>62</v>
      </c>
      <c r="U75" s="3" t="s">
        <v>62</v>
      </c>
      <c r="V75" s="3" t="s">
        <v>62</v>
      </c>
      <c r="W75" s="3" t="s">
        <v>62</v>
      </c>
      <c r="X75" s="3" t="s">
        <v>62</v>
      </c>
      <c r="Y75" s="3" t="s">
        <v>62</v>
      </c>
      <c r="Z75" s="3" t="s">
        <v>62</v>
      </c>
      <c r="AA75" s="3" t="s">
        <v>62</v>
      </c>
      <c r="AB75" s="3" t="s">
        <v>62</v>
      </c>
      <c r="AC75" s="3" t="s">
        <v>62</v>
      </c>
      <c r="AD75" s="3" t="s">
        <v>62</v>
      </c>
      <c r="AE75" s="3" t="s">
        <v>62</v>
      </c>
      <c r="AF75" s="3" t="s">
        <v>62</v>
      </c>
      <c r="AG75" s="3" t="s">
        <v>62</v>
      </c>
    </row>
    <row r="76" spans="2:34">
      <c r="B76" s="85">
        <v>3</v>
      </c>
      <c r="C76" s="89" t="str">
        <f>LEFT(EmpGName03)&amp;" " &amp;EmpSName03</f>
        <v>I Thelning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4</v>
      </c>
      <c r="C77" s="90" t="str">
        <f>LEFT(EmpGName04)&amp;" " &amp;EmpSName04</f>
        <v>L King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5</v>
      </c>
      <c r="C78" s="89" t="str">
        <f>LEFT(EmpGName05)&amp;" " &amp;EmpSName05</f>
        <v>D Castle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6</v>
      </c>
      <c r="C79" s="90" t="str">
        <f>LEFT(EmpGName06)&amp;" " &amp;EmpSName06</f>
        <v>R Fielding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7</v>
      </c>
      <c r="C80" s="89" t="str">
        <f>LEFT(EmpGName07)&amp;" " &amp;EmpSName07</f>
        <v>T Sorensen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 hidden="1">
      <c r="B83" s="149">
        <v>10</v>
      </c>
      <c r="C83" s="90" t="str">
        <f>LEFT(EmpGName10)&amp;" " &amp;EmpSName10</f>
        <v xml:space="preserve">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 s="70" customFormat="1" hidden="1">
      <c r="B84" s="149">
        <v>11</v>
      </c>
      <c r="C84" s="89" t="str">
        <f>LEFT(EmpGName11)&amp;" " &amp;EmpSName11</f>
        <v xml:space="preserve">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  <c r="AH84"/>
    </row>
    <row r="85" spans="2:34" s="70" customFormat="1" hidden="1">
      <c r="B85" s="149">
        <v>12</v>
      </c>
      <c r="C85" s="90" t="str">
        <f>LEFT(EmpGName12)&amp;" " &amp;EmpSName12</f>
        <v xml:space="preserve"> 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2015:</v>
      </c>
      <c r="D87" s="5" t="str">
        <f t="shared" ref="D87:AH87" si="5">LEFT(TEXT(D88&amp;"-"&amp;$C88&amp;"-"&amp; CurYear-1,"ddd"),2)</f>
        <v>Tu</v>
      </c>
      <c r="E87" s="5" t="str">
        <f t="shared" si="5"/>
        <v>We</v>
      </c>
      <c r="F87" s="5" t="str">
        <f t="shared" si="5"/>
        <v>Th</v>
      </c>
      <c r="G87" s="5" t="str">
        <f t="shared" si="5"/>
        <v>Fr</v>
      </c>
      <c r="H87" s="5" t="str">
        <f t="shared" si="5"/>
        <v>Sa</v>
      </c>
      <c r="I87" s="5" t="str">
        <f t="shared" si="5"/>
        <v>Su</v>
      </c>
      <c r="J87" s="5" t="str">
        <f t="shared" si="5"/>
        <v>Mo</v>
      </c>
      <c r="K87" s="5" t="str">
        <f t="shared" si="5"/>
        <v>Tu</v>
      </c>
      <c r="L87" s="5" t="str">
        <f t="shared" si="5"/>
        <v>We</v>
      </c>
      <c r="M87" s="5" t="str">
        <f t="shared" si="5"/>
        <v>Th</v>
      </c>
      <c r="N87" s="5" t="str">
        <f t="shared" si="5"/>
        <v>Fr</v>
      </c>
      <c r="O87" s="5" t="str">
        <f t="shared" si="5"/>
        <v>Sa</v>
      </c>
      <c r="P87" s="5" t="str">
        <f t="shared" si="5"/>
        <v>Su</v>
      </c>
      <c r="Q87" s="5" t="str">
        <f t="shared" si="5"/>
        <v>Mo</v>
      </c>
      <c r="R87" s="5" t="str">
        <f t="shared" si="5"/>
        <v>Tu</v>
      </c>
      <c r="S87" s="5" t="str">
        <f t="shared" si="5"/>
        <v>We</v>
      </c>
      <c r="T87" s="5" t="str">
        <f t="shared" si="5"/>
        <v>Th</v>
      </c>
      <c r="U87" s="5" t="str">
        <f t="shared" si="5"/>
        <v>Fr</v>
      </c>
      <c r="V87" s="5" t="str">
        <f t="shared" si="5"/>
        <v>Sa</v>
      </c>
      <c r="W87" s="5" t="str">
        <f t="shared" si="5"/>
        <v>Su</v>
      </c>
      <c r="X87" s="5" t="str">
        <f t="shared" si="5"/>
        <v>Mo</v>
      </c>
      <c r="Y87" s="5" t="str">
        <f t="shared" si="5"/>
        <v>Tu</v>
      </c>
      <c r="Z87" s="5" t="str">
        <f t="shared" si="5"/>
        <v>We</v>
      </c>
      <c r="AA87" s="5" t="str">
        <f t="shared" si="5"/>
        <v>Th</v>
      </c>
      <c r="AB87" s="5" t="str">
        <f t="shared" si="5"/>
        <v>Fr</v>
      </c>
      <c r="AC87" s="5" t="str">
        <f t="shared" si="5"/>
        <v>Sa</v>
      </c>
      <c r="AD87" s="5" t="str">
        <f t="shared" si="5"/>
        <v>Su</v>
      </c>
      <c r="AE87" s="5" t="str">
        <f t="shared" si="5"/>
        <v>Mo</v>
      </c>
      <c r="AF87" s="5" t="str">
        <f t="shared" si="5"/>
        <v>Tu</v>
      </c>
      <c r="AG87" s="5" t="str">
        <f t="shared" si="5"/>
        <v>We</v>
      </c>
      <c r="AH87" s="5" t="str">
        <f t="shared" si="5"/>
        <v>Th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62</v>
      </c>
      <c r="E89" s="4" t="s">
        <v>62</v>
      </c>
      <c r="F89" s="4" t="s">
        <v>62</v>
      </c>
      <c r="G89" s="4" t="s">
        <v>62</v>
      </c>
      <c r="H89" s="4" t="s">
        <v>62</v>
      </c>
      <c r="I89" s="4" t="s">
        <v>62</v>
      </c>
      <c r="J89" s="4" t="s">
        <v>62</v>
      </c>
      <c r="K89" s="4" t="s">
        <v>62</v>
      </c>
      <c r="L89" s="4" t="s">
        <v>62</v>
      </c>
      <c r="M89" s="4" t="s">
        <v>62</v>
      </c>
      <c r="N89" s="4" t="s">
        <v>62</v>
      </c>
      <c r="O89" s="4" t="s">
        <v>62</v>
      </c>
      <c r="P89" s="4" t="s">
        <v>62</v>
      </c>
      <c r="Q89" s="4" t="s">
        <v>62</v>
      </c>
      <c r="R89" s="4" t="s">
        <v>62</v>
      </c>
      <c r="S89" s="4" t="s">
        <v>62</v>
      </c>
      <c r="T89" s="4" t="s">
        <v>62</v>
      </c>
      <c r="U89" s="4" t="s">
        <v>62</v>
      </c>
      <c r="V89" s="4" t="s">
        <v>62</v>
      </c>
      <c r="W89" s="4" t="s">
        <v>62</v>
      </c>
      <c r="X89" s="4" t="s">
        <v>62</v>
      </c>
      <c r="Y89" s="4" t="s">
        <v>62</v>
      </c>
      <c r="Z89" s="4" t="s">
        <v>62</v>
      </c>
      <c r="AA89" s="4" t="s">
        <v>62</v>
      </c>
      <c r="AB89" s="4" t="s">
        <v>62</v>
      </c>
      <c r="AC89" s="4" t="s">
        <v>62</v>
      </c>
      <c r="AD89" s="4" t="s">
        <v>62</v>
      </c>
      <c r="AE89" s="4" t="s">
        <v>62</v>
      </c>
      <c r="AF89" s="4" t="s">
        <v>62</v>
      </c>
      <c r="AG89" s="4" t="s">
        <v>62</v>
      </c>
      <c r="AH89" s="4" t="s">
        <v>62</v>
      </c>
    </row>
    <row r="90" spans="2:34">
      <c r="B90" s="85">
        <v>2</v>
      </c>
      <c r="C90" s="90" t="str">
        <f>LEFT(EmpGName02)&amp;" " &amp;EmpSName02</f>
        <v>K Stone</v>
      </c>
      <c r="D90" s="3" t="s">
        <v>62</v>
      </c>
      <c r="E90" s="3" t="s">
        <v>62</v>
      </c>
      <c r="F90" s="3" t="s">
        <v>62</v>
      </c>
      <c r="G90" s="3" t="s">
        <v>62</v>
      </c>
      <c r="H90" s="3" t="s">
        <v>62</v>
      </c>
      <c r="I90" s="3" t="s">
        <v>62</v>
      </c>
      <c r="J90" s="3" t="s">
        <v>62</v>
      </c>
      <c r="K90" s="3" t="s">
        <v>62</v>
      </c>
      <c r="L90" s="3" t="s">
        <v>62</v>
      </c>
      <c r="M90" s="3" t="s">
        <v>62</v>
      </c>
      <c r="N90" s="3" t="s">
        <v>62</v>
      </c>
      <c r="O90" s="3" t="s">
        <v>62</v>
      </c>
      <c r="P90" s="3" t="s">
        <v>62</v>
      </c>
      <c r="Q90" s="3" t="s">
        <v>62</v>
      </c>
      <c r="R90" s="3" t="s">
        <v>62</v>
      </c>
      <c r="S90" s="3" t="s">
        <v>62</v>
      </c>
      <c r="T90" s="3" t="s">
        <v>62</v>
      </c>
      <c r="U90" s="3" t="s">
        <v>62</v>
      </c>
      <c r="V90" s="3" t="s">
        <v>62</v>
      </c>
      <c r="W90" s="3" t="s">
        <v>62</v>
      </c>
      <c r="X90" s="3" t="s">
        <v>62</v>
      </c>
      <c r="Y90" s="3" t="s">
        <v>62</v>
      </c>
      <c r="Z90" s="3" t="s">
        <v>62</v>
      </c>
      <c r="AA90" s="3" t="s">
        <v>62</v>
      </c>
      <c r="AB90" s="3" t="s">
        <v>62</v>
      </c>
      <c r="AC90" s="3" t="s">
        <v>62</v>
      </c>
      <c r="AD90" s="3" t="s">
        <v>62</v>
      </c>
      <c r="AE90" s="3" t="s">
        <v>62</v>
      </c>
      <c r="AF90" s="3" t="s">
        <v>62</v>
      </c>
      <c r="AG90" s="3" t="s">
        <v>62</v>
      </c>
      <c r="AH90" s="3" t="s">
        <v>62</v>
      </c>
    </row>
    <row r="91" spans="2:34">
      <c r="B91" s="85">
        <v>3</v>
      </c>
      <c r="C91" s="89" t="str">
        <f>LEFT(EmpGName03)&amp;" " &amp;EmpSName03</f>
        <v>I Thelning</v>
      </c>
      <c r="D91" s="4" t="s">
        <v>62</v>
      </c>
      <c r="E91" s="4" t="s">
        <v>62</v>
      </c>
      <c r="F91" s="4" t="s">
        <v>62</v>
      </c>
      <c r="G91" s="4" t="s">
        <v>62</v>
      </c>
      <c r="H91" s="4" t="s">
        <v>62</v>
      </c>
      <c r="I91" s="4" t="s">
        <v>62</v>
      </c>
      <c r="J91" s="4" t="s">
        <v>62</v>
      </c>
      <c r="K91" s="4" t="s">
        <v>62</v>
      </c>
      <c r="L91" s="4" t="s">
        <v>62</v>
      </c>
      <c r="M91" s="4" t="s">
        <v>62</v>
      </c>
      <c r="N91" s="4" t="s">
        <v>62</v>
      </c>
      <c r="O91" s="4" t="s">
        <v>62</v>
      </c>
      <c r="P91" s="4" t="s">
        <v>62</v>
      </c>
      <c r="Q91" s="4" t="s">
        <v>62</v>
      </c>
      <c r="R91" s="4" t="s">
        <v>62</v>
      </c>
      <c r="S91" s="4" t="s">
        <v>62</v>
      </c>
      <c r="T91" s="4" t="s">
        <v>62</v>
      </c>
      <c r="U91" s="4" t="s">
        <v>62</v>
      </c>
      <c r="V91" s="4" t="s">
        <v>62</v>
      </c>
      <c r="W91" s="4" t="s">
        <v>62</v>
      </c>
      <c r="X91" s="4" t="s">
        <v>62</v>
      </c>
      <c r="Y91" s="4" t="s">
        <v>62</v>
      </c>
      <c r="Z91" s="4" t="s">
        <v>62</v>
      </c>
      <c r="AA91" s="4" t="s">
        <v>62</v>
      </c>
      <c r="AB91" s="4" t="s">
        <v>62</v>
      </c>
      <c r="AC91" s="4" t="s">
        <v>62</v>
      </c>
      <c r="AD91" s="4" t="s">
        <v>62</v>
      </c>
      <c r="AE91" s="4" t="s">
        <v>62</v>
      </c>
      <c r="AF91" s="4" t="s">
        <v>62</v>
      </c>
      <c r="AG91" s="4" t="s">
        <v>62</v>
      </c>
      <c r="AH91" s="4" t="s">
        <v>62</v>
      </c>
    </row>
    <row r="92" spans="2:34">
      <c r="B92" s="85">
        <v>4</v>
      </c>
      <c r="C92" s="90" t="str">
        <f>LEFT(EmpGName04)&amp;" " &amp;EmpSName04</f>
        <v>L King</v>
      </c>
      <c r="D92" s="3" t="s">
        <v>62</v>
      </c>
      <c r="E92" s="3" t="s">
        <v>62</v>
      </c>
      <c r="F92" s="3" t="s">
        <v>62</v>
      </c>
      <c r="G92" s="3" t="s">
        <v>62</v>
      </c>
      <c r="H92" s="3" t="s">
        <v>62</v>
      </c>
      <c r="I92" s="3" t="s">
        <v>62</v>
      </c>
      <c r="J92" s="3" t="s">
        <v>62</v>
      </c>
      <c r="K92" s="3" t="s">
        <v>62</v>
      </c>
      <c r="L92" s="3" t="s">
        <v>62</v>
      </c>
      <c r="M92" s="3" t="s">
        <v>62</v>
      </c>
      <c r="N92" s="3" t="s">
        <v>62</v>
      </c>
      <c r="O92" s="3" t="s">
        <v>62</v>
      </c>
      <c r="P92" s="3" t="s">
        <v>62</v>
      </c>
      <c r="Q92" s="3" t="s">
        <v>62</v>
      </c>
      <c r="R92" s="3" t="s">
        <v>62</v>
      </c>
      <c r="S92" s="3" t="s">
        <v>62</v>
      </c>
      <c r="T92" s="3" t="s">
        <v>62</v>
      </c>
      <c r="U92" s="3" t="s">
        <v>62</v>
      </c>
      <c r="V92" s="3" t="s">
        <v>62</v>
      </c>
      <c r="W92" s="3" t="s">
        <v>62</v>
      </c>
      <c r="X92" s="3" t="s">
        <v>62</v>
      </c>
      <c r="Y92" s="3" t="s">
        <v>62</v>
      </c>
      <c r="Z92" s="3" t="s">
        <v>62</v>
      </c>
      <c r="AA92" s="3" t="s">
        <v>62</v>
      </c>
      <c r="AB92" s="3" t="s">
        <v>62</v>
      </c>
      <c r="AC92" s="3" t="s">
        <v>62</v>
      </c>
      <c r="AD92" s="3" t="s">
        <v>62</v>
      </c>
      <c r="AE92" s="3" t="s">
        <v>62</v>
      </c>
      <c r="AF92" s="3" t="s">
        <v>62</v>
      </c>
      <c r="AG92" s="3" t="s">
        <v>62</v>
      </c>
      <c r="AH92" s="3" t="s">
        <v>62</v>
      </c>
    </row>
    <row r="93" spans="2:34">
      <c r="B93" s="85">
        <v>5</v>
      </c>
      <c r="C93" s="89" t="str">
        <f>LEFT(EmpGName05)&amp;" " &amp;EmpSName05</f>
        <v>D Castle</v>
      </c>
      <c r="D93" s="4" t="s">
        <v>62</v>
      </c>
      <c r="E93" s="4" t="s">
        <v>62</v>
      </c>
      <c r="F93" s="4" t="s">
        <v>62</v>
      </c>
      <c r="G93" s="4" t="s">
        <v>62</v>
      </c>
      <c r="H93" s="4" t="s">
        <v>62</v>
      </c>
      <c r="I93" s="4" t="s">
        <v>62</v>
      </c>
      <c r="J93" s="4" t="s">
        <v>62</v>
      </c>
      <c r="K93" s="4" t="s">
        <v>62</v>
      </c>
      <c r="L93" s="4" t="s">
        <v>62</v>
      </c>
      <c r="M93" s="4" t="s">
        <v>62</v>
      </c>
      <c r="N93" s="4" t="s">
        <v>62</v>
      </c>
      <c r="O93" s="4" t="s">
        <v>62</v>
      </c>
      <c r="P93" s="4" t="s">
        <v>62</v>
      </c>
      <c r="Q93" s="4" t="s">
        <v>62</v>
      </c>
      <c r="R93" s="4" t="s">
        <v>62</v>
      </c>
      <c r="S93" s="4" t="s">
        <v>62</v>
      </c>
      <c r="T93" s="4" t="s">
        <v>62</v>
      </c>
      <c r="U93" s="4" t="s">
        <v>62</v>
      </c>
      <c r="V93" s="4" t="s">
        <v>62</v>
      </c>
      <c r="W93" s="4" t="s">
        <v>62</v>
      </c>
      <c r="X93" s="4" t="s">
        <v>62</v>
      </c>
      <c r="Y93" s="4" t="s">
        <v>62</v>
      </c>
      <c r="Z93" s="4" t="s">
        <v>62</v>
      </c>
      <c r="AA93" s="4" t="s">
        <v>62</v>
      </c>
      <c r="AB93" s="4" t="s">
        <v>62</v>
      </c>
      <c r="AC93" s="4" t="s">
        <v>62</v>
      </c>
      <c r="AD93" s="4" t="s">
        <v>62</v>
      </c>
      <c r="AE93" s="4" t="s">
        <v>62</v>
      </c>
      <c r="AF93" s="4" t="s">
        <v>62</v>
      </c>
      <c r="AG93" s="4" t="s">
        <v>62</v>
      </c>
      <c r="AH93" s="4" t="s">
        <v>62</v>
      </c>
    </row>
    <row r="94" spans="2:34">
      <c r="B94" s="85">
        <v>6</v>
      </c>
      <c r="C94" s="90" t="str">
        <f>LEFT(EmpGName06)&amp;" " &amp;EmpSName06</f>
        <v>R Fielding</v>
      </c>
      <c r="D94" s="3" t="s">
        <v>62</v>
      </c>
      <c r="E94" s="3" t="s">
        <v>62</v>
      </c>
      <c r="F94" s="3" t="s">
        <v>62</v>
      </c>
      <c r="G94" s="3" t="s">
        <v>62</v>
      </c>
      <c r="H94" s="3" t="s">
        <v>62</v>
      </c>
      <c r="I94" s="3" t="s">
        <v>62</v>
      </c>
      <c r="J94" s="3" t="s">
        <v>62</v>
      </c>
      <c r="K94" s="3" t="s">
        <v>62</v>
      </c>
      <c r="L94" s="3" t="s">
        <v>62</v>
      </c>
      <c r="M94" s="3" t="s">
        <v>62</v>
      </c>
      <c r="N94" s="3" t="s">
        <v>62</v>
      </c>
      <c r="O94" s="3" t="s">
        <v>62</v>
      </c>
      <c r="P94" s="3" t="s">
        <v>62</v>
      </c>
      <c r="Q94" s="3" t="s">
        <v>62</v>
      </c>
      <c r="R94" s="3" t="s">
        <v>62</v>
      </c>
      <c r="S94" s="3" t="s">
        <v>62</v>
      </c>
      <c r="T94" s="3" t="s">
        <v>62</v>
      </c>
      <c r="U94" s="3" t="s">
        <v>62</v>
      </c>
      <c r="V94" s="3" t="s">
        <v>62</v>
      </c>
      <c r="W94" s="3" t="s">
        <v>62</v>
      </c>
      <c r="X94" s="3" t="s">
        <v>62</v>
      </c>
      <c r="Y94" s="3" t="s">
        <v>62</v>
      </c>
      <c r="Z94" s="3" t="s">
        <v>62</v>
      </c>
      <c r="AA94" s="3" t="s">
        <v>62</v>
      </c>
      <c r="AB94" s="3" t="s">
        <v>62</v>
      </c>
      <c r="AC94" s="3" t="s">
        <v>62</v>
      </c>
      <c r="AD94" s="3" t="s">
        <v>62</v>
      </c>
      <c r="AE94" s="3" t="s">
        <v>62</v>
      </c>
      <c r="AF94" s="3" t="s">
        <v>62</v>
      </c>
      <c r="AG94" s="3" t="s">
        <v>62</v>
      </c>
      <c r="AH94" s="3" t="s">
        <v>62</v>
      </c>
    </row>
    <row r="95" spans="2:34">
      <c r="B95" s="85">
        <v>7</v>
      </c>
      <c r="C95" s="89" t="str">
        <f>LEFT(EmpGName07)&amp;" " &amp;EmpSName07</f>
        <v>T Sorensen</v>
      </c>
      <c r="D95" s="4" t="s">
        <v>62</v>
      </c>
      <c r="E95" s="4" t="s">
        <v>62</v>
      </c>
      <c r="F95" s="4" t="s">
        <v>62</v>
      </c>
      <c r="G95" s="4" t="s">
        <v>62</v>
      </c>
      <c r="H95" s="4" t="s">
        <v>62</v>
      </c>
      <c r="I95" s="4" t="s">
        <v>62</v>
      </c>
      <c r="J95" s="4" t="s">
        <v>62</v>
      </c>
      <c r="K95" s="4" t="s">
        <v>62</v>
      </c>
      <c r="L95" s="4" t="s">
        <v>62</v>
      </c>
      <c r="M95" s="4" t="s">
        <v>62</v>
      </c>
      <c r="N95" s="4" t="s">
        <v>62</v>
      </c>
      <c r="O95" s="4" t="s">
        <v>62</v>
      </c>
      <c r="P95" s="4" t="s">
        <v>62</v>
      </c>
      <c r="Q95" s="4" t="s">
        <v>62</v>
      </c>
      <c r="R95" s="4" t="s">
        <v>62</v>
      </c>
      <c r="S95" s="4" t="s">
        <v>62</v>
      </c>
      <c r="T95" s="4" t="s">
        <v>62</v>
      </c>
      <c r="U95" s="4" t="s">
        <v>62</v>
      </c>
      <c r="V95" s="4" t="s">
        <v>62</v>
      </c>
      <c r="W95" s="4" t="s">
        <v>62</v>
      </c>
      <c r="X95" s="4" t="s">
        <v>62</v>
      </c>
      <c r="Y95" s="4" t="s">
        <v>62</v>
      </c>
      <c r="Z95" s="4" t="s">
        <v>62</v>
      </c>
      <c r="AA95" s="4" t="s">
        <v>62</v>
      </c>
      <c r="AB95" s="4" t="s">
        <v>62</v>
      </c>
      <c r="AC95" s="4" t="s">
        <v>62</v>
      </c>
      <c r="AD95" s="4" t="s">
        <v>62</v>
      </c>
      <c r="AE95" s="4" t="s">
        <v>62</v>
      </c>
      <c r="AF95" s="4" t="s">
        <v>62</v>
      </c>
      <c r="AG95" s="4" t="s">
        <v>62</v>
      </c>
      <c r="AH95" s="4" t="s">
        <v>62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62</v>
      </c>
      <c r="E96" s="3" t="s">
        <v>62</v>
      </c>
      <c r="F96" s="3" t="s">
        <v>62</v>
      </c>
      <c r="G96" s="3" t="s">
        <v>62</v>
      </c>
      <c r="H96" s="3" t="s">
        <v>62</v>
      </c>
      <c r="I96" s="3" t="s">
        <v>62</v>
      </c>
      <c r="J96" s="3" t="s">
        <v>62</v>
      </c>
      <c r="K96" s="3" t="s">
        <v>62</v>
      </c>
      <c r="L96" s="3" t="s">
        <v>62</v>
      </c>
      <c r="M96" s="3" t="s">
        <v>62</v>
      </c>
      <c r="N96" s="3" t="s">
        <v>62</v>
      </c>
      <c r="O96" s="3" t="s">
        <v>62</v>
      </c>
      <c r="P96" s="3" t="s">
        <v>62</v>
      </c>
      <c r="Q96" s="3" t="s">
        <v>62</v>
      </c>
      <c r="R96" s="3" t="s">
        <v>62</v>
      </c>
      <c r="S96" s="3" t="s">
        <v>62</v>
      </c>
      <c r="T96" s="3" t="s">
        <v>62</v>
      </c>
      <c r="U96" s="3" t="s">
        <v>62</v>
      </c>
      <c r="V96" s="3" t="s">
        <v>62</v>
      </c>
      <c r="W96" s="3" t="s">
        <v>62</v>
      </c>
      <c r="X96" s="3" t="s">
        <v>62</v>
      </c>
      <c r="Y96" s="3" t="s">
        <v>62</v>
      </c>
      <c r="Z96" s="3" t="s">
        <v>62</v>
      </c>
      <c r="AA96" s="3" t="s">
        <v>62</v>
      </c>
      <c r="AB96" s="3" t="s">
        <v>62</v>
      </c>
      <c r="AC96" s="3" t="s">
        <v>62</v>
      </c>
      <c r="AD96" s="3" t="s">
        <v>62</v>
      </c>
      <c r="AE96" s="3" t="s">
        <v>62</v>
      </c>
      <c r="AF96" s="3" t="s">
        <v>62</v>
      </c>
      <c r="AG96" s="3" t="s">
        <v>62</v>
      </c>
      <c r="AH96" s="3" t="s">
        <v>62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62</v>
      </c>
      <c r="E97" s="4" t="s">
        <v>62</v>
      </c>
      <c r="F97" s="4" t="s">
        <v>62</v>
      </c>
      <c r="G97" s="4" t="s">
        <v>62</v>
      </c>
      <c r="H97" s="4" t="s">
        <v>62</v>
      </c>
      <c r="I97" s="4" t="s">
        <v>62</v>
      </c>
      <c r="J97" s="4" t="s">
        <v>62</v>
      </c>
      <c r="K97" s="4" t="s">
        <v>62</v>
      </c>
      <c r="L97" s="4" t="s">
        <v>62</v>
      </c>
      <c r="M97" s="4" t="s">
        <v>62</v>
      </c>
      <c r="N97" s="4" t="s">
        <v>62</v>
      </c>
      <c r="O97" s="4" t="s">
        <v>62</v>
      </c>
      <c r="P97" s="4" t="s">
        <v>62</v>
      </c>
      <c r="Q97" s="4" t="s">
        <v>62</v>
      </c>
      <c r="R97" s="4" t="s">
        <v>62</v>
      </c>
      <c r="S97" s="4" t="s">
        <v>62</v>
      </c>
      <c r="T97" s="4" t="s">
        <v>62</v>
      </c>
      <c r="U97" s="4" t="s">
        <v>62</v>
      </c>
      <c r="V97" s="4" t="s">
        <v>62</v>
      </c>
      <c r="W97" s="4" t="s">
        <v>62</v>
      </c>
      <c r="X97" s="4" t="s">
        <v>62</v>
      </c>
      <c r="Y97" s="4" t="s">
        <v>62</v>
      </c>
      <c r="Z97" s="4" t="s">
        <v>62</v>
      </c>
      <c r="AA97" s="4" t="s">
        <v>62</v>
      </c>
      <c r="AB97" s="4" t="s">
        <v>62</v>
      </c>
      <c r="AC97" s="4" t="s">
        <v>62</v>
      </c>
      <c r="AD97" s="4" t="s">
        <v>62</v>
      </c>
      <c r="AE97" s="4" t="s">
        <v>62</v>
      </c>
      <c r="AF97" s="4" t="s">
        <v>62</v>
      </c>
      <c r="AG97" s="4" t="s">
        <v>62</v>
      </c>
      <c r="AH97" s="4" t="s">
        <v>62</v>
      </c>
    </row>
    <row r="98" spans="2:34" hidden="1">
      <c r="B98" s="149">
        <v>10</v>
      </c>
      <c r="C98" s="90" t="str">
        <f>LEFT(EmpGName10)&amp;" " &amp;EmpSName10</f>
        <v xml:space="preserve"> </v>
      </c>
      <c r="D98" s="3" t="s">
        <v>62</v>
      </c>
      <c r="E98" s="3" t="s">
        <v>62</v>
      </c>
      <c r="F98" s="3" t="s">
        <v>62</v>
      </c>
      <c r="G98" s="3" t="s">
        <v>62</v>
      </c>
      <c r="H98" s="3" t="s">
        <v>62</v>
      </c>
      <c r="I98" s="3" t="s">
        <v>62</v>
      </c>
      <c r="J98" s="3" t="s">
        <v>62</v>
      </c>
      <c r="K98" s="3" t="s">
        <v>62</v>
      </c>
      <c r="L98" s="3" t="s">
        <v>62</v>
      </c>
      <c r="M98" s="3" t="s">
        <v>62</v>
      </c>
      <c r="N98" s="3" t="s">
        <v>62</v>
      </c>
      <c r="O98" s="3" t="s">
        <v>62</v>
      </c>
      <c r="P98" s="3" t="s">
        <v>62</v>
      </c>
      <c r="Q98" s="3" t="s">
        <v>62</v>
      </c>
      <c r="R98" s="3" t="s">
        <v>62</v>
      </c>
      <c r="S98" s="3" t="s">
        <v>62</v>
      </c>
      <c r="T98" s="3" t="s">
        <v>62</v>
      </c>
      <c r="U98" s="3" t="s">
        <v>62</v>
      </c>
      <c r="V98" s="3" t="s">
        <v>62</v>
      </c>
      <c r="W98" s="3" t="s">
        <v>62</v>
      </c>
      <c r="X98" s="3" t="s">
        <v>62</v>
      </c>
      <c r="Y98" s="3" t="s">
        <v>62</v>
      </c>
      <c r="Z98" s="3" t="s">
        <v>62</v>
      </c>
      <c r="AA98" s="3" t="s">
        <v>62</v>
      </c>
      <c r="AB98" s="3" t="s">
        <v>62</v>
      </c>
      <c r="AC98" s="3" t="s">
        <v>62</v>
      </c>
      <c r="AD98" s="3" t="s">
        <v>62</v>
      </c>
      <c r="AE98" s="3" t="s">
        <v>62</v>
      </c>
      <c r="AF98" s="3" t="s">
        <v>62</v>
      </c>
      <c r="AG98" s="3" t="s">
        <v>62</v>
      </c>
      <c r="AH98" s="3" t="s">
        <v>62</v>
      </c>
    </row>
    <row r="99" spans="2:34" s="70" customFormat="1" hidden="1">
      <c r="B99" s="149">
        <v>11</v>
      </c>
      <c r="C99" s="89" t="str">
        <f>LEFT(EmpGName11)&amp;" " &amp;EmpSName11</f>
        <v xml:space="preserve"> </v>
      </c>
      <c r="D99" s="4" t="s">
        <v>62</v>
      </c>
      <c r="E99" s="4" t="s">
        <v>62</v>
      </c>
      <c r="F99" s="4" t="s">
        <v>62</v>
      </c>
      <c r="G99" s="4" t="s">
        <v>62</v>
      </c>
      <c r="H99" s="4" t="s">
        <v>62</v>
      </c>
      <c r="I99" s="4" t="s">
        <v>62</v>
      </c>
      <c r="J99" s="4" t="s">
        <v>62</v>
      </c>
      <c r="K99" s="4" t="s">
        <v>62</v>
      </c>
      <c r="L99" s="4" t="s">
        <v>62</v>
      </c>
      <c r="M99" s="4" t="s">
        <v>62</v>
      </c>
      <c r="N99" s="4" t="s">
        <v>62</v>
      </c>
      <c r="O99" s="4" t="s">
        <v>62</v>
      </c>
      <c r="P99" s="4" t="s">
        <v>62</v>
      </c>
      <c r="Q99" s="4" t="s">
        <v>62</v>
      </c>
      <c r="R99" s="4" t="s">
        <v>62</v>
      </c>
      <c r="S99" s="4" t="s">
        <v>62</v>
      </c>
      <c r="T99" s="4" t="s">
        <v>62</v>
      </c>
      <c r="U99" s="4" t="s">
        <v>62</v>
      </c>
      <c r="V99" s="4" t="s">
        <v>62</v>
      </c>
      <c r="W99" s="4" t="s">
        <v>62</v>
      </c>
      <c r="X99" s="4" t="s">
        <v>62</v>
      </c>
      <c r="Y99" s="4" t="s">
        <v>62</v>
      </c>
      <c r="Z99" s="4" t="s">
        <v>62</v>
      </c>
      <c r="AA99" s="4" t="s">
        <v>62</v>
      </c>
      <c r="AB99" s="4" t="s">
        <v>62</v>
      </c>
      <c r="AC99" s="4" t="s">
        <v>62</v>
      </c>
      <c r="AD99" s="4" t="s">
        <v>62</v>
      </c>
      <c r="AE99" s="4" t="s">
        <v>62</v>
      </c>
      <c r="AF99" s="4" t="s">
        <v>62</v>
      </c>
      <c r="AG99" s="4" t="s">
        <v>62</v>
      </c>
      <c r="AH99" s="4" t="s">
        <v>62</v>
      </c>
    </row>
    <row r="100" spans="2:34" s="70" customFormat="1" hidden="1">
      <c r="B100" s="149">
        <v>12</v>
      </c>
      <c r="C100" s="90" t="str">
        <f>LEFT(EmpGName12)&amp;" " &amp;EmpSName12</f>
        <v xml:space="preserve"> </v>
      </c>
      <c r="D100" s="3" t="s">
        <v>62</v>
      </c>
      <c r="E100" s="3" t="s">
        <v>62</v>
      </c>
      <c r="F100" s="3" t="s">
        <v>62</v>
      </c>
      <c r="G100" s="3" t="s">
        <v>62</v>
      </c>
      <c r="H100" s="3" t="s">
        <v>62</v>
      </c>
      <c r="I100" s="3" t="s">
        <v>62</v>
      </c>
      <c r="J100" s="3" t="s">
        <v>62</v>
      </c>
      <c r="K100" s="3" t="s">
        <v>62</v>
      </c>
      <c r="L100" s="3" t="s">
        <v>62</v>
      </c>
      <c r="M100" s="3" t="s">
        <v>62</v>
      </c>
      <c r="N100" s="3" t="s">
        <v>62</v>
      </c>
      <c r="O100" s="3" t="s">
        <v>62</v>
      </c>
      <c r="P100" s="3" t="s">
        <v>62</v>
      </c>
      <c r="Q100" s="3" t="s">
        <v>62</v>
      </c>
      <c r="R100" s="3" t="s">
        <v>62</v>
      </c>
      <c r="S100" s="3" t="s">
        <v>62</v>
      </c>
      <c r="T100" s="3" t="s">
        <v>62</v>
      </c>
      <c r="U100" s="3" t="s">
        <v>62</v>
      </c>
      <c r="V100" s="3" t="s">
        <v>62</v>
      </c>
      <c r="W100" s="3" t="s">
        <v>62</v>
      </c>
      <c r="X100" s="3" t="s">
        <v>62</v>
      </c>
      <c r="Y100" s="3" t="s">
        <v>62</v>
      </c>
      <c r="Z100" s="3" t="s">
        <v>62</v>
      </c>
      <c r="AA100" s="3" t="s">
        <v>62</v>
      </c>
      <c r="AB100" s="3" t="s">
        <v>62</v>
      </c>
      <c r="AC100" s="3" t="s">
        <v>62</v>
      </c>
      <c r="AD100" s="3" t="s">
        <v>62</v>
      </c>
      <c r="AE100" s="3" t="s">
        <v>62</v>
      </c>
      <c r="AF100" s="3" t="s">
        <v>62</v>
      </c>
      <c r="AG100" s="3" t="s">
        <v>62</v>
      </c>
      <c r="AH100" s="3" t="s">
        <v>62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2016:</v>
      </c>
      <c r="D102" s="5" t="str">
        <f>LEFT(TEXT(D103&amp;"-"&amp;$C$103&amp;"-"&amp;CurYear,"ddd"),2)</f>
        <v>Fr</v>
      </c>
      <c r="E102" s="5" t="str">
        <f t="shared" ref="E102:AH102" si="6">LEFT(TEXT(E103&amp;"-"&amp;$C$103&amp;"-"&amp;CurYear,"ddd"),2)</f>
        <v>Sa</v>
      </c>
      <c r="F102" s="5" t="str">
        <f t="shared" si="6"/>
        <v>Su</v>
      </c>
      <c r="G102" s="5" t="str">
        <f t="shared" si="6"/>
        <v>Mo</v>
      </c>
      <c r="H102" s="5" t="str">
        <f t="shared" si="6"/>
        <v>Tu</v>
      </c>
      <c r="I102" s="5" t="str">
        <f t="shared" si="6"/>
        <v>We</v>
      </c>
      <c r="J102" s="5" t="str">
        <f t="shared" si="6"/>
        <v>Th</v>
      </c>
      <c r="K102" s="5" t="str">
        <f t="shared" si="6"/>
        <v>Fr</v>
      </c>
      <c r="L102" s="5" t="str">
        <f t="shared" si="6"/>
        <v>Sa</v>
      </c>
      <c r="M102" s="5" t="str">
        <f t="shared" si="6"/>
        <v>Su</v>
      </c>
      <c r="N102" s="5" t="str">
        <f t="shared" si="6"/>
        <v>Mo</v>
      </c>
      <c r="O102" s="5" t="str">
        <f t="shared" si="6"/>
        <v>Tu</v>
      </c>
      <c r="P102" s="5" t="str">
        <f t="shared" si="6"/>
        <v>We</v>
      </c>
      <c r="Q102" s="5" t="str">
        <f t="shared" si="6"/>
        <v>Th</v>
      </c>
      <c r="R102" s="5" t="str">
        <f t="shared" si="6"/>
        <v>Fr</v>
      </c>
      <c r="S102" s="5" t="str">
        <f t="shared" si="6"/>
        <v>Sa</v>
      </c>
      <c r="T102" s="5" t="str">
        <f t="shared" si="6"/>
        <v>Su</v>
      </c>
      <c r="U102" s="5" t="str">
        <f t="shared" si="6"/>
        <v>Mo</v>
      </c>
      <c r="V102" s="5" t="str">
        <f t="shared" si="6"/>
        <v>Tu</v>
      </c>
      <c r="W102" s="5" t="str">
        <f t="shared" si="6"/>
        <v>We</v>
      </c>
      <c r="X102" s="5" t="str">
        <f t="shared" si="6"/>
        <v>Th</v>
      </c>
      <c r="Y102" s="5" t="str">
        <f t="shared" si="6"/>
        <v>Fr</v>
      </c>
      <c r="Z102" s="5" t="str">
        <f t="shared" si="6"/>
        <v>Sa</v>
      </c>
      <c r="AA102" s="5" t="str">
        <f t="shared" si="6"/>
        <v>Su</v>
      </c>
      <c r="AB102" s="5" t="str">
        <f t="shared" si="6"/>
        <v>Mo</v>
      </c>
      <c r="AC102" s="5" t="str">
        <f t="shared" si="6"/>
        <v>Tu</v>
      </c>
      <c r="AD102" s="5" t="str">
        <f t="shared" si="6"/>
        <v>We</v>
      </c>
      <c r="AE102" s="5" t="str">
        <f t="shared" si="6"/>
        <v>Th</v>
      </c>
      <c r="AF102" s="5" t="str">
        <f t="shared" si="6"/>
        <v>Fr</v>
      </c>
      <c r="AG102" s="5" t="str">
        <f t="shared" si="6"/>
        <v>Sa</v>
      </c>
      <c r="AH102" s="5" t="str">
        <f t="shared" si="6"/>
        <v>Su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62</v>
      </c>
      <c r="E104" s="82" t="s">
        <v>62</v>
      </c>
      <c r="F104" s="4" t="s">
        <v>62</v>
      </c>
      <c r="G104" s="4" t="s">
        <v>62</v>
      </c>
      <c r="H104" s="4" t="s">
        <v>62</v>
      </c>
      <c r="I104" s="4" t="s">
        <v>62</v>
      </c>
      <c r="J104" s="4" t="s">
        <v>62</v>
      </c>
      <c r="K104" s="4" t="s">
        <v>62</v>
      </c>
      <c r="L104" s="4" t="s">
        <v>62</v>
      </c>
      <c r="M104" s="4" t="s">
        <v>62</v>
      </c>
      <c r="N104" s="4" t="s">
        <v>62</v>
      </c>
      <c r="O104" s="4" t="s">
        <v>62</v>
      </c>
      <c r="P104" s="4" t="s">
        <v>62</v>
      </c>
      <c r="Q104" s="4" t="s">
        <v>62</v>
      </c>
      <c r="R104" s="4" t="s">
        <v>62</v>
      </c>
      <c r="S104" s="4" t="s">
        <v>62</v>
      </c>
      <c r="T104" s="4" t="s">
        <v>62</v>
      </c>
      <c r="U104" s="4" t="s">
        <v>62</v>
      </c>
      <c r="V104" s="4" t="s">
        <v>62</v>
      </c>
      <c r="W104" s="4" t="s">
        <v>62</v>
      </c>
      <c r="X104" s="4" t="s">
        <v>62</v>
      </c>
      <c r="Y104" s="4" t="s">
        <v>62</v>
      </c>
      <c r="Z104" s="4" t="s">
        <v>62</v>
      </c>
      <c r="AA104" s="4" t="s">
        <v>62</v>
      </c>
      <c r="AB104" s="4" t="s">
        <v>62</v>
      </c>
      <c r="AC104" s="4" t="s">
        <v>62</v>
      </c>
      <c r="AD104" s="4" t="s">
        <v>62</v>
      </c>
      <c r="AE104" s="4" t="s">
        <v>62</v>
      </c>
      <c r="AF104" s="4" t="s">
        <v>62</v>
      </c>
      <c r="AG104" s="4" t="s">
        <v>62</v>
      </c>
      <c r="AH104" s="4" t="s">
        <v>62</v>
      </c>
    </row>
    <row r="105" spans="2:34">
      <c r="B105" s="83">
        <v>2</v>
      </c>
      <c r="C105" s="90" t="str">
        <f>LEFT(EmpGName02)&amp;" " &amp;EmpSName02</f>
        <v>K Stone</v>
      </c>
      <c r="D105" s="3" t="s">
        <v>62</v>
      </c>
      <c r="E105" s="3" t="s">
        <v>62</v>
      </c>
      <c r="F105" s="3" t="s">
        <v>62</v>
      </c>
      <c r="G105" s="3" t="s">
        <v>62</v>
      </c>
      <c r="H105" s="3" t="s">
        <v>62</v>
      </c>
      <c r="I105" s="3" t="s">
        <v>62</v>
      </c>
      <c r="J105" s="3" t="s">
        <v>62</v>
      </c>
      <c r="K105" s="3" t="s">
        <v>62</v>
      </c>
      <c r="L105" s="3" t="s">
        <v>62</v>
      </c>
      <c r="M105" s="3" t="s">
        <v>62</v>
      </c>
      <c r="N105" s="3" t="s">
        <v>62</v>
      </c>
      <c r="O105" s="3" t="s">
        <v>62</v>
      </c>
      <c r="P105" s="3" t="s">
        <v>62</v>
      </c>
      <c r="Q105" s="3" t="s">
        <v>62</v>
      </c>
      <c r="R105" s="3" t="s">
        <v>62</v>
      </c>
      <c r="S105" s="3" t="s">
        <v>62</v>
      </c>
      <c r="T105" s="3" t="s">
        <v>62</v>
      </c>
      <c r="U105" s="3" t="s">
        <v>62</v>
      </c>
      <c r="V105" s="3" t="s">
        <v>62</v>
      </c>
      <c r="W105" s="3" t="s">
        <v>62</v>
      </c>
      <c r="X105" s="3" t="s">
        <v>62</v>
      </c>
      <c r="Y105" s="3" t="s">
        <v>62</v>
      </c>
      <c r="Z105" s="3" t="s">
        <v>62</v>
      </c>
      <c r="AA105" s="3" t="s">
        <v>62</v>
      </c>
      <c r="AB105" s="3" t="s">
        <v>62</v>
      </c>
      <c r="AC105" s="3" t="s">
        <v>62</v>
      </c>
      <c r="AD105" s="3" t="s">
        <v>62</v>
      </c>
      <c r="AE105" s="3" t="s">
        <v>62</v>
      </c>
      <c r="AF105" s="3" t="s">
        <v>62</v>
      </c>
      <c r="AG105" s="3" t="s">
        <v>62</v>
      </c>
      <c r="AH105" s="3" t="s">
        <v>62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62</v>
      </c>
      <c r="E106" s="4" t="s">
        <v>62</v>
      </c>
      <c r="F106" s="4" t="s">
        <v>62</v>
      </c>
      <c r="G106" s="4" t="s">
        <v>62</v>
      </c>
      <c r="H106" s="4" t="s">
        <v>62</v>
      </c>
      <c r="I106" s="4" t="s">
        <v>62</v>
      </c>
      <c r="J106" s="4" t="s">
        <v>62</v>
      </c>
      <c r="K106" s="4" t="s">
        <v>62</v>
      </c>
      <c r="L106" s="4" t="s">
        <v>62</v>
      </c>
      <c r="M106" s="4" t="s">
        <v>62</v>
      </c>
      <c r="N106" s="4" t="s">
        <v>62</v>
      </c>
      <c r="O106" s="4" t="s">
        <v>62</v>
      </c>
      <c r="P106" s="4" t="s">
        <v>62</v>
      </c>
      <c r="Q106" s="4" t="s">
        <v>62</v>
      </c>
      <c r="R106" s="4" t="s">
        <v>62</v>
      </c>
      <c r="S106" s="4" t="s">
        <v>62</v>
      </c>
      <c r="T106" s="4" t="s">
        <v>62</v>
      </c>
      <c r="U106" s="4" t="s">
        <v>62</v>
      </c>
      <c r="V106" s="4" t="s">
        <v>62</v>
      </c>
      <c r="W106" s="4" t="s">
        <v>62</v>
      </c>
      <c r="X106" s="4" t="s">
        <v>62</v>
      </c>
      <c r="Y106" s="4" t="s">
        <v>62</v>
      </c>
      <c r="Z106" s="4" t="s">
        <v>62</v>
      </c>
      <c r="AA106" s="4" t="s">
        <v>62</v>
      </c>
      <c r="AB106" s="4" t="s">
        <v>62</v>
      </c>
      <c r="AC106" s="4" t="s">
        <v>62</v>
      </c>
      <c r="AD106" s="4" t="s">
        <v>62</v>
      </c>
      <c r="AE106" s="4" t="s">
        <v>62</v>
      </c>
      <c r="AF106" s="4" t="s">
        <v>62</v>
      </c>
      <c r="AG106" s="4" t="s">
        <v>62</v>
      </c>
      <c r="AH106" s="4" t="s">
        <v>62</v>
      </c>
    </row>
    <row r="107" spans="2:34">
      <c r="B107" s="83">
        <v>4</v>
      </c>
      <c r="C107" s="90" t="str">
        <f>LEFT(EmpGName04)&amp;" " &amp;EmpSName04</f>
        <v>L King</v>
      </c>
      <c r="D107" s="3" t="s">
        <v>62</v>
      </c>
      <c r="E107" s="3" t="s">
        <v>62</v>
      </c>
      <c r="F107" s="3" t="s">
        <v>62</v>
      </c>
      <c r="G107" s="3" t="s">
        <v>62</v>
      </c>
      <c r="H107" s="3" t="s">
        <v>62</v>
      </c>
      <c r="I107" s="3" t="s">
        <v>62</v>
      </c>
      <c r="J107" s="3" t="s">
        <v>62</v>
      </c>
      <c r="K107" s="3" t="s">
        <v>62</v>
      </c>
      <c r="L107" s="3" t="s">
        <v>62</v>
      </c>
      <c r="M107" s="3" t="s">
        <v>62</v>
      </c>
      <c r="N107" s="3" t="s">
        <v>62</v>
      </c>
      <c r="O107" s="3" t="s">
        <v>62</v>
      </c>
      <c r="P107" s="3" t="s">
        <v>62</v>
      </c>
      <c r="Q107" s="3" t="s">
        <v>62</v>
      </c>
      <c r="R107" s="3" t="s">
        <v>62</v>
      </c>
      <c r="S107" s="3" t="s">
        <v>62</v>
      </c>
      <c r="T107" s="3" t="s">
        <v>62</v>
      </c>
      <c r="U107" s="3" t="s">
        <v>62</v>
      </c>
      <c r="V107" s="3" t="s">
        <v>62</v>
      </c>
      <c r="W107" s="3" t="s">
        <v>62</v>
      </c>
      <c r="X107" s="3" t="s">
        <v>62</v>
      </c>
      <c r="Y107" s="3" t="s">
        <v>62</v>
      </c>
      <c r="Z107" s="3" t="s">
        <v>62</v>
      </c>
      <c r="AA107" s="3" t="s">
        <v>62</v>
      </c>
      <c r="AB107" s="3" t="s">
        <v>62</v>
      </c>
      <c r="AC107" s="3" t="s">
        <v>62</v>
      </c>
      <c r="AD107" s="3" t="s">
        <v>62</v>
      </c>
      <c r="AE107" s="3" t="s">
        <v>62</v>
      </c>
      <c r="AF107" s="3" t="s">
        <v>62</v>
      </c>
      <c r="AG107" s="3" t="s">
        <v>62</v>
      </c>
      <c r="AH107" s="3" t="s">
        <v>62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62</v>
      </c>
      <c r="E108" s="4" t="s">
        <v>62</v>
      </c>
      <c r="F108" s="4" t="s">
        <v>62</v>
      </c>
      <c r="G108" s="4" t="s">
        <v>62</v>
      </c>
      <c r="H108" s="4" t="s">
        <v>62</v>
      </c>
      <c r="I108" s="4" t="s">
        <v>62</v>
      </c>
      <c r="J108" s="4" t="s">
        <v>62</v>
      </c>
      <c r="K108" s="4" t="s">
        <v>62</v>
      </c>
      <c r="L108" s="4" t="s">
        <v>62</v>
      </c>
      <c r="M108" s="4" t="s">
        <v>62</v>
      </c>
      <c r="N108" s="4" t="s">
        <v>62</v>
      </c>
      <c r="O108" s="4" t="s">
        <v>62</v>
      </c>
      <c r="P108" s="4" t="s">
        <v>62</v>
      </c>
      <c r="Q108" s="4" t="s">
        <v>62</v>
      </c>
      <c r="R108" s="4" t="s">
        <v>62</v>
      </c>
      <c r="S108" s="4" t="s">
        <v>62</v>
      </c>
      <c r="T108" s="4" t="s">
        <v>62</v>
      </c>
      <c r="U108" s="4" t="s">
        <v>62</v>
      </c>
      <c r="V108" s="4" t="s">
        <v>62</v>
      </c>
      <c r="W108" s="4" t="s">
        <v>62</v>
      </c>
      <c r="X108" s="4" t="s">
        <v>62</v>
      </c>
      <c r="Y108" s="4" t="s">
        <v>62</v>
      </c>
      <c r="Z108" s="4" t="s">
        <v>62</v>
      </c>
      <c r="AA108" s="4" t="s">
        <v>62</v>
      </c>
      <c r="AB108" s="4" t="s">
        <v>62</v>
      </c>
      <c r="AC108" s="4" t="s">
        <v>62</v>
      </c>
      <c r="AD108" s="4" t="s">
        <v>62</v>
      </c>
      <c r="AE108" s="4" t="s">
        <v>62</v>
      </c>
      <c r="AF108" s="4" t="s">
        <v>62</v>
      </c>
      <c r="AG108" s="4" t="s">
        <v>62</v>
      </c>
      <c r="AH108" s="4" t="s">
        <v>62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62</v>
      </c>
      <c r="E109" s="3" t="s">
        <v>62</v>
      </c>
      <c r="F109" s="3" t="s">
        <v>62</v>
      </c>
      <c r="G109" s="3" t="s">
        <v>62</v>
      </c>
      <c r="H109" s="3" t="s">
        <v>62</v>
      </c>
      <c r="I109" s="3" t="s">
        <v>62</v>
      </c>
      <c r="J109" s="3" t="s">
        <v>62</v>
      </c>
      <c r="K109" s="3" t="s">
        <v>62</v>
      </c>
      <c r="L109" s="3" t="s">
        <v>62</v>
      </c>
      <c r="M109" s="3" t="s">
        <v>62</v>
      </c>
      <c r="N109" s="3" t="s">
        <v>62</v>
      </c>
      <c r="O109" s="3" t="s">
        <v>62</v>
      </c>
      <c r="P109" s="3" t="s">
        <v>62</v>
      </c>
      <c r="Q109" s="3" t="s">
        <v>62</v>
      </c>
      <c r="R109" s="3" t="s">
        <v>62</v>
      </c>
      <c r="S109" s="3" t="s">
        <v>62</v>
      </c>
      <c r="T109" s="3" t="s">
        <v>62</v>
      </c>
      <c r="U109" s="3" t="s">
        <v>62</v>
      </c>
      <c r="V109" s="3" t="s">
        <v>62</v>
      </c>
      <c r="W109" s="3" t="s">
        <v>62</v>
      </c>
      <c r="X109" s="3" t="s">
        <v>62</v>
      </c>
      <c r="Y109" s="3" t="s">
        <v>62</v>
      </c>
      <c r="Z109" s="3" t="s">
        <v>62</v>
      </c>
      <c r="AA109" s="3" t="s">
        <v>62</v>
      </c>
      <c r="AB109" s="3" t="s">
        <v>62</v>
      </c>
      <c r="AC109" s="3" t="s">
        <v>62</v>
      </c>
      <c r="AD109" s="3" t="s">
        <v>62</v>
      </c>
      <c r="AE109" s="3" t="s">
        <v>62</v>
      </c>
      <c r="AF109" s="3" t="s">
        <v>62</v>
      </c>
      <c r="AG109" s="3" t="s">
        <v>62</v>
      </c>
      <c r="AH109" s="3" t="s">
        <v>62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62</v>
      </c>
      <c r="E110" s="4" t="s">
        <v>62</v>
      </c>
      <c r="F110" s="4" t="s">
        <v>62</v>
      </c>
      <c r="G110" s="4" t="s">
        <v>62</v>
      </c>
      <c r="H110" s="4" t="s">
        <v>62</v>
      </c>
      <c r="I110" s="4" t="s">
        <v>62</v>
      </c>
      <c r="J110" s="4" t="s">
        <v>62</v>
      </c>
      <c r="K110" s="4" t="s">
        <v>62</v>
      </c>
      <c r="L110" s="4" t="s">
        <v>62</v>
      </c>
      <c r="M110" s="4" t="s">
        <v>62</v>
      </c>
      <c r="N110" s="4" t="s">
        <v>62</v>
      </c>
      <c r="O110" s="4" t="s">
        <v>62</v>
      </c>
      <c r="P110" s="4" t="s">
        <v>62</v>
      </c>
      <c r="Q110" s="4" t="s">
        <v>62</v>
      </c>
      <c r="R110" s="4" t="s">
        <v>62</v>
      </c>
      <c r="S110" s="4" t="s">
        <v>62</v>
      </c>
      <c r="T110" s="4" t="s">
        <v>62</v>
      </c>
      <c r="U110" s="4" t="s">
        <v>62</v>
      </c>
      <c r="V110" s="4" t="s">
        <v>62</v>
      </c>
      <c r="W110" s="4" t="s">
        <v>62</v>
      </c>
      <c r="X110" s="4" t="s">
        <v>62</v>
      </c>
      <c r="Y110" s="4" t="s">
        <v>62</v>
      </c>
      <c r="Z110" s="4" t="s">
        <v>62</v>
      </c>
      <c r="AA110" s="4" t="s">
        <v>62</v>
      </c>
      <c r="AB110" s="4" t="s">
        <v>62</v>
      </c>
      <c r="AC110" s="4" t="s">
        <v>62</v>
      </c>
      <c r="AD110" s="4" t="s">
        <v>62</v>
      </c>
      <c r="AE110" s="4" t="s">
        <v>62</v>
      </c>
      <c r="AF110" s="4" t="s">
        <v>62</v>
      </c>
      <c r="AG110" s="4" t="s">
        <v>62</v>
      </c>
      <c r="AH110" s="4" t="s">
        <v>62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62</v>
      </c>
      <c r="E111" s="3" t="s">
        <v>62</v>
      </c>
      <c r="F111" s="3" t="s">
        <v>62</v>
      </c>
      <c r="G111" s="3" t="s">
        <v>62</v>
      </c>
      <c r="H111" s="3" t="s">
        <v>62</v>
      </c>
      <c r="I111" s="3" t="s">
        <v>62</v>
      </c>
      <c r="J111" s="3" t="s">
        <v>62</v>
      </c>
      <c r="K111" s="3" t="s">
        <v>62</v>
      </c>
      <c r="L111" s="3" t="s">
        <v>62</v>
      </c>
      <c r="M111" s="3" t="s">
        <v>62</v>
      </c>
      <c r="N111" s="3" t="s">
        <v>62</v>
      </c>
      <c r="O111" s="3" t="s">
        <v>62</v>
      </c>
      <c r="P111" s="3" t="s">
        <v>62</v>
      </c>
      <c r="Q111" s="3" t="s">
        <v>62</v>
      </c>
      <c r="R111" s="3" t="s">
        <v>62</v>
      </c>
      <c r="S111" s="3" t="s">
        <v>62</v>
      </c>
      <c r="T111" s="3" t="s">
        <v>62</v>
      </c>
      <c r="U111" s="3" t="s">
        <v>62</v>
      </c>
      <c r="V111" s="3" t="s">
        <v>62</v>
      </c>
      <c r="W111" s="3" t="s">
        <v>62</v>
      </c>
      <c r="X111" s="3" t="s">
        <v>62</v>
      </c>
      <c r="Y111" s="3" t="s">
        <v>62</v>
      </c>
      <c r="Z111" s="3" t="s">
        <v>62</v>
      </c>
      <c r="AA111" s="3" t="s">
        <v>62</v>
      </c>
      <c r="AB111" s="3" t="s">
        <v>62</v>
      </c>
      <c r="AC111" s="3" t="s">
        <v>62</v>
      </c>
      <c r="AD111" s="3" t="s">
        <v>62</v>
      </c>
      <c r="AE111" s="3" t="s">
        <v>62</v>
      </c>
      <c r="AF111" s="3" t="s">
        <v>62</v>
      </c>
      <c r="AG111" s="3" t="s">
        <v>62</v>
      </c>
      <c r="AH111" s="3" t="s">
        <v>62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62</v>
      </c>
      <c r="E112" s="4" t="s">
        <v>62</v>
      </c>
      <c r="F112" s="4" t="s">
        <v>62</v>
      </c>
      <c r="G112" s="4" t="s">
        <v>62</v>
      </c>
      <c r="H112" s="4" t="s">
        <v>62</v>
      </c>
      <c r="I112" s="4" t="s">
        <v>62</v>
      </c>
      <c r="J112" s="4" t="s">
        <v>62</v>
      </c>
      <c r="K112" s="4" t="s">
        <v>62</v>
      </c>
      <c r="L112" s="4" t="s">
        <v>62</v>
      </c>
      <c r="M112" s="4" t="s">
        <v>62</v>
      </c>
      <c r="N112" s="4" t="s">
        <v>62</v>
      </c>
      <c r="O112" s="4" t="s">
        <v>62</v>
      </c>
      <c r="P112" s="4" t="s">
        <v>62</v>
      </c>
      <c r="Q112" s="4" t="s">
        <v>62</v>
      </c>
      <c r="R112" s="4" t="s">
        <v>62</v>
      </c>
      <c r="S112" s="4" t="s">
        <v>62</v>
      </c>
      <c r="T112" s="4" t="s">
        <v>62</v>
      </c>
      <c r="U112" s="4" t="s">
        <v>62</v>
      </c>
      <c r="V112" s="4" t="s">
        <v>62</v>
      </c>
      <c r="W112" s="4" t="s">
        <v>62</v>
      </c>
      <c r="X112" s="4" t="s">
        <v>62</v>
      </c>
      <c r="Y112" s="4" t="s">
        <v>62</v>
      </c>
      <c r="Z112" s="4" t="s">
        <v>62</v>
      </c>
      <c r="AA112" s="4" t="s">
        <v>62</v>
      </c>
      <c r="AB112" s="4" t="s">
        <v>62</v>
      </c>
      <c r="AC112" s="4" t="s">
        <v>62</v>
      </c>
      <c r="AD112" s="4" t="s">
        <v>62</v>
      </c>
      <c r="AE112" s="4" t="s">
        <v>62</v>
      </c>
      <c r="AF112" s="4" t="s">
        <v>62</v>
      </c>
      <c r="AG112" s="4" t="s">
        <v>62</v>
      </c>
      <c r="AH112" s="4" t="s">
        <v>62</v>
      </c>
    </row>
    <row r="113" spans="2:34" hidden="1">
      <c r="B113" s="150">
        <v>10</v>
      </c>
      <c r="C113" s="91" t="str">
        <f>LEFT(EmpGName10)&amp;" " &amp;EmpSName10</f>
        <v xml:space="preserve"> </v>
      </c>
      <c r="D113" s="68" t="s">
        <v>62</v>
      </c>
      <c r="E113" s="68" t="s">
        <v>62</v>
      </c>
      <c r="F113" s="68" t="s">
        <v>62</v>
      </c>
      <c r="G113" s="68" t="s">
        <v>62</v>
      </c>
      <c r="H113" s="68" t="s">
        <v>62</v>
      </c>
      <c r="I113" s="68" t="s">
        <v>62</v>
      </c>
      <c r="J113" s="68" t="s">
        <v>62</v>
      </c>
      <c r="K113" s="68" t="s">
        <v>62</v>
      </c>
      <c r="L113" s="68" t="s">
        <v>62</v>
      </c>
      <c r="M113" s="68" t="s">
        <v>62</v>
      </c>
      <c r="N113" s="68" t="s">
        <v>62</v>
      </c>
      <c r="O113" s="68" t="s">
        <v>62</v>
      </c>
      <c r="P113" s="68" t="s">
        <v>62</v>
      </c>
      <c r="Q113" s="68" t="s">
        <v>62</v>
      </c>
      <c r="R113" s="68" t="s">
        <v>62</v>
      </c>
      <c r="S113" s="68" t="s">
        <v>62</v>
      </c>
      <c r="T113" s="68" t="s">
        <v>62</v>
      </c>
      <c r="U113" s="68" t="s">
        <v>62</v>
      </c>
      <c r="V113" s="68" t="s">
        <v>62</v>
      </c>
      <c r="W113" s="68" t="s">
        <v>62</v>
      </c>
      <c r="X113" s="68" t="s">
        <v>62</v>
      </c>
      <c r="Y113" s="68" t="s">
        <v>62</v>
      </c>
      <c r="Z113" s="68" t="s">
        <v>62</v>
      </c>
      <c r="AA113" s="68" t="s">
        <v>62</v>
      </c>
      <c r="AB113" s="68" t="s">
        <v>62</v>
      </c>
      <c r="AC113" s="68" t="s">
        <v>62</v>
      </c>
      <c r="AD113" s="68" t="s">
        <v>62</v>
      </c>
      <c r="AE113" s="68" t="s">
        <v>62</v>
      </c>
      <c r="AF113" s="68" t="s">
        <v>62</v>
      </c>
      <c r="AG113" s="68" t="s">
        <v>62</v>
      </c>
      <c r="AH113" s="68" t="s">
        <v>62</v>
      </c>
    </row>
    <row r="114" spans="2:34" hidden="1">
      <c r="B114" s="150">
        <v>11</v>
      </c>
      <c r="C114" s="89" t="str">
        <f>LEFT(EmpGName11)&amp;" " &amp;EmpSName11</f>
        <v xml:space="preserve"> </v>
      </c>
      <c r="D114" s="4" t="s">
        <v>62</v>
      </c>
      <c r="E114" s="4" t="s">
        <v>62</v>
      </c>
      <c r="F114" s="4" t="s">
        <v>62</v>
      </c>
      <c r="G114" s="4" t="s">
        <v>62</v>
      </c>
      <c r="H114" s="4" t="s">
        <v>62</v>
      </c>
      <c r="I114" s="4" t="s">
        <v>62</v>
      </c>
      <c r="J114" s="4" t="s">
        <v>62</v>
      </c>
      <c r="K114" s="4" t="s">
        <v>62</v>
      </c>
      <c r="L114" s="4" t="s">
        <v>62</v>
      </c>
      <c r="M114" s="4" t="s">
        <v>62</v>
      </c>
      <c r="N114" s="4" t="s">
        <v>62</v>
      </c>
      <c r="O114" s="4" t="s">
        <v>62</v>
      </c>
      <c r="P114" s="4" t="s">
        <v>62</v>
      </c>
      <c r="Q114" s="4" t="s">
        <v>62</v>
      </c>
      <c r="R114" s="4" t="s">
        <v>62</v>
      </c>
      <c r="S114" s="4" t="s">
        <v>62</v>
      </c>
      <c r="T114" s="4" t="s">
        <v>62</v>
      </c>
      <c r="U114" s="4" t="s">
        <v>62</v>
      </c>
      <c r="V114" s="4" t="s">
        <v>62</v>
      </c>
      <c r="W114" s="4" t="s">
        <v>62</v>
      </c>
      <c r="X114" s="4" t="s">
        <v>62</v>
      </c>
      <c r="Y114" s="4" t="s">
        <v>62</v>
      </c>
      <c r="Z114" s="4" t="s">
        <v>62</v>
      </c>
      <c r="AA114" s="4" t="s">
        <v>62</v>
      </c>
      <c r="AB114" s="4" t="s">
        <v>62</v>
      </c>
      <c r="AC114" s="4" t="s">
        <v>62</v>
      </c>
      <c r="AD114" s="4" t="s">
        <v>62</v>
      </c>
      <c r="AE114" s="4" t="s">
        <v>62</v>
      </c>
      <c r="AF114" s="4" t="s">
        <v>62</v>
      </c>
      <c r="AG114" s="4" t="s">
        <v>62</v>
      </c>
      <c r="AH114" s="4" t="s">
        <v>62</v>
      </c>
    </row>
    <row r="115" spans="2:34" hidden="1">
      <c r="B115" s="150">
        <v>12</v>
      </c>
      <c r="C115" s="91" t="str">
        <f>LEFT(EmpGName12)&amp;" " &amp;EmpSName12</f>
        <v xml:space="preserve"> </v>
      </c>
      <c r="D115" s="68" t="s">
        <v>62</v>
      </c>
      <c r="E115" s="68" t="s">
        <v>62</v>
      </c>
      <c r="F115" s="68" t="s">
        <v>62</v>
      </c>
      <c r="G115" s="68" t="s">
        <v>62</v>
      </c>
      <c r="H115" s="68" t="s">
        <v>62</v>
      </c>
      <c r="I115" s="68" t="s">
        <v>62</v>
      </c>
      <c r="J115" s="68" t="s">
        <v>62</v>
      </c>
      <c r="K115" s="68" t="s">
        <v>62</v>
      </c>
      <c r="L115" s="68" t="s">
        <v>62</v>
      </c>
      <c r="M115" s="68" t="s">
        <v>62</v>
      </c>
      <c r="N115" s="68" t="s">
        <v>62</v>
      </c>
      <c r="O115" s="68" t="s">
        <v>62</v>
      </c>
      <c r="P115" s="68" t="s">
        <v>62</v>
      </c>
      <c r="Q115" s="68" t="s">
        <v>62</v>
      </c>
      <c r="R115" s="68" t="s">
        <v>62</v>
      </c>
      <c r="S115" s="68" t="s">
        <v>62</v>
      </c>
      <c r="T115" s="68" t="s">
        <v>62</v>
      </c>
      <c r="U115" s="68" t="s">
        <v>62</v>
      </c>
      <c r="V115" s="68" t="s">
        <v>62</v>
      </c>
      <c r="W115" s="68" t="s">
        <v>62</v>
      </c>
      <c r="X115" s="68" t="s">
        <v>62</v>
      </c>
      <c r="Y115" s="68" t="s">
        <v>62</v>
      </c>
      <c r="Z115" s="68" t="s">
        <v>62</v>
      </c>
      <c r="AA115" s="68" t="s">
        <v>62</v>
      </c>
      <c r="AB115" s="68" t="s">
        <v>62</v>
      </c>
      <c r="AC115" s="68" t="s">
        <v>62</v>
      </c>
      <c r="AD115" s="68" t="s">
        <v>62</v>
      </c>
      <c r="AE115" s="68" t="s">
        <v>62</v>
      </c>
      <c r="AF115" s="68" t="s">
        <v>62</v>
      </c>
      <c r="AG115" s="68" t="s">
        <v>62</v>
      </c>
      <c r="AH115" s="68" t="s">
        <v>62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2016:</v>
      </c>
      <c r="D117" s="5" t="str">
        <f>LEFT(TEXT(D118&amp;"-"&amp;$C$118&amp;"-"&amp;CurYear,"ddd"),2)</f>
        <v>Mo</v>
      </c>
      <c r="E117" s="5" t="str">
        <f t="shared" ref="E117:AF117" si="7">LEFT(TEXT(E118&amp;"-"&amp;$C$118&amp;"-"&amp;CurYear,"ddd"),2)</f>
        <v>Tu</v>
      </c>
      <c r="F117" s="5" t="str">
        <f t="shared" si="7"/>
        <v>We</v>
      </c>
      <c r="G117" s="5" t="str">
        <f t="shared" si="7"/>
        <v>Th</v>
      </c>
      <c r="H117" s="5" t="str">
        <f t="shared" si="7"/>
        <v>Fr</v>
      </c>
      <c r="I117" s="5" t="str">
        <f t="shared" si="7"/>
        <v>Sa</v>
      </c>
      <c r="J117" s="5" t="str">
        <f t="shared" si="7"/>
        <v>Su</v>
      </c>
      <c r="K117" s="5" t="str">
        <f t="shared" si="7"/>
        <v>Mo</v>
      </c>
      <c r="L117" s="5" t="str">
        <f t="shared" si="7"/>
        <v>Tu</v>
      </c>
      <c r="M117" s="5" t="str">
        <f t="shared" si="7"/>
        <v>We</v>
      </c>
      <c r="N117" s="5" t="str">
        <f t="shared" si="7"/>
        <v>Th</v>
      </c>
      <c r="O117" s="5" t="str">
        <f t="shared" si="7"/>
        <v>Fr</v>
      </c>
      <c r="P117" s="5" t="str">
        <f t="shared" si="7"/>
        <v>Sa</v>
      </c>
      <c r="Q117" s="5" t="str">
        <f t="shared" si="7"/>
        <v>Su</v>
      </c>
      <c r="R117" s="5" t="str">
        <f t="shared" si="7"/>
        <v>Mo</v>
      </c>
      <c r="S117" s="5" t="str">
        <f t="shared" si="7"/>
        <v>Tu</v>
      </c>
      <c r="T117" s="5" t="str">
        <f t="shared" si="7"/>
        <v>We</v>
      </c>
      <c r="U117" s="5" t="str">
        <f t="shared" si="7"/>
        <v>Th</v>
      </c>
      <c r="V117" s="5" t="str">
        <f t="shared" si="7"/>
        <v>Fr</v>
      </c>
      <c r="W117" s="5" t="str">
        <f t="shared" si="7"/>
        <v>Sa</v>
      </c>
      <c r="X117" s="5" t="str">
        <f t="shared" si="7"/>
        <v>Su</v>
      </c>
      <c r="Y117" s="5" t="str">
        <f t="shared" si="7"/>
        <v>Mo</v>
      </c>
      <c r="Z117" s="5" t="str">
        <f t="shared" si="7"/>
        <v>Tu</v>
      </c>
      <c r="AA117" s="5" t="str">
        <f t="shared" si="7"/>
        <v>We</v>
      </c>
      <c r="AB117" s="5" t="str">
        <f t="shared" si="7"/>
        <v>Th</v>
      </c>
      <c r="AC117" s="5" t="str">
        <f t="shared" si="7"/>
        <v>Fr</v>
      </c>
      <c r="AD117" s="5" t="str">
        <f t="shared" si="7"/>
        <v>Sa</v>
      </c>
      <c r="AE117" s="5" t="str">
        <f t="shared" si="7"/>
        <v>Su</v>
      </c>
      <c r="AF117" s="173" t="str">
        <f t="shared" si="7"/>
        <v>Mo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74">
        <v>29</v>
      </c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62</v>
      </c>
      <c r="E119" s="82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96" t="s">
        <v>62</v>
      </c>
      <c r="AF119" s="175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97" t="s">
        <v>62</v>
      </c>
      <c r="AF120" s="176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96" t="s">
        <v>62</v>
      </c>
      <c r="AF121" s="175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97" t="s">
        <v>62</v>
      </c>
      <c r="AF122" s="176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96" t="s">
        <v>62</v>
      </c>
      <c r="AF123" s="175"/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97" t="s">
        <v>62</v>
      </c>
      <c r="AF124" s="176"/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96" t="s">
        <v>62</v>
      </c>
      <c r="AF125" s="175"/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97" t="s">
        <v>62</v>
      </c>
      <c r="AF126" s="176"/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96" t="s">
        <v>62</v>
      </c>
      <c r="AF127" s="175"/>
      <c r="AG127" s="2"/>
      <c r="AH127" s="2"/>
    </row>
    <row r="128" spans="2:34" hidden="1">
      <c r="B128" s="150">
        <v>10</v>
      </c>
      <c r="C128" s="91" t="str">
        <f>LEFT(EmpGName10)&amp;" " &amp;EmpSName10</f>
        <v xml:space="preserve"> </v>
      </c>
      <c r="D128" s="68" t="s">
        <v>62</v>
      </c>
      <c r="E128" s="68" t="s">
        <v>62</v>
      </c>
      <c r="F128" s="68" t="s">
        <v>62</v>
      </c>
      <c r="G128" s="68" t="s">
        <v>62</v>
      </c>
      <c r="H128" s="68" t="s">
        <v>62</v>
      </c>
      <c r="I128" s="68" t="s">
        <v>62</v>
      </c>
      <c r="J128" s="68" t="s">
        <v>62</v>
      </c>
      <c r="K128" s="68" t="s">
        <v>62</v>
      </c>
      <c r="L128" s="68" t="s">
        <v>62</v>
      </c>
      <c r="M128" s="68" t="s">
        <v>62</v>
      </c>
      <c r="N128" s="68" t="s">
        <v>62</v>
      </c>
      <c r="O128" s="68" t="s">
        <v>62</v>
      </c>
      <c r="P128" s="68" t="s">
        <v>62</v>
      </c>
      <c r="Q128" s="68" t="s">
        <v>62</v>
      </c>
      <c r="R128" s="68" t="s">
        <v>62</v>
      </c>
      <c r="S128" s="68" t="s">
        <v>62</v>
      </c>
      <c r="T128" s="68" t="s">
        <v>62</v>
      </c>
      <c r="U128" s="68" t="s">
        <v>62</v>
      </c>
      <c r="V128" s="68" t="s">
        <v>62</v>
      </c>
      <c r="W128" s="68" t="s">
        <v>62</v>
      </c>
      <c r="X128" s="68" t="s">
        <v>62</v>
      </c>
      <c r="Y128" s="68" t="s">
        <v>62</v>
      </c>
      <c r="Z128" s="68" t="s">
        <v>62</v>
      </c>
      <c r="AA128" s="68" t="s">
        <v>62</v>
      </c>
      <c r="AB128" s="68" t="s">
        <v>62</v>
      </c>
      <c r="AC128" s="68" t="s">
        <v>62</v>
      </c>
      <c r="AD128" s="68" t="s">
        <v>62</v>
      </c>
      <c r="AE128" s="98" t="s">
        <v>62</v>
      </c>
      <c r="AF128" s="176"/>
      <c r="AG128" s="2"/>
      <c r="AH128" s="2"/>
    </row>
    <row r="129" spans="2:34" hidden="1">
      <c r="B129" s="150">
        <v>11</v>
      </c>
      <c r="C129" s="89" t="str">
        <f>LEFT(EmpGName11)&amp;" " &amp;EmpSName11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96" t="s">
        <v>62</v>
      </c>
      <c r="AF129" s="175"/>
      <c r="AG129" s="2"/>
      <c r="AH129" s="2"/>
    </row>
    <row r="130" spans="2:34" hidden="1">
      <c r="B130" s="150">
        <v>12</v>
      </c>
      <c r="C130" s="91" t="str">
        <f>LEFT(EmpGName12)&amp;" " &amp;EmpSName12</f>
        <v xml:space="preserve"> </v>
      </c>
      <c r="D130" s="68" t="s">
        <v>62</v>
      </c>
      <c r="E130" s="68" t="s">
        <v>62</v>
      </c>
      <c r="F130" s="68" t="s">
        <v>62</v>
      </c>
      <c r="G130" s="68" t="s">
        <v>62</v>
      </c>
      <c r="H130" s="68" t="s">
        <v>62</v>
      </c>
      <c r="I130" s="68" t="s">
        <v>62</v>
      </c>
      <c r="J130" s="68" t="s">
        <v>62</v>
      </c>
      <c r="K130" s="68" t="s">
        <v>62</v>
      </c>
      <c r="L130" s="68" t="s">
        <v>62</v>
      </c>
      <c r="M130" s="68" t="s">
        <v>62</v>
      </c>
      <c r="N130" s="68" t="s">
        <v>62</v>
      </c>
      <c r="O130" s="68" t="s">
        <v>62</v>
      </c>
      <c r="P130" s="68" t="s">
        <v>62</v>
      </c>
      <c r="Q130" s="68" t="s">
        <v>62</v>
      </c>
      <c r="R130" s="68" t="s">
        <v>62</v>
      </c>
      <c r="S130" s="68" t="s">
        <v>62</v>
      </c>
      <c r="T130" s="68" t="s">
        <v>62</v>
      </c>
      <c r="U130" s="68" t="s">
        <v>62</v>
      </c>
      <c r="V130" s="68" t="s">
        <v>62</v>
      </c>
      <c r="W130" s="68" t="s">
        <v>62</v>
      </c>
      <c r="X130" s="68" t="s">
        <v>62</v>
      </c>
      <c r="Y130" s="68" t="s">
        <v>62</v>
      </c>
      <c r="Z130" s="68" t="s">
        <v>62</v>
      </c>
      <c r="AA130" s="68" t="s">
        <v>62</v>
      </c>
      <c r="AB130" s="68" t="s">
        <v>62</v>
      </c>
      <c r="AC130" s="68" t="s">
        <v>62</v>
      </c>
      <c r="AD130" s="68" t="s">
        <v>62</v>
      </c>
      <c r="AE130" s="98" t="s">
        <v>62</v>
      </c>
      <c r="AF130" s="176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2016:</v>
      </c>
      <c r="D132" s="5" t="str">
        <f>LEFT(TEXT(D133&amp;"-"&amp;$C$133&amp;"-"&amp;CurYear,"ddd"),2)</f>
        <v>Tu</v>
      </c>
      <c r="E132" s="5" t="str">
        <f t="shared" ref="E132:AH132" si="8">LEFT(TEXT(E133&amp;"-"&amp;$C$133&amp;"-"&amp;CurYear,"ddd"),2)</f>
        <v>We</v>
      </c>
      <c r="F132" s="5" t="str">
        <f t="shared" si="8"/>
        <v>Th</v>
      </c>
      <c r="G132" s="5" t="str">
        <f t="shared" si="8"/>
        <v>Fr</v>
      </c>
      <c r="H132" s="5" t="str">
        <f t="shared" si="8"/>
        <v>Sa</v>
      </c>
      <c r="I132" s="5" t="str">
        <f t="shared" si="8"/>
        <v>Su</v>
      </c>
      <c r="J132" s="5" t="str">
        <f t="shared" si="8"/>
        <v>Mo</v>
      </c>
      <c r="K132" s="5" t="str">
        <f t="shared" si="8"/>
        <v>Tu</v>
      </c>
      <c r="L132" s="5" t="str">
        <f t="shared" si="8"/>
        <v>We</v>
      </c>
      <c r="M132" s="5" t="str">
        <f t="shared" si="8"/>
        <v>Th</v>
      </c>
      <c r="N132" s="5" t="str">
        <f t="shared" si="8"/>
        <v>Fr</v>
      </c>
      <c r="O132" s="5" t="str">
        <f t="shared" si="8"/>
        <v>Sa</v>
      </c>
      <c r="P132" s="5" t="str">
        <f t="shared" si="8"/>
        <v>Su</v>
      </c>
      <c r="Q132" s="5" t="str">
        <f t="shared" si="8"/>
        <v>Mo</v>
      </c>
      <c r="R132" s="5" t="str">
        <f t="shared" si="8"/>
        <v>Tu</v>
      </c>
      <c r="S132" s="5" t="str">
        <f t="shared" si="8"/>
        <v>We</v>
      </c>
      <c r="T132" s="5" t="str">
        <f t="shared" si="8"/>
        <v>Th</v>
      </c>
      <c r="U132" s="5" t="str">
        <f t="shared" si="8"/>
        <v>Fr</v>
      </c>
      <c r="V132" s="5" t="str">
        <f t="shared" si="8"/>
        <v>Sa</v>
      </c>
      <c r="W132" s="5" t="str">
        <f t="shared" si="8"/>
        <v>Su</v>
      </c>
      <c r="X132" s="5" t="str">
        <f t="shared" si="8"/>
        <v>Mo</v>
      </c>
      <c r="Y132" s="5" t="str">
        <f t="shared" si="8"/>
        <v>Tu</v>
      </c>
      <c r="Z132" s="5" t="str">
        <f t="shared" si="8"/>
        <v>We</v>
      </c>
      <c r="AA132" s="5" t="str">
        <f t="shared" si="8"/>
        <v>Th</v>
      </c>
      <c r="AB132" s="5" t="str">
        <f t="shared" si="8"/>
        <v>Fr</v>
      </c>
      <c r="AC132" s="5" t="str">
        <f t="shared" si="8"/>
        <v>Sa</v>
      </c>
      <c r="AD132" s="5" t="str">
        <f t="shared" si="8"/>
        <v>Su</v>
      </c>
      <c r="AE132" s="5" t="str">
        <f t="shared" si="8"/>
        <v>Mo</v>
      </c>
      <c r="AF132" s="5" t="str">
        <f t="shared" si="8"/>
        <v>Tu</v>
      </c>
      <c r="AG132" s="5" t="str">
        <f t="shared" si="8"/>
        <v>We</v>
      </c>
      <c r="AH132" s="5" t="str">
        <f t="shared" si="8"/>
        <v>Th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62</v>
      </c>
      <c r="E134" s="4" t="s">
        <v>62</v>
      </c>
      <c r="F134" s="82" t="s">
        <v>62</v>
      </c>
      <c r="G134" s="4" t="s">
        <v>62</v>
      </c>
      <c r="H134" s="4" t="s">
        <v>62</v>
      </c>
      <c r="I134" s="4" t="s">
        <v>62</v>
      </c>
      <c r="J134" s="4" t="s">
        <v>62</v>
      </c>
      <c r="K134" s="4" t="s">
        <v>62</v>
      </c>
      <c r="L134" s="4" t="s">
        <v>62</v>
      </c>
      <c r="M134" s="4" t="s">
        <v>62</v>
      </c>
      <c r="N134" s="4" t="s">
        <v>62</v>
      </c>
      <c r="O134" s="4" t="s">
        <v>62</v>
      </c>
      <c r="P134" s="4" t="s">
        <v>62</v>
      </c>
      <c r="Q134" s="4" t="s">
        <v>62</v>
      </c>
      <c r="R134" s="4" t="s">
        <v>62</v>
      </c>
      <c r="S134" s="4" t="s">
        <v>62</v>
      </c>
      <c r="T134" s="4" t="s">
        <v>62</v>
      </c>
      <c r="U134" s="4" t="s">
        <v>62</v>
      </c>
      <c r="V134" s="4" t="s">
        <v>62</v>
      </c>
      <c r="W134" s="4" t="s">
        <v>62</v>
      </c>
      <c r="X134" s="4" t="s">
        <v>62</v>
      </c>
      <c r="Y134" s="4" t="s">
        <v>62</v>
      </c>
      <c r="Z134" s="4" t="s">
        <v>62</v>
      </c>
      <c r="AA134" s="4" t="s">
        <v>62</v>
      </c>
      <c r="AB134" s="4" t="s">
        <v>62</v>
      </c>
      <c r="AC134" s="4" t="s">
        <v>62</v>
      </c>
      <c r="AD134" s="4" t="s">
        <v>62</v>
      </c>
      <c r="AE134" s="4" t="s">
        <v>62</v>
      </c>
      <c r="AF134" s="4" t="s">
        <v>62</v>
      </c>
      <c r="AG134" s="4" t="s">
        <v>62</v>
      </c>
      <c r="AH134" s="4" t="s">
        <v>62</v>
      </c>
    </row>
    <row r="135" spans="2:34">
      <c r="B135" s="83">
        <v>2</v>
      </c>
      <c r="C135" s="90" t="str">
        <f>LEFT(EmpGName02)&amp;" " &amp;EmpSName02</f>
        <v>K Stone</v>
      </c>
      <c r="D135" s="3" t="s">
        <v>62</v>
      </c>
      <c r="E135" s="3" t="s">
        <v>62</v>
      </c>
      <c r="F135" s="3" t="s">
        <v>62</v>
      </c>
      <c r="G135" s="3" t="s">
        <v>62</v>
      </c>
      <c r="H135" s="3" t="s">
        <v>62</v>
      </c>
      <c r="I135" s="3" t="s">
        <v>62</v>
      </c>
      <c r="J135" s="3" t="s">
        <v>62</v>
      </c>
      <c r="K135" s="3" t="s">
        <v>62</v>
      </c>
      <c r="L135" s="3" t="s">
        <v>62</v>
      </c>
      <c r="M135" s="3" t="s">
        <v>62</v>
      </c>
      <c r="N135" s="3" t="s">
        <v>62</v>
      </c>
      <c r="O135" s="3" t="s">
        <v>62</v>
      </c>
      <c r="P135" s="3" t="s">
        <v>62</v>
      </c>
      <c r="Q135" s="3" t="s">
        <v>62</v>
      </c>
      <c r="R135" s="3" t="s">
        <v>62</v>
      </c>
      <c r="S135" s="3" t="s">
        <v>62</v>
      </c>
      <c r="T135" s="3" t="s">
        <v>62</v>
      </c>
      <c r="U135" s="3" t="s">
        <v>62</v>
      </c>
      <c r="V135" s="3" t="s">
        <v>62</v>
      </c>
      <c r="W135" s="3" t="s">
        <v>62</v>
      </c>
      <c r="X135" s="3" t="s">
        <v>62</v>
      </c>
      <c r="Y135" s="3" t="s">
        <v>62</v>
      </c>
      <c r="Z135" s="3" t="s">
        <v>62</v>
      </c>
      <c r="AA135" s="3" t="s">
        <v>62</v>
      </c>
      <c r="AB135" s="3" t="s">
        <v>62</v>
      </c>
      <c r="AC135" s="3" t="s">
        <v>62</v>
      </c>
      <c r="AD135" s="3" t="s">
        <v>62</v>
      </c>
      <c r="AE135" s="3" t="s">
        <v>62</v>
      </c>
      <c r="AF135" s="3" t="s">
        <v>62</v>
      </c>
      <c r="AG135" s="3" t="s">
        <v>62</v>
      </c>
      <c r="AH135" s="3" t="s">
        <v>62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62</v>
      </c>
      <c r="E136" s="4" t="s">
        <v>62</v>
      </c>
      <c r="F136" s="4" t="s">
        <v>62</v>
      </c>
      <c r="G136" s="4" t="s">
        <v>62</v>
      </c>
      <c r="H136" s="4" t="s">
        <v>62</v>
      </c>
      <c r="I136" s="4" t="s">
        <v>62</v>
      </c>
      <c r="J136" s="4" t="s">
        <v>62</v>
      </c>
      <c r="K136" s="4" t="s">
        <v>62</v>
      </c>
      <c r="L136" s="4" t="s">
        <v>62</v>
      </c>
      <c r="M136" s="4" t="s">
        <v>62</v>
      </c>
      <c r="N136" s="4" t="s">
        <v>62</v>
      </c>
      <c r="O136" s="4" t="s">
        <v>62</v>
      </c>
      <c r="P136" s="4" t="s">
        <v>62</v>
      </c>
      <c r="Q136" s="4" t="s">
        <v>62</v>
      </c>
      <c r="R136" s="4" t="s">
        <v>62</v>
      </c>
      <c r="S136" s="4" t="s">
        <v>62</v>
      </c>
      <c r="T136" s="4" t="s">
        <v>62</v>
      </c>
      <c r="U136" s="4" t="s">
        <v>62</v>
      </c>
      <c r="V136" s="4" t="s">
        <v>62</v>
      </c>
      <c r="W136" s="4" t="s">
        <v>62</v>
      </c>
      <c r="X136" s="4" t="s">
        <v>62</v>
      </c>
      <c r="Y136" s="4" t="s">
        <v>62</v>
      </c>
      <c r="Z136" s="4" t="s">
        <v>62</v>
      </c>
      <c r="AA136" s="4" t="s">
        <v>62</v>
      </c>
      <c r="AB136" s="4" t="s">
        <v>62</v>
      </c>
      <c r="AC136" s="4" t="s">
        <v>62</v>
      </c>
      <c r="AD136" s="4" t="s">
        <v>62</v>
      </c>
      <c r="AE136" s="4" t="s">
        <v>62</v>
      </c>
      <c r="AF136" s="4" t="s">
        <v>62</v>
      </c>
      <c r="AG136" s="4" t="s">
        <v>62</v>
      </c>
      <c r="AH136" s="4" t="s">
        <v>62</v>
      </c>
    </row>
    <row r="137" spans="2:34">
      <c r="B137" s="83">
        <v>4</v>
      </c>
      <c r="C137" s="90" t="str">
        <f>LEFT(EmpGName04)&amp;" " &amp;EmpSName04</f>
        <v>L King</v>
      </c>
      <c r="D137" s="3" t="s">
        <v>62</v>
      </c>
      <c r="E137" s="3" t="s">
        <v>62</v>
      </c>
      <c r="F137" s="3" t="s">
        <v>62</v>
      </c>
      <c r="G137" s="3" t="s">
        <v>62</v>
      </c>
      <c r="H137" s="3" t="s">
        <v>62</v>
      </c>
      <c r="I137" s="3" t="s">
        <v>62</v>
      </c>
      <c r="J137" s="3" t="s">
        <v>62</v>
      </c>
      <c r="K137" s="3" t="s">
        <v>62</v>
      </c>
      <c r="L137" s="3" t="s">
        <v>62</v>
      </c>
      <c r="M137" s="3" t="s">
        <v>62</v>
      </c>
      <c r="N137" s="3" t="s">
        <v>62</v>
      </c>
      <c r="O137" s="3" t="s">
        <v>62</v>
      </c>
      <c r="P137" s="3" t="s">
        <v>62</v>
      </c>
      <c r="Q137" s="3" t="s">
        <v>62</v>
      </c>
      <c r="R137" s="3" t="s">
        <v>62</v>
      </c>
      <c r="S137" s="3" t="s">
        <v>62</v>
      </c>
      <c r="T137" s="3" t="s">
        <v>62</v>
      </c>
      <c r="U137" s="3" t="s">
        <v>62</v>
      </c>
      <c r="V137" s="3" t="s">
        <v>62</v>
      </c>
      <c r="W137" s="3" t="s">
        <v>62</v>
      </c>
      <c r="X137" s="3" t="s">
        <v>62</v>
      </c>
      <c r="Y137" s="3" t="s">
        <v>62</v>
      </c>
      <c r="Z137" s="3" t="s">
        <v>62</v>
      </c>
      <c r="AA137" s="3" t="s">
        <v>62</v>
      </c>
      <c r="AB137" s="3" t="s">
        <v>62</v>
      </c>
      <c r="AC137" s="3" t="s">
        <v>62</v>
      </c>
      <c r="AD137" s="3" t="s">
        <v>62</v>
      </c>
      <c r="AE137" s="3" t="s">
        <v>62</v>
      </c>
      <c r="AF137" s="3" t="s">
        <v>62</v>
      </c>
      <c r="AG137" s="3" t="s">
        <v>62</v>
      </c>
      <c r="AH137" s="3" t="s">
        <v>62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  <c r="AH138" s="4" t="s">
        <v>62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  <c r="AH139" s="3" t="s">
        <v>62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  <c r="AH140" s="4" t="s">
        <v>62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  <c r="AH141" s="3" t="s">
        <v>62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  <c r="AH142" s="4" t="s">
        <v>62</v>
      </c>
    </row>
    <row r="143" spans="2:34" hidden="1">
      <c r="B143" s="150">
        <v>10</v>
      </c>
      <c r="C143" s="91" t="str">
        <f>LEFT(EmpGName10)&amp;" " &amp;EmpSName10</f>
        <v xml:space="preserve"> </v>
      </c>
      <c r="D143" s="68" t="s">
        <v>62</v>
      </c>
      <c r="E143" s="68" t="s">
        <v>62</v>
      </c>
      <c r="F143" s="68" t="s">
        <v>62</v>
      </c>
      <c r="G143" s="68" t="s">
        <v>62</v>
      </c>
      <c r="H143" s="68" t="s">
        <v>62</v>
      </c>
      <c r="I143" s="68" t="s">
        <v>62</v>
      </c>
      <c r="J143" s="68" t="s">
        <v>62</v>
      </c>
      <c r="K143" s="68" t="s">
        <v>62</v>
      </c>
      <c r="L143" s="68" t="s">
        <v>62</v>
      </c>
      <c r="M143" s="68" t="s">
        <v>62</v>
      </c>
      <c r="N143" s="68" t="s">
        <v>62</v>
      </c>
      <c r="O143" s="68" t="s">
        <v>62</v>
      </c>
      <c r="P143" s="68" t="s">
        <v>62</v>
      </c>
      <c r="Q143" s="68" t="s">
        <v>62</v>
      </c>
      <c r="R143" s="68" t="s">
        <v>62</v>
      </c>
      <c r="S143" s="68" t="s">
        <v>62</v>
      </c>
      <c r="T143" s="68" t="s">
        <v>62</v>
      </c>
      <c r="U143" s="68" t="s">
        <v>62</v>
      </c>
      <c r="V143" s="68" t="s">
        <v>62</v>
      </c>
      <c r="W143" s="68" t="s">
        <v>62</v>
      </c>
      <c r="X143" s="68" t="s">
        <v>62</v>
      </c>
      <c r="Y143" s="68" t="s">
        <v>62</v>
      </c>
      <c r="Z143" s="68" t="s">
        <v>62</v>
      </c>
      <c r="AA143" s="68" t="s">
        <v>62</v>
      </c>
      <c r="AB143" s="68" t="s">
        <v>62</v>
      </c>
      <c r="AC143" s="68" t="s">
        <v>62</v>
      </c>
      <c r="AD143" s="68" t="s">
        <v>62</v>
      </c>
      <c r="AE143" s="68" t="s">
        <v>62</v>
      </c>
      <c r="AF143" s="68" t="s">
        <v>62</v>
      </c>
      <c r="AG143" s="68" t="s">
        <v>62</v>
      </c>
      <c r="AH143" s="68" t="s">
        <v>62</v>
      </c>
    </row>
    <row r="144" spans="2:34" hidden="1">
      <c r="B144" s="150">
        <v>11</v>
      </c>
      <c r="C144" s="89" t="str">
        <f>LEFT(EmpGName11)&amp;" " &amp;EmpSName11</f>
        <v xml:space="preserve"> 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  <c r="AH144" s="4" t="s">
        <v>62</v>
      </c>
    </row>
    <row r="145" spans="2:34" hidden="1">
      <c r="B145" s="150">
        <v>12</v>
      </c>
      <c r="C145" s="91" t="str">
        <f>LEFT(EmpGName12)&amp;" " &amp;EmpSName12</f>
        <v xml:space="preserve"> </v>
      </c>
      <c r="D145" s="68" t="s">
        <v>62</v>
      </c>
      <c r="E145" s="68" t="s">
        <v>62</v>
      </c>
      <c r="F145" s="68" t="s">
        <v>62</v>
      </c>
      <c r="G145" s="68" t="s">
        <v>62</v>
      </c>
      <c r="H145" s="68" t="s">
        <v>62</v>
      </c>
      <c r="I145" s="68" t="s">
        <v>62</v>
      </c>
      <c r="J145" s="68" t="s">
        <v>62</v>
      </c>
      <c r="K145" s="68" t="s">
        <v>62</v>
      </c>
      <c r="L145" s="68" t="s">
        <v>62</v>
      </c>
      <c r="M145" s="68" t="s">
        <v>62</v>
      </c>
      <c r="N145" s="68" t="s">
        <v>62</v>
      </c>
      <c r="O145" s="68" t="s">
        <v>62</v>
      </c>
      <c r="P145" s="68" t="s">
        <v>62</v>
      </c>
      <c r="Q145" s="68" t="s">
        <v>62</v>
      </c>
      <c r="R145" s="68" t="s">
        <v>62</v>
      </c>
      <c r="S145" s="68" t="s">
        <v>62</v>
      </c>
      <c r="T145" s="68" t="s">
        <v>62</v>
      </c>
      <c r="U145" s="68" t="s">
        <v>62</v>
      </c>
      <c r="V145" s="68" t="s">
        <v>62</v>
      </c>
      <c r="W145" s="68" t="s">
        <v>62</v>
      </c>
      <c r="X145" s="68" t="s">
        <v>62</v>
      </c>
      <c r="Y145" s="68" t="s">
        <v>62</v>
      </c>
      <c r="Z145" s="68" t="s">
        <v>62</v>
      </c>
      <c r="AA145" s="68" t="s">
        <v>62</v>
      </c>
      <c r="AB145" s="68" t="s">
        <v>62</v>
      </c>
      <c r="AC145" s="68" t="s">
        <v>62</v>
      </c>
      <c r="AD145" s="68" t="s">
        <v>62</v>
      </c>
      <c r="AE145" s="68" t="s">
        <v>62</v>
      </c>
      <c r="AF145" s="68" t="s">
        <v>62</v>
      </c>
      <c r="AG145" s="68" t="s">
        <v>62</v>
      </c>
      <c r="AH145" s="68" t="s">
        <v>62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2016:</v>
      </c>
      <c r="D147" s="5" t="str">
        <f>LEFT(TEXT(D148&amp;"-"&amp;$C148&amp;"-"&amp;$B$4,"ddd"),2)</f>
        <v>Fr</v>
      </c>
      <c r="E147" s="5" t="str">
        <f t="shared" ref="E147:AG147" si="9">LEFT(TEXT(E148&amp;"-"&amp;$C148&amp;"-"&amp;$B$4,"ddd"),2)</f>
        <v>Sa</v>
      </c>
      <c r="F147" s="5" t="str">
        <f t="shared" si="9"/>
        <v>Su</v>
      </c>
      <c r="G147" s="5" t="str">
        <f t="shared" si="9"/>
        <v>Mo</v>
      </c>
      <c r="H147" s="5" t="str">
        <f t="shared" si="9"/>
        <v>Tu</v>
      </c>
      <c r="I147" s="5" t="str">
        <f t="shared" si="9"/>
        <v>We</v>
      </c>
      <c r="J147" s="5" t="str">
        <f t="shared" si="9"/>
        <v>Th</v>
      </c>
      <c r="K147" s="5" t="str">
        <f t="shared" si="9"/>
        <v>Fr</v>
      </c>
      <c r="L147" s="5" t="str">
        <f t="shared" si="9"/>
        <v>Sa</v>
      </c>
      <c r="M147" s="5" t="str">
        <f t="shared" si="9"/>
        <v>Su</v>
      </c>
      <c r="N147" s="5" t="str">
        <f t="shared" si="9"/>
        <v>Mo</v>
      </c>
      <c r="O147" s="5" t="str">
        <f t="shared" si="9"/>
        <v>Tu</v>
      </c>
      <c r="P147" s="5" t="str">
        <f t="shared" si="9"/>
        <v>We</v>
      </c>
      <c r="Q147" s="5" t="str">
        <f t="shared" si="9"/>
        <v>Th</v>
      </c>
      <c r="R147" s="5" t="str">
        <f t="shared" si="9"/>
        <v>Fr</v>
      </c>
      <c r="S147" s="5" t="str">
        <f t="shared" si="9"/>
        <v>Sa</v>
      </c>
      <c r="T147" s="5" t="str">
        <f t="shared" si="9"/>
        <v>Su</v>
      </c>
      <c r="U147" s="5" t="str">
        <f t="shared" si="9"/>
        <v>Mo</v>
      </c>
      <c r="V147" s="5" t="str">
        <f t="shared" si="9"/>
        <v>Tu</v>
      </c>
      <c r="W147" s="5" t="str">
        <f t="shared" si="9"/>
        <v>We</v>
      </c>
      <c r="X147" s="5" t="str">
        <f t="shared" si="9"/>
        <v>Th</v>
      </c>
      <c r="Y147" s="5" t="str">
        <f t="shared" si="9"/>
        <v>Fr</v>
      </c>
      <c r="Z147" s="5" t="str">
        <f t="shared" si="9"/>
        <v>Sa</v>
      </c>
      <c r="AA147" s="5" t="str">
        <f t="shared" si="9"/>
        <v>Su</v>
      </c>
      <c r="AB147" s="5" t="str">
        <f t="shared" si="9"/>
        <v>Mo</v>
      </c>
      <c r="AC147" s="5" t="str">
        <f t="shared" si="9"/>
        <v>Tu</v>
      </c>
      <c r="AD147" s="5" t="str">
        <f t="shared" si="9"/>
        <v>We</v>
      </c>
      <c r="AE147" s="5" t="str">
        <f t="shared" si="9"/>
        <v>Th</v>
      </c>
      <c r="AF147" s="5" t="str">
        <f t="shared" si="9"/>
        <v>Fr</v>
      </c>
      <c r="AG147" s="5" t="str">
        <f t="shared" si="9"/>
        <v>Sa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62</v>
      </c>
      <c r="E149" s="4" t="s">
        <v>62</v>
      </c>
      <c r="F149" s="4" t="s">
        <v>62</v>
      </c>
      <c r="G149" s="4" t="s">
        <v>62</v>
      </c>
      <c r="H149" s="4" t="s">
        <v>62</v>
      </c>
      <c r="I149" s="4" t="s">
        <v>62</v>
      </c>
      <c r="J149" s="4" t="s">
        <v>62</v>
      </c>
      <c r="K149" s="4" t="s">
        <v>62</v>
      </c>
      <c r="L149" s="4" t="s">
        <v>62</v>
      </c>
      <c r="M149" s="4" t="s">
        <v>62</v>
      </c>
      <c r="N149" s="4" t="s">
        <v>62</v>
      </c>
      <c r="O149" s="4" t="s">
        <v>62</v>
      </c>
      <c r="P149" s="4" t="s">
        <v>62</v>
      </c>
      <c r="Q149" s="4" t="s">
        <v>62</v>
      </c>
      <c r="R149" s="4" t="s">
        <v>62</v>
      </c>
      <c r="S149" s="4" t="s">
        <v>62</v>
      </c>
      <c r="T149" s="4" t="s">
        <v>62</v>
      </c>
      <c r="U149" s="4" t="s">
        <v>62</v>
      </c>
      <c r="V149" s="4" t="s">
        <v>62</v>
      </c>
      <c r="W149" s="4" t="s">
        <v>62</v>
      </c>
      <c r="X149" s="4" t="s">
        <v>62</v>
      </c>
      <c r="Y149" s="4" t="s">
        <v>62</v>
      </c>
      <c r="Z149" s="4" t="s">
        <v>62</v>
      </c>
      <c r="AA149" s="4" t="s">
        <v>62</v>
      </c>
      <c r="AB149" s="4" t="s">
        <v>62</v>
      </c>
      <c r="AC149" s="4" t="s">
        <v>62</v>
      </c>
      <c r="AD149" s="4" t="s">
        <v>62</v>
      </c>
      <c r="AE149" s="4" t="s">
        <v>62</v>
      </c>
      <c r="AF149" s="4" t="s">
        <v>62</v>
      </c>
      <c r="AG149" s="4" t="s">
        <v>62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62</v>
      </c>
      <c r="E150" s="3" t="s">
        <v>62</v>
      </c>
      <c r="F150" s="3" t="s">
        <v>62</v>
      </c>
      <c r="G150" s="3" t="s">
        <v>62</v>
      </c>
      <c r="H150" s="3" t="s">
        <v>62</v>
      </c>
      <c r="I150" s="3" t="s">
        <v>62</v>
      </c>
      <c r="J150" s="3" t="s">
        <v>62</v>
      </c>
      <c r="K150" s="3" t="s">
        <v>62</v>
      </c>
      <c r="L150" s="3" t="s">
        <v>62</v>
      </c>
      <c r="M150" s="3" t="s">
        <v>62</v>
      </c>
      <c r="N150" s="3" t="s">
        <v>62</v>
      </c>
      <c r="O150" s="3" t="s">
        <v>62</v>
      </c>
      <c r="P150" s="3" t="s">
        <v>62</v>
      </c>
      <c r="Q150" s="3" t="s">
        <v>62</v>
      </c>
      <c r="R150" s="3" t="s">
        <v>62</v>
      </c>
      <c r="S150" s="3" t="s">
        <v>62</v>
      </c>
      <c r="T150" s="3" t="s">
        <v>62</v>
      </c>
      <c r="U150" s="3" t="s">
        <v>62</v>
      </c>
      <c r="V150" s="3" t="s">
        <v>62</v>
      </c>
      <c r="W150" s="3" t="s">
        <v>62</v>
      </c>
      <c r="X150" s="3" t="s">
        <v>62</v>
      </c>
      <c r="Y150" s="3" t="s">
        <v>62</v>
      </c>
      <c r="Z150" s="3" t="s">
        <v>62</v>
      </c>
      <c r="AA150" s="3" t="s">
        <v>62</v>
      </c>
      <c r="AB150" s="3" t="s">
        <v>62</v>
      </c>
      <c r="AC150" s="3" t="s">
        <v>62</v>
      </c>
      <c r="AD150" s="3" t="s">
        <v>62</v>
      </c>
      <c r="AE150" s="3" t="s">
        <v>62</v>
      </c>
      <c r="AF150" s="3" t="s">
        <v>62</v>
      </c>
      <c r="AG150" s="3" t="s">
        <v>62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62</v>
      </c>
      <c r="E151" s="4" t="s">
        <v>62</v>
      </c>
      <c r="F151" s="4" t="s">
        <v>62</v>
      </c>
      <c r="G151" s="4" t="s">
        <v>62</v>
      </c>
      <c r="H151" s="4" t="s">
        <v>62</v>
      </c>
      <c r="I151" s="4" t="s">
        <v>62</v>
      </c>
      <c r="J151" s="4" t="s">
        <v>62</v>
      </c>
      <c r="K151" s="4" t="s">
        <v>62</v>
      </c>
      <c r="L151" s="4" t="s">
        <v>62</v>
      </c>
      <c r="M151" s="4" t="s">
        <v>62</v>
      </c>
      <c r="N151" s="4" t="s">
        <v>62</v>
      </c>
      <c r="O151" s="4" t="s">
        <v>62</v>
      </c>
      <c r="P151" s="4" t="s">
        <v>62</v>
      </c>
      <c r="Q151" s="4" t="s">
        <v>62</v>
      </c>
      <c r="R151" s="4" t="s">
        <v>62</v>
      </c>
      <c r="S151" s="4" t="s">
        <v>62</v>
      </c>
      <c r="T151" s="4" t="s">
        <v>62</v>
      </c>
      <c r="U151" s="4" t="s">
        <v>62</v>
      </c>
      <c r="V151" s="4" t="s">
        <v>62</v>
      </c>
      <c r="W151" s="4" t="s">
        <v>62</v>
      </c>
      <c r="X151" s="4" t="s">
        <v>62</v>
      </c>
      <c r="Y151" s="4" t="s">
        <v>62</v>
      </c>
      <c r="Z151" s="4" t="s">
        <v>62</v>
      </c>
      <c r="AA151" s="4" t="s">
        <v>62</v>
      </c>
      <c r="AB151" s="4" t="s">
        <v>62</v>
      </c>
      <c r="AC151" s="4" t="s">
        <v>62</v>
      </c>
      <c r="AD151" s="4" t="s">
        <v>62</v>
      </c>
      <c r="AE151" s="4" t="s">
        <v>62</v>
      </c>
      <c r="AF151" s="4" t="s">
        <v>62</v>
      </c>
      <c r="AG151" s="4" t="s">
        <v>62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62</v>
      </c>
      <c r="E152" s="3" t="s">
        <v>62</v>
      </c>
      <c r="F152" s="3" t="s">
        <v>62</v>
      </c>
      <c r="G152" s="3" t="s">
        <v>62</v>
      </c>
      <c r="H152" s="3" t="s">
        <v>62</v>
      </c>
      <c r="I152" s="3" t="s">
        <v>62</v>
      </c>
      <c r="J152" s="3" t="s">
        <v>62</v>
      </c>
      <c r="K152" s="3" t="s">
        <v>62</v>
      </c>
      <c r="L152" s="3" t="s">
        <v>62</v>
      </c>
      <c r="M152" s="3" t="s">
        <v>62</v>
      </c>
      <c r="N152" s="3" t="s">
        <v>62</v>
      </c>
      <c r="O152" s="3" t="s">
        <v>62</v>
      </c>
      <c r="P152" s="3" t="s">
        <v>62</v>
      </c>
      <c r="Q152" s="3" t="s">
        <v>62</v>
      </c>
      <c r="R152" s="3" t="s">
        <v>62</v>
      </c>
      <c r="S152" s="3" t="s">
        <v>62</v>
      </c>
      <c r="T152" s="3" t="s">
        <v>62</v>
      </c>
      <c r="U152" s="3" t="s">
        <v>62</v>
      </c>
      <c r="V152" s="3" t="s">
        <v>62</v>
      </c>
      <c r="W152" s="3" t="s">
        <v>62</v>
      </c>
      <c r="X152" s="3" t="s">
        <v>62</v>
      </c>
      <c r="Y152" s="3" t="s">
        <v>62</v>
      </c>
      <c r="Z152" s="3" t="s">
        <v>62</v>
      </c>
      <c r="AA152" s="3" t="s">
        <v>62</v>
      </c>
      <c r="AB152" s="3" t="s">
        <v>62</v>
      </c>
      <c r="AC152" s="3" t="s">
        <v>62</v>
      </c>
      <c r="AD152" s="3" t="s">
        <v>62</v>
      </c>
      <c r="AE152" s="3" t="s">
        <v>62</v>
      </c>
      <c r="AF152" s="3" t="s">
        <v>62</v>
      </c>
      <c r="AG152" s="3" t="s">
        <v>62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62</v>
      </c>
      <c r="E153" s="4" t="s">
        <v>62</v>
      </c>
      <c r="F153" s="4" t="s">
        <v>62</v>
      </c>
      <c r="G153" s="4" t="s">
        <v>62</v>
      </c>
      <c r="H153" s="4" t="s">
        <v>62</v>
      </c>
      <c r="I153" s="4" t="s">
        <v>62</v>
      </c>
      <c r="J153" s="4" t="s">
        <v>62</v>
      </c>
      <c r="K153" s="4" t="s">
        <v>62</v>
      </c>
      <c r="L153" s="4" t="s">
        <v>62</v>
      </c>
      <c r="M153" s="4" t="s">
        <v>62</v>
      </c>
      <c r="N153" s="4" t="s">
        <v>62</v>
      </c>
      <c r="O153" s="4" t="s">
        <v>62</v>
      </c>
      <c r="P153" s="4" t="s">
        <v>62</v>
      </c>
      <c r="Q153" s="4" t="s">
        <v>62</v>
      </c>
      <c r="R153" s="4" t="s">
        <v>62</v>
      </c>
      <c r="S153" s="4" t="s">
        <v>62</v>
      </c>
      <c r="T153" s="4" t="s">
        <v>62</v>
      </c>
      <c r="U153" s="4" t="s">
        <v>62</v>
      </c>
      <c r="V153" s="4" t="s">
        <v>62</v>
      </c>
      <c r="W153" s="4" t="s">
        <v>62</v>
      </c>
      <c r="X153" s="4" t="s">
        <v>62</v>
      </c>
      <c r="Y153" s="4" t="s">
        <v>62</v>
      </c>
      <c r="Z153" s="4" t="s">
        <v>62</v>
      </c>
      <c r="AA153" s="4" t="s">
        <v>62</v>
      </c>
      <c r="AB153" s="4" t="s">
        <v>62</v>
      </c>
      <c r="AC153" s="4" t="s">
        <v>62</v>
      </c>
      <c r="AD153" s="4" t="s">
        <v>62</v>
      </c>
      <c r="AE153" s="4" t="s">
        <v>62</v>
      </c>
      <c r="AF153" s="4" t="s">
        <v>62</v>
      </c>
      <c r="AG153" s="4" t="s">
        <v>62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62</v>
      </c>
      <c r="E154" s="3" t="s">
        <v>62</v>
      </c>
      <c r="F154" s="3" t="s">
        <v>62</v>
      </c>
      <c r="G154" s="3" t="s">
        <v>62</v>
      </c>
      <c r="H154" s="3" t="s">
        <v>62</v>
      </c>
      <c r="I154" s="3" t="s">
        <v>62</v>
      </c>
      <c r="J154" s="3" t="s">
        <v>62</v>
      </c>
      <c r="K154" s="3" t="s">
        <v>62</v>
      </c>
      <c r="L154" s="3" t="s">
        <v>62</v>
      </c>
      <c r="M154" s="3" t="s">
        <v>62</v>
      </c>
      <c r="N154" s="3" t="s">
        <v>62</v>
      </c>
      <c r="O154" s="3" t="s">
        <v>62</v>
      </c>
      <c r="P154" s="3" t="s">
        <v>62</v>
      </c>
      <c r="Q154" s="3" t="s">
        <v>62</v>
      </c>
      <c r="R154" s="3" t="s">
        <v>62</v>
      </c>
      <c r="S154" s="3" t="s">
        <v>62</v>
      </c>
      <c r="T154" s="3" t="s">
        <v>62</v>
      </c>
      <c r="U154" s="3" t="s">
        <v>62</v>
      </c>
      <c r="V154" s="3" t="s">
        <v>62</v>
      </c>
      <c r="W154" s="3" t="s">
        <v>62</v>
      </c>
      <c r="X154" s="3" t="s">
        <v>62</v>
      </c>
      <c r="Y154" s="3" t="s">
        <v>62</v>
      </c>
      <c r="Z154" s="3" t="s">
        <v>62</v>
      </c>
      <c r="AA154" s="3" t="s">
        <v>62</v>
      </c>
      <c r="AB154" s="3" t="s">
        <v>62</v>
      </c>
      <c r="AC154" s="3" t="s">
        <v>62</v>
      </c>
      <c r="AD154" s="3" t="s">
        <v>62</v>
      </c>
      <c r="AE154" s="3" t="s">
        <v>62</v>
      </c>
      <c r="AF154" s="3" t="s">
        <v>62</v>
      </c>
      <c r="AG154" s="3" t="s">
        <v>62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62</v>
      </c>
      <c r="E155" s="4" t="s">
        <v>62</v>
      </c>
      <c r="F155" s="4" t="s">
        <v>62</v>
      </c>
      <c r="G155" s="4" t="s">
        <v>62</v>
      </c>
      <c r="H155" s="4" t="s">
        <v>62</v>
      </c>
      <c r="I155" s="4" t="s">
        <v>62</v>
      </c>
      <c r="J155" s="4" t="s">
        <v>62</v>
      </c>
      <c r="K155" s="4" t="s">
        <v>62</v>
      </c>
      <c r="L155" s="4" t="s">
        <v>62</v>
      </c>
      <c r="M155" s="4" t="s">
        <v>62</v>
      </c>
      <c r="N155" s="4" t="s">
        <v>62</v>
      </c>
      <c r="O155" s="4" t="s">
        <v>62</v>
      </c>
      <c r="P155" s="4" t="s">
        <v>62</v>
      </c>
      <c r="Q155" s="4" t="s">
        <v>62</v>
      </c>
      <c r="R155" s="4" t="s">
        <v>62</v>
      </c>
      <c r="S155" s="4" t="s">
        <v>62</v>
      </c>
      <c r="T155" s="4" t="s">
        <v>62</v>
      </c>
      <c r="U155" s="4" t="s">
        <v>62</v>
      </c>
      <c r="V155" s="4" t="s">
        <v>62</v>
      </c>
      <c r="W155" s="4" t="s">
        <v>62</v>
      </c>
      <c r="X155" s="4" t="s">
        <v>62</v>
      </c>
      <c r="Y155" s="4" t="s">
        <v>62</v>
      </c>
      <c r="Z155" s="4" t="s">
        <v>62</v>
      </c>
      <c r="AA155" s="4" t="s">
        <v>62</v>
      </c>
      <c r="AB155" s="4" t="s">
        <v>62</v>
      </c>
      <c r="AC155" s="4" t="s">
        <v>62</v>
      </c>
      <c r="AD155" s="4" t="s">
        <v>62</v>
      </c>
      <c r="AE155" s="4" t="s">
        <v>62</v>
      </c>
      <c r="AF155" s="4" t="s">
        <v>62</v>
      </c>
      <c r="AG155" s="4" t="s">
        <v>62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62</v>
      </c>
      <c r="E156" s="3" t="s">
        <v>62</v>
      </c>
      <c r="F156" s="3" t="s">
        <v>62</v>
      </c>
      <c r="G156" s="3" t="s">
        <v>62</v>
      </c>
      <c r="H156" s="3" t="s">
        <v>62</v>
      </c>
      <c r="I156" s="3" t="s">
        <v>62</v>
      </c>
      <c r="J156" s="3" t="s">
        <v>62</v>
      </c>
      <c r="K156" s="3" t="s">
        <v>62</v>
      </c>
      <c r="L156" s="3" t="s">
        <v>62</v>
      </c>
      <c r="M156" s="3" t="s">
        <v>62</v>
      </c>
      <c r="N156" s="3" t="s">
        <v>62</v>
      </c>
      <c r="O156" s="3" t="s">
        <v>62</v>
      </c>
      <c r="P156" s="3" t="s">
        <v>62</v>
      </c>
      <c r="Q156" s="3" t="s">
        <v>62</v>
      </c>
      <c r="R156" s="3" t="s">
        <v>62</v>
      </c>
      <c r="S156" s="3" t="s">
        <v>62</v>
      </c>
      <c r="T156" s="3" t="s">
        <v>62</v>
      </c>
      <c r="U156" s="3" t="s">
        <v>62</v>
      </c>
      <c r="V156" s="3" t="s">
        <v>62</v>
      </c>
      <c r="W156" s="3" t="s">
        <v>62</v>
      </c>
      <c r="X156" s="3" t="s">
        <v>62</v>
      </c>
      <c r="Y156" s="3" t="s">
        <v>62</v>
      </c>
      <c r="Z156" s="3" t="s">
        <v>62</v>
      </c>
      <c r="AA156" s="3" t="s">
        <v>62</v>
      </c>
      <c r="AB156" s="3" t="s">
        <v>62</v>
      </c>
      <c r="AC156" s="3" t="s">
        <v>62</v>
      </c>
      <c r="AD156" s="3" t="s">
        <v>62</v>
      </c>
      <c r="AE156" s="3" t="s">
        <v>62</v>
      </c>
      <c r="AF156" s="3" t="s">
        <v>62</v>
      </c>
      <c r="AG156" s="3" t="s">
        <v>62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62</v>
      </c>
      <c r="E157" s="4" t="s">
        <v>62</v>
      </c>
      <c r="F157" s="4" t="s">
        <v>62</v>
      </c>
      <c r="G157" s="4" t="s">
        <v>62</v>
      </c>
      <c r="H157" s="4" t="s">
        <v>62</v>
      </c>
      <c r="I157" s="4" t="s">
        <v>62</v>
      </c>
      <c r="J157" s="4" t="s">
        <v>62</v>
      </c>
      <c r="K157" s="4" t="s">
        <v>62</v>
      </c>
      <c r="L157" s="4" t="s">
        <v>62</v>
      </c>
      <c r="M157" s="4" t="s">
        <v>62</v>
      </c>
      <c r="N157" s="4" t="s">
        <v>62</v>
      </c>
      <c r="O157" s="4" t="s">
        <v>62</v>
      </c>
      <c r="P157" s="4" t="s">
        <v>62</v>
      </c>
      <c r="Q157" s="4" t="s">
        <v>62</v>
      </c>
      <c r="R157" s="4" t="s">
        <v>62</v>
      </c>
      <c r="S157" s="4" t="s">
        <v>62</v>
      </c>
      <c r="T157" s="4" t="s">
        <v>62</v>
      </c>
      <c r="U157" s="4" t="s">
        <v>62</v>
      </c>
      <c r="V157" s="4" t="s">
        <v>62</v>
      </c>
      <c r="W157" s="4" t="s">
        <v>62</v>
      </c>
      <c r="X157" s="4" t="s">
        <v>62</v>
      </c>
      <c r="Y157" s="4" t="s">
        <v>62</v>
      </c>
      <c r="Z157" s="4" t="s">
        <v>62</v>
      </c>
      <c r="AA157" s="4" t="s">
        <v>62</v>
      </c>
      <c r="AB157" s="4" t="s">
        <v>62</v>
      </c>
      <c r="AC157" s="4" t="s">
        <v>62</v>
      </c>
      <c r="AD157" s="4" t="s">
        <v>62</v>
      </c>
      <c r="AE157" s="4" t="s">
        <v>62</v>
      </c>
      <c r="AF157" s="4" t="s">
        <v>62</v>
      </c>
      <c r="AG157" s="4" t="s">
        <v>62</v>
      </c>
      <c r="AH157" s="8"/>
    </row>
    <row r="158" spans="2:34" hidden="1">
      <c r="B158" s="150">
        <v>10</v>
      </c>
      <c r="C158" s="90" t="str">
        <f>LEFT(EmpGName10)&amp;" " &amp;EmpSName10</f>
        <v xml:space="preserve"> </v>
      </c>
      <c r="D158" s="3" t="s">
        <v>62</v>
      </c>
      <c r="E158" s="3" t="s">
        <v>62</v>
      </c>
      <c r="F158" s="3" t="s">
        <v>62</v>
      </c>
      <c r="G158" s="3" t="s">
        <v>62</v>
      </c>
      <c r="H158" s="3" t="s">
        <v>62</v>
      </c>
      <c r="I158" s="3" t="s">
        <v>62</v>
      </c>
      <c r="J158" s="3" t="s">
        <v>62</v>
      </c>
      <c r="K158" s="3" t="s">
        <v>62</v>
      </c>
      <c r="L158" s="3" t="s">
        <v>62</v>
      </c>
      <c r="M158" s="3" t="s">
        <v>62</v>
      </c>
      <c r="N158" s="3" t="s">
        <v>62</v>
      </c>
      <c r="O158" s="3" t="s">
        <v>62</v>
      </c>
      <c r="P158" s="3" t="s">
        <v>62</v>
      </c>
      <c r="Q158" s="3" t="s">
        <v>62</v>
      </c>
      <c r="R158" s="3" t="s">
        <v>62</v>
      </c>
      <c r="S158" s="3" t="s">
        <v>62</v>
      </c>
      <c r="T158" s="3" t="s">
        <v>62</v>
      </c>
      <c r="U158" s="3" t="s">
        <v>62</v>
      </c>
      <c r="V158" s="3" t="s">
        <v>62</v>
      </c>
      <c r="W158" s="3" t="s">
        <v>62</v>
      </c>
      <c r="X158" s="3" t="s">
        <v>62</v>
      </c>
      <c r="Y158" s="3" t="s">
        <v>62</v>
      </c>
      <c r="Z158" s="3" t="s">
        <v>62</v>
      </c>
      <c r="AA158" s="3" t="s">
        <v>62</v>
      </c>
      <c r="AB158" s="3" t="s">
        <v>62</v>
      </c>
      <c r="AC158" s="3" t="s">
        <v>62</v>
      </c>
      <c r="AD158" s="3" t="s">
        <v>62</v>
      </c>
      <c r="AE158" s="3" t="s">
        <v>62</v>
      </c>
      <c r="AF158" s="3" t="s">
        <v>62</v>
      </c>
      <c r="AG158" s="3" t="s">
        <v>62</v>
      </c>
      <c r="AH158" s="74"/>
    </row>
    <row r="159" spans="2:34" hidden="1">
      <c r="B159" s="150">
        <v>11</v>
      </c>
      <c r="C159" s="89" t="str">
        <f>LEFT(EmpGName11)&amp;" " &amp;EmpSName11</f>
        <v xml:space="preserve"> </v>
      </c>
      <c r="D159" s="4" t="s">
        <v>62</v>
      </c>
      <c r="E159" s="4" t="s">
        <v>62</v>
      </c>
      <c r="F159" s="4" t="s">
        <v>62</v>
      </c>
      <c r="G159" s="4" t="s">
        <v>62</v>
      </c>
      <c r="H159" s="4" t="s">
        <v>62</v>
      </c>
      <c r="I159" s="4" t="s">
        <v>62</v>
      </c>
      <c r="J159" s="4" t="s">
        <v>62</v>
      </c>
      <c r="K159" s="4" t="s">
        <v>62</v>
      </c>
      <c r="L159" s="4" t="s">
        <v>62</v>
      </c>
      <c r="M159" s="4" t="s">
        <v>62</v>
      </c>
      <c r="N159" s="4" t="s">
        <v>62</v>
      </c>
      <c r="O159" s="4" t="s">
        <v>62</v>
      </c>
      <c r="P159" s="4" t="s">
        <v>62</v>
      </c>
      <c r="Q159" s="4" t="s">
        <v>62</v>
      </c>
      <c r="R159" s="4" t="s">
        <v>62</v>
      </c>
      <c r="S159" s="4" t="s">
        <v>62</v>
      </c>
      <c r="T159" s="4" t="s">
        <v>62</v>
      </c>
      <c r="U159" s="4" t="s">
        <v>62</v>
      </c>
      <c r="V159" s="4" t="s">
        <v>62</v>
      </c>
      <c r="W159" s="4" t="s">
        <v>62</v>
      </c>
      <c r="X159" s="4" t="s">
        <v>62</v>
      </c>
      <c r="Y159" s="4" t="s">
        <v>62</v>
      </c>
      <c r="Z159" s="4" t="s">
        <v>62</v>
      </c>
      <c r="AA159" s="4" t="s">
        <v>62</v>
      </c>
      <c r="AB159" s="4" t="s">
        <v>62</v>
      </c>
      <c r="AC159" s="4" t="s">
        <v>62</v>
      </c>
      <c r="AD159" s="4" t="s">
        <v>62</v>
      </c>
      <c r="AE159" s="4" t="s">
        <v>62</v>
      </c>
      <c r="AF159" s="4" t="s">
        <v>62</v>
      </c>
      <c r="AG159" s="4" t="s">
        <v>62</v>
      </c>
      <c r="AH159" s="74"/>
    </row>
    <row r="160" spans="2:34" hidden="1">
      <c r="B160" s="150">
        <v>12</v>
      </c>
      <c r="C160" s="90" t="str">
        <f>LEFT(EmpGName12)&amp;" " &amp;EmpSName12</f>
        <v xml:space="preserve"> </v>
      </c>
      <c r="D160" s="3" t="s">
        <v>62</v>
      </c>
      <c r="E160" s="3" t="s">
        <v>62</v>
      </c>
      <c r="F160" s="3" t="s">
        <v>62</v>
      </c>
      <c r="G160" s="3" t="s">
        <v>62</v>
      </c>
      <c r="H160" s="3" t="s">
        <v>62</v>
      </c>
      <c r="I160" s="3" t="s">
        <v>62</v>
      </c>
      <c r="J160" s="3" t="s">
        <v>62</v>
      </c>
      <c r="K160" s="3" t="s">
        <v>62</v>
      </c>
      <c r="L160" s="3" t="s">
        <v>62</v>
      </c>
      <c r="M160" s="3" t="s">
        <v>62</v>
      </c>
      <c r="N160" s="3" t="s">
        <v>62</v>
      </c>
      <c r="O160" s="3" t="s">
        <v>62</v>
      </c>
      <c r="P160" s="3" t="s">
        <v>62</v>
      </c>
      <c r="Q160" s="3" t="s">
        <v>62</v>
      </c>
      <c r="R160" s="3" t="s">
        <v>62</v>
      </c>
      <c r="S160" s="3" t="s">
        <v>62</v>
      </c>
      <c r="T160" s="3" t="s">
        <v>62</v>
      </c>
      <c r="U160" s="3" t="s">
        <v>62</v>
      </c>
      <c r="V160" s="3" t="s">
        <v>62</v>
      </c>
      <c r="W160" s="3" t="s">
        <v>62</v>
      </c>
      <c r="X160" s="3" t="s">
        <v>62</v>
      </c>
      <c r="Y160" s="3" t="s">
        <v>62</v>
      </c>
      <c r="Z160" s="3" t="s">
        <v>62</v>
      </c>
      <c r="AA160" s="3" t="s">
        <v>62</v>
      </c>
      <c r="AB160" s="3" t="s">
        <v>62</v>
      </c>
      <c r="AC160" s="3" t="s">
        <v>62</v>
      </c>
      <c r="AD160" s="3" t="s">
        <v>62</v>
      </c>
      <c r="AE160" s="3" t="s">
        <v>62</v>
      </c>
      <c r="AF160" s="3" t="s">
        <v>62</v>
      </c>
      <c r="AG160" s="3" t="s">
        <v>62</v>
      </c>
      <c r="AH160" s="74"/>
    </row>
    <row r="161" spans="2:34">
      <c r="AH161" s="2"/>
    </row>
    <row r="162" spans="2:34">
      <c r="C162" t="str">
        <f>CurYear&amp;":"</f>
        <v>2016:</v>
      </c>
      <c r="D162" s="5" t="str">
        <f>LEFT(TEXT(D163&amp;"-"&amp;$C163&amp;"-"&amp; CurYear,"ddd"),2)</f>
        <v>Su</v>
      </c>
      <c r="E162" s="5" t="str">
        <f t="shared" ref="E162:AH162" si="10">LEFT(TEXT(E163&amp;"-"&amp;$C163&amp;"-"&amp; CurYear,"ddd"),2)</f>
        <v>Mo</v>
      </c>
      <c r="F162" s="5" t="str">
        <f t="shared" si="10"/>
        <v>Tu</v>
      </c>
      <c r="G162" s="5" t="str">
        <f t="shared" si="10"/>
        <v>We</v>
      </c>
      <c r="H162" s="5" t="str">
        <f t="shared" si="10"/>
        <v>Th</v>
      </c>
      <c r="I162" s="5" t="str">
        <f t="shared" si="10"/>
        <v>Fr</v>
      </c>
      <c r="J162" s="5" t="str">
        <f t="shared" si="10"/>
        <v>Sa</v>
      </c>
      <c r="K162" s="5" t="str">
        <f t="shared" si="10"/>
        <v>Su</v>
      </c>
      <c r="L162" s="5" t="str">
        <f t="shared" si="10"/>
        <v>Mo</v>
      </c>
      <c r="M162" s="5" t="str">
        <f t="shared" si="10"/>
        <v>Tu</v>
      </c>
      <c r="N162" s="5" t="str">
        <f t="shared" si="10"/>
        <v>We</v>
      </c>
      <c r="O162" s="5" t="str">
        <f t="shared" si="10"/>
        <v>Th</v>
      </c>
      <c r="P162" s="5" t="str">
        <f t="shared" si="10"/>
        <v>Fr</v>
      </c>
      <c r="Q162" s="5" t="str">
        <f t="shared" si="10"/>
        <v>Sa</v>
      </c>
      <c r="R162" s="5" t="str">
        <f t="shared" si="10"/>
        <v>Su</v>
      </c>
      <c r="S162" s="5" t="str">
        <f t="shared" si="10"/>
        <v>Mo</v>
      </c>
      <c r="T162" s="5" t="str">
        <f t="shared" si="10"/>
        <v>Tu</v>
      </c>
      <c r="U162" s="5" t="str">
        <f t="shared" si="10"/>
        <v>We</v>
      </c>
      <c r="V162" s="5" t="str">
        <f t="shared" si="10"/>
        <v>Th</v>
      </c>
      <c r="W162" s="5" t="str">
        <f t="shared" si="10"/>
        <v>Fr</v>
      </c>
      <c r="X162" s="5" t="str">
        <f t="shared" si="10"/>
        <v>Sa</v>
      </c>
      <c r="Y162" s="5" t="str">
        <f t="shared" si="10"/>
        <v>Su</v>
      </c>
      <c r="Z162" s="5" t="str">
        <f t="shared" si="10"/>
        <v>Mo</v>
      </c>
      <c r="AA162" s="5" t="str">
        <f t="shared" si="10"/>
        <v>Tu</v>
      </c>
      <c r="AB162" s="5" t="str">
        <f t="shared" si="10"/>
        <v>We</v>
      </c>
      <c r="AC162" s="5" t="str">
        <f t="shared" si="10"/>
        <v>Th</v>
      </c>
      <c r="AD162" s="5" t="str">
        <f t="shared" si="10"/>
        <v>Fr</v>
      </c>
      <c r="AE162" s="5" t="str">
        <f t="shared" si="10"/>
        <v>Sa</v>
      </c>
      <c r="AF162" s="5" t="str">
        <f t="shared" si="10"/>
        <v>Su</v>
      </c>
      <c r="AG162" s="5" t="str">
        <f t="shared" si="10"/>
        <v>Mo</v>
      </c>
      <c r="AH162" s="5" t="str">
        <f t="shared" si="10"/>
        <v>Tu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  <c r="AH164" s="4" t="s">
        <v>62</v>
      </c>
    </row>
    <row r="165" spans="2:34">
      <c r="B165" s="85">
        <v>2</v>
      </c>
      <c r="C165" s="90" t="str">
        <f>LEFT(EmpGName02)&amp;" " &amp;EmpSName02</f>
        <v>K Stone</v>
      </c>
      <c r="D165" s="3" t="s">
        <v>62</v>
      </c>
      <c r="E165" s="3" t="s">
        <v>62</v>
      </c>
      <c r="F165" s="3" t="s">
        <v>62</v>
      </c>
      <c r="G165" s="3" t="s">
        <v>62</v>
      </c>
      <c r="H165" s="3" t="s">
        <v>62</v>
      </c>
      <c r="I165" s="3" t="s">
        <v>62</v>
      </c>
      <c r="J165" s="3" t="s">
        <v>62</v>
      </c>
      <c r="K165" s="3" t="s">
        <v>62</v>
      </c>
      <c r="L165" s="3" t="s">
        <v>62</v>
      </c>
      <c r="M165" s="3" t="s">
        <v>62</v>
      </c>
      <c r="N165" s="3" t="s">
        <v>62</v>
      </c>
      <c r="O165" s="3" t="s">
        <v>62</v>
      </c>
      <c r="P165" s="3" t="s">
        <v>62</v>
      </c>
      <c r="Q165" s="3" t="s">
        <v>62</v>
      </c>
      <c r="R165" s="3" t="s">
        <v>62</v>
      </c>
      <c r="S165" s="3" t="s">
        <v>62</v>
      </c>
      <c r="T165" s="3" t="s">
        <v>62</v>
      </c>
      <c r="U165" s="3" t="s">
        <v>62</v>
      </c>
      <c r="V165" s="3" t="s">
        <v>62</v>
      </c>
      <c r="W165" s="3" t="s">
        <v>62</v>
      </c>
      <c r="X165" s="3" t="s">
        <v>62</v>
      </c>
      <c r="Y165" s="3" t="s">
        <v>62</v>
      </c>
      <c r="Z165" s="3" t="s">
        <v>62</v>
      </c>
      <c r="AA165" s="3" t="s">
        <v>62</v>
      </c>
      <c r="AB165" s="3" t="s">
        <v>62</v>
      </c>
      <c r="AC165" s="3" t="s">
        <v>62</v>
      </c>
      <c r="AD165" s="3" t="s">
        <v>62</v>
      </c>
      <c r="AE165" s="3" t="s">
        <v>62</v>
      </c>
      <c r="AF165" s="3" t="s">
        <v>62</v>
      </c>
      <c r="AG165" s="3" t="s">
        <v>62</v>
      </c>
      <c r="AH165" s="3" t="s">
        <v>62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62</v>
      </c>
      <c r="E166" s="4" t="s">
        <v>62</v>
      </c>
      <c r="F166" s="4" t="s">
        <v>62</v>
      </c>
      <c r="G166" s="4" t="s">
        <v>62</v>
      </c>
      <c r="H166" s="4" t="s">
        <v>62</v>
      </c>
      <c r="I166" s="4" t="s">
        <v>62</v>
      </c>
      <c r="J166" s="4" t="s">
        <v>62</v>
      </c>
      <c r="K166" s="4" t="s">
        <v>62</v>
      </c>
      <c r="L166" s="4" t="s">
        <v>62</v>
      </c>
      <c r="M166" s="4" t="s">
        <v>62</v>
      </c>
      <c r="N166" s="4" t="s">
        <v>62</v>
      </c>
      <c r="O166" s="4" t="s">
        <v>62</v>
      </c>
      <c r="P166" s="4" t="s">
        <v>62</v>
      </c>
      <c r="Q166" s="4" t="s">
        <v>62</v>
      </c>
      <c r="R166" s="4" t="s">
        <v>62</v>
      </c>
      <c r="S166" s="4" t="s">
        <v>62</v>
      </c>
      <c r="T166" s="4" t="s">
        <v>62</v>
      </c>
      <c r="U166" s="4" t="s">
        <v>62</v>
      </c>
      <c r="V166" s="4" t="s">
        <v>62</v>
      </c>
      <c r="W166" s="4" t="s">
        <v>62</v>
      </c>
      <c r="X166" s="4" t="s">
        <v>62</v>
      </c>
      <c r="Y166" s="4" t="s">
        <v>62</v>
      </c>
      <c r="Z166" s="4" t="s">
        <v>62</v>
      </c>
      <c r="AA166" s="4" t="s">
        <v>62</v>
      </c>
      <c r="AB166" s="4" t="s">
        <v>62</v>
      </c>
      <c r="AC166" s="4" t="s">
        <v>62</v>
      </c>
      <c r="AD166" s="4" t="s">
        <v>62</v>
      </c>
      <c r="AE166" s="4" t="s">
        <v>62</v>
      </c>
      <c r="AF166" s="4" t="s">
        <v>62</v>
      </c>
      <c r="AG166" s="4" t="s">
        <v>62</v>
      </c>
      <c r="AH166" s="4" t="s">
        <v>62</v>
      </c>
    </row>
    <row r="167" spans="2:34">
      <c r="B167" s="85">
        <v>4</v>
      </c>
      <c r="C167" s="90" t="str">
        <f>LEFT(EmpGName04)&amp;" " &amp;EmpSName04</f>
        <v>L King</v>
      </c>
      <c r="D167" s="3" t="s">
        <v>62</v>
      </c>
      <c r="E167" s="3" t="s">
        <v>62</v>
      </c>
      <c r="F167" s="3" t="s">
        <v>62</v>
      </c>
      <c r="G167" s="3" t="s">
        <v>62</v>
      </c>
      <c r="H167" s="3" t="s">
        <v>62</v>
      </c>
      <c r="I167" s="3" t="s">
        <v>62</v>
      </c>
      <c r="J167" s="3" t="s">
        <v>62</v>
      </c>
      <c r="K167" s="3" t="s">
        <v>62</v>
      </c>
      <c r="L167" s="3" t="s">
        <v>62</v>
      </c>
      <c r="M167" s="3" t="s">
        <v>62</v>
      </c>
      <c r="N167" s="3" t="s">
        <v>62</v>
      </c>
      <c r="O167" s="3" t="s">
        <v>62</v>
      </c>
      <c r="P167" s="3" t="s">
        <v>62</v>
      </c>
      <c r="Q167" s="3" t="s">
        <v>62</v>
      </c>
      <c r="R167" s="3" t="s">
        <v>62</v>
      </c>
      <c r="S167" s="3" t="s">
        <v>62</v>
      </c>
      <c r="T167" s="3" t="s">
        <v>62</v>
      </c>
      <c r="U167" s="3" t="s">
        <v>62</v>
      </c>
      <c r="V167" s="3" t="s">
        <v>62</v>
      </c>
      <c r="W167" s="3" t="s">
        <v>62</v>
      </c>
      <c r="X167" s="3" t="s">
        <v>62</v>
      </c>
      <c r="Y167" s="3" t="s">
        <v>62</v>
      </c>
      <c r="Z167" s="3" t="s">
        <v>62</v>
      </c>
      <c r="AA167" s="3" t="s">
        <v>62</v>
      </c>
      <c r="AB167" s="3" t="s">
        <v>62</v>
      </c>
      <c r="AC167" s="3" t="s">
        <v>62</v>
      </c>
      <c r="AD167" s="3" t="s">
        <v>62</v>
      </c>
      <c r="AE167" s="3" t="s">
        <v>62</v>
      </c>
      <c r="AF167" s="3" t="s">
        <v>62</v>
      </c>
      <c r="AG167" s="3" t="s">
        <v>62</v>
      </c>
      <c r="AH167" s="3" t="s">
        <v>62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62</v>
      </c>
      <c r="E168" s="4" t="s">
        <v>62</v>
      </c>
      <c r="F168" s="4" t="s">
        <v>62</v>
      </c>
      <c r="G168" s="4" t="s">
        <v>62</v>
      </c>
      <c r="H168" s="4" t="s">
        <v>62</v>
      </c>
      <c r="I168" s="4" t="s">
        <v>62</v>
      </c>
      <c r="J168" s="4" t="s">
        <v>62</v>
      </c>
      <c r="K168" s="4" t="s">
        <v>62</v>
      </c>
      <c r="L168" s="4" t="s">
        <v>62</v>
      </c>
      <c r="M168" s="4" t="s">
        <v>62</v>
      </c>
      <c r="N168" s="4" t="s">
        <v>62</v>
      </c>
      <c r="O168" s="4" t="s">
        <v>62</v>
      </c>
      <c r="P168" s="4" t="s">
        <v>62</v>
      </c>
      <c r="Q168" s="4" t="s">
        <v>62</v>
      </c>
      <c r="R168" s="4" t="s">
        <v>62</v>
      </c>
      <c r="S168" s="4" t="s">
        <v>62</v>
      </c>
      <c r="T168" s="4" t="s">
        <v>62</v>
      </c>
      <c r="U168" s="4" t="s">
        <v>62</v>
      </c>
      <c r="V168" s="4" t="s">
        <v>62</v>
      </c>
      <c r="W168" s="4" t="s">
        <v>62</v>
      </c>
      <c r="X168" s="4" t="s">
        <v>62</v>
      </c>
      <c r="Y168" s="4" t="s">
        <v>62</v>
      </c>
      <c r="Z168" s="4" t="s">
        <v>62</v>
      </c>
      <c r="AA168" s="4" t="s">
        <v>62</v>
      </c>
      <c r="AB168" s="4" t="s">
        <v>62</v>
      </c>
      <c r="AC168" s="4" t="s">
        <v>62</v>
      </c>
      <c r="AD168" s="4" t="s">
        <v>62</v>
      </c>
      <c r="AE168" s="4" t="s">
        <v>62</v>
      </c>
      <c r="AF168" s="4" t="s">
        <v>62</v>
      </c>
      <c r="AG168" s="4" t="s">
        <v>62</v>
      </c>
      <c r="AH168" s="4" t="s">
        <v>62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62</v>
      </c>
      <c r="E169" s="3" t="s">
        <v>62</v>
      </c>
      <c r="F169" s="3" t="s">
        <v>62</v>
      </c>
      <c r="G169" s="3" t="s">
        <v>62</v>
      </c>
      <c r="H169" s="3" t="s">
        <v>62</v>
      </c>
      <c r="I169" s="3" t="s">
        <v>62</v>
      </c>
      <c r="J169" s="3" t="s">
        <v>62</v>
      </c>
      <c r="K169" s="3" t="s">
        <v>62</v>
      </c>
      <c r="L169" s="3" t="s">
        <v>62</v>
      </c>
      <c r="M169" s="3" t="s">
        <v>62</v>
      </c>
      <c r="N169" s="3" t="s">
        <v>62</v>
      </c>
      <c r="O169" s="3" t="s">
        <v>62</v>
      </c>
      <c r="P169" s="3" t="s">
        <v>62</v>
      </c>
      <c r="Q169" s="3" t="s">
        <v>62</v>
      </c>
      <c r="R169" s="3" t="s">
        <v>62</v>
      </c>
      <c r="S169" s="3" t="s">
        <v>62</v>
      </c>
      <c r="T169" s="3" t="s">
        <v>62</v>
      </c>
      <c r="U169" s="3" t="s">
        <v>62</v>
      </c>
      <c r="V169" s="3" t="s">
        <v>62</v>
      </c>
      <c r="W169" s="3" t="s">
        <v>62</v>
      </c>
      <c r="X169" s="3" t="s">
        <v>62</v>
      </c>
      <c r="Y169" s="3" t="s">
        <v>62</v>
      </c>
      <c r="Z169" s="3" t="s">
        <v>62</v>
      </c>
      <c r="AA169" s="3" t="s">
        <v>62</v>
      </c>
      <c r="AB169" s="3" t="s">
        <v>62</v>
      </c>
      <c r="AC169" s="3" t="s">
        <v>62</v>
      </c>
      <c r="AD169" s="3" t="s">
        <v>62</v>
      </c>
      <c r="AE169" s="3" t="s">
        <v>62</v>
      </c>
      <c r="AF169" s="3" t="s">
        <v>62</v>
      </c>
      <c r="AG169" s="3" t="s">
        <v>62</v>
      </c>
      <c r="AH169" s="3" t="s">
        <v>62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62</v>
      </c>
      <c r="E170" s="4" t="s">
        <v>62</v>
      </c>
      <c r="F170" s="4" t="s">
        <v>62</v>
      </c>
      <c r="G170" s="4" t="s">
        <v>62</v>
      </c>
      <c r="H170" s="4" t="s">
        <v>62</v>
      </c>
      <c r="I170" s="4" t="s">
        <v>62</v>
      </c>
      <c r="J170" s="4" t="s">
        <v>62</v>
      </c>
      <c r="K170" s="4" t="s">
        <v>62</v>
      </c>
      <c r="L170" s="4" t="s">
        <v>62</v>
      </c>
      <c r="M170" s="4" t="s">
        <v>62</v>
      </c>
      <c r="N170" s="4" t="s">
        <v>62</v>
      </c>
      <c r="O170" s="4" t="s">
        <v>62</v>
      </c>
      <c r="P170" s="4" t="s">
        <v>62</v>
      </c>
      <c r="Q170" s="4" t="s">
        <v>62</v>
      </c>
      <c r="R170" s="4" t="s">
        <v>62</v>
      </c>
      <c r="S170" s="4" t="s">
        <v>62</v>
      </c>
      <c r="T170" s="4" t="s">
        <v>62</v>
      </c>
      <c r="U170" s="4" t="s">
        <v>62</v>
      </c>
      <c r="V170" s="4" t="s">
        <v>62</v>
      </c>
      <c r="W170" s="4" t="s">
        <v>62</v>
      </c>
      <c r="X170" s="4" t="s">
        <v>62</v>
      </c>
      <c r="Y170" s="4" t="s">
        <v>62</v>
      </c>
      <c r="Z170" s="4" t="s">
        <v>62</v>
      </c>
      <c r="AA170" s="4" t="s">
        <v>62</v>
      </c>
      <c r="AB170" s="4" t="s">
        <v>62</v>
      </c>
      <c r="AC170" s="4" t="s">
        <v>62</v>
      </c>
      <c r="AD170" s="4" t="s">
        <v>62</v>
      </c>
      <c r="AE170" s="4" t="s">
        <v>62</v>
      </c>
      <c r="AF170" s="4" t="s">
        <v>62</v>
      </c>
      <c r="AG170" s="4" t="s">
        <v>62</v>
      </c>
      <c r="AH170" s="4" t="s">
        <v>62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62</v>
      </c>
      <c r="E171" s="3" t="s">
        <v>62</v>
      </c>
      <c r="F171" s="3" t="s">
        <v>62</v>
      </c>
      <c r="G171" s="3" t="s">
        <v>62</v>
      </c>
      <c r="H171" s="3" t="s">
        <v>62</v>
      </c>
      <c r="I171" s="3" t="s">
        <v>62</v>
      </c>
      <c r="J171" s="3" t="s">
        <v>62</v>
      </c>
      <c r="K171" s="3" t="s">
        <v>62</v>
      </c>
      <c r="L171" s="3" t="s">
        <v>62</v>
      </c>
      <c r="M171" s="3" t="s">
        <v>62</v>
      </c>
      <c r="N171" s="3" t="s">
        <v>62</v>
      </c>
      <c r="O171" s="3" t="s">
        <v>62</v>
      </c>
      <c r="P171" s="3" t="s">
        <v>62</v>
      </c>
      <c r="Q171" s="3" t="s">
        <v>62</v>
      </c>
      <c r="R171" s="3" t="s">
        <v>62</v>
      </c>
      <c r="S171" s="3" t="s">
        <v>62</v>
      </c>
      <c r="T171" s="3" t="s">
        <v>62</v>
      </c>
      <c r="U171" s="3" t="s">
        <v>62</v>
      </c>
      <c r="V171" s="3" t="s">
        <v>62</v>
      </c>
      <c r="W171" s="3" t="s">
        <v>62</v>
      </c>
      <c r="X171" s="3" t="s">
        <v>62</v>
      </c>
      <c r="Y171" s="3" t="s">
        <v>62</v>
      </c>
      <c r="Z171" s="3" t="s">
        <v>62</v>
      </c>
      <c r="AA171" s="3" t="s">
        <v>62</v>
      </c>
      <c r="AB171" s="3" t="s">
        <v>62</v>
      </c>
      <c r="AC171" s="3" t="s">
        <v>62</v>
      </c>
      <c r="AD171" s="3" t="s">
        <v>62</v>
      </c>
      <c r="AE171" s="3" t="s">
        <v>62</v>
      </c>
      <c r="AF171" s="3" t="s">
        <v>62</v>
      </c>
      <c r="AG171" s="3" t="s">
        <v>62</v>
      </c>
      <c r="AH171" s="3" t="s">
        <v>62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62</v>
      </c>
      <c r="E172" s="4" t="s">
        <v>62</v>
      </c>
      <c r="F172" s="4" t="s">
        <v>62</v>
      </c>
      <c r="G172" s="4" t="s">
        <v>62</v>
      </c>
      <c r="H172" s="4" t="s">
        <v>62</v>
      </c>
      <c r="I172" s="4" t="s">
        <v>62</v>
      </c>
      <c r="J172" s="4" t="s">
        <v>62</v>
      </c>
      <c r="K172" s="4" t="s">
        <v>62</v>
      </c>
      <c r="L172" s="4" t="s">
        <v>62</v>
      </c>
      <c r="M172" s="4" t="s">
        <v>62</v>
      </c>
      <c r="N172" s="4" t="s">
        <v>62</v>
      </c>
      <c r="O172" s="4" t="s">
        <v>62</v>
      </c>
      <c r="P172" s="4" t="s">
        <v>62</v>
      </c>
      <c r="Q172" s="4" t="s">
        <v>62</v>
      </c>
      <c r="R172" s="4" t="s">
        <v>62</v>
      </c>
      <c r="S172" s="4" t="s">
        <v>62</v>
      </c>
      <c r="T172" s="4" t="s">
        <v>62</v>
      </c>
      <c r="U172" s="4" t="s">
        <v>62</v>
      </c>
      <c r="V172" s="4" t="s">
        <v>62</v>
      </c>
      <c r="W172" s="4" t="s">
        <v>62</v>
      </c>
      <c r="X172" s="4" t="s">
        <v>62</v>
      </c>
      <c r="Y172" s="4" t="s">
        <v>62</v>
      </c>
      <c r="Z172" s="4" t="s">
        <v>62</v>
      </c>
      <c r="AA172" s="4" t="s">
        <v>62</v>
      </c>
      <c r="AB172" s="4" t="s">
        <v>62</v>
      </c>
      <c r="AC172" s="4" t="s">
        <v>62</v>
      </c>
      <c r="AD172" s="4" t="s">
        <v>62</v>
      </c>
      <c r="AE172" s="4" t="s">
        <v>62</v>
      </c>
      <c r="AF172" s="4" t="s">
        <v>62</v>
      </c>
      <c r="AG172" s="4" t="s">
        <v>62</v>
      </c>
      <c r="AH172" s="4" t="s">
        <v>62</v>
      </c>
    </row>
    <row r="173" spans="2:34" hidden="1">
      <c r="B173" s="149">
        <v>10</v>
      </c>
      <c r="C173" s="90" t="str">
        <f>LEFT(EmpGName10)&amp;" " &amp;EmpSName10</f>
        <v xml:space="preserve"> </v>
      </c>
      <c r="D173" s="3" t="s">
        <v>62</v>
      </c>
      <c r="E173" s="3" t="s">
        <v>62</v>
      </c>
      <c r="F173" s="3" t="s">
        <v>62</v>
      </c>
      <c r="G173" s="3" t="s">
        <v>62</v>
      </c>
      <c r="H173" s="3" t="s">
        <v>62</v>
      </c>
      <c r="I173" s="3" t="s">
        <v>62</v>
      </c>
      <c r="J173" s="3" t="s">
        <v>62</v>
      </c>
      <c r="K173" s="3" t="s">
        <v>62</v>
      </c>
      <c r="L173" s="3" t="s">
        <v>62</v>
      </c>
      <c r="M173" s="3" t="s">
        <v>62</v>
      </c>
      <c r="N173" s="3" t="s">
        <v>62</v>
      </c>
      <c r="O173" s="3" t="s">
        <v>62</v>
      </c>
      <c r="P173" s="3" t="s">
        <v>62</v>
      </c>
      <c r="Q173" s="3" t="s">
        <v>62</v>
      </c>
      <c r="R173" s="3" t="s">
        <v>62</v>
      </c>
      <c r="S173" s="3" t="s">
        <v>62</v>
      </c>
      <c r="T173" s="3" t="s">
        <v>62</v>
      </c>
      <c r="U173" s="3" t="s">
        <v>62</v>
      </c>
      <c r="V173" s="3" t="s">
        <v>62</v>
      </c>
      <c r="W173" s="3" t="s">
        <v>62</v>
      </c>
      <c r="X173" s="3" t="s">
        <v>62</v>
      </c>
      <c r="Y173" s="3" t="s">
        <v>62</v>
      </c>
      <c r="Z173" s="3" t="s">
        <v>62</v>
      </c>
      <c r="AA173" s="3" t="s">
        <v>62</v>
      </c>
      <c r="AB173" s="3" t="s">
        <v>62</v>
      </c>
      <c r="AC173" s="3" t="s">
        <v>62</v>
      </c>
      <c r="AD173" s="3" t="s">
        <v>62</v>
      </c>
      <c r="AE173" s="3" t="s">
        <v>62</v>
      </c>
      <c r="AF173" s="3" t="s">
        <v>62</v>
      </c>
      <c r="AG173" s="3" t="s">
        <v>62</v>
      </c>
      <c r="AH173" s="3" t="s">
        <v>62</v>
      </c>
    </row>
    <row r="174" spans="2:34" hidden="1">
      <c r="B174" s="149">
        <v>11</v>
      </c>
      <c r="C174" s="89" t="str">
        <f>LEFT(EmpGName11)&amp;" " &amp;EmpSName11</f>
        <v xml:space="preserve"> </v>
      </c>
      <c r="D174" s="4" t="s">
        <v>62</v>
      </c>
      <c r="E174" s="4" t="s">
        <v>62</v>
      </c>
      <c r="F174" s="4" t="s">
        <v>62</v>
      </c>
      <c r="G174" s="4" t="s">
        <v>62</v>
      </c>
      <c r="H174" s="4" t="s">
        <v>62</v>
      </c>
      <c r="I174" s="4" t="s">
        <v>62</v>
      </c>
      <c r="J174" s="4" t="s">
        <v>62</v>
      </c>
      <c r="K174" s="4" t="s">
        <v>62</v>
      </c>
      <c r="L174" s="4" t="s">
        <v>62</v>
      </c>
      <c r="M174" s="4" t="s">
        <v>62</v>
      </c>
      <c r="N174" s="4" t="s">
        <v>62</v>
      </c>
      <c r="O174" s="4" t="s">
        <v>62</v>
      </c>
      <c r="P174" s="4" t="s">
        <v>62</v>
      </c>
      <c r="Q174" s="4" t="s">
        <v>62</v>
      </c>
      <c r="R174" s="4" t="s">
        <v>62</v>
      </c>
      <c r="S174" s="4" t="s">
        <v>62</v>
      </c>
      <c r="T174" s="4" t="s">
        <v>62</v>
      </c>
      <c r="U174" s="4" t="s">
        <v>62</v>
      </c>
      <c r="V174" s="4" t="s">
        <v>62</v>
      </c>
      <c r="W174" s="4" t="s">
        <v>62</v>
      </c>
      <c r="X174" s="4" t="s">
        <v>62</v>
      </c>
      <c r="Y174" s="4" t="s">
        <v>62</v>
      </c>
      <c r="Z174" s="4" t="s">
        <v>62</v>
      </c>
      <c r="AA174" s="4" t="s">
        <v>62</v>
      </c>
      <c r="AB174" s="4" t="s">
        <v>62</v>
      </c>
      <c r="AC174" s="4" t="s">
        <v>62</v>
      </c>
      <c r="AD174" s="4" t="s">
        <v>62</v>
      </c>
      <c r="AE174" s="4" t="s">
        <v>62</v>
      </c>
      <c r="AF174" s="4" t="s">
        <v>62</v>
      </c>
      <c r="AG174" s="4" t="s">
        <v>62</v>
      </c>
      <c r="AH174" s="4" t="s">
        <v>62</v>
      </c>
    </row>
    <row r="175" spans="2:34" hidden="1">
      <c r="B175" s="149">
        <v>12</v>
      </c>
      <c r="C175" s="90" t="str">
        <f>LEFT(EmpGName12)&amp;" " &amp;EmpSName12</f>
        <v xml:space="preserve"> </v>
      </c>
      <c r="D175" s="3" t="s">
        <v>62</v>
      </c>
      <c r="E175" s="3" t="s">
        <v>62</v>
      </c>
      <c r="F175" s="3" t="s">
        <v>62</v>
      </c>
      <c r="G175" s="3" t="s">
        <v>62</v>
      </c>
      <c r="H175" s="3" t="s">
        <v>62</v>
      </c>
      <c r="I175" s="3" t="s">
        <v>62</v>
      </c>
      <c r="J175" s="3" t="s">
        <v>62</v>
      </c>
      <c r="K175" s="3" t="s">
        <v>62</v>
      </c>
      <c r="L175" s="3" t="s">
        <v>62</v>
      </c>
      <c r="M175" s="3" t="s">
        <v>62</v>
      </c>
      <c r="N175" s="3" t="s">
        <v>62</v>
      </c>
      <c r="O175" s="3" t="s">
        <v>62</v>
      </c>
      <c r="P175" s="3" t="s">
        <v>62</v>
      </c>
      <c r="Q175" s="3" t="s">
        <v>62</v>
      </c>
      <c r="R175" s="3" t="s">
        <v>62</v>
      </c>
      <c r="S175" s="3" t="s">
        <v>62</v>
      </c>
      <c r="T175" s="3" t="s">
        <v>62</v>
      </c>
      <c r="U175" s="3" t="s">
        <v>62</v>
      </c>
      <c r="V175" s="3" t="s">
        <v>62</v>
      </c>
      <c r="W175" s="3" t="s">
        <v>62</v>
      </c>
      <c r="X175" s="3" t="s">
        <v>62</v>
      </c>
      <c r="Y175" s="3" t="s">
        <v>62</v>
      </c>
      <c r="Z175" s="3" t="s">
        <v>62</v>
      </c>
      <c r="AA175" s="3" t="s">
        <v>62</v>
      </c>
      <c r="AB175" s="3" t="s">
        <v>62</v>
      </c>
      <c r="AC175" s="3" t="s">
        <v>62</v>
      </c>
      <c r="AD175" s="3" t="s">
        <v>62</v>
      </c>
      <c r="AE175" s="3" t="s">
        <v>62</v>
      </c>
      <c r="AF175" s="3" t="s">
        <v>62</v>
      </c>
      <c r="AG175" s="3" t="s">
        <v>62</v>
      </c>
      <c r="AH175" s="3" t="s">
        <v>62</v>
      </c>
    </row>
    <row r="177" spans="2:34">
      <c r="C177" t="str">
        <f>CurYear&amp;":"</f>
        <v>2016:</v>
      </c>
      <c r="D177" s="5" t="str">
        <f>LEFT(TEXT(D178&amp;"-"&amp;$C178&amp;"-"&amp;CurYear,"ddd"),2)</f>
        <v>We</v>
      </c>
      <c r="E177" s="5" t="str">
        <f t="shared" ref="E177:AG177" si="11">LEFT(TEXT(E178&amp;"-"&amp;$C178&amp;"-"&amp;CurYear,"ddd"),2)</f>
        <v>Th</v>
      </c>
      <c r="F177" s="5" t="str">
        <f t="shared" si="11"/>
        <v>Fr</v>
      </c>
      <c r="G177" s="5" t="str">
        <f t="shared" si="11"/>
        <v>Sa</v>
      </c>
      <c r="H177" s="5" t="str">
        <f t="shared" si="11"/>
        <v>Su</v>
      </c>
      <c r="I177" s="5" t="str">
        <f t="shared" si="11"/>
        <v>Mo</v>
      </c>
      <c r="J177" s="5" t="str">
        <f t="shared" si="11"/>
        <v>Tu</v>
      </c>
      <c r="K177" s="5" t="str">
        <f t="shared" si="11"/>
        <v>We</v>
      </c>
      <c r="L177" s="5" t="str">
        <f t="shared" si="11"/>
        <v>Th</v>
      </c>
      <c r="M177" s="5" t="str">
        <f t="shared" si="11"/>
        <v>Fr</v>
      </c>
      <c r="N177" s="5" t="str">
        <f t="shared" si="11"/>
        <v>Sa</v>
      </c>
      <c r="O177" s="5" t="str">
        <f t="shared" si="11"/>
        <v>Su</v>
      </c>
      <c r="P177" s="5" t="str">
        <f t="shared" si="11"/>
        <v>Mo</v>
      </c>
      <c r="Q177" s="5" t="str">
        <f t="shared" si="11"/>
        <v>Tu</v>
      </c>
      <c r="R177" s="5" t="str">
        <f t="shared" si="11"/>
        <v>We</v>
      </c>
      <c r="S177" s="5" t="str">
        <f t="shared" si="11"/>
        <v>Th</v>
      </c>
      <c r="T177" s="5" t="str">
        <f t="shared" si="11"/>
        <v>Fr</v>
      </c>
      <c r="U177" s="5" t="str">
        <f t="shared" si="11"/>
        <v>Sa</v>
      </c>
      <c r="V177" s="5" t="str">
        <f t="shared" si="11"/>
        <v>Su</v>
      </c>
      <c r="W177" s="5" t="str">
        <f t="shared" si="11"/>
        <v>Mo</v>
      </c>
      <c r="X177" s="5" t="str">
        <f t="shared" si="11"/>
        <v>Tu</v>
      </c>
      <c r="Y177" s="5" t="str">
        <f t="shared" si="11"/>
        <v>We</v>
      </c>
      <c r="Z177" s="5" t="str">
        <f t="shared" si="11"/>
        <v>Th</v>
      </c>
      <c r="AA177" s="5" t="str">
        <f t="shared" si="11"/>
        <v>Fr</v>
      </c>
      <c r="AB177" s="5" t="str">
        <f t="shared" si="11"/>
        <v>Sa</v>
      </c>
      <c r="AC177" s="5" t="str">
        <f t="shared" si="11"/>
        <v>Su</v>
      </c>
      <c r="AD177" s="5" t="str">
        <f t="shared" si="11"/>
        <v>Mo</v>
      </c>
      <c r="AE177" s="5" t="str">
        <f t="shared" si="11"/>
        <v>Tu</v>
      </c>
      <c r="AF177" s="5" t="str">
        <f t="shared" si="11"/>
        <v>We</v>
      </c>
      <c r="AG177" s="5" t="str">
        <f t="shared" si="11"/>
        <v>Th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8"/>
    </row>
    <row r="188" spans="2:34" hidden="1">
      <c r="B188" s="149">
        <v>10</v>
      </c>
      <c r="C188" s="90" t="str">
        <f>LEFT(EmpGName10)&amp;" " &amp;EmpSName10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74"/>
    </row>
    <row r="189" spans="2:34" hidden="1">
      <c r="B189" s="149">
        <v>11</v>
      </c>
      <c r="C189" s="89" t="str">
        <f>LEFT(EmpGName11)&amp;" " &amp;EmpSName11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74"/>
    </row>
    <row r="190" spans="2:34" hidden="1">
      <c r="B190" s="149">
        <v>12</v>
      </c>
      <c r="C190" s="90" t="str">
        <f>LEFT(EmpGName12)&amp;" " &amp;EmpSName12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4"/>
  <sheetViews>
    <sheetView showRowColHeaders="0" topLeftCell="A2" workbookViewId="0">
      <selection activeCell="C9" sqref="C9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7" t="s">
        <v>24</v>
      </c>
      <c r="D3" s="148" t="s">
        <v>53</v>
      </c>
    </row>
    <row r="5" spans="2:13" ht="13.8" thickBot="1"/>
    <row r="6" spans="2:13" ht="14.4" customHeight="1" thickBot="1">
      <c r="B6" s="185" t="s">
        <v>0</v>
      </c>
      <c r="C6" s="186"/>
      <c r="D6" s="186"/>
      <c r="E6" s="187"/>
      <c r="G6" s="183" t="s">
        <v>7</v>
      </c>
      <c r="I6" s="183" t="s">
        <v>12</v>
      </c>
      <c r="K6" s="183" t="s">
        <v>72</v>
      </c>
      <c r="M6" s="188" t="s">
        <v>74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84"/>
      <c r="I7" s="184"/>
      <c r="K7" s="184"/>
      <c r="M7" s="188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9" t="s">
        <v>10</v>
      </c>
      <c r="K8" s="172">
        <v>42070</v>
      </c>
      <c r="M8" s="177">
        <f>InitialPeriodEnding</f>
        <v>42070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0" t="s">
        <v>11</v>
      </c>
      <c r="M9" s="177">
        <f>M8+7*2</f>
        <v>42084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0" t="s">
        <v>9</v>
      </c>
      <c r="M10" s="177">
        <f t="shared" ref="M10:M34" si="0">M9+7*2</f>
        <v>42098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0" t="s">
        <v>58</v>
      </c>
      <c r="M11" s="177">
        <f t="shared" si="0"/>
        <v>42112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0" t="s">
        <v>39</v>
      </c>
      <c r="M12" s="177">
        <f t="shared" si="0"/>
        <v>42126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70" t="s">
        <v>40</v>
      </c>
      <c r="M13" s="177">
        <f t="shared" si="0"/>
        <v>42140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70" t="s">
        <v>45</v>
      </c>
      <c r="M14" s="177">
        <f t="shared" si="0"/>
        <v>42154</v>
      </c>
    </row>
    <row r="15" spans="2:13" ht="14.4" thickBot="1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0" t="s">
        <v>46</v>
      </c>
      <c r="M15" s="177">
        <f t="shared" si="0"/>
        <v>42168</v>
      </c>
    </row>
    <row r="16" spans="2:13" ht="14.4" thickBot="1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0" t="s">
        <v>51</v>
      </c>
      <c r="M16" s="177">
        <f t="shared" si="0"/>
        <v>42182</v>
      </c>
    </row>
    <row r="17" spans="2:13" ht="14.4" thickBot="1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0" t="s">
        <v>62</v>
      </c>
      <c r="M17" s="177">
        <f t="shared" si="0"/>
        <v>42196</v>
      </c>
    </row>
    <row r="18" spans="2:13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1"/>
      <c r="M18" s="177">
        <f t="shared" si="0"/>
        <v>42210</v>
      </c>
    </row>
    <row r="19" spans="2:13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  <c r="M19" s="177">
        <f t="shared" si="0"/>
        <v>42224</v>
      </c>
    </row>
    <row r="20" spans="2:13" ht="13.8" thickBot="1">
      <c r="M20" s="177">
        <f t="shared" si="0"/>
        <v>42238</v>
      </c>
    </row>
    <row r="21" spans="2:13" ht="13.8" thickBot="1">
      <c r="M21" s="177">
        <f t="shared" si="0"/>
        <v>42252</v>
      </c>
    </row>
    <row r="22" spans="2:13" ht="13.8" thickBot="1">
      <c r="M22" s="177">
        <f t="shared" si="0"/>
        <v>42266</v>
      </c>
    </row>
    <row r="23" spans="2:13" ht="13.8" thickBot="1">
      <c r="M23" s="177">
        <f t="shared" si="0"/>
        <v>42280</v>
      </c>
    </row>
    <row r="24" spans="2:13" ht="13.8" thickBot="1">
      <c r="M24" s="177">
        <f t="shared" si="0"/>
        <v>42294</v>
      </c>
    </row>
    <row r="25" spans="2:13" ht="13.8" thickBot="1">
      <c r="B25" s="20" t="s">
        <v>52</v>
      </c>
      <c r="M25" s="177">
        <f t="shared" si="0"/>
        <v>42308</v>
      </c>
    </row>
    <row r="26" spans="2:13" ht="13.8" thickBot="1">
      <c r="M26" s="177">
        <f t="shared" si="0"/>
        <v>42322</v>
      </c>
    </row>
    <row r="27" spans="2:13" ht="13.8" thickBot="1">
      <c r="M27" s="177">
        <f t="shared" si="0"/>
        <v>42336</v>
      </c>
    </row>
    <row r="28" spans="2:13" ht="13.8" thickBot="1">
      <c r="M28" s="177">
        <f t="shared" si="0"/>
        <v>42350</v>
      </c>
    </row>
    <row r="29" spans="2:13" ht="13.8" thickBot="1">
      <c r="M29" s="177">
        <f t="shared" si="0"/>
        <v>42364</v>
      </c>
    </row>
    <row r="30" spans="2:13" ht="13.8" thickBot="1">
      <c r="M30" s="177">
        <f t="shared" si="0"/>
        <v>42378</v>
      </c>
    </row>
    <row r="31" spans="2:13" ht="13.8" thickBot="1">
      <c r="M31" s="177">
        <f t="shared" si="0"/>
        <v>42392</v>
      </c>
    </row>
    <row r="32" spans="2:13" ht="13.8" thickBot="1">
      <c r="M32" s="177">
        <f t="shared" si="0"/>
        <v>42406</v>
      </c>
    </row>
    <row r="33" spans="13:13" ht="13.8" thickBot="1">
      <c r="M33" s="177">
        <f t="shared" si="0"/>
        <v>42420</v>
      </c>
    </row>
    <row r="34" spans="13:13" ht="13.8" thickBot="1">
      <c r="M34" s="177">
        <f t="shared" si="0"/>
        <v>42434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2015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7" t="str">
        <f t="shared" si="0"/>
        <v>Fr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2015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2015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2015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2015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2015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2015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2016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9" t="str">
        <f t="shared" si="7"/>
        <v>Tu</v>
      </c>
      <c r="E25" s="129" t="str">
        <f t="shared" si="7"/>
        <v>We</v>
      </c>
      <c r="F25" s="129" t="str">
        <f t="shared" si="7"/>
        <v>Th</v>
      </c>
      <c r="G25" s="129" t="str">
        <f t="shared" si="7"/>
        <v>Fr</v>
      </c>
      <c r="H25" s="129" t="str">
        <f t="shared" si="7"/>
        <v>Sa</v>
      </c>
      <c r="I25" s="129" t="str">
        <f t="shared" si="7"/>
        <v>Su</v>
      </c>
      <c r="J25" s="129" t="str">
        <f t="shared" si="7"/>
        <v>Mo</v>
      </c>
      <c r="K25" s="129" t="str">
        <f t="shared" si="7"/>
        <v>Tu</v>
      </c>
      <c r="L25" s="129" t="str">
        <f t="shared" si="7"/>
        <v>We</v>
      </c>
      <c r="M25" s="129" t="str">
        <f t="shared" si="7"/>
        <v>Th</v>
      </c>
      <c r="N25" s="129" t="str">
        <f t="shared" si="7"/>
        <v>Fr</v>
      </c>
      <c r="O25" s="129" t="str">
        <f t="shared" si="7"/>
        <v>Sa</v>
      </c>
      <c r="P25" s="129" t="str">
        <f t="shared" si="7"/>
        <v>Su</v>
      </c>
      <c r="Q25" s="129" t="str">
        <f t="shared" si="7"/>
        <v>Mo</v>
      </c>
      <c r="R25" s="129" t="str">
        <f t="shared" si="7"/>
        <v>Tu</v>
      </c>
      <c r="S25" s="129" t="str">
        <f t="shared" si="7"/>
        <v>We</v>
      </c>
      <c r="T25" s="129" t="str">
        <f t="shared" si="7"/>
        <v>Th</v>
      </c>
      <c r="U25" s="129" t="str">
        <f t="shared" si="7"/>
        <v>Fr</v>
      </c>
      <c r="V25" s="129" t="str">
        <f t="shared" si="7"/>
        <v>Sa</v>
      </c>
      <c r="W25" s="129" t="str">
        <f t="shared" si="7"/>
        <v>Su</v>
      </c>
      <c r="X25" s="129" t="str">
        <f t="shared" si="7"/>
        <v>Mo</v>
      </c>
      <c r="Y25" s="129" t="str">
        <f t="shared" si="7"/>
        <v>Tu</v>
      </c>
      <c r="Z25" s="129" t="str">
        <f t="shared" si="7"/>
        <v>We</v>
      </c>
      <c r="AA25" s="129" t="str">
        <f t="shared" si="7"/>
        <v>Th</v>
      </c>
      <c r="AB25" s="129" t="str">
        <f t="shared" si="7"/>
        <v>Fr</v>
      </c>
      <c r="AC25" s="129" t="str">
        <f t="shared" si="7"/>
        <v>Sa</v>
      </c>
      <c r="AD25" s="129" t="str">
        <f t="shared" si="7"/>
        <v>Su</v>
      </c>
      <c r="AE25" s="145" t="str">
        <f t="shared" si="7"/>
        <v>Mo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2016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2016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2016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2016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2016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2015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8" t="str">
        <f t="shared" si="0"/>
        <v>Fr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2015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15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2015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2015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2015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2015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2015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2016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2016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2016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2016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2016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2016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2016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2016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2016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2016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2016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2016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4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7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2016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2016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2016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2" t="str">
        <f t="shared" si="7"/>
        <v>Mo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2016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topLeftCell="A4" zoomScale="176" zoomScaleNormal="176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9" t="str">
        <f>CurYear-1 &amp; "/"&amp;CurYear</f>
        <v>2015/2016</v>
      </c>
      <c r="C3" s="189"/>
      <c r="D3" s="99" t="s">
        <v>9</v>
      </c>
      <c r="E3" s="99" t="s">
        <v>11</v>
      </c>
      <c r="F3" s="99" t="s">
        <v>10</v>
      </c>
      <c r="G3" s="99" t="s">
        <v>71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 hidden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230</vt:i4>
      </vt:variant>
    </vt:vector>
  </HeadingPairs>
  <TitlesOfParts>
    <vt:vector size="245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InitialPeriodEnding</vt:lpstr>
      <vt:lpstr>JanVal</vt:lpstr>
      <vt:lpstr>LegEnd</vt:lpstr>
      <vt:lpstr>Location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2018-12-17T09:19:10Z</dcterms:modified>
</cp:coreProperties>
</file>