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 firstSheet="2" activeTab="14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1" i="9" l="1"/>
  <c r="C30" i="9"/>
  <c r="C29" i="9"/>
  <c r="C28" i="9"/>
  <c r="C27" i="9"/>
  <c r="C26" i="9"/>
  <c r="C25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L33" i="9" l="1"/>
  <c r="K33" i="9"/>
  <c r="M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K34" i="4" l="1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G33" i="9"/>
  <c r="I33" i="9"/>
  <c r="J33" i="9"/>
  <c r="E33" i="9"/>
  <c r="F33" i="9"/>
  <c r="H33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<sst xmlns="http://schemas.openxmlformats.org/spreadsheetml/2006/main" count="10419" uniqueCount="129">
  <si>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</si>
  <si>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</si>
  <si>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</si>
  <si>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</si>
  <si>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</si>
  <si>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</si>
  <si>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</si>
  <si>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</si>
  <si>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</si>
  <si>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</si>
  <si>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</si>
  <si>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</si>
  <si>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</si>
  <si>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</si>
  <si>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</si>
  <si>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</si>
  <si>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</si>
  <si>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</si>
  <si>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</si>
  <si>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</si>
  <si>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</si>
  <si>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</si>
  <si>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</si>
  <si>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</si>
  <si>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</si>
  <si>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</si>
  <si>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</si>
  <si>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</si>
  <si>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</si>
  <si>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</si>
  <si>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</si>
  <si>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</si>
  <si>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</si>
  <si>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</si>
  <si>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</si>
  <si>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</si>
  <si>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</si>
  <si>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</si>
  <si>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</si>
  <si>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</si>
  <si>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</si>
  <si>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</si>
  <si>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</si>
  <si>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</si>
  <si>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</si>
  <si>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</si>
  <si>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</si>
  <si>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</si>
  <si>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</si>
  <si>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</si>
  <si>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</si>
  <si>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</si>
  <si>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</si>
  <si>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</si>
  <si>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</si>
  <si>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</si>
  <si>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</si>
  <si>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</si>
  <si>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</si>
  <si>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</si>
  <si>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</si>
  <si>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</si>
  <si>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</si>
  <si>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</si>
  <si>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</si>
  <si>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</si>
  <si>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</si>
  <si>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</si>
  <si>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</si>
  <si>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</si>
  <si>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</si>
  <si>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</si>
  <si>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</si>
  <si>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</si>
  <si>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</si>
  <si>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</si>
  <si>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</si>
  <si>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</si>
  <si>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</si>
  <si>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</si>
  <si>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</si>
  <si>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</si>
  <si>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</si>
  <si>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</si>
  <si>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</si>
  <si>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</si>
  <si>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</si>
  <si>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</si>
  <si>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</si>
  <si>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</si>
  <si>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</si>
  <si>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</si>
  <si>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</si>
  <si>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</si>
  <si>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</si>
  <si>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</si>
  <si>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</si>
  <si>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</si>
  <si>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</si>
  <si>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</si>
  <si>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</si>
  <si>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Odd10</t>
  </si>
  <si>
    <t>Odd16</t>
  </si>
  <si>
    <t>1Bod</t>
  </si>
  <si>
    <t>2Bod</t>
  </si>
  <si>
    <t>4Bod</t>
  </si>
  <si>
    <t>Abod</t>
  </si>
  <si>
    <t>Bbod</t>
  </si>
  <si>
    <t>Cbod</t>
  </si>
  <si>
    <t>Dbod</t>
  </si>
  <si>
    <t>Ebod</t>
  </si>
  <si>
    <t>Fbod</t>
  </si>
  <si>
    <t>Lbod</t>
  </si>
  <si>
    <t>2016</t>
  </si>
  <si>
    <t>3Bod</t>
  </si>
  <si>
    <t>Charlie</t>
  </si>
  <si>
    <t>Horse</t>
  </si>
  <si>
    <t>Scuzzy Old</t>
  </si>
  <si>
    <t>Ben</t>
  </si>
  <si>
    <t>Lomond</t>
  </si>
  <si>
    <t>Franklin</t>
  </si>
  <si>
    <t>Jack</t>
  </si>
  <si>
    <t>Shize</t>
  </si>
  <si>
    <t>Billy</t>
  </si>
  <si>
    <t>Bones</t>
  </si>
  <si>
    <t>Ted</t>
  </si>
  <si>
    <t>Tomes</t>
  </si>
  <si>
    <t>Tung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</si>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</sst>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00FF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26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14" fillId="13" borderId="45" xfId="0" applyFont="1" applyFill="1" applyBorder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zoomScale="120" zoomScaleNormal="120" workbookViewId="0">
      <pane ySplit="10" topLeftCell="A230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94" t="str">
        <f>Location &amp;  " -  Roster Sheets"</f>
        <v>Oodlawirra Quarantine Station -  Roster Sheets</v>
      </c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03"/>
      <c r="AF1" s="103"/>
      <c r="AG1" s="103"/>
      <c r="AH1" s="103"/>
    </row>
    <row r="2" spans="1:36" s="2" customFormat="1" ht="12" customHeight="1"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  <c r="AD2" s="195"/>
      <c r="AE2" s="103"/>
      <c r="AF2" s="103"/>
      <c r="AG2" s="103"/>
      <c r="AH2" s="103"/>
    </row>
    <row r="3" spans="1:36" s="2" customFormat="1" ht="17.25" customHeight="1">
      <c r="B3" s="29"/>
      <c r="J3" s="192" t="str">
        <f>"Financial Year Commencing - 1st July, "&amp; CurYear-1</f>
        <v>Financial Year Commencing - 1st July, 2015</v>
      </c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03"/>
      <c r="AF3" s="103"/>
      <c r="AG3" s="103"/>
      <c r="AH3" s="103"/>
    </row>
    <row r="4" spans="1:36" s="30" customFormat="1" ht="12" customHeight="1">
      <c r="B4" s="77" t="s">
        <v>113</v>
      </c>
      <c r="C4" s="191"/>
      <c r="D4" s="191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</row>
    <row r="5" spans="1:36" s="31" customFormat="1" ht="53.25" hidden="1" customHeight="1"/>
    <row r="6" spans="1:36" s="148" customFormat="1" ht="14.25" hidden="1" customHeight="1"/>
    <row r="7" spans="1:36" s="148" customFormat="1" ht="14.25" hidden="1" customHeight="1">
      <c r="C7" s="161" t="s">
        <v>59</v>
      </c>
      <c r="D7" s="163" t="s">
        <v>11</v>
      </c>
      <c r="E7" s="155" t="s">
        <v>60</v>
      </c>
      <c r="F7" s="156" t="s">
        <v>63</v>
      </c>
      <c r="G7" s="157"/>
      <c r="H7" s="157"/>
      <c r="I7" s="157"/>
      <c r="J7" s="159"/>
      <c r="K7" s="160"/>
      <c r="L7" s="154" t="s">
        <v>45</v>
      </c>
      <c r="M7" s="155" t="s">
        <v>60</v>
      </c>
      <c r="N7" s="156" t="s">
        <v>66</v>
      </c>
      <c r="O7" s="157"/>
      <c r="P7" s="157"/>
      <c r="Q7" s="159"/>
      <c r="R7" s="160"/>
      <c r="S7" s="154" t="s">
        <v>58</v>
      </c>
      <c r="T7" s="155" t="s">
        <v>60</v>
      </c>
      <c r="U7" s="156" t="s">
        <v>61</v>
      </c>
      <c r="V7" s="157"/>
      <c r="W7" s="157"/>
      <c r="X7" s="159"/>
      <c r="Y7" s="157"/>
      <c r="Z7" s="154" t="s">
        <v>40</v>
      </c>
      <c r="AA7" s="155" t="s">
        <v>60</v>
      </c>
      <c r="AB7" s="156" t="s">
        <v>70</v>
      </c>
      <c r="AC7" s="157"/>
      <c r="AD7" s="157"/>
      <c r="AE7" s="159"/>
    </row>
    <row r="8" spans="1:36" s="148" customFormat="1" ht="14.25" hidden="1" customHeight="1">
      <c r="C8" s="162"/>
      <c r="D8" s="163" t="s">
        <v>9</v>
      </c>
      <c r="E8" s="155" t="s">
        <v>60</v>
      </c>
      <c r="F8" s="156" t="s">
        <v>64</v>
      </c>
      <c r="G8" s="157"/>
      <c r="H8" s="157"/>
      <c r="I8" s="157"/>
      <c r="J8" s="159"/>
      <c r="K8" s="160"/>
      <c r="L8" s="158" t="s">
        <v>46</v>
      </c>
      <c r="M8" s="155" t="s">
        <v>60</v>
      </c>
      <c r="N8" s="156" t="s">
        <v>67</v>
      </c>
      <c r="O8" s="157"/>
      <c r="P8" s="157"/>
      <c r="Q8" s="159"/>
      <c r="R8" s="160"/>
      <c r="S8" s="154" t="s">
        <v>62</v>
      </c>
      <c r="T8" s="155" t="s">
        <v>60</v>
      </c>
      <c r="U8" s="156" t="s">
        <v>68</v>
      </c>
      <c r="V8" s="157"/>
      <c r="W8" s="157"/>
      <c r="X8" s="159"/>
      <c r="Y8" s="157"/>
      <c r="Z8" s="154" t="s">
        <v>39</v>
      </c>
      <c r="AA8" s="155" t="s">
        <v>60</v>
      </c>
      <c r="AB8" s="156" t="s">
        <v>69</v>
      </c>
      <c r="AC8" s="157"/>
      <c r="AD8" s="157"/>
      <c r="AE8" s="159"/>
    </row>
    <row r="9" spans="1:36" s="148" customFormat="1" ht="14.25" hidden="1" customHeight="1">
      <c r="C9" s="162"/>
      <c r="D9" s="163" t="s">
        <v>10</v>
      </c>
      <c r="E9" s="155" t="s">
        <v>60</v>
      </c>
      <c r="F9" s="156" t="s">
        <v>65</v>
      </c>
      <c r="G9" s="157"/>
      <c r="H9" s="157"/>
      <c r="I9" s="157"/>
      <c r="J9" s="159"/>
      <c r="K9" s="160"/>
      <c r="L9" s="158"/>
      <c r="M9" s="164"/>
      <c r="N9" s="157"/>
      <c r="O9" s="157"/>
      <c r="P9" s="157"/>
      <c r="Q9" s="159"/>
      <c r="R9" s="160"/>
      <c r="S9" s="165"/>
      <c r="T9" s="164"/>
      <c r="U9" s="157"/>
      <c r="V9" s="157"/>
      <c r="W9" s="157"/>
      <c r="X9" s="159"/>
      <c r="Y9" s="157"/>
      <c r="Z9" s="154"/>
      <c r="AA9" s="164"/>
      <c r="AB9" s="157"/>
      <c r="AC9" s="157"/>
      <c r="AD9" s="157"/>
      <c r="AE9" s="159"/>
      <c r="AI9" s="148" t="s">
        <v>62</v>
      </c>
    </row>
    <row r="10" spans="1:36" s="148" customFormat="1" ht="14.25" hidden="1" customHeight="1">
      <c r="D10" s="150"/>
      <c r="E10" s="153"/>
      <c r="K10" s="151"/>
      <c r="L10" s="152"/>
      <c r="M10" s="149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1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1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6">
        <v>10</v>
      </c>
      <c r="C23" s="90" t="str">
        <f>LEFT(EmpGName10)&amp;" " &amp;EmpSName10</f>
        <v>2 Odd2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6">
        <v>11</v>
      </c>
      <c r="C24" s="89" t="str">
        <f>LEFT(EmpGName11)&amp;" " &amp;EmpSName11</f>
        <v>3 Odd3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6">
        <v>12</v>
      </c>
      <c r="C25" s="90" t="str">
        <f>LEFT(EmpGName12)&amp;" " &amp;EmpSName12</f>
        <v>4 Odd4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6">
        <v>13</v>
      </c>
      <c r="C26" s="89" t="str">
        <f>LEFT(EmpGName13)&amp;" " &amp;EmpSName13</f>
        <v>A Odd5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6">
        <v>14</v>
      </c>
      <c r="C27" s="90" t="str">
        <f>LEFT(EmpGName14)&amp;" " &amp;EmpSName14</f>
        <v>B Odd6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6">
        <v>15</v>
      </c>
      <c r="C28" s="89" t="str">
        <f>LEFT(EmpGName15)&amp;" " &amp;EmpSName15</f>
        <v>C Odd7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6">
        <v>16</v>
      </c>
      <c r="C29" s="90" t="str">
        <f>LEFT(EmpGName16)&amp;" " &amp;EmpSName16</f>
        <v>D Odd8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6">
        <v>17</v>
      </c>
      <c r="C30" s="89" t="str">
        <f>LEFT(EmpGName17)&amp;" " &amp;EmpSName17</f>
        <v>E Odd9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6">
        <v>18</v>
      </c>
      <c r="C31" s="90" t="str">
        <f>LEFT(EmpGName18)&amp;" " &amp;EmpSName18</f>
        <v>F Odd10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6">
        <v>19</v>
      </c>
      <c r="C32" s="89" t="str">
        <f>LEFT(EmpGName19)&amp;" " &amp;EmpSName19</f>
        <v>S Jack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6">
        <v>20</v>
      </c>
      <c r="C33" s="90" t="str">
        <f>LEFT(EmpGName20)&amp;" " &amp;EmpSName20</f>
        <v>B Billy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6">
        <v>21</v>
      </c>
      <c r="C34" s="89" t="str">
        <f>LEFT(EmpGName21)&amp;" " &amp;EmpSName21</f>
        <v>T Ted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6">
        <v>22</v>
      </c>
      <c r="C35" s="90" t="str">
        <f>LEFT(EmpGName22)&amp;" " &amp;EmpSName22</f>
        <v>T Ben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6">
        <v>23</v>
      </c>
      <c r="C36" s="89" t="str">
        <f>LEFT(EmpGName23)&amp;" " &amp;EmpSName23</f>
        <v>T Long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6">
        <v>24</v>
      </c>
      <c r="C37" s="90" t="str">
        <f>LEFT(EmpGName24)&amp;" " &amp;EmpSName24</f>
        <v>L Odd16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6">
        <v>25</v>
      </c>
      <c r="C38" s="89" t="str">
        <f>LEFT(EmpGName25)&amp;" " &amp;EmpSName25</f>
        <v>H Charlie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6">
        <v>26</v>
      </c>
      <c r="C39" s="90" t="str">
        <f>LEFT(EmpGName26)&amp;" " &amp;EmpSName26</f>
        <v>H Scuzzy Old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6">
        <v>27</v>
      </c>
      <c r="C40" s="89" t="str">
        <f>LEFT(EmpGName27)&amp;" " &amp;EmpSName27</f>
        <v>L Ben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6">
        <v>28</v>
      </c>
      <c r="C41" s="90" t="str">
        <f>LEFT(EmpGName28)&amp;" " &amp;EmpSName28</f>
        <v>F Ben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2015: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8"/>
      <c r="C44" s="84" t="s">
        <v>19</v>
      </c>
      <c r="D44" s="85">
        <v>1</v>
      </c>
      <c r="E44" s="85">
        <v>2</v>
      </c>
      <c r="F44" s="171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1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1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6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6">
        <v>11</v>
      </c>
      <c r="C55" s="89" t="str">
        <f>LEFT(EmpGName11)&amp;" " &amp;EmpSName11</f>
        <v>3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6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6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6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6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6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6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6">
        <v>18</v>
      </c>
      <c r="C62" s="90" t="str">
        <f>LEFT(EmpGName18)&amp;" " &amp;EmpSName18</f>
        <v>F Odd10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6">
        <v>19</v>
      </c>
      <c r="C63" s="89" t="str">
        <f>LEFT(EmpGName19)&amp;" " &amp;EmpSName19</f>
        <v>S Jack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6">
        <v>20</v>
      </c>
      <c r="C64" s="90" t="str">
        <f>LEFT(EmpGName20)&amp;" " &amp;EmpSName20</f>
        <v>B Billy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6">
        <v>21</v>
      </c>
      <c r="C65" s="89" t="str">
        <f>LEFT(EmpGName21)&amp;" " &amp;EmpSName21</f>
        <v>T Ted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6">
        <v>22</v>
      </c>
      <c r="C66" s="90" t="str">
        <f>LEFT(EmpGName22)&amp;" " &amp;EmpSName22</f>
        <v>T Ben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6">
        <v>23</v>
      </c>
      <c r="C67" s="89" t="str">
        <f>LEFT(EmpGName23)&amp;" " &amp;EmpSName23</f>
        <v>T Long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6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6">
        <v>25</v>
      </c>
      <c r="C69" s="89" t="str">
        <f>LEFT(EmpGName25)&amp;" " &amp;EmpSName25</f>
        <v>H Charlie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6">
        <v>26</v>
      </c>
      <c r="C70" s="90" t="str">
        <f>LEFT(EmpGName26)&amp;" " &amp;EmpSName26</f>
        <v>H Scuzzy Old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6">
        <v>27</v>
      </c>
      <c r="C71" s="89" t="str">
        <f>LEFT(EmpGName27)&amp;" " &amp;EmpSName27</f>
        <v>L Ben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6">
        <v>28</v>
      </c>
      <c r="C72" s="90" t="str">
        <f>LEFT(EmpGName28)&amp;" " &amp;EmpSName28</f>
        <v>F Ben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2015: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71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71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6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6">
        <v>11</v>
      </c>
      <c r="C86" s="89" t="str">
        <f>LEFT(EmpGName11)&amp;" " &amp;EmpSName11</f>
        <v>3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6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6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6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6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6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6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6">
        <v>18</v>
      </c>
      <c r="C93" s="90" t="str">
        <f>LEFT(EmpGName18)&amp;" " &amp;EmpSName18</f>
        <v>F Odd10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6">
        <v>19</v>
      </c>
      <c r="C94" s="89" t="str">
        <f>LEFT(EmpGName19)&amp;" " &amp;EmpSName19</f>
        <v>S Jack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6">
        <v>20</v>
      </c>
      <c r="C95" s="90" t="str">
        <f>LEFT(EmpGName20)&amp;" " &amp;EmpSName20</f>
        <v>B Billy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6">
        <v>21</v>
      </c>
      <c r="C96" s="89" t="str">
        <f>LEFT(EmpGName21)&amp;" " &amp;EmpSName21</f>
        <v>T Ted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6">
        <v>22</v>
      </c>
      <c r="C97" s="90" t="str">
        <f>LEFT(EmpGName22)&amp;" " &amp;EmpSName22</f>
        <v>T Ben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6">
        <v>23</v>
      </c>
      <c r="C98" s="89" t="str">
        <f>LEFT(EmpGName23)&amp;" " &amp;EmpSName23</f>
        <v>T Long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6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6">
        <v>25</v>
      </c>
      <c r="C100" s="89" t="str">
        <f>LEFT(EmpGName25)&amp;" " &amp;EmpSName25</f>
        <v>H Charlie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6">
        <v>26</v>
      </c>
      <c r="C101" s="90" t="str">
        <f>LEFT(EmpGName26)&amp;" " &amp;EmpSName26</f>
        <v>H Scuzzy Old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6">
        <v>27</v>
      </c>
      <c r="C102" s="89" t="str">
        <f>LEFT(EmpGName27)&amp;" " &amp;EmpSName27</f>
        <v>L Ben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76">
        <v>28</v>
      </c>
      <c r="C103" s="177" t="str">
        <f>LEFT(EmpGName28)&amp;" " &amp;EmpSName28</f>
        <v>F Ben</v>
      </c>
      <c r="D103" s="178" t="s">
        <v>62</v>
      </c>
      <c r="E103" s="178" t="s">
        <v>62</v>
      </c>
      <c r="F103" s="178" t="s">
        <v>62</v>
      </c>
      <c r="G103" s="178" t="s">
        <v>62</v>
      </c>
      <c r="H103" s="178" t="s">
        <v>62</v>
      </c>
      <c r="I103" s="178" t="s">
        <v>62</v>
      </c>
      <c r="J103" s="178" t="s">
        <v>62</v>
      </c>
      <c r="K103" s="178" t="s">
        <v>62</v>
      </c>
      <c r="L103" s="178" t="s">
        <v>62</v>
      </c>
      <c r="M103" s="178" t="s">
        <v>62</v>
      </c>
      <c r="N103" s="178" t="s">
        <v>62</v>
      </c>
      <c r="O103" s="178" t="s">
        <v>62</v>
      </c>
      <c r="P103" s="178" t="s">
        <v>62</v>
      </c>
      <c r="Q103" s="178" t="s">
        <v>62</v>
      </c>
      <c r="R103" s="178" t="s">
        <v>62</v>
      </c>
      <c r="S103" s="178" t="s">
        <v>62</v>
      </c>
      <c r="T103" s="178" t="s">
        <v>62</v>
      </c>
      <c r="U103" s="178" t="s">
        <v>62</v>
      </c>
      <c r="V103" s="178" t="s">
        <v>62</v>
      </c>
      <c r="W103" s="178" t="s">
        <v>62</v>
      </c>
      <c r="X103" s="178" t="s">
        <v>62</v>
      </c>
      <c r="Y103" s="178" t="s">
        <v>62</v>
      </c>
      <c r="Z103" s="178" t="s">
        <v>62</v>
      </c>
      <c r="AA103" s="178" t="s">
        <v>62</v>
      </c>
      <c r="AB103" s="178" t="s">
        <v>62</v>
      </c>
      <c r="AC103" s="178" t="s">
        <v>62</v>
      </c>
      <c r="AD103" s="178" t="s">
        <v>62</v>
      </c>
      <c r="AE103" s="178" t="s">
        <v>62</v>
      </c>
      <c r="AF103" s="178" t="s">
        <v>62</v>
      </c>
      <c r="AG103" s="178" t="s">
        <v>62</v>
      </c>
    </row>
    <row r="104" spans="2:34" s="2" customFormat="1">
      <c r="B104" s="174"/>
      <c r="C104" s="175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2015: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71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71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6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6">
        <v>11</v>
      </c>
      <c r="C117" s="89" t="str">
        <f>LEFT(EmpGName11)&amp;" " &amp;EmpSName11</f>
        <v>3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6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6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6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6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6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6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6">
        <v>18</v>
      </c>
      <c r="C124" s="90" t="str">
        <f>LEFT(EmpGName18)&amp;" " &amp;EmpSName18</f>
        <v>F Odd10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6">
        <v>19</v>
      </c>
      <c r="C125" s="89" t="str">
        <f>LEFT(EmpGName19)&amp;" " &amp;EmpSName19</f>
        <v>S Jack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6">
        <v>20</v>
      </c>
      <c r="C126" s="90" t="str">
        <f>LEFT(EmpGName20)&amp;" " &amp;EmpSName20</f>
        <v>B Billy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6">
        <v>21</v>
      </c>
      <c r="C127" s="89" t="str">
        <f>LEFT(EmpGName21)&amp;" " &amp;EmpSName21</f>
        <v>T Ted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6">
        <v>22</v>
      </c>
      <c r="C128" s="90" t="str">
        <f>LEFT(EmpGName22)&amp;" " &amp;EmpSName22</f>
        <v>T Ben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6">
        <v>23</v>
      </c>
      <c r="C129" s="89" t="str">
        <f>LEFT(EmpGName23)&amp;" " &amp;EmpSName23</f>
        <v>T Long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6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6">
        <v>25</v>
      </c>
      <c r="C131" s="89" t="str">
        <f>LEFT(EmpGName25)&amp;" " &amp;EmpSName25</f>
        <v>H Charlie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6">
        <v>26</v>
      </c>
      <c r="C132" s="90" t="str">
        <f>LEFT(EmpGName26)&amp;" " &amp;EmpSName26</f>
        <v>H Scuzzy Old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6">
        <v>27</v>
      </c>
      <c r="C133" s="89" t="str">
        <f>LEFT(EmpGName27)&amp;" " &amp;EmpSName27</f>
        <v>L Ben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6">
        <v>28</v>
      </c>
      <c r="C134" s="90" t="str">
        <f>LEFT(EmpGName28)&amp;" " &amp;EmpSName28</f>
        <v>F Ben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2015: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71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71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6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6">
        <v>11</v>
      </c>
      <c r="C148" s="89" t="str">
        <f>LEFT(EmpGName11)&amp;" " &amp;EmpSName11</f>
        <v>3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6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6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6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6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6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6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6">
        <v>18</v>
      </c>
      <c r="C155" s="90" t="str">
        <f>LEFT(EmpGName18)&amp;" " &amp;EmpSName18</f>
        <v>F Odd10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6">
        <v>19</v>
      </c>
      <c r="C156" s="89" t="str">
        <f>LEFT(EmpGName19)&amp;" " &amp;EmpSName19</f>
        <v>S Jack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6">
        <v>20</v>
      </c>
      <c r="C157" s="90" t="str">
        <f>LEFT(EmpGName20)&amp;" " &amp;EmpSName20</f>
        <v>B Billy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6">
        <v>21</v>
      </c>
      <c r="C158" s="89" t="str">
        <f>LEFT(EmpGName21)&amp;" " &amp;EmpSName21</f>
        <v>T Ted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6">
        <v>22</v>
      </c>
      <c r="C159" s="90" t="str">
        <f>LEFT(EmpGName22)&amp;" " &amp;EmpSName22</f>
        <v>T Ben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6">
        <v>23</v>
      </c>
      <c r="C160" s="89" t="str">
        <f>LEFT(EmpGName23)&amp;" " &amp;EmpSName23</f>
        <v>T Long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6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6">
        <v>25</v>
      </c>
      <c r="C162" s="89" t="str">
        <f>LEFT(EmpGName25)&amp;" " &amp;EmpSName25</f>
        <v>H Charlie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6">
        <v>26</v>
      </c>
      <c r="C163" s="90" t="str">
        <f>LEFT(EmpGName26)&amp;" " &amp;EmpSName26</f>
        <v>H Scuzzy Old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6">
        <v>27</v>
      </c>
      <c r="C164" s="89" t="str">
        <f>LEFT(EmpGName27)&amp;" " &amp;EmpSName27</f>
        <v>L Ben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9">
        <v>28</v>
      </c>
      <c r="C165" s="180" t="str">
        <f>LEFT(EmpGName28)&amp;" " &amp;EmpSName28</f>
        <v>F Ben</v>
      </c>
      <c r="D165" s="181" t="s">
        <v>62</v>
      </c>
      <c r="E165" s="181" t="s">
        <v>62</v>
      </c>
      <c r="F165" s="181" t="s">
        <v>62</v>
      </c>
      <c r="G165" s="181" t="s">
        <v>62</v>
      </c>
      <c r="H165" s="181" t="s">
        <v>62</v>
      </c>
      <c r="I165" s="181" t="s">
        <v>62</v>
      </c>
      <c r="J165" s="181" t="s">
        <v>62</v>
      </c>
      <c r="K165" s="181" t="s">
        <v>62</v>
      </c>
      <c r="L165" s="181" t="s">
        <v>62</v>
      </c>
      <c r="M165" s="181" t="s">
        <v>62</v>
      </c>
      <c r="N165" s="181" t="s">
        <v>62</v>
      </c>
      <c r="O165" s="181" t="s">
        <v>62</v>
      </c>
      <c r="P165" s="181" t="s">
        <v>62</v>
      </c>
      <c r="Q165" s="181" t="s">
        <v>62</v>
      </c>
      <c r="R165" s="181" t="s">
        <v>62</v>
      </c>
      <c r="S165" s="181" t="s">
        <v>62</v>
      </c>
      <c r="T165" s="181" t="s">
        <v>62</v>
      </c>
      <c r="U165" s="181" t="s">
        <v>62</v>
      </c>
      <c r="V165" s="181" t="s">
        <v>62</v>
      </c>
      <c r="W165" s="181" t="s">
        <v>62</v>
      </c>
      <c r="X165" s="181" t="s">
        <v>62</v>
      </c>
      <c r="Y165" s="181" t="s">
        <v>62</v>
      </c>
      <c r="Z165" s="181" t="s">
        <v>62</v>
      </c>
      <c r="AA165" s="181" t="s">
        <v>62</v>
      </c>
      <c r="AB165" s="181" t="s">
        <v>62</v>
      </c>
      <c r="AC165" s="181" t="s">
        <v>62</v>
      </c>
      <c r="AD165" s="181" t="s">
        <v>62</v>
      </c>
      <c r="AE165" s="181" t="s">
        <v>62</v>
      </c>
      <c r="AF165" s="181" t="s">
        <v>62</v>
      </c>
      <c r="AG165" s="181" t="s">
        <v>62</v>
      </c>
    </row>
    <row r="166" spans="2:34" s="2" customFormat="1">
      <c r="B166" s="182"/>
      <c r="C166" s="183"/>
      <c r="D166" s="184"/>
      <c r="E166" s="184"/>
      <c r="F166" s="184"/>
      <c r="G166" s="184"/>
      <c r="H166" s="184"/>
      <c r="I166" s="184"/>
      <c r="J166" s="184"/>
      <c r="K166" s="184"/>
      <c r="L166" s="184"/>
      <c r="M166" s="184"/>
      <c r="N166" s="184"/>
      <c r="O166" s="184"/>
      <c r="P166" s="184"/>
      <c r="Q166" s="184"/>
      <c r="R166" s="184"/>
      <c r="S166" s="184"/>
      <c r="T166" s="184"/>
      <c r="U166" s="184"/>
      <c r="V166" s="184"/>
      <c r="W166" s="184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</row>
    <row r="167" spans="2:34">
      <c r="C167" t="str">
        <f>CurYear-1&amp;":"</f>
        <v>2015: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71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71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6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6">
        <v>11</v>
      </c>
      <c r="C179" s="89" t="str">
        <f>LEFT(EmpGName11)&amp;" " &amp;EmpSName11</f>
        <v>3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6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6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6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6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6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6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6">
        <v>18</v>
      </c>
      <c r="C186" s="90" t="str">
        <f>LEFT(EmpGName18)&amp;" " &amp;EmpSName18</f>
        <v>F Odd10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6">
        <v>19</v>
      </c>
      <c r="C187" s="89" t="str">
        <f>LEFT(EmpGName19)&amp;" " &amp;EmpSName19</f>
        <v>S Jack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6">
        <v>20</v>
      </c>
      <c r="C188" s="90" t="str">
        <f>LEFT(EmpGName20)&amp;" " &amp;EmpSName20</f>
        <v>B Billy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6">
        <v>21</v>
      </c>
      <c r="C189" s="89" t="str">
        <f>LEFT(EmpGName21)&amp;" " &amp;EmpSName21</f>
        <v>T Ted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6">
        <v>22</v>
      </c>
      <c r="C190" s="90" t="str">
        <f>LEFT(EmpGName22)&amp;" " &amp;EmpSName22</f>
        <v>T Ben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6">
        <v>23</v>
      </c>
      <c r="C191" s="89" t="str">
        <f>LEFT(EmpGName23)&amp;" " &amp;EmpSName23</f>
        <v>T Long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6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6">
        <v>25</v>
      </c>
      <c r="C193" s="89" t="str">
        <f>LEFT(EmpGName25)&amp;" " &amp;EmpSName25</f>
        <v>H Charlie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6">
        <v>26</v>
      </c>
      <c r="C194" s="90" t="str">
        <f>LEFT(EmpGName26)&amp;" " &amp;EmpSName26</f>
        <v>H Scuzzy Old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6">
        <v>27</v>
      </c>
      <c r="C195" s="89" t="str">
        <f>LEFT(EmpGName27)&amp;" " &amp;EmpSName27</f>
        <v>L Ben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6">
        <v>28</v>
      </c>
      <c r="C196" s="90" t="str">
        <f>LEFT(EmpGName28)&amp;" " &amp;EmpSName28</f>
        <v>F Ben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2016: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71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71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7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7">
        <v>11</v>
      </c>
      <c r="C210" s="89" t="str">
        <f>LEFT(EmpGName11)&amp;" " &amp;EmpSName11</f>
        <v>3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7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6">
        <v>13</v>
      </c>
      <c r="C212" s="89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6">
        <v>14</v>
      </c>
      <c r="C213" s="90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6">
        <v>15</v>
      </c>
      <c r="C214" s="89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6">
        <v>16</v>
      </c>
      <c r="C215" s="90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6">
        <v>17</v>
      </c>
      <c r="C216" s="89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6">
        <v>18</v>
      </c>
      <c r="C217" s="90" t="str">
        <f>LEFT(EmpGName18)&amp;" " &amp;EmpSName18</f>
        <v>F Odd10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6">
        <v>19</v>
      </c>
      <c r="C218" s="89" t="str">
        <f>LEFT(EmpGName19)&amp;" " &amp;EmpSName19</f>
        <v>S Jack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6">
        <v>20</v>
      </c>
      <c r="C219" s="90" t="str">
        <f>LEFT(EmpGName20)&amp;" " &amp;EmpSName20</f>
        <v>B Billy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6">
        <v>21</v>
      </c>
      <c r="C220" s="89" t="str">
        <f>LEFT(EmpGName21)&amp;" " &amp;EmpSName21</f>
        <v>T Ted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6">
        <v>22</v>
      </c>
      <c r="C221" s="90" t="str">
        <f>LEFT(EmpGName22)&amp;" " &amp;EmpSName22</f>
        <v>T Ben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6">
        <v>23</v>
      </c>
      <c r="C222" s="89" t="str">
        <f>LEFT(EmpGName23)&amp;" " &amp;EmpSName23</f>
        <v>T Long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6">
        <v>24</v>
      </c>
      <c r="C223" s="90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6">
        <v>25</v>
      </c>
      <c r="C224" s="89" t="str">
        <f>LEFT(EmpGName25)&amp;" " &amp;EmpSName25</f>
        <v>H Charlie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6">
        <v>26</v>
      </c>
      <c r="C225" s="90" t="str">
        <f>LEFT(EmpGName26)&amp;" " &amp;EmpSName26</f>
        <v>H Scuzzy Old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6">
        <v>27</v>
      </c>
      <c r="C226" s="89" t="str">
        <f>LEFT(EmpGName27)&amp;" " &amp;EmpSName27</f>
        <v>L Ben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6">
        <v>28</v>
      </c>
      <c r="C227" s="90" t="str">
        <f>LEFT(EmpGName28)&amp;" " &amp;EmpSName28</f>
        <v>F Ben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t="str">
        <f>CurYear&amp;":"</f>
        <v>2016: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85" t="str">
        <f t="shared" si="7"/>
        <v>Mo</v>
      </c>
    </row>
    <row r="230" spans="2:34">
      <c r="B230" s="86"/>
      <c r="C230" s="84" t="s">
        <v>13</v>
      </c>
      <c r="D230" s="171">
        <v>1</v>
      </c>
      <c r="E230" s="85">
        <v>2</v>
      </c>
      <c r="F230" s="85">
        <v>3</v>
      </c>
      <c r="G230" s="85">
        <v>4</v>
      </c>
      <c r="H230" s="85">
        <v>5</v>
      </c>
      <c r="I230" s="85">
        <v>6</v>
      </c>
      <c r="J230" s="85">
        <v>7</v>
      </c>
      <c r="K230" s="85">
        <v>8</v>
      </c>
      <c r="L230" s="85">
        <v>9</v>
      </c>
      <c r="M230" s="85">
        <v>10</v>
      </c>
      <c r="N230" s="85">
        <v>11</v>
      </c>
      <c r="O230" s="85">
        <v>12</v>
      </c>
      <c r="P230" s="85">
        <v>13</v>
      </c>
      <c r="Q230" s="85">
        <v>14</v>
      </c>
      <c r="R230" s="171">
        <v>15</v>
      </c>
      <c r="S230" s="85">
        <v>16</v>
      </c>
      <c r="T230" s="85">
        <v>17</v>
      </c>
      <c r="U230" s="85">
        <v>18</v>
      </c>
      <c r="V230" s="85">
        <v>19</v>
      </c>
      <c r="W230" s="85">
        <v>20</v>
      </c>
      <c r="X230" s="85">
        <v>21</v>
      </c>
      <c r="Y230" s="85">
        <v>22</v>
      </c>
      <c r="Z230" s="85">
        <v>23</v>
      </c>
      <c r="AA230" s="85">
        <v>24</v>
      </c>
      <c r="AB230" s="85">
        <v>25</v>
      </c>
      <c r="AC230" s="85">
        <v>26</v>
      </c>
      <c r="AD230" s="85">
        <v>27</v>
      </c>
      <c r="AE230" s="94">
        <v>28</v>
      </c>
      <c r="AF230" s="186">
        <v>29</v>
      </c>
      <c r="AG230" s="1"/>
      <c r="AH230" s="1"/>
    </row>
    <row r="231" spans="2:34">
      <c r="B231" s="83">
        <v>1</v>
      </c>
      <c r="C231" s="89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95" t="s">
        <v>62</v>
      </c>
      <c r="AF231" s="187" t="s">
        <v>62</v>
      </c>
      <c r="AG231" s="2"/>
      <c r="AH231" s="2"/>
    </row>
    <row r="232" spans="2:34">
      <c r="B232" s="83">
        <v>2</v>
      </c>
      <c r="C232" s="90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96" t="s">
        <v>62</v>
      </c>
      <c r="AF232" s="188" t="s">
        <v>62</v>
      </c>
      <c r="AG232" s="2"/>
      <c r="AH232" s="2"/>
    </row>
    <row r="233" spans="2:34">
      <c r="B233" s="83">
        <v>3</v>
      </c>
      <c r="C233" s="89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95" t="s">
        <v>62</v>
      </c>
      <c r="AF233" s="187" t="s">
        <v>62</v>
      </c>
      <c r="AG233" s="2"/>
      <c r="AH233" s="2"/>
    </row>
    <row r="234" spans="2:34">
      <c r="B234" s="83">
        <v>4</v>
      </c>
      <c r="C234" s="90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96" t="s">
        <v>62</v>
      </c>
      <c r="AF234" s="188" t="s">
        <v>62</v>
      </c>
      <c r="AG234" s="2"/>
      <c r="AH234" s="2"/>
    </row>
    <row r="235" spans="2:34">
      <c r="B235" s="83">
        <v>5</v>
      </c>
      <c r="C235" s="89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95" t="s">
        <v>62</v>
      </c>
      <c r="AF235" s="187" t="s">
        <v>62</v>
      </c>
      <c r="AG235" s="2"/>
      <c r="AH235" s="2"/>
    </row>
    <row r="236" spans="2:34">
      <c r="B236" s="83">
        <v>6</v>
      </c>
      <c r="C236" s="90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96" t="s">
        <v>62</v>
      </c>
      <c r="AF236" s="188" t="s">
        <v>62</v>
      </c>
      <c r="AG236" s="2"/>
      <c r="AH236" s="2"/>
    </row>
    <row r="237" spans="2:34">
      <c r="B237" s="83">
        <v>7</v>
      </c>
      <c r="C237" s="89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95" t="s">
        <v>62</v>
      </c>
      <c r="AF237" s="187" t="s">
        <v>62</v>
      </c>
      <c r="AG237" s="2"/>
      <c r="AH237" s="2"/>
    </row>
    <row r="238" spans="2:34">
      <c r="B238" s="83">
        <v>8</v>
      </c>
      <c r="C238" s="90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96" t="s">
        <v>62</v>
      </c>
      <c r="AF238" s="188" t="s">
        <v>62</v>
      </c>
      <c r="AG238" s="2"/>
      <c r="AH238" s="2"/>
    </row>
    <row r="239" spans="2:34">
      <c r="B239" s="83">
        <v>9</v>
      </c>
      <c r="C239" s="89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95" t="s">
        <v>62</v>
      </c>
      <c r="AF239" s="187" t="s">
        <v>62</v>
      </c>
      <c r="AG239" s="2"/>
      <c r="AH239" s="2"/>
    </row>
    <row r="240" spans="2:34">
      <c r="B240" s="147">
        <v>10</v>
      </c>
      <c r="C240" s="91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97" t="s">
        <v>62</v>
      </c>
      <c r="AF240" s="188" t="s">
        <v>62</v>
      </c>
      <c r="AG240" s="2"/>
      <c r="AH240" s="2"/>
    </row>
    <row r="241" spans="2:34">
      <c r="B241" s="147">
        <v>11</v>
      </c>
      <c r="C241" s="89" t="str">
        <f>LEFT(EmpGName11)&amp;" " &amp;EmpSName11</f>
        <v>3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95" t="s">
        <v>62</v>
      </c>
      <c r="AF241" s="187" t="s">
        <v>62</v>
      </c>
      <c r="AG241" s="2"/>
      <c r="AH241" s="2"/>
    </row>
    <row r="242" spans="2:34">
      <c r="B242" s="147">
        <v>12</v>
      </c>
      <c r="C242" s="91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97" t="s">
        <v>62</v>
      </c>
      <c r="AF242" s="188" t="s">
        <v>62</v>
      </c>
      <c r="AG242" s="2"/>
      <c r="AH242" s="2"/>
    </row>
    <row r="243" spans="2:34">
      <c r="B243" s="146">
        <v>13</v>
      </c>
      <c r="C243" s="89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4" t="s">
        <v>62</v>
      </c>
      <c r="AF243" s="4" t="s">
        <v>62</v>
      </c>
      <c r="AG243" s="2"/>
      <c r="AH243" s="2"/>
    </row>
    <row r="244" spans="2:34">
      <c r="B244" s="146">
        <v>14</v>
      </c>
      <c r="C244" s="90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3" t="s">
        <v>62</v>
      </c>
      <c r="AF244" s="3" t="s">
        <v>62</v>
      </c>
      <c r="AG244" s="2"/>
      <c r="AH244" s="2"/>
    </row>
    <row r="245" spans="2:34">
      <c r="B245" s="146">
        <v>15</v>
      </c>
      <c r="C245" s="89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4" t="s">
        <v>62</v>
      </c>
      <c r="AF245" s="4" t="s">
        <v>62</v>
      </c>
      <c r="AG245" s="2"/>
      <c r="AH245" s="2"/>
    </row>
    <row r="246" spans="2:34">
      <c r="B246" s="146">
        <v>16</v>
      </c>
      <c r="C246" s="90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3" t="s">
        <v>62</v>
      </c>
      <c r="AF246" s="3" t="s">
        <v>62</v>
      </c>
      <c r="AG246" s="2"/>
      <c r="AH246" s="2"/>
    </row>
    <row r="247" spans="2:34">
      <c r="B247" s="146">
        <v>17</v>
      </c>
      <c r="C247" s="89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4" t="s">
        <v>62</v>
      </c>
      <c r="AF247" s="4" t="s">
        <v>62</v>
      </c>
      <c r="AG247" s="2"/>
      <c r="AH247" s="2"/>
    </row>
    <row r="248" spans="2:34">
      <c r="B248" s="146">
        <v>18</v>
      </c>
      <c r="C248" s="90" t="str">
        <f>LEFT(EmpGName18)&amp;" " &amp;EmpSName18</f>
        <v>F Odd10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3" t="s">
        <v>62</v>
      </c>
      <c r="AF248" s="3" t="s">
        <v>62</v>
      </c>
      <c r="AG248" s="2"/>
      <c r="AH248" s="2"/>
    </row>
    <row r="249" spans="2:34">
      <c r="B249" s="146">
        <v>19</v>
      </c>
      <c r="C249" s="89" t="str">
        <f>LEFT(EmpGName19)&amp;" " &amp;EmpSName19</f>
        <v>S Jack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4" t="s">
        <v>62</v>
      </c>
      <c r="AF249" s="4" t="s">
        <v>62</v>
      </c>
      <c r="AG249" s="2"/>
      <c r="AH249" s="2"/>
    </row>
    <row r="250" spans="2:34">
      <c r="B250" s="146">
        <v>20</v>
      </c>
      <c r="C250" s="90" t="str">
        <f>LEFT(EmpGName20)&amp;" " &amp;EmpSName20</f>
        <v>B Billy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3" t="s">
        <v>62</v>
      </c>
      <c r="AF250" s="3" t="s">
        <v>62</v>
      </c>
      <c r="AG250" s="2"/>
      <c r="AH250" s="2"/>
    </row>
    <row r="251" spans="2:34">
      <c r="B251" s="146">
        <v>21</v>
      </c>
      <c r="C251" s="89" t="str">
        <f>LEFT(EmpGName21)&amp;" " &amp;EmpSName21</f>
        <v>T Ted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4" t="s">
        <v>62</v>
      </c>
      <c r="AF251" s="4" t="s">
        <v>62</v>
      </c>
      <c r="AG251" s="2"/>
      <c r="AH251" s="2"/>
    </row>
    <row r="252" spans="2:34">
      <c r="B252" s="146">
        <v>22</v>
      </c>
      <c r="C252" s="90" t="str">
        <f>LEFT(EmpGName22)&amp;" " &amp;EmpSName22</f>
        <v>T Ben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3" t="s">
        <v>62</v>
      </c>
      <c r="AF252" s="3" t="s">
        <v>62</v>
      </c>
      <c r="AG252" s="2"/>
      <c r="AH252" s="2"/>
    </row>
    <row r="253" spans="2:34">
      <c r="B253" s="146">
        <v>23</v>
      </c>
      <c r="C253" s="89" t="str">
        <f>LEFT(EmpGName23)&amp;" " &amp;EmpSName23</f>
        <v>T Long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4" t="s">
        <v>62</v>
      </c>
      <c r="AF253" s="4" t="s">
        <v>62</v>
      </c>
      <c r="AG253" s="2"/>
      <c r="AH253" s="2"/>
    </row>
    <row r="254" spans="2:34">
      <c r="B254" s="146">
        <v>24</v>
      </c>
      <c r="C254" s="90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3" t="s">
        <v>62</v>
      </c>
      <c r="AF254" s="3" t="s">
        <v>62</v>
      </c>
      <c r="AG254" s="2"/>
      <c r="AH254" s="2"/>
    </row>
    <row r="255" spans="2:34">
      <c r="B255" s="146">
        <v>25</v>
      </c>
      <c r="C255" s="89" t="str">
        <f>LEFT(EmpGName25)&amp;" " &amp;EmpSName25</f>
        <v>H Charlie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4" t="s">
        <v>62</v>
      </c>
      <c r="AF255" s="4" t="s">
        <v>62</v>
      </c>
      <c r="AG255" s="2"/>
      <c r="AH255" s="2"/>
    </row>
    <row r="256" spans="2:34">
      <c r="B256" s="146">
        <v>26</v>
      </c>
      <c r="C256" s="90" t="str">
        <f>LEFT(EmpGName26)&amp;" " &amp;EmpSName26</f>
        <v>H Scuzzy Old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3" t="s">
        <v>62</v>
      </c>
      <c r="AF256" s="3" t="s">
        <v>62</v>
      </c>
      <c r="AG256" s="2"/>
      <c r="AH256" s="2"/>
    </row>
    <row r="257" spans="2:34">
      <c r="B257" s="146">
        <v>27</v>
      </c>
      <c r="C257" s="89" t="str">
        <f>LEFT(EmpGName27)&amp;" " &amp;EmpSName27</f>
        <v>L Ben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4" t="s">
        <v>62</v>
      </c>
      <c r="AF257" s="4" t="s">
        <v>62</v>
      </c>
      <c r="AG257" s="2"/>
      <c r="AH257" s="2"/>
    </row>
    <row r="258" spans="2:34">
      <c r="B258" s="146">
        <v>28</v>
      </c>
      <c r="C258" s="90" t="str">
        <f>LEFT(EmpGName28)&amp;" " &amp;EmpSName28</f>
        <v>F Ben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3" t="s">
        <v>62</v>
      </c>
      <c r="AF258" s="3" t="s">
        <v>62</v>
      </c>
      <c r="AG258" s="7"/>
      <c r="AH258" s="7"/>
    </row>
    <row r="259" spans="2:34">
      <c r="B259" s="174"/>
      <c r="C259" s="175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t="str">
        <f>CurYear&amp;":"</f>
        <v>2016: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8"/>
      <c r="C261" s="84" t="s">
        <v>14</v>
      </c>
      <c r="D261" s="171">
        <v>1</v>
      </c>
      <c r="E261" s="85">
        <v>2</v>
      </c>
      <c r="F261" s="85">
        <v>3</v>
      </c>
      <c r="G261" s="85">
        <v>4</v>
      </c>
      <c r="H261" s="85">
        <v>5</v>
      </c>
      <c r="I261" s="85">
        <v>6</v>
      </c>
      <c r="J261" s="85">
        <v>7</v>
      </c>
      <c r="K261" s="85">
        <v>8</v>
      </c>
      <c r="L261" s="85">
        <v>9</v>
      </c>
      <c r="M261" s="85">
        <v>10</v>
      </c>
      <c r="N261" s="85">
        <v>11</v>
      </c>
      <c r="O261" s="85">
        <v>12</v>
      </c>
      <c r="P261" s="85">
        <v>13</v>
      </c>
      <c r="Q261" s="85">
        <v>14</v>
      </c>
      <c r="R261" s="171">
        <v>15</v>
      </c>
      <c r="S261" s="85">
        <v>16</v>
      </c>
      <c r="T261" s="85">
        <v>17</v>
      </c>
      <c r="U261" s="85">
        <v>18</v>
      </c>
      <c r="V261" s="85">
        <v>19</v>
      </c>
      <c r="W261" s="85">
        <v>20</v>
      </c>
      <c r="X261" s="85">
        <v>21</v>
      </c>
      <c r="Y261" s="85">
        <v>22</v>
      </c>
      <c r="Z261" s="85">
        <v>23</v>
      </c>
      <c r="AA261" s="85">
        <v>24</v>
      </c>
      <c r="AB261" s="85">
        <v>25</v>
      </c>
      <c r="AC261" s="85">
        <v>26</v>
      </c>
      <c r="AD261" s="85">
        <v>27</v>
      </c>
      <c r="AE261" s="85">
        <v>28</v>
      </c>
      <c r="AF261" s="171">
        <v>29</v>
      </c>
      <c r="AG261" s="85">
        <v>30</v>
      </c>
      <c r="AH261" s="85">
        <v>31</v>
      </c>
    </row>
    <row r="262" spans="2:34">
      <c r="B262" s="83">
        <v>1</v>
      </c>
      <c r="C262" s="89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90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9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90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9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90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9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90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9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7">
        <v>10</v>
      </c>
      <c r="C271" s="91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7">
        <v>11</v>
      </c>
      <c r="C272" s="89" t="str">
        <f>LEFT(EmpGName11)&amp;" " &amp;EmpSName11</f>
        <v>3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7">
        <v>12</v>
      </c>
      <c r="C273" s="91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6">
        <v>13</v>
      </c>
      <c r="C274" s="89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6">
        <v>14</v>
      </c>
      <c r="C275" s="90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6">
        <v>15</v>
      </c>
      <c r="C276" s="89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6">
        <v>16</v>
      </c>
      <c r="C277" s="90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6">
        <v>17</v>
      </c>
      <c r="C278" s="89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6">
        <v>18</v>
      </c>
      <c r="C279" s="90" t="str">
        <f>LEFT(EmpGName18)&amp;" " &amp;EmpSName18</f>
        <v>F Odd10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6">
        <v>19</v>
      </c>
      <c r="C280" s="89" t="str">
        <f>LEFT(EmpGName19)&amp;" " &amp;EmpSName19</f>
        <v>S Jack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6">
        <v>20</v>
      </c>
      <c r="C281" s="90" t="str">
        <f>LEFT(EmpGName20)&amp;" " &amp;EmpSName20</f>
        <v>B Billy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6">
        <v>21</v>
      </c>
      <c r="C282" s="89" t="str">
        <f>LEFT(EmpGName21)&amp;" " &amp;EmpSName21</f>
        <v>T Ted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6">
        <v>22</v>
      </c>
      <c r="C283" s="90" t="str">
        <f>LEFT(EmpGName22)&amp;" " &amp;EmpSName22</f>
        <v>T Ben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6">
        <v>23</v>
      </c>
      <c r="C284" s="89" t="str">
        <f>LEFT(EmpGName23)&amp;" " &amp;EmpSName23</f>
        <v>T Long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6">
        <v>24</v>
      </c>
      <c r="C285" s="90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6">
        <v>25</v>
      </c>
      <c r="C286" s="89" t="str">
        <f>LEFT(EmpGName25)&amp;" " &amp;EmpSName25</f>
        <v>H Charlie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6">
        <v>26</v>
      </c>
      <c r="C287" s="90" t="str">
        <f>LEFT(EmpGName26)&amp;" " &amp;EmpSName26</f>
        <v>H Scuzzy Old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6">
        <v>27</v>
      </c>
      <c r="C288" s="89" t="str">
        <f>LEFT(EmpGName27)&amp;" " &amp;EmpSName27</f>
        <v>L Ben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6">
        <v>28</v>
      </c>
      <c r="C289" s="90" t="str">
        <f>LEFT(EmpGName28)&amp;" " &amp;EmpSName28</f>
        <v>F Ben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t="str">
        <f>CurYear&amp;":"</f>
        <v>2016: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7"/>
      <c r="C292" s="84" t="s">
        <v>15</v>
      </c>
      <c r="D292" s="85">
        <v>1</v>
      </c>
      <c r="E292" s="85">
        <v>2</v>
      </c>
      <c r="F292" s="85">
        <v>3</v>
      </c>
      <c r="G292" s="85">
        <v>4</v>
      </c>
      <c r="H292" s="85">
        <v>5</v>
      </c>
      <c r="I292" s="85">
        <v>6</v>
      </c>
      <c r="J292" s="85">
        <v>7</v>
      </c>
      <c r="K292" s="85">
        <v>8</v>
      </c>
      <c r="L292" s="85">
        <v>9</v>
      </c>
      <c r="M292" s="85">
        <v>10</v>
      </c>
      <c r="N292" s="85">
        <v>11</v>
      </c>
      <c r="O292" s="171">
        <v>12</v>
      </c>
      <c r="P292" s="85">
        <v>13</v>
      </c>
      <c r="Q292" s="85">
        <v>14</v>
      </c>
      <c r="R292" s="85">
        <v>15</v>
      </c>
      <c r="S292" s="85">
        <v>16</v>
      </c>
      <c r="T292" s="85">
        <v>17</v>
      </c>
      <c r="U292" s="85">
        <v>18</v>
      </c>
      <c r="V292" s="85">
        <v>19</v>
      </c>
      <c r="W292" s="85">
        <v>20</v>
      </c>
      <c r="X292" s="85">
        <v>21</v>
      </c>
      <c r="Y292" s="85">
        <v>22</v>
      </c>
      <c r="Z292" s="85">
        <v>23</v>
      </c>
      <c r="AA292" s="85">
        <v>24</v>
      </c>
      <c r="AB292" s="85">
        <v>25</v>
      </c>
      <c r="AC292" s="171">
        <v>26</v>
      </c>
      <c r="AD292" s="85">
        <v>27</v>
      </c>
      <c r="AE292" s="85">
        <v>28</v>
      </c>
      <c r="AF292" s="85">
        <v>29</v>
      </c>
      <c r="AG292" s="85">
        <v>30</v>
      </c>
      <c r="AH292" s="92"/>
    </row>
    <row r="293" spans="2:34">
      <c r="B293" s="83">
        <v>1</v>
      </c>
      <c r="C293" s="89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90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9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90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9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90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9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90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9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7">
        <v>10</v>
      </c>
      <c r="C302" s="90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7">
        <v>11</v>
      </c>
      <c r="C303" s="89" t="str">
        <f>LEFT(EmpGName11)&amp;" " &amp;EmpSName11</f>
        <v>3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7">
        <v>12</v>
      </c>
      <c r="C304" s="90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6">
        <v>13</v>
      </c>
      <c r="C305" s="89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6">
        <v>14</v>
      </c>
      <c r="C306" s="90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6">
        <v>15</v>
      </c>
      <c r="C307" s="89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6">
        <v>16</v>
      </c>
      <c r="C308" s="90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6">
        <v>17</v>
      </c>
      <c r="C309" s="89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6">
        <v>18</v>
      </c>
      <c r="C310" s="90" t="str">
        <f>LEFT(EmpGName18)&amp;" " &amp;EmpSName18</f>
        <v>F Odd10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6">
        <v>19</v>
      </c>
      <c r="C311" s="89" t="str">
        <f>LEFT(EmpGName19)&amp;" " &amp;EmpSName19</f>
        <v>S Jack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6">
        <v>20</v>
      </c>
      <c r="C312" s="90" t="str">
        <f>LEFT(EmpGName20)&amp;" " &amp;EmpSName20</f>
        <v>B Billy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6">
        <v>21</v>
      </c>
      <c r="C313" s="89" t="str">
        <f>LEFT(EmpGName21)&amp;" " &amp;EmpSName21</f>
        <v>T Ted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6">
        <v>22</v>
      </c>
      <c r="C314" s="90" t="str">
        <f>LEFT(EmpGName22)&amp;" " &amp;EmpSName22</f>
        <v>T Ben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6">
        <v>23</v>
      </c>
      <c r="C315" s="89" t="str">
        <f>LEFT(EmpGName23)&amp;" " &amp;EmpSName23</f>
        <v>T Long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6">
        <v>24</v>
      </c>
      <c r="C316" s="90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6">
        <v>25</v>
      </c>
      <c r="C317" s="89" t="str">
        <f>LEFT(EmpGName25)&amp;" " &amp;EmpSName25</f>
        <v>H Charlie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6">
        <v>26</v>
      </c>
      <c r="C318" s="90" t="str">
        <f>LEFT(EmpGName26)&amp;" " &amp;EmpSName26</f>
        <v>H Scuzzy Old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6">
        <v>27</v>
      </c>
      <c r="C319" s="89" t="str">
        <f>LEFT(EmpGName27)&amp;" " &amp;EmpSName27</f>
        <v>L Ben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89">
        <v>28</v>
      </c>
      <c r="C320" s="190" t="str">
        <f>LEFT(EmpGName28)&amp;" " &amp;EmpSName28</f>
        <v>F Ben</v>
      </c>
      <c r="D320" s="188" t="s">
        <v>62</v>
      </c>
      <c r="E320" s="188" t="s">
        <v>62</v>
      </c>
      <c r="F320" s="188" t="s">
        <v>62</v>
      </c>
      <c r="G320" s="188" t="s">
        <v>62</v>
      </c>
      <c r="H320" s="188" t="s">
        <v>62</v>
      </c>
      <c r="I320" s="188" t="s">
        <v>62</v>
      </c>
      <c r="J320" s="188" t="s">
        <v>62</v>
      </c>
      <c r="K320" s="188" t="s">
        <v>62</v>
      </c>
      <c r="L320" s="188" t="s">
        <v>62</v>
      </c>
      <c r="M320" s="188" t="s">
        <v>62</v>
      </c>
      <c r="N320" s="188" t="s">
        <v>62</v>
      </c>
      <c r="O320" s="188" t="s">
        <v>62</v>
      </c>
      <c r="P320" s="188" t="s">
        <v>62</v>
      </c>
      <c r="Q320" s="188" t="s">
        <v>62</v>
      </c>
      <c r="R320" s="188" t="s">
        <v>62</v>
      </c>
      <c r="S320" s="188" t="s">
        <v>62</v>
      </c>
      <c r="T320" s="188" t="s">
        <v>62</v>
      </c>
      <c r="U320" s="188" t="s">
        <v>62</v>
      </c>
      <c r="V320" s="188" t="s">
        <v>62</v>
      </c>
      <c r="W320" s="188" t="s">
        <v>62</v>
      </c>
      <c r="X320" s="188" t="s">
        <v>62</v>
      </c>
      <c r="Y320" s="188" t="s">
        <v>62</v>
      </c>
      <c r="Z320" s="188" t="s">
        <v>62</v>
      </c>
      <c r="AA320" s="188" t="s">
        <v>62</v>
      </c>
      <c r="AB320" s="188" t="s">
        <v>62</v>
      </c>
      <c r="AC320" s="188" t="s">
        <v>62</v>
      </c>
      <c r="AD320" s="188" t="s">
        <v>62</v>
      </c>
      <c r="AE320" s="188" t="s">
        <v>62</v>
      </c>
      <c r="AF320" s="188" t="s">
        <v>62</v>
      </c>
      <c r="AG320" s="188" t="s">
        <v>62</v>
      </c>
      <c r="AH320" s="74"/>
    </row>
    <row r="321" spans="1:34">
      <c r="A321" s="20"/>
      <c r="AH321" s="2"/>
    </row>
    <row r="322" spans="1:34">
      <c r="C322" t="str">
        <f>CurYear&amp;":"</f>
        <v>2016: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8"/>
      <c r="C323" s="84" t="s">
        <v>16</v>
      </c>
      <c r="D323" s="85">
        <v>1</v>
      </c>
      <c r="E323" s="85">
        <v>2</v>
      </c>
      <c r="F323" s="85">
        <v>3</v>
      </c>
      <c r="G323" s="85">
        <v>4</v>
      </c>
      <c r="H323" s="85">
        <v>5</v>
      </c>
      <c r="I323" s="85">
        <v>6</v>
      </c>
      <c r="J323" s="85">
        <v>7</v>
      </c>
      <c r="K323" s="85">
        <v>8</v>
      </c>
      <c r="L323" s="85">
        <v>9</v>
      </c>
      <c r="M323" s="171">
        <v>10</v>
      </c>
      <c r="N323" s="85">
        <v>11</v>
      </c>
      <c r="O323" s="85">
        <v>12</v>
      </c>
      <c r="P323" s="85">
        <v>13</v>
      </c>
      <c r="Q323" s="85">
        <v>14</v>
      </c>
      <c r="R323" s="85">
        <v>15</v>
      </c>
      <c r="S323" s="85">
        <v>16</v>
      </c>
      <c r="T323" s="85">
        <v>17</v>
      </c>
      <c r="U323" s="85">
        <v>18</v>
      </c>
      <c r="V323" s="85">
        <v>19</v>
      </c>
      <c r="W323" s="85">
        <v>20</v>
      </c>
      <c r="X323" s="85">
        <v>21</v>
      </c>
      <c r="Y323" s="85">
        <v>22</v>
      </c>
      <c r="Z323" s="85">
        <v>23</v>
      </c>
      <c r="AA323" s="171">
        <v>24</v>
      </c>
      <c r="AB323" s="85">
        <v>25</v>
      </c>
      <c r="AC323" s="85">
        <v>26</v>
      </c>
      <c r="AD323" s="85">
        <v>27</v>
      </c>
      <c r="AE323" s="85">
        <v>28</v>
      </c>
      <c r="AF323" s="85">
        <v>29</v>
      </c>
      <c r="AG323" s="85">
        <v>30</v>
      </c>
      <c r="AH323" s="85">
        <v>31</v>
      </c>
    </row>
    <row r="324" spans="1:34">
      <c r="B324" s="85">
        <v>1</v>
      </c>
      <c r="C324" s="89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5">
        <v>2</v>
      </c>
      <c r="C325" s="90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5">
        <v>3</v>
      </c>
      <c r="C326" s="89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5">
        <v>4</v>
      </c>
      <c r="C327" s="90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5">
        <v>5</v>
      </c>
      <c r="C328" s="89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5">
        <v>6</v>
      </c>
      <c r="C329" s="90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5">
        <v>7</v>
      </c>
      <c r="C330" s="89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5">
        <v>8</v>
      </c>
      <c r="C331" s="90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5">
        <v>9</v>
      </c>
      <c r="C332" s="89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6">
        <v>10</v>
      </c>
      <c r="C333" s="90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6">
        <v>11</v>
      </c>
      <c r="C334" s="89" t="str">
        <f>LEFT(EmpGName11)&amp;" " &amp;EmpSName11</f>
        <v>3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6">
        <v>12</v>
      </c>
      <c r="C335" s="90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6">
        <v>13</v>
      </c>
      <c r="C336" s="89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6">
        <v>14</v>
      </c>
      <c r="C337" s="90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6">
        <v>15</v>
      </c>
      <c r="C338" s="89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6">
        <v>16</v>
      </c>
      <c r="C339" s="90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6">
        <v>17</v>
      </c>
      <c r="C340" s="89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6">
        <v>18</v>
      </c>
      <c r="C341" s="90" t="str">
        <f>LEFT(EmpGName18)&amp;" " &amp;EmpSName18</f>
        <v>F Odd10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6">
        <v>19</v>
      </c>
      <c r="C342" s="89" t="str">
        <f>LEFT(EmpGName19)&amp;" " &amp;EmpSName19</f>
        <v>S Jack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6">
        <v>20</v>
      </c>
      <c r="C343" s="90" t="str">
        <f>LEFT(EmpGName20)&amp;" " &amp;EmpSName20</f>
        <v>B Billy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6">
        <v>21</v>
      </c>
      <c r="C344" s="89" t="str">
        <f>LEFT(EmpGName21)&amp;" " &amp;EmpSName21</f>
        <v>T Ted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6">
        <v>22</v>
      </c>
      <c r="C345" s="90" t="str">
        <f>LEFT(EmpGName22)&amp;" " &amp;EmpSName22</f>
        <v>T Ben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6">
        <v>23</v>
      </c>
      <c r="C346" s="89" t="str">
        <f>LEFT(EmpGName23)&amp;" " &amp;EmpSName23</f>
        <v>T Long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6">
        <v>24</v>
      </c>
      <c r="C347" s="90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6">
        <v>25</v>
      </c>
      <c r="C348" s="89" t="str">
        <f>LEFT(EmpGName25)&amp;" " &amp;EmpSName25</f>
        <v>H Charlie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6">
        <v>26</v>
      </c>
      <c r="C349" s="90" t="str">
        <f>LEFT(EmpGName26)&amp;" " &amp;EmpSName26</f>
        <v>H Scuzzy Old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6">
        <v>27</v>
      </c>
      <c r="C350" s="89" t="str">
        <f>LEFT(EmpGName27)&amp;" " &amp;EmpSName27</f>
        <v>L Ben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6">
        <v>28</v>
      </c>
      <c r="C351" s="90" t="str">
        <f>LEFT(EmpGName28)&amp;" " &amp;EmpSName28</f>
        <v>F Ben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t="str">
        <f>CurYear&amp;":"</f>
        <v>2016: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8"/>
      <c r="C354" s="84" t="s">
        <v>17</v>
      </c>
      <c r="D354" s="85">
        <v>1</v>
      </c>
      <c r="E354" s="85">
        <v>2</v>
      </c>
      <c r="F354" s="85">
        <v>3</v>
      </c>
      <c r="G354" s="85">
        <v>4</v>
      </c>
      <c r="H354" s="85">
        <v>5</v>
      </c>
      <c r="I354" s="85">
        <v>6</v>
      </c>
      <c r="J354" s="171">
        <v>7</v>
      </c>
      <c r="K354" s="85">
        <v>8</v>
      </c>
      <c r="L354" s="85">
        <v>9</v>
      </c>
      <c r="M354" s="85">
        <v>10</v>
      </c>
      <c r="N354" s="85">
        <v>11</v>
      </c>
      <c r="O354" s="85">
        <v>12</v>
      </c>
      <c r="P354" s="85">
        <v>13</v>
      </c>
      <c r="Q354" s="85">
        <v>14</v>
      </c>
      <c r="R354" s="85">
        <v>15</v>
      </c>
      <c r="S354" s="85">
        <v>16</v>
      </c>
      <c r="T354" s="85">
        <v>17</v>
      </c>
      <c r="U354" s="85">
        <v>18</v>
      </c>
      <c r="V354" s="85">
        <v>19</v>
      </c>
      <c r="W354" s="85">
        <v>20</v>
      </c>
      <c r="X354" s="171">
        <v>21</v>
      </c>
      <c r="Y354" s="85">
        <v>22</v>
      </c>
      <c r="Z354" s="85">
        <v>23</v>
      </c>
      <c r="AA354" s="85">
        <v>24</v>
      </c>
      <c r="AB354" s="85">
        <v>25</v>
      </c>
      <c r="AC354" s="85">
        <v>26</v>
      </c>
      <c r="AD354" s="85">
        <v>27</v>
      </c>
      <c r="AE354" s="85">
        <v>28</v>
      </c>
      <c r="AF354" s="85">
        <v>29</v>
      </c>
      <c r="AG354" s="85">
        <v>30</v>
      </c>
      <c r="AH354" s="92"/>
    </row>
    <row r="355" spans="2:34">
      <c r="B355" s="85">
        <v>1</v>
      </c>
      <c r="C355" s="89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5">
        <v>2</v>
      </c>
      <c r="C356" s="90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5">
        <v>3</v>
      </c>
      <c r="C357" s="89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5">
        <v>4</v>
      </c>
      <c r="C358" s="90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5">
        <v>5</v>
      </c>
      <c r="C359" s="89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5">
        <v>6</v>
      </c>
      <c r="C360" s="90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5">
        <v>7</v>
      </c>
      <c r="C361" s="89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5">
        <v>8</v>
      </c>
      <c r="C362" s="90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5">
        <v>9</v>
      </c>
      <c r="C363" s="89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6">
        <v>10</v>
      </c>
      <c r="C364" s="90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6">
        <v>11</v>
      </c>
      <c r="C365" s="89" t="str">
        <f>LEFT(EmpGName11)&amp;" " &amp;EmpSName11</f>
        <v>3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6">
        <v>12</v>
      </c>
      <c r="C366" s="90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6">
        <v>13</v>
      </c>
      <c r="C367" s="89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6">
        <v>14</v>
      </c>
      <c r="C368" s="90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6">
        <v>15</v>
      </c>
      <c r="C369" s="89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6">
        <v>16</v>
      </c>
      <c r="C370" s="90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6">
        <v>17</v>
      </c>
      <c r="C371" s="89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6">
        <v>18</v>
      </c>
      <c r="C372" s="90" t="str">
        <f>LEFT(EmpGName18)&amp;" " &amp;EmpSName18</f>
        <v>F Odd10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6">
        <v>19</v>
      </c>
      <c r="C373" s="89" t="str">
        <f>LEFT(EmpGName19)&amp;" " &amp;EmpSName19</f>
        <v>S Jack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6">
        <v>20</v>
      </c>
      <c r="C374" s="90" t="str">
        <f>LEFT(EmpGName20)&amp;" " &amp;EmpSName20</f>
        <v>B Billy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6">
        <v>21</v>
      </c>
      <c r="C375" s="89" t="str">
        <f>LEFT(EmpGName21)&amp;" " &amp;EmpSName21</f>
        <v>T Ted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6">
        <v>22</v>
      </c>
      <c r="C376" s="90" t="str">
        <f>LEFT(EmpGName22)&amp;" " &amp;EmpSName22</f>
        <v>T Ben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6">
        <v>23</v>
      </c>
      <c r="C377" s="89" t="str">
        <f>LEFT(EmpGName23)&amp;" " &amp;EmpSName23</f>
        <v>T Long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6">
        <v>24</v>
      </c>
      <c r="C378" s="90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6">
        <v>25</v>
      </c>
      <c r="C379" s="89" t="str">
        <f>LEFT(EmpGName25)&amp;" " &amp;EmpSName25</f>
        <v>H Charlie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6">
        <v>26</v>
      </c>
      <c r="C380" s="90" t="str">
        <f>LEFT(EmpGName26)&amp;" " &amp;EmpSName26</f>
        <v>H Scuzzy Old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6">
        <v>27</v>
      </c>
      <c r="C381" s="89" t="str">
        <f>LEFT(EmpGName27)&amp;" " &amp;EmpSName27</f>
        <v>L Ben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89">
        <v>28</v>
      </c>
      <c r="C382" s="190" t="str">
        <f>LEFT(EmpGName28)&amp;" " &amp;EmpSName28</f>
        <v>F Ben</v>
      </c>
      <c r="D382" s="188" t="s">
        <v>62</v>
      </c>
      <c r="E382" s="188" t="s">
        <v>62</v>
      </c>
      <c r="F382" s="188" t="s">
        <v>62</v>
      </c>
      <c r="G382" s="188" t="s">
        <v>62</v>
      </c>
      <c r="H382" s="188" t="s">
        <v>62</v>
      </c>
      <c r="I382" s="188" t="s">
        <v>62</v>
      </c>
      <c r="J382" s="188" t="s">
        <v>62</v>
      </c>
      <c r="K382" s="188" t="s">
        <v>62</v>
      </c>
      <c r="L382" s="188" t="s">
        <v>62</v>
      </c>
      <c r="M382" s="188" t="s">
        <v>62</v>
      </c>
      <c r="N382" s="188" t="s">
        <v>62</v>
      </c>
      <c r="O382" s="188" t="s">
        <v>62</v>
      </c>
      <c r="P382" s="188" t="s">
        <v>62</v>
      </c>
      <c r="Q382" s="188" t="s">
        <v>62</v>
      </c>
      <c r="R382" s="188" t="s">
        <v>62</v>
      </c>
      <c r="S382" s="188" t="s">
        <v>62</v>
      </c>
      <c r="T382" s="188" t="s">
        <v>62</v>
      </c>
      <c r="U382" s="188" t="s">
        <v>62</v>
      </c>
      <c r="V382" s="188" t="s">
        <v>62</v>
      </c>
      <c r="W382" s="188" t="s">
        <v>62</v>
      </c>
      <c r="X382" s="188" t="s">
        <v>62</v>
      </c>
      <c r="Y382" s="188" t="s">
        <v>62</v>
      </c>
      <c r="Z382" s="188" t="s">
        <v>62</v>
      </c>
      <c r="AA382" s="188" t="s">
        <v>62</v>
      </c>
      <c r="AB382" s="188" t="s">
        <v>62</v>
      </c>
      <c r="AC382" s="188" t="s">
        <v>62</v>
      </c>
      <c r="AD382" s="188" t="s">
        <v>62</v>
      </c>
      <c r="AE382" s="188" t="s">
        <v>62</v>
      </c>
      <c r="AF382" s="188" t="s">
        <v>62</v>
      </c>
      <c r="AG382" s="188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4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00:AH227 D169:AH196 D262:AH289 D14:AH41 D45:AH72 D76:AG104 D107:AH134 D138:AG166 D231:AF25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showRowColHeaders="0" topLeftCell="A22" workbookViewId="0">
      <selection activeCell="C31" sqref="C31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4" t="s">
        <v>24</v>
      </c>
      <c r="D3" s="145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198" t="s">
        <v>0</v>
      </c>
      <c r="C6" s="199"/>
      <c r="D6" s="199"/>
      <c r="E6" s="200"/>
      <c r="G6" s="196" t="s">
        <v>7</v>
      </c>
      <c r="I6" s="196" t="s">
        <v>12</v>
      </c>
      <c r="K6" s="196" t="s">
        <v>72</v>
      </c>
      <c r="M6" s="201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97"/>
      <c r="I7" s="197"/>
      <c r="K7" s="197"/>
      <c r="M7" s="201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6" t="s">
        <v>10</v>
      </c>
      <c r="K8" s="170">
        <v>43287</v>
      </c>
      <c r="M8" s="169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7" t="s">
        <v>11</v>
      </c>
      <c r="M9" s="169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7" t="s">
        <v>9</v>
      </c>
      <c r="M10" s="169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7" t="s">
        <v>58</v>
      </c>
      <c r="M11" s="169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7" t="s">
        <v>39</v>
      </c>
      <c r="M12" s="169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7" t="s">
        <v>40</v>
      </c>
      <c r="M13" s="169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7" t="s">
        <v>45</v>
      </c>
      <c r="M14" s="169">
        <f t="shared" si="0"/>
        <v>43371</v>
      </c>
    </row>
    <row r="15" spans="2:13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7" t="s">
        <v>46</v>
      </c>
      <c r="M15" s="169">
        <f t="shared" si="0"/>
        <v>43385</v>
      </c>
    </row>
    <row r="16" spans="2:13" ht="14.4" thickBot="1">
      <c r="B16" s="50" t="s">
        <v>38</v>
      </c>
      <c r="C16" s="58" t="s">
        <v>92</v>
      </c>
      <c r="D16" s="58" t="s">
        <v>103</v>
      </c>
      <c r="E16" s="63" t="str">
        <f>LEFT(EmpGName09)&amp;" " &amp; LEFT(EmpSName09)</f>
        <v>1 O</v>
      </c>
      <c r="I16" s="167" t="s">
        <v>51</v>
      </c>
      <c r="M16" s="169">
        <f t="shared" si="0"/>
        <v>43399</v>
      </c>
    </row>
    <row r="17" spans="2:13" ht="14.4" thickBot="1">
      <c r="B17" s="66" t="s">
        <v>47</v>
      </c>
      <c r="C17" s="58" t="s">
        <v>93</v>
      </c>
      <c r="D17" s="58" t="s">
        <v>104</v>
      </c>
      <c r="E17" s="63" t="str">
        <f>LEFT(EmpGName10)&amp;" " &amp; LEFT(EmpSName10)</f>
        <v>2 O</v>
      </c>
      <c r="I17" s="167" t="s">
        <v>62</v>
      </c>
      <c r="M17" s="169">
        <f t="shared" si="0"/>
        <v>43413</v>
      </c>
    </row>
    <row r="18" spans="2:13" ht="14.4" thickBot="1">
      <c r="B18" s="66" t="s">
        <v>48</v>
      </c>
      <c r="C18" s="58" t="s">
        <v>94</v>
      </c>
      <c r="D18" s="58" t="s">
        <v>114</v>
      </c>
      <c r="E18" s="63" t="str">
        <f>LEFT(EmpGName11)&amp;" " &amp; LEFT(EmpSName11)</f>
        <v>3 O</v>
      </c>
      <c r="I18" s="168"/>
      <c r="M18" s="169">
        <f t="shared" si="0"/>
        <v>43427</v>
      </c>
    </row>
    <row r="19" spans="2:13" ht="14.4" thickBot="1">
      <c r="B19" s="66" t="s">
        <v>49</v>
      </c>
      <c r="C19" s="172" t="s">
        <v>95</v>
      </c>
      <c r="D19" s="172" t="s">
        <v>105</v>
      </c>
      <c r="E19" s="63" t="str">
        <f>LEFT(EmpGName12)&amp;" " &amp; LEFT(EmpSName12)</f>
        <v>4 O</v>
      </c>
      <c r="M19" s="169">
        <f>M18+7*2</f>
        <v>43441</v>
      </c>
    </row>
    <row r="20" spans="2:13" ht="14.4" thickBot="1">
      <c r="B20" s="66" t="s">
        <v>74</v>
      </c>
      <c r="C20" s="172" t="s">
        <v>96</v>
      </c>
      <c r="D20" s="172" t="s">
        <v>106</v>
      </c>
      <c r="E20" s="63" t="str">
        <f>LEFT(EmpGName13)&amp;" " &amp; LEFT(EmpSName13)</f>
        <v>A O</v>
      </c>
      <c r="M20" s="169">
        <f t="shared" si="0"/>
        <v>43455</v>
      </c>
    </row>
    <row r="21" spans="2:13" ht="14.4" thickBot="1">
      <c r="B21" s="66" t="s">
        <v>75</v>
      </c>
      <c r="C21" s="172" t="s">
        <v>97</v>
      </c>
      <c r="D21" s="172" t="s">
        <v>107</v>
      </c>
      <c r="E21" s="63" t="str">
        <f>LEFT(EmpGName14)&amp;" " &amp; LEFT(EmpSName14)</f>
        <v>B O</v>
      </c>
      <c r="M21" s="169">
        <f t="shared" si="0"/>
        <v>43469</v>
      </c>
    </row>
    <row r="22" spans="2:13" ht="14.4" thickBot="1">
      <c r="B22" s="66" t="s">
        <v>76</v>
      </c>
      <c r="C22" s="172" t="s">
        <v>98</v>
      </c>
      <c r="D22" s="172" t="s">
        <v>108</v>
      </c>
      <c r="E22" s="63" t="str">
        <f>LEFT(EmpGName15)&amp;" " &amp; LEFT(EmpSName15)</f>
        <v>C O</v>
      </c>
      <c r="M22" s="169">
        <f t="shared" si="0"/>
        <v>43483</v>
      </c>
    </row>
    <row r="23" spans="2:13" ht="14.4" thickBot="1">
      <c r="B23" s="66" t="s">
        <v>77</v>
      </c>
      <c r="C23" s="172" t="s">
        <v>99</v>
      </c>
      <c r="D23" s="172" t="s">
        <v>109</v>
      </c>
      <c r="E23" s="63" t="str">
        <f>LEFT(EmpGName16)&amp;" " &amp; LEFT(EmpSName16)</f>
        <v>D O</v>
      </c>
      <c r="M23" s="169">
        <f t="shared" si="0"/>
        <v>43497</v>
      </c>
    </row>
    <row r="24" spans="2:13" ht="14.4" thickBot="1">
      <c r="B24" s="66" t="s">
        <v>78</v>
      </c>
      <c r="C24" s="172" t="s">
        <v>100</v>
      </c>
      <c r="D24" s="172" t="s">
        <v>110</v>
      </c>
      <c r="E24" s="63" t="str">
        <f>LEFT(EmpGName17)&amp;" " &amp; LEFT(EmpSName17)</f>
        <v>E O</v>
      </c>
      <c r="M24" s="169">
        <f t="shared" si="0"/>
        <v>43511</v>
      </c>
    </row>
    <row r="25" spans="2:13" ht="14.4" thickBot="1">
      <c r="B25" s="66" t="s">
        <v>79</v>
      </c>
      <c r="C25" s="172" t="s">
        <v>101</v>
      </c>
      <c r="D25" s="172" t="s">
        <v>111</v>
      </c>
      <c r="E25" s="63" t="str">
        <f>LEFT(EmpGName18)&amp;" " &amp; LEFT(EmpSName18)</f>
        <v>F O</v>
      </c>
      <c r="M25" s="169">
        <f t="shared" si="0"/>
        <v>43525</v>
      </c>
    </row>
    <row r="26" spans="2:13" ht="14.4" thickBot="1">
      <c r="B26" s="66" t="s">
        <v>80</v>
      </c>
      <c r="C26" s="172" t="s">
        <v>121</v>
      </c>
      <c r="D26" s="172" t="s">
        <v>122</v>
      </c>
      <c r="E26" s="63" t="str">
        <f>LEFT(EmpGName19)&amp;" " &amp; LEFT(EmpSName19)</f>
        <v>S J</v>
      </c>
      <c r="M26" s="169">
        <f t="shared" si="0"/>
        <v>43539</v>
      </c>
    </row>
    <row r="27" spans="2:13" ht="14.4" thickBot="1">
      <c r="B27" s="66" t="s">
        <v>81</v>
      </c>
      <c r="C27" s="172" t="s">
        <v>123</v>
      </c>
      <c r="D27" s="172" t="s">
        <v>124</v>
      </c>
      <c r="E27" s="63" t="str">
        <f>LEFT(EmpGName20)&amp;" " &amp; LEFT(EmpSName20)</f>
        <v>B B</v>
      </c>
      <c r="M27" s="169">
        <f t="shared" si="0"/>
        <v>43553</v>
      </c>
    </row>
    <row r="28" spans="2:13" ht="14.4" thickBot="1">
      <c r="B28" s="66" t="s">
        <v>82</v>
      </c>
      <c r="C28" s="172" t="s">
        <v>125</v>
      </c>
      <c r="D28" s="172" t="s">
        <v>126</v>
      </c>
      <c r="E28" s="63" t="str">
        <f>LEFT(EmpGName21)&amp;" " &amp; LEFT(EmpSName21)</f>
        <v>T T</v>
      </c>
      <c r="M28" s="169">
        <f t="shared" si="0"/>
        <v>43567</v>
      </c>
    </row>
    <row r="29" spans="2:13" ht="14.4" thickBot="1">
      <c r="B29" s="66" t="s">
        <v>83</v>
      </c>
      <c r="C29" s="172" t="s">
        <v>118</v>
      </c>
      <c r="D29" s="172" t="s">
        <v>127</v>
      </c>
      <c r="E29" s="63" t="str">
        <f>LEFT(EmpGName22)&amp;" " &amp; LEFT(EmpSName22)</f>
        <v>T B</v>
      </c>
      <c r="M29" s="169">
        <f t="shared" si="0"/>
        <v>43581</v>
      </c>
    </row>
    <row r="30" spans="2:13" ht="14.4" thickBot="1">
      <c r="B30" s="66" t="s">
        <v>84</v>
      </c>
      <c r="C30" s="172" t="s">
        <v>128</v>
      </c>
      <c r="D30" s="172" t="s">
        <v>127</v>
      </c>
      <c r="E30" s="63" t="str">
        <f>LEFT(EmpGName23)&amp;" " &amp; LEFT(EmpSName23)</f>
        <v>T L</v>
      </c>
      <c r="M30" s="169">
        <f t="shared" si="0"/>
        <v>43595</v>
      </c>
    </row>
    <row r="31" spans="2:13" ht="14.4" thickBot="1">
      <c r="B31" s="66" t="s">
        <v>85</v>
      </c>
      <c r="C31" s="172" t="s">
        <v>102</v>
      </c>
      <c r="D31" s="172" t="s">
        <v>112</v>
      </c>
      <c r="E31" s="63" t="str">
        <f>LEFT(EmpGName24)&amp;" " &amp; LEFT(EmpSName24)</f>
        <v>L O</v>
      </c>
      <c r="M31" s="169">
        <f t="shared" si="0"/>
        <v>43609</v>
      </c>
    </row>
    <row r="32" spans="2:13" ht="14.4" thickBot="1">
      <c r="B32" s="66" t="s">
        <v>86</v>
      </c>
      <c r="C32" s="172" t="s">
        <v>115</v>
      </c>
      <c r="D32" s="172" t="s">
        <v>116</v>
      </c>
      <c r="E32" s="63" t="str">
        <f>LEFT(EmpGName25)&amp;" " &amp; LEFT(EmpSName25)</f>
        <v>H C</v>
      </c>
      <c r="M32" s="169">
        <f t="shared" si="0"/>
        <v>43623</v>
      </c>
    </row>
    <row r="33" spans="2:13" ht="14.4" thickBot="1">
      <c r="B33" s="66" t="s">
        <v>87</v>
      </c>
      <c r="C33" s="172" t="s">
        <v>117</v>
      </c>
      <c r="D33" s="172" t="s">
        <v>116</v>
      </c>
      <c r="E33" s="63" t="str">
        <f>LEFT(EmpGName26)&amp;" " &amp; LEFT(EmpSName26)</f>
        <v>H S</v>
      </c>
      <c r="M33" s="169">
        <f t="shared" si="0"/>
        <v>43637</v>
      </c>
    </row>
    <row r="34" spans="2:13" ht="14.4" thickBot="1">
      <c r="B34" s="66" t="s">
        <v>88</v>
      </c>
      <c r="C34" s="172" t="s">
        <v>118</v>
      </c>
      <c r="D34" s="172" t="s">
        <v>119</v>
      </c>
      <c r="E34" s="63" t="str">
        <f>LEFT(EmpGName27)&amp;" " &amp; LEFT(EmpSName27)</f>
        <v>L B</v>
      </c>
      <c r="M34" s="169">
        <f t="shared" si="0"/>
        <v>43651</v>
      </c>
    </row>
    <row r="35" spans="2:13" ht="14.4" thickBot="1">
      <c r="B35" s="67" t="s">
        <v>89</v>
      </c>
      <c r="C35" s="173" t="s">
        <v>118</v>
      </c>
      <c r="D35" s="173" t="s">
        <v>120</v>
      </c>
      <c r="E35" s="93" t="str">
        <f>LEFT(EmpGName28)&amp;" " &amp; LEFT(EmpSName28)</f>
        <v>F B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4" t="str">
        <f>Location</f>
        <v>Oodlawirra Quarantine Station</v>
      </c>
      <c r="J2" s="107"/>
      <c r="K2" s="107"/>
      <c r="L2" s="107"/>
      <c r="M2" s="107"/>
      <c r="N2" s="107"/>
      <c r="O2" s="107"/>
      <c r="P2" s="107"/>
      <c r="Q2" s="107"/>
      <c r="R2" s="124" t="str">
        <f xml:space="preserve"> "Financial Year Commencing 1st July, " &amp; CurYear -1</f>
        <v>Financial Year Commencing 1st July, 2015</v>
      </c>
      <c r="S2" s="34"/>
      <c r="T2" s="107"/>
      <c r="U2" s="107"/>
      <c r="V2" s="34"/>
      <c r="W2" s="107"/>
      <c r="X2" s="107"/>
      <c r="Y2" s="107"/>
      <c r="Z2" s="107"/>
      <c r="AA2" s="107"/>
      <c r="AB2" s="107"/>
      <c r="AC2" s="107"/>
      <c r="AD2" s="107"/>
      <c r="AE2" s="107"/>
      <c r="AF2" s="107"/>
    </row>
    <row r="3" spans="2:33" s="26" customFormat="1" ht="27" customHeight="1">
      <c r="B3" s="47"/>
      <c r="I3" s="125" t="s">
        <v>25</v>
      </c>
      <c r="R3" s="125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4" customFormat="1" ht="13.8" thickBot="1">
      <c r="B4" s="105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4" t="str">
        <f t="shared" si="0"/>
        <v>Fr</v>
      </c>
    </row>
    <row r="5" spans="2:33" ht="14.4" thickTop="1" thickBot="1">
      <c r="B5" s="108" t="str">
        <f>Roster!C13</f>
        <v>July</v>
      </c>
      <c r="C5" s="109">
        <v>1</v>
      </c>
      <c r="D5" s="110">
        <v>2</v>
      </c>
      <c r="E5" s="110">
        <v>3</v>
      </c>
      <c r="F5" s="110">
        <v>4</v>
      </c>
      <c r="G5" s="110">
        <v>5</v>
      </c>
      <c r="H5" s="110">
        <v>6</v>
      </c>
      <c r="I5" s="110">
        <v>7</v>
      </c>
      <c r="J5" s="110">
        <v>8</v>
      </c>
      <c r="K5" s="110">
        <v>9</v>
      </c>
      <c r="L5" s="110">
        <v>10</v>
      </c>
      <c r="M5" s="110">
        <v>11</v>
      </c>
      <c r="N5" s="110">
        <v>12</v>
      </c>
      <c r="O5" s="110">
        <v>13</v>
      </c>
      <c r="P5" s="110">
        <v>14</v>
      </c>
      <c r="Q5" s="110">
        <v>15</v>
      </c>
      <c r="R5" s="110">
        <v>16</v>
      </c>
      <c r="S5" s="110">
        <v>17</v>
      </c>
      <c r="T5" s="110">
        <v>18</v>
      </c>
      <c r="U5" s="110">
        <v>19</v>
      </c>
      <c r="V5" s="110">
        <v>20</v>
      </c>
      <c r="W5" s="110">
        <v>21</v>
      </c>
      <c r="X5" s="110">
        <v>22</v>
      </c>
      <c r="Y5" s="110">
        <v>23</v>
      </c>
      <c r="Z5" s="110">
        <v>24</v>
      </c>
      <c r="AA5" s="110">
        <v>25</v>
      </c>
      <c r="AB5" s="110">
        <v>26</v>
      </c>
      <c r="AC5" s="110">
        <v>27</v>
      </c>
      <c r="AD5" s="110">
        <v>28</v>
      </c>
      <c r="AE5" s="110">
        <v>29</v>
      </c>
      <c r="AF5" s="110">
        <v>30</v>
      </c>
      <c r="AG5" s="111">
        <v>31</v>
      </c>
    </row>
    <row r="6" spans="2:33" ht="14.4" thickTop="1" thickBot="1">
      <c r="B6" s="108">
        <f>CurYear-1</f>
        <v>2015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8" t="str">
        <f>Roster!C44</f>
        <v>August</v>
      </c>
      <c r="C8" s="109">
        <v>1</v>
      </c>
      <c r="D8" s="110">
        <v>2</v>
      </c>
      <c r="E8" s="110">
        <v>3</v>
      </c>
      <c r="F8" s="110">
        <v>4</v>
      </c>
      <c r="G8" s="110">
        <v>5</v>
      </c>
      <c r="H8" s="110">
        <v>6</v>
      </c>
      <c r="I8" s="110">
        <v>7</v>
      </c>
      <c r="J8" s="110">
        <v>8</v>
      </c>
      <c r="K8" s="110">
        <v>9</v>
      </c>
      <c r="L8" s="110">
        <v>10</v>
      </c>
      <c r="M8" s="110">
        <v>11</v>
      </c>
      <c r="N8" s="110">
        <v>12</v>
      </c>
      <c r="O8" s="110">
        <v>13</v>
      </c>
      <c r="P8" s="110">
        <v>14</v>
      </c>
      <c r="Q8" s="110">
        <v>15</v>
      </c>
      <c r="R8" s="110">
        <v>16</v>
      </c>
      <c r="S8" s="110">
        <v>17</v>
      </c>
      <c r="T8" s="110">
        <v>18</v>
      </c>
      <c r="U8" s="110">
        <v>19</v>
      </c>
      <c r="V8" s="110">
        <v>20</v>
      </c>
      <c r="W8" s="110">
        <v>21</v>
      </c>
      <c r="X8" s="110">
        <v>22</v>
      </c>
      <c r="Y8" s="110">
        <v>23</v>
      </c>
      <c r="Z8" s="110">
        <v>24</v>
      </c>
      <c r="AA8" s="110">
        <v>25</v>
      </c>
      <c r="AB8" s="110">
        <v>26</v>
      </c>
      <c r="AC8" s="110">
        <v>27</v>
      </c>
      <c r="AD8" s="113">
        <v>28</v>
      </c>
      <c r="AE8" s="110">
        <v>29</v>
      </c>
      <c r="AF8" s="114">
        <v>30</v>
      </c>
      <c r="AG8" s="111">
        <v>31</v>
      </c>
    </row>
    <row r="9" spans="2:33" ht="14.4" thickTop="1" thickBot="1">
      <c r="B9" s="108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5"/>
    </row>
    <row r="11" spans="2:33" ht="14.4" thickTop="1" thickBot="1">
      <c r="B11" s="108" t="str">
        <f>Roster!C75</f>
        <v>September</v>
      </c>
      <c r="C11" s="116">
        <v>1</v>
      </c>
      <c r="D11" s="117">
        <v>2</v>
      </c>
      <c r="E11" s="117">
        <v>3</v>
      </c>
      <c r="F11" s="117">
        <v>4</v>
      </c>
      <c r="G11" s="117">
        <v>5</v>
      </c>
      <c r="H11" s="117">
        <v>6</v>
      </c>
      <c r="I11" s="117">
        <v>7</v>
      </c>
      <c r="J11" s="117">
        <v>8</v>
      </c>
      <c r="K11" s="117">
        <v>9</v>
      </c>
      <c r="L11" s="117">
        <v>10</v>
      </c>
      <c r="M11" s="117">
        <v>11</v>
      </c>
      <c r="N11" s="117">
        <v>12</v>
      </c>
      <c r="O11" s="117">
        <v>13</v>
      </c>
      <c r="P11" s="117">
        <v>14</v>
      </c>
      <c r="Q11" s="117">
        <v>15</v>
      </c>
      <c r="R11" s="117">
        <v>16</v>
      </c>
      <c r="S11" s="117">
        <v>17</v>
      </c>
      <c r="T11" s="117">
        <v>18</v>
      </c>
      <c r="U11" s="117">
        <v>19</v>
      </c>
      <c r="V11" s="117">
        <v>20</v>
      </c>
      <c r="W11" s="117">
        <v>21</v>
      </c>
      <c r="X11" s="117">
        <v>22</v>
      </c>
      <c r="Y11" s="117">
        <v>23</v>
      </c>
      <c r="Z11" s="117">
        <v>24</v>
      </c>
      <c r="AA11" s="117">
        <v>25</v>
      </c>
      <c r="AB11" s="117">
        <v>26</v>
      </c>
      <c r="AC11" s="117">
        <v>27</v>
      </c>
      <c r="AD11" s="117">
        <v>28</v>
      </c>
      <c r="AE11" s="117">
        <v>29</v>
      </c>
      <c r="AF11" s="118">
        <v>30</v>
      </c>
    </row>
    <row r="12" spans="2:33" ht="14.4" thickTop="1" thickBot="1">
      <c r="B12" s="108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8" t="str">
        <f>Roster!C106</f>
        <v>October</v>
      </c>
      <c r="C14" s="109">
        <v>1</v>
      </c>
      <c r="D14" s="110">
        <v>2</v>
      </c>
      <c r="E14" s="110">
        <v>3</v>
      </c>
      <c r="F14" s="110">
        <v>4</v>
      </c>
      <c r="G14" s="110">
        <v>5</v>
      </c>
      <c r="H14" s="110">
        <v>6</v>
      </c>
      <c r="I14" s="110">
        <v>7</v>
      </c>
      <c r="J14" s="110">
        <v>8</v>
      </c>
      <c r="K14" s="110">
        <v>9</v>
      </c>
      <c r="L14" s="110">
        <v>10</v>
      </c>
      <c r="M14" s="110">
        <v>11</v>
      </c>
      <c r="N14" s="110">
        <v>12</v>
      </c>
      <c r="O14" s="110">
        <v>13</v>
      </c>
      <c r="P14" s="110">
        <v>14</v>
      </c>
      <c r="Q14" s="110">
        <v>15</v>
      </c>
      <c r="R14" s="110">
        <v>16</v>
      </c>
      <c r="S14" s="110">
        <v>17</v>
      </c>
      <c r="T14" s="110">
        <v>18</v>
      </c>
      <c r="U14" s="110">
        <v>19</v>
      </c>
      <c r="V14" s="110">
        <v>20</v>
      </c>
      <c r="W14" s="110">
        <v>21</v>
      </c>
      <c r="X14" s="110">
        <v>22</v>
      </c>
      <c r="Y14" s="110">
        <v>23</v>
      </c>
      <c r="Z14" s="110">
        <v>24</v>
      </c>
      <c r="AA14" s="110">
        <v>25</v>
      </c>
      <c r="AB14" s="110">
        <v>26</v>
      </c>
      <c r="AC14" s="110">
        <v>27</v>
      </c>
      <c r="AD14" s="110">
        <v>28</v>
      </c>
      <c r="AE14" s="110">
        <v>29</v>
      </c>
      <c r="AF14" s="110">
        <v>30</v>
      </c>
      <c r="AG14" s="111">
        <v>31</v>
      </c>
    </row>
    <row r="15" spans="2:33" ht="14.4" thickTop="1" thickBot="1">
      <c r="B15" s="108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5"/>
    </row>
    <row r="17" spans="2:33" ht="14.4" thickTop="1" thickBot="1">
      <c r="B17" s="108" t="str">
        <f>Roster!C137</f>
        <v>November</v>
      </c>
      <c r="C17" s="116">
        <v>1</v>
      </c>
      <c r="D17" s="117">
        <v>2</v>
      </c>
      <c r="E17" s="117">
        <v>3</v>
      </c>
      <c r="F17" s="117">
        <v>4</v>
      </c>
      <c r="G17" s="117">
        <v>5</v>
      </c>
      <c r="H17" s="117">
        <v>6</v>
      </c>
      <c r="I17" s="117">
        <v>7</v>
      </c>
      <c r="J17" s="117">
        <v>8</v>
      </c>
      <c r="K17" s="117">
        <v>9</v>
      </c>
      <c r="L17" s="117">
        <v>10</v>
      </c>
      <c r="M17" s="117">
        <v>11</v>
      </c>
      <c r="N17" s="117">
        <v>12</v>
      </c>
      <c r="O17" s="117">
        <v>13</v>
      </c>
      <c r="P17" s="117">
        <v>14</v>
      </c>
      <c r="Q17" s="117">
        <v>15</v>
      </c>
      <c r="R17" s="117">
        <v>16</v>
      </c>
      <c r="S17" s="117">
        <v>17</v>
      </c>
      <c r="T17" s="117">
        <v>18</v>
      </c>
      <c r="U17" s="117">
        <v>19</v>
      </c>
      <c r="V17" s="117">
        <v>20</v>
      </c>
      <c r="W17" s="117">
        <v>21</v>
      </c>
      <c r="X17" s="117">
        <v>22</v>
      </c>
      <c r="Y17" s="117">
        <v>23</v>
      </c>
      <c r="Z17" s="117">
        <v>24</v>
      </c>
      <c r="AA17" s="117">
        <v>25</v>
      </c>
      <c r="AB17" s="117">
        <v>26</v>
      </c>
      <c r="AC17" s="117">
        <v>27</v>
      </c>
      <c r="AD17" s="117">
        <v>28</v>
      </c>
      <c r="AE17" s="117">
        <v>29</v>
      </c>
      <c r="AF17" s="118">
        <v>30</v>
      </c>
    </row>
    <row r="18" spans="2:33" ht="14.4" thickTop="1" thickBot="1">
      <c r="B18" s="108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9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8" t="str">
        <f>Roster!C168</f>
        <v>December</v>
      </c>
      <c r="C20" s="109">
        <v>1</v>
      </c>
      <c r="D20" s="110">
        <v>2</v>
      </c>
      <c r="E20" s="110">
        <v>3</v>
      </c>
      <c r="F20" s="110">
        <v>4</v>
      </c>
      <c r="G20" s="110">
        <v>5</v>
      </c>
      <c r="H20" s="110">
        <v>6</v>
      </c>
      <c r="I20" s="110">
        <v>7</v>
      </c>
      <c r="J20" s="110">
        <v>8</v>
      </c>
      <c r="K20" s="110">
        <v>9</v>
      </c>
      <c r="L20" s="110">
        <v>10</v>
      </c>
      <c r="M20" s="110">
        <v>11</v>
      </c>
      <c r="N20" s="110">
        <v>12</v>
      </c>
      <c r="O20" s="110">
        <v>13</v>
      </c>
      <c r="P20" s="110">
        <v>14</v>
      </c>
      <c r="Q20" s="110">
        <v>15</v>
      </c>
      <c r="R20" s="110">
        <v>16</v>
      </c>
      <c r="S20" s="110">
        <v>17</v>
      </c>
      <c r="T20" s="110">
        <v>18</v>
      </c>
      <c r="U20" s="110">
        <v>19</v>
      </c>
      <c r="V20" s="110">
        <v>20</v>
      </c>
      <c r="W20" s="110">
        <v>21</v>
      </c>
      <c r="X20" s="110">
        <v>22</v>
      </c>
      <c r="Y20" s="110">
        <v>23</v>
      </c>
      <c r="Z20" s="110">
        <v>24</v>
      </c>
      <c r="AA20" s="110">
        <v>25</v>
      </c>
      <c r="AB20" s="110">
        <v>26</v>
      </c>
      <c r="AC20" s="110">
        <v>27</v>
      </c>
      <c r="AD20" s="110">
        <v>28</v>
      </c>
      <c r="AE20" s="110">
        <v>29</v>
      </c>
      <c r="AF20" s="110">
        <v>30</v>
      </c>
      <c r="AG20" s="111">
        <v>31</v>
      </c>
    </row>
    <row r="21" spans="2:33" ht="14.4" thickTop="1" thickBot="1">
      <c r="B21" s="108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8" t="str">
        <f>Roster!$C$199</f>
        <v>January</v>
      </c>
      <c r="C23" s="109">
        <v>1</v>
      </c>
      <c r="D23" s="110">
        <v>2</v>
      </c>
      <c r="E23" s="110">
        <v>3</v>
      </c>
      <c r="F23" s="110">
        <v>4</v>
      </c>
      <c r="G23" s="110">
        <v>5</v>
      </c>
      <c r="H23" s="110">
        <v>6</v>
      </c>
      <c r="I23" s="110">
        <v>7</v>
      </c>
      <c r="J23" s="110">
        <v>8</v>
      </c>
      <c r="K23" s="110">
        <v>9</v>
      </c>
      <c r="L23" s="110">
        <v>10</v>
      </c>
      <c r="M23" s="110">
        <v>11</v>
      </c>
      <c r="N23" s="110">
        <v>12</v>
      </c>
      <c r="O23" s="110">
        <v>13</v>
      </c>
      <c r="P23" s="110">
        <v>14</v>
      </c>
      <c r="Q23" s="110">
        <v>15</v>
      </c>
      <c r="R23" s="110">
        <v>16</v>
      </c>
      <c r="S23" s="110">
        <v>17</v>
      </c>
      <c r="T23" s="110">
        <v>18</v>
      </c>
      <c r="U23" s="110">
        <v>19</v>
      </c>
      <c r="V23" s="110">
        <v>20</v>
      </c>
      <c r="W23" s="110">
        <v>21</v>
      </c>
      <c r="X23" s="110">
        <v>22</v>
      </c>
      <c r="Y23" s="110">
        <v>23</v>
      </c>
      <c r="Z23" s="110">
        <v>24</v>
      </c>
      <c r="AA23" s="110">
        <v>25</v>
      </c>
      <c r="AB23" s="110">
        <v>26</v>
      </c>
      <c r="AC23" s="110">
        <v>27</v>
      </c>
      <c r="AD23" s="110">
        <v>28</v>
      </c>
      <c r="AE23" s="110">
        <v>29</v>
      </c>
      <c r="AF23" s="110">
        <v>30</v>
      </c>
      <c r="AG23" s="111">
        <v>31</v>
      </c>
    </row>
    <row r="24" spans="2:33" ht="14.4" thickTop="1" thickBot="1">
      <c r="B24" s="108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6" t="str">
        <f t="shared" si="7"/>
        <v>Tu</v>
      </c>
      <c r="E25" s="126" t="str">
        <f t="shared" si="7"/>
        <v>We</v>
      </c>
      <c r="F25" s="126" t="str">
        <f t="shared" si="7"/>
        <v>Th</v>
      </c>
      <c r="G25" s="126" t="str">
        <f t="shared" si="7"/>
        <v>Fr</v>
      </c>
      <c r="H25" s="126" t="str">
        <f t="shared" si="7"/>
        <v>Sa</v>
      </c>
      <c r="I25" s="126" t="str">
        <f t="shared" si="7"/>
        <v>Su</v>
      </c>
      <c r="J25" s="126" t="str">
        <f t="shared" si="7"/>
        <v>Mo</v>
      </c>
      <c r="K25" s="126" t="str">
        <f t="shared" si="7"/>
        <v>Tu</v>
      </c>
      <c r="L25" s="126" t="str">
        <f t="shared" si="7"/>
        <v>We</v>
      </c>
      <c r="M25" s="126" t="str">
        <f t="shared" si="7"/>
        <v>Th</v>
      </c>
      <c r="N25" s="126" t="str">
        <f t="shared" si="7"/>
        <v>Fr</v>
      </c>
      <c r="O25" s="126" t="str">
        <f t="shared" si="7"/>
        <v>Sa</v>
      </c>
      <c r="P25" s="126" t="str">
        <f t="shared" si="7"/>
        <v>Su</v>
      </c>
      <c r="Q25" s="126" t="str">
        <f t="shared" si="7"/>
        <v>Mo</v>
      </c>
      <c r="R25" s="126" t="str">
        <f t="shared" si="7"/>
        <v>Tu</v>
      </c>
      <c r="S25" s="126" t="str">
        <f t="shared" si="7"/>
        <v>We</v>
      </c>
      <c r="T25" s="126" t="str">
        <f t="shared" si="7"/>
        <v>Th</v>
      </c>
      <c r="U25" s="126" t="str">
        <f t="shared" si="7"/>
        <v>Fr</v>
      </c>
      <c r="V25" s="126" t="str">
        <f t="shared" si="7"/>
        <v>Sa</v>
      </c>
      <c r="W25" s="126" t="str">
        <f t="shared" si="7"/>
        <v>Su</v>
      </c>
      <c r="X25" s="126" t="str">
        <f t="shared" si="7"/>
        <v>Mo</v>
      </c>
      <c r="Y25" s="126" t="str">
        <f t="shared" si="7"/>
        <v>Tu</v>
      </c>
      <c r="Z25" s="126" t="str">
        <f t="shared" si="7"/>
        <v>We</v>
      </c>
      <c r="AA25" s="126" t="str">
        <f t="shared" si="7"/>
        <v>Th</v>
      </c>
      <c r="AB25" s="126" t="str">
        <f t="shared" si="7"/>
        <v>Fr</v>
      </c>
      <c r="AC25" s="126" t="str">
        <f t="shared" si="7"/>
        <v>Sa</v>
      </c>
      <c r="AD25" s="126" t="str">
        <f t="shared" si="7"/>
        <v>Su</v>
      </c>
      <c r="AE25" s="142" t="str">
        <f t="shared" si="7"/>
        <v>Mo</v>
      </c>
      <c r="AF25" s="121"/>
      <c r="AG25" s="121"/>
    </row>
    <row r="26" spans="2:33" ht="14.4" thickTop="1" thickBot="1">
      <c r="B26" s="108" t="str">
        <f>Roster!$C$230</f>
        <v>February</v>
      </c>
      <c r="C26" s="109">
        <v>1</v>
      </c>
      <c r="D26" s="117">
        <v>2</v>
      </c>
      <c r="E26" s="117">
        <v>3</v>
      </c>
      <c r="F26" s="117">
        <v>4</v>
      </c>
      <c r="G26" s="117">
        <v>5</v>
      </c>
      <c r="H26" s="117">
        <v>6</v>
      </c>
      <c r="I26" s="117">
        <v>7</v>
      </c>
      <c r="J26" s="117">
        <v>8</v>
      </c>
      <c r="K26" s="117">
        <v>9</v>
      </c>
      <c r="L26" s="117">
        <v>10</v>
      </c>
      <c r="M26" s="117">
        <v>11</v>
      </c>
      <c r="N26" s="117">
        <v>12</v>
      </c>
      <c r="O26" s="117">
        <v>13</v>
      </c>
      <c r="P26" s="117">
        <v>14</v>
      </c>
      <c r="Q26" s="117">
        <v>15</v>
      </c>
      <c r="R26" s="117">
        <v>16</v>
      </c>
      <c r="S26" s="117">
        <v>17</v>
      </c>
      <c r="T26" s="117">
        <v>18</v>
      </c>
      <c r="U26" s="117">
        <v>19</v>
      </c>
      <c r="V26" s="117">
        <v>20</v>
      </c>
      <c r="W26" s="117">
        <v>21</v>
      </c>
      <c r="X26" s="117">
        <v>22</v>
      </c>
      <c r="Y26" s="117">
        <v>23</v>
      </c>
      <c r="Z26" s="117">
        <v>24</v>
      </c>
      <c r="AA26" s="117">
        <v>25</v>
      </c>
      <c r="AB26" s="117">
        <v>26</v>
      </c>
      <c r="AC26" s="117">
        <v>27</v>
      </c>
      <c r="AD26" s="122">
        <v>28</v>
      </c>
      <c r="AE26" s="127">
        <v>29</v>
      </c>
      <c r="AF26" s="104"/>
    </row>
    <row r="27" spans="2:33" ht="14.4" thickTop="1" thickBot="1">
      <c r="B27" s="108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8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8" t="str">
        <f>Roster!$C$261</f>
        <v>March</v>
      </c>
      <c r="C29" s="109">
        <v>1</v>
      </c>
      <c r="D29" s="110">
        <v>2</v>
      </c>
      <c r="E29" s="110">
        <v>3</v>
      </c>
      <c r="F29" s="110">
        <v>4</v>
      </c>
      <c r="G29" s="110">
        <v>5</v>
      </c>
      <c r="H29" s="110">
        <v>6</v>
      </c>
      <c r="I29" s="110">
        <v>7</v>
      </c>
      <c r="J29" s="110">
        <v>8</v>
      </c>
      <c r="K29" s="110">
        <v>9</v>
      </c>
      <c r="L29" s="110">
        <v>10</v>
      </c>
      <c r="M29" s="110">
        <v>11</v>
      </c>
      <c r="N29" s="110">
        <v>12</v>
      </c>
      <c r="O29" s="110">
        <v>13</v>
      </c>
      <c r="P29" s="110">
        <v>14</v>
      </c>
      <c r="Q29" s="110">
        <v>15</v>
      </c>
      <c r="R29" s="110">
        <v>16</v>
      </c>
      <c r="S29" s="110">
        <v>17</v>
      </c>
      <c r="T29" s="110">
        <v>18</v>
      </c>
      <c r="U29" s="110">
        <v>19</v>
      </c>
      <c r="V29" s="110">
        <v>20</v>
      </c>
      <c r="W29" s="110">
        <v>21</v>
      </c>
      <c r="X29" s="110">
        <v>22</v>
      </c>
      <c r="Y29" s="110">
        <v>23</v>
      </c>
      <c r="Z29" s="110">
        <v>24</v>
      </c>
      <c r="AA29" s="110">
        <v>25</v>
      </c>
      <c r="AB29" s="110">
        <v>26</v>
      </c>
      <c r="AC29" s="110">
        <v>27</v>
      </c>
      <c r="AD29" s="110">
        <v>28</v>
      </c>
      <c r="AE29" s="110">
        <v>29</v>
      </c>
      <c r="AF29" s="110">
        <v>30</v>
      </c>
      <c r="AG29" s="111">
        <v>31</v>
      </c>
    </row>
    <row r="30" spans="2:33" ht="14.4" thickTop="1" thickBot="1">
      <c r="B30" s="108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3"/>
    </row>
    <row r="32" spans="2:33" ht="14.4" thickTop="1" thickBot="1">
      <c r="B32" s="108" t="str">
        <f>Roster!$C$292</f>
        <v>April</v>
      </c>
      <c r="C32" s="109">
        <v>1</v>
      </c>
      <c r="D32" s="110">
        <v>2</v>
      </c>
      <c r="E32" s="110">
        <v>3</v>
      </c>
      <c r="F32" s="110">
        <v>4</v>
      </c>
      <c r="G32" s="110">
        <v>5</v>
      </c>
      <c r="H32" s="110">
        <v>6</v>
      </c>
      <c r="I32" s="110">
        <v>7</v>
      </c>
      <c r="J32" s="110">
        <v>8</v>
      </c>
      <c r="K32" s="110">
        <v>9</v>
      </c>
      <c r="L32" s="110">
        <v>10</v>
      </c>
      <c r="M32" s="110">
        <v>11</v>
      </c>
      <c r="N32" s="110">
        <v>12</v>
      </c>
      <c r="O32" s="110">
        <v>13</v>
      </c>
      <c r="P32" s="110">
        <v>14</v>
      </c>
      <c r="Q32" s="110">
        <v>15</v>
      </c>
      <c r="R32" s="110">
        <v>16</v>
      </c>
      <c r="S32" s="110">
        <v>17</v>
      </c>
      <c r="T32" s="110">
        <v>18</v>
      </c>
      <c r="U32" s="110">
        <v>19</v>
      </c>
      <c r="V32" s="110">
        <v>20</v>
      </c>
      <c r="W32" s="110">
        <v>21</v>
      </c>
      <c r="X32" s="110">
        <v>22</v>
      </c>
      <c r="Y32" s="110">
        <v>23</v>
      </c>
      <c r="Z32" s="110">
        <v>24</v>
      </c>
      <c r="AA32" s="110">
        <v>25</v>
      </c>
      <c r="AB32" s="110">
        <v>26</v>
      </c>
      <c r="AC32" s="110">
        <v>27</v>
      </c>
      <c r="AD32" s="110">
        <v>28</v>
      </c>
      <c r="AE32" s="110">
        <v>29</v>
      </c>
      <c r="AF32" s="111">
        <v>30</v>
      </c>
    </row>
    <row r="33" spans="2:33" ht="14.4" thickTop="1" thickBot="1">
      <c r="B33" s="108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8" t="str">
        <f>Roster!$C$323</f>
        <v>May</v>
      </c>
      <c r="C35" s="109">
        <v>1</v>
      </c>
      <c r="D35" s="110">
        <v>2</v>
      </c>
      <c r="E35" s="110">
        <v>3</v>
      </c>
      <c r="F35" s="110">
        <v>4</v>
      </c>
      <c r="G35" s="110">
        <v>5</v>
      </c>
      <c r="H35" s="110">
        <v>6</v>
      </c>
      <c r="I35" s="110">
        <v>7</v>
      </c>
      <c r="J35" s="110">
        <v>8</v>
      </c>
      <c r="K35" s="110">
        <v>9</v>
      </c>
      <c r="L35" s="110">
        <v>10</v>
      </c>
      <c r="M35" s="110">
        <v>11</v>
      </c>
      <c r="N35" s="110">
        <v>12</v>
      </c>
      <c r="O35" s="110">
        <v>13</v>
      </c>
      <c r="P35" s="110">
        <v>14</v>
      </c>
      <c r="Q35" s="110">
        <v>15</v>
      </c>
      <c r="R35" s="110">
        <v>16</v>
      </c>
      <c r="S35" s="110">
        <v>17</v>
      </c>
      <c r="T35" s="110">
        <v>18</v>
      </c>
      <c r="U35" s="110">
        <v>19</v>
      </c>
      <c r="V35" s="110">
        <v>20</v>
      </c>
      <c r="W35" s="110">
        <v>21</v>
      </c>
      <c r="X35" s="110">
        <v>22</v>
      </c>
      <c r="Y35" s="110">
        <v>23</v>
      </c>
      <c r="Z35" s="110">
        <v>24</v>
      </c>
      <c r="AA35" s="110">
        <v>25</v>
      </c>
      <c r="AB35" s="110">
        <v>26</v>
      </c>
      <c r="AC35" s="110">
        <v>27</v>
      </c>
      <c r="AD35" s="110">
        <v>28</v>
      </c>
      <c r="AE35" s="110">
        <v>29</v>
      </c>
      <c r="AF35" s="110">
        <v>30</v>
      </c>
      <c r="AG35" s="111">
        <v>31</v>
      </c>
    </row>
    <row r="36" spans="2:33" ht="14.4" thickTop="1" thickBot="1">
      <c r="B36" s="108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5"/>
    </row>
    <row r="38" spans="2:33" ht="14.4" thickTop="1" thickBot="1">
      <c r="B38" s="108" t="str">
        <f>Roster!C354</f>
        <v>June</v>
      </c>
      <c r="C38" s="109">
        <v>1</v>
      </c>
      <c r="D38" s="110">
        <v>2</v>
      </c>
      <c r="E38" s="110">
        <v>3</v>
      </c>
      <c r="F38" s="110">
        <v>4</v>
      </c>
      <c r="G38" s="110">
        <v>5</v>
      </c>
      <c r="H38" s="110">
        <v>6</v>
      </c>
      <c r="I38" s="110">
        <v>7</v>
      </c>
      <c r="J38" s="110">
        <v>8</v>
      </c>
      <c r="K38" s="110">
        <v>9</v>
      </c>
      <c r="L38" s="110">
        <v>10</v>
      </c>
      <c r="M38" s="110">
        <v>11</v>
      </c>
      <c r="N38" s="110">
        <v>12</v>
      </c>
      <c r="O38" s="110">
        <v>13</v>
      </c>
      <c r="P38" s="110">
        <v>14</v>
      </c>
      <c r="Q38" s="110">
        <v>15</v>
      </c>
      <c r="R38" s="110">
        <v>16</v>
      </c>
      <c r="S38" s="110">
        <v>17</v>
      </c>
      <c r="T38" s="110">
        <v>18</v>
      </c>
      <c r="U38" s="110">
        <v>19</v>
      </c>
      <c r="V38" s="110">
        <v>20</v>
      </c>
      <c r="W38" s="110">
        <v>21</v>
      </c>
      <c r="X38" s="110">
        <v>22</v>
      </c>
      <c r="Y38" s="110">
        <v>23</v>
      </c>
      <c r="Z38" s="110">
        <v>24</v>
      </c>
      <c r="AA38" s="110">
        <v>25</v>
      </c>
      <c r="AB38" s="110">
        <v>26</v>
      </c>
      <c r="AC38" s="110">
        <v>27</v>
      </c>
      <c r="AD38" s="110">
        <v>28</v>
      </c>
      <c r="AE38" s="110">
        <v>29</v>
      </c>
      <c r="AF38" s="111">
        <v>30</v>
      </c>
    </row>
    <row r="39" spans="2:33" ht="14.4" thickTop="1" thickBot="1">
      <c r="B39" s="108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2" customFormat="1" ht="17.399999999999999">
      <c r="B1" s="131"/>
    </row>
    <row r="2" spans="2:35" s="132" customFormat="1" ht="24.75" customHeight="1">
      <c r="B2" s="131"/>
      <c r="I2" s="136" t="str">
        <f>Location</f>
        <v>Oodlawirra Quarantine Station</v>
      </c>
      <c r="J2" s="134"/>
      <c r="K2" s="134"/>
      <c r="L2" s="134"/>
      <c r="M2" s="134"/>
      <c r="N2" s="134"/>
      <c r="O2" s="134"/>
      <c r="P2" s="134"/>
      <c r="Q2" s="134"/>
      <c r="R2" s="136" t="str">
        <f xml:space="preserve"> "Financial Year Commencing 1st July, " &amp; CurYear -1</f>
        <v>Financial Year Commencing 1st July, 2015</v>
      </c>
      <c r="S2" s="133"/>
      <c r="T2" s="134"/>
      <c r="U2" s="134"/>
      <c r="V2" s="133"/>
      <c r="W2" s="134"/>
      <c r="X2" s="134"/>
      <c r="Y2" s="134"/>
      <c r="Z2" s="134"/>
      <c r="AA2" s="134"/>
      <c r="AB2" s="134"/>
      <c r="AC2" s="134"/>
      <c r="AD2" s="134"/>
      <c r="AE2" s="134"/>
      <c r="AF2" s="134"/>
    </row>
    <row r="3" spans="2:35" s="132" customFormat="1" ht="27" customHeight="1">
      <c r="B3" s="131"/>
      <c r="I3" s="137" t="s">
        <v>25</v>
      </c>
      <c r="R3" s="137" t="str">
        <f>EmpGName02 &amp;" " &amp; EmpSName02</f>
        <v>Kevin Stone</v>
      </c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</row>
    <row r="4" spans="2:35" s="44" customFormat="1" ht="13.8" thickBot="1">
      <c r="B4" s="105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5" t="str">
        <f t="shared" si="0"/>
        <v>Fr</v>
      </c>
    </row>
    <row r="5" spans="2:35" ht="14.4" thickTop="1" thickBot="1">
      <c r="B5" s="108" t="str">
        <f>Roster!C13</f>
        <v>July</v>
      </c>
      <c r="C5" s="109">
        <v>1</v>
      </c>
      <c r="D5" s="110">
        <v>2</v>
      </c>
      <c r="E5" s="110">
        <v>3</v>
      </c>
      <c r="F5" s="110">
        <v>4</v>
      </c>
      <c r="G5" s="110">
        <v>5</v>
      </c>
      <c r="H5" s="110">
        <v>6</v>
      </c>
      <c r="I5" s="110">
        <v>7</v>
      </c>
      <c r="J5" s="110">
        <v>8</v>
      </c>
      <c r="K5" s="110">
        <v>9</v>
      </c>
      <c r="L5" s="110">
        <v>10</v>
      </c>
      <c r="M5" s="110">
        <v>11</v>
      </c>
      <c r="N5" s="110">
        <v>12</v>
      </c>
      <c r="O5" s="110">
        <v>13</v>
      </c>
      <c r="P5" s="110">
        <v>14</v>
      </c>
      <c r="Q5" s="110">
        <v>15</v>
      </c>
      <c r="R5" s="110">
        <v>16</v>
      </c>
      <c r="S5" s="110">
        <v>17</v>
      </c>
      <c r="T5" s="110">
        <v>18</v>
      </c>
      <c r="U5" s="110">
        <v>19</v>
      </c>
      <c r="V5" s="110">
        <v>20</v>
      </c>
      <c r="W5" s="110">
        <v>21</v>
      </c>
      <c r="X5" s="110">
        <v>22</v>
      </c>
      <c r="Y5" s="110">
        <v>23</v>
      </c>
      <c r="Z5" s="110">
        <v>24</v>
      </c>
      <c r="AA5" s="110">
        <v>25</v>
      </c>
      <c r="AB5" s="110">
        <v>26</v>
      </c>
      <c r="AC5" s="110">
        <v>27</v>
      </c>
      <c r="AD5" s="110">
        <v>28</v>
      </c>
      <c r="AE5" s="110">
        <v>29</v>
      </c>
      <c r="AF5" s="110">
        <v>30</v>
      </c>
      <c r="AG5" s="111">
        <v>31</v>
      </c>
    </row>
    <row r="6" spans="2:35" ht="14.4" thickTop="1" thickBot="1">
      <c r="B6" s="108">
        <f>CurYear-1</f>
        <v>2015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12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8" t="str">
        <f>Roster!C44</f>
        <v>August</v>
      </c>
      <c r="C8" s="109">
        <v>1</v>
      </c>
      <c r="D8" s="110">
        <v>2</v>
      </c>
      <c r="E8" s="110">
        <v>3</v>
      </c>
      <c r="F8" s="110">
        <v>4</v>
      </c>
      <c r="G8" s="110">
        <v>5</v>
      </c>
      <c r="H8" s="110">
        <v>6</v>
      </c>
      <c r="I8" s="110">
        <v>7</v>
      </c>
      <c r="J8" s="110">
        <v>8</v>
      </c>
      <c r="K8" s="110">
        <v>9</v>
      </c>
      <c r="L8" s="110">
        <v>10</v>
      </c>
      <c r="M8" s="110">
        <v>11</v>
      </c>
      <c r="N8" s="110">
        <v>12</v>
      </c>
      <c r="O8" s="110">
        <v>13</v>
      </c>
      <c r="P8" s="110">
        <v>14</v>
      </c>
      <c r="Q8" s="110">
        <v>15</v>
      </c>
      <c r="R8" s="110">
        <v>16</v>
      </c>
      <c r="S8" s="110">
        <v>17</v>
      </c>
      <c r="T8" s="110">
        <v>18</v>
      </c>
      <c r="U8" s="110">
        <v>19</v>
      </c>
      <c r="V8" s="110">
        <v>20</v>
      </c>
      <c r="W8" s="110">
        <v>21</v>
      </c>
      <c r="X8" s="110">
        <v>22</v>
      </c>
      <c r="Y8" s="110">
        <v>23</v>
      </c>
      <c r="Z8" s="110">
        <v>24</v>
      </c>
      <c r="AA8" s="110">
        <v>25</v>
      </c>
      <c r="AB8" s="110">
        <v>26</v>
      </c>
      <c r="AC8" s="110">
        <v>27</v>
      </c>
      <c r="AD8" s="113">
        <v>28</v>
      </c>
      <c r="AE8" s="110">
        <v>29</v>
      </c>
      <c r="AF8" s="114">
        <v>30</v>
      </c>
      <c r="AG8" s="111">
        <v>31</v>
      </c>
    </row>
    <row r="9" spans="2:35" ht="14.4" thickTop="1" thickBot="1">
      <c r="B9" s="108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5"/>
      <c r="AI10" s="106"/>
    </row>
    <row r="11" spans="2:35" ht="14.4" thickTop="1" thickBot="1">
      <c r="B11" s="108" t="str">
        <f>Roster!C75</f>
        <v>September</v>
      </c>
      <c r="C11" s="116">
        <v>1</v>
      </c>
      <c r="D11" s="117">
        <v>2</v>
      </c>
      <c r="E11" s="117">
        <v>3</v>
      </c>
      <c r="F11" s="117">
        <v>4</v>
      </c>
      <c r="G11" s="117">
        <v>5</v>
      </c>
      <c r="H11" s="117">
        <v>6</v>
      </c>
      <c r="I11" s="117">
        <v>7</v>
      </c>
      <c r="J11" s="117">
        <v>8</v>
      </c>
      <c r="K11" s="117">
        <v>9</v>
      </c>
      <c r="L11" s="117">
        <v>10</v>
      </c>
      <c r="M11" s="117">
        <v>11</v>
      </c>
      <c r="N11" s="117">
        <v>12</v>
      </c>
      <c r="O11" s="117">
        <v>13</v>
      </c>
      <c r="P11" s="117">
        <v>14</v>
      </c>
      <c r="Q11" s="117">
        <v>15</v>
      </c>
      <c r="R11" s="117">
        <v>16</v>
      </c>
      <c r="S11" s="117">
        <v>17</v>
      </c>
      <c r="T11" s="117">
        <v>18</v>
      </c>
      <c r="U11" s="117">
        <v>19</v>
      </c>
      <c r="V11" s="117">
        <v>20</v>
      </c>
      <c r="W11" s="117">
        <v>21</v>
      </c>
      <c r="X11" s="117">
        <v>22</v>
      </c>
      <c r="Y11" s="117">
        <v>23</v>
      </c>
      <c r="Z11" s="117">
        <v>24</v>
      </c>
      <c r="AA11" s="117">
        <v>25</v>
      </c>
      <c r="AB11" s="117">
        <v>26</v>
      </c>
      <c r="AC11" s="117">
        <v>27</v>
      </c>
      <c r="AD11" s="117">
        <v>28</v>
      </c>
      <c r="AE11" s="117">
        <v>29</v>
      </c>
      <c r="AF11" s="118">
        <v>30</v>
      </c>
      <c r="AG11" s="20"/>
    </row>
    <row r="12" spans="2:35" ht="14.4" thickTop="1" thickBot="1">
      <c r="B12" s="108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8" t="str">
        <f>Roster!C106</f>
        <v>October</v>
      </c>
      <c r="C14" s="109">
        <v>1</v>
      </c>
      <c r="D14" s="110">
        <v>2</v>
      </c>
      <c r="E14" s="110">
        <v>3</v>
      </c>
      <c r="F14" s="110">
        <v>4</v>
      </c>
      <c r="G14" s="110">
        <v>5</v>
      </c>
      <c r="H14" s="110">
        <v>6</v>
      </c>
      <c r="I14" s="110">
        <v>7</v>
      </c>
      <c r="J14" s="110">
        <v>8</v>
      </c>
      <c r="K14" s="110">
        <v>9</v>
      </c>
      <c r="L14" s="110">
        <v>10</v>
      </c>
      <c r="M14" s="110">
        <v>11</v>
      </c>
      <c r="N14" s="110">
        <v>12</v>
      </c>
      <c r="O14" s="110">
        <v>13</v>
      </c>
      <c r="P14" s="110">
        <v>14</v>
      </c>
      <c r="Q14" s="110">
        <v>15</v>
      </c>
      <c r="R14" s="110">
        <v>16</v>
      </c>
      <c r="S14" s="110">
        <v>17</v>
      </c>
      <c r="T14" s="110">
        <v>18</v>
      </c>
      <c r="U14" s="110">
        <v>19</v>
      </c>
      <c r="V14" s="110">
        <v>20</v>
      </c>
      <c r="W14" s="110">
        <v>21</v>
      </c>
      <c r="X14" s="110">
        <v>22</v>
      </c>
      <c r="Y14" s="110">
        <v>23</v>
      </c>
      <c r="Z14" s="110">
        <v>24</v>
      </c>
      <c r="AA14" s="110">
        <v>25</v>
      </c>
      <c r="AB14" s="110">
        <v>26</v>
      </c>
      <c r="AC14" s="110">
        <v>27</v>
      </c>
      <c r="AD14" s="110">
        <v>28</v>
      </c>
      <c r="AE14" s="110">
        <v>29</v>
      </c>
      <c r="AF14" s="110">
        <v>30</v>
      </c>
      <c r="AG14" s="111">
        <v>31</v>
      </c>
    </row>
    <row r="15" spans="2:35" ht="14.4" thickTop="1" thickBot="1">
      <c r="B15" s="108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5"/>
    </row>
    <row r="17" spans="2:33" ht="14.4" thickTop="1" thickBot="1">
      <c r="B17" s="108" t="str">
        <f>Roster!C137</f>
        <v>November</v>
      </c>
      <c r="C17" s="116">
        <v>1</v>
      </c>
      <c r="D17" s="117">
        <v>2</v>
      </c>
      <c r="E17" s="117">
        <v>3</v>
      </c>
      <c r="F17" s="117">
        <v>4</v>
      </c>
      <c r="G17" s="117">
        <v>5</v>
      </c>
      <c r="H17" s="117">
        <v>6</v>
      </c>
      <c r="I17" s="117">
        <v>7</v>
      </c>
      <c r="J17" s="117">
        <v>8</v>
      </c>
      <c r="K17" s="117">
        <v>9</v>
      </c>
      <c r="L17" s="117">
        <v>10</v>
      </c>
      <c r="M17" s="117">
        <v>11</v>
      </c>
      <c r="N17" s="117">
        <v>12</v>
      </c>
      <c r="O17" s="117">
        <v>13</v>
      </c>
      <c r="P17" s="117">
        <v>14</v>
      </c>
      <c r="Q17" s="117">
        <v>15</v>
      </c>
      <c r="R17" s="117">
        <v>16</v>
      </c>
      <c r="S17" s="117">
        <v>17</v>
      </c>
      <c r="T17" s="117">
        <v>18</v>
      </c>
      <c r="U17" s="117">
        <v>19</v>
      </c>
      <c r="V17" s="117">
        <v>20</v>
      </c>
      <c r="W17" s="117">
        <v>21</v>
      </c>
      <c r="X17" s="117">
        <v>22</v>
      </c>
      <c r="Y17" s="117">
        <v>23</v>
      </c>
      <c r="Z17" s="117">
        <v>24</v>
      </c>
      <c r="AA17" s="117">
        <v>25</v>
      </c>
      <c r="AB17" s="117">
        <v>26</v>
      </c>
      <c r="AC17" s="117">
        <v>27</v>
      </c>
      <c r="AD17" s="117">
        <v>28</v>
      </c>
      <c r="AE17" s="117">
        <v>29</v>
      </c>
      <c r="AF17" s="118">
        <v>30</v>
      </c>
      <c r="AG17" s="20"/>
    </row>
    <row r="18" spans="2:33" ht="14.4" thickTop="1" thickBot="1">
      <c r="B18" s="108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9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8" t="str">
        <f>Roster!C168</f>
        <v>December</v>
      </c>
      <c r="C20" s="109">
        <v>1</v>
      </c>
      <c r="D20" s="110">
        <v>2</v>
      </c>
      <c r="E20" s="110">
        <v>3</v>
      </c>
      <c r="F20" s="110">
        <v>4</v>
      </c>
      <c r="G20" s="110">
        <v>5</v>
      </c>
      <c r="H20" s="110">
        <v>6</v>
      </c>
      <c r="I20" s="110">
        <v>7</v>
      </c>
      <c r="J20" s="110">
        <v>8</v>
      </c>
      <c r="K20" s="110">
        <v>9</v>
      </c>
      <c r="L20" s="110">
        <v>10</v>
      </c>
      <c r="M20" s="110">
        <v>11</v>
      </c>
      <c r="N20" s="110">
        <v>12</v>
      </c>
      <c r="O20" s="110">
        <v>13</v>
      </c>
      <c r="P20" s="110">
        <v>14</v>
      </c>
      <c r="Q20" s="110">
        <v>15</v>
      </c>
      <c r="R20" s="110">
        <v>16</v>
      </c>
      <c r="S20" s="110">
        <v>17</v>
      </c>
      <c r="T20" s="110">
        <v>18</v>
      </c>
      <c r="U20" s="110">
        <v>19</v>
      </c>
      <c r="V20" s="110">
        <v>20</v>
      </c>
      <c r="W20" s="110">
        <v>21</v>
      </c>
      <c r="X20" s="110">
        <v>22</v>
      </c>
      <c r="Y20" s="110">
        <v>23</v>
      </c>
      <c r="Z20" s="110">
        <v>24</v>
      </c>
      <c r="AA20" s="110">
        <v>25</v>
      </c>
      <c r="AB20" s="110">
        <v>26</v>
      </c>
      <c r="AC20" s="110">
        <v>27</v>
      </c>
      <c r="AD20" s="110">
        <v>28</v>
      </c>
      <c r="AE20" s="110">
        <v>29</v>
      </c>
      <c r="AF20" s="110">
        <v>30</v>
      </c>
      <c r="AG20" s="111">
        <v>31</v>
      </c>
    </row>
    <row r="21" spans="2:33" ht="14.4" thickTop="1" thickBot="1">
      <c r="B21" s="108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8" t="str">
        <f>Roster!$C$199</f>
        <v>January</v>
      </c>
      <c r="C23" s="109">
        <v>1</v>
      </c>
      <c r="D23" s="110">
        <v>2</v>
      </c>
      <c r="E23" s="110">
        <v>3</v>
      </c>
      <c r="F23" s="110">
        <v>4</v>
      </c>
      <c r="G23" s="110">
        <v>5</v>
      </c>
      <c r="H23" s="110">
        <v>6</v>
      </c>
      <c r="I23" s="110">
        <v>7</v>
      </c>
      <c r="J23" s="110">
        <v>8</v>
      </c>
      <c r="K23" s="110">
        <v>9</v>
      </c>
      <c r="L23" s="110">
        <v>10</v>
      </c>
      <c r="M23" s="110">
        <v>11</v>
      </c>
      <c r="N23" s="110">
        <v>12</v>
      </c>
      <c r="O23" s="110">
        <v>13</v>
      </c>
      <c r="P23" s="110">
        <v>14</v>
      </c>
      <c r="Q23" s="110">
        <v>15</v>
      </c>
      <c r="R23" s="110">
        <v>16</v>
      </c>
      <c r="S23" s="110">
        <v>17</v>
      </c>
      <c r="T23" s="110">
        <v>18</v>
      </c>
      <c r="U23" s="110">
        <v>19</v>
      </c>
      <c r="V23" s="110">
        <v>20</v>
      </c>
      <c r="W23" s="110">
        <v>21</v>
      </c>
      <c r="X23" s="110">
        <v>22</v>
      </c>
      <c r="Y23" s="110">
        <v>23</v>
      </c>
      <c r="Z23" s="110">
        <v>24</v>
      </c>
      <c r="AA23" s="110">
        <v>25</v>
      </c>
      <c r="AB23" s="110">
        <v>26</v>
      </c>
      <c r="AC23" s="110">
        <v>27</v>
      </c>
      <c r="AD23" s="110">
        <v>28</v>
      </c>
      <c r="AE23" s="110">
        <v>29</v>
      </c>
      <c r="AF23" s="110">
        <v>30</v>
      </c>
      <c r="AG23" s="111">
        <v>31</v>
      </c>
    </row>
    <row r="24" spans="2:33" ht="14.4" thickTop="1" thickBot="1">
      <c r="B24" s="108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120"/>
      <c r="AG25" s="121"/>
    </row>
    <row r="26" spans="2:33" ht="14.4" thickTop="1" thickBot="1">
      <c r="B26" s="108" t="str">
        <f>Roster!$C$230</f>
        <v>February</v>
      </c>
      <c r="C26" s="109">
        <v>1</v>
      </c>
      <c r="D26" s="117">
        <v>2</v>
      </c>
      <c r="E26" s="117">
        <v>3</v>
      </c>
      <c r="F26" s="117">
        <v>4</v>
      </c>
      <c r="G26" s="117">
        <v>5</v>
      </c>
      <c r="H26" s="117">
        <v>6</v>
      </c>
      <c r="I26" s="117">
        <v>7</v>
      </c>
      <c r="J26" s="117">
        <v>8</v>
      </c>
      <c r="K26" s="117">
        <v>9</v>
      </c>
      <c r="L26" s="117">
        <v>10</v>
      </c>
      <c r="M26" s="117">
        <v>11</v>
      </c>
      <c r="N26" s="117">
        <v>12</v>
      </c>
      <c r="O26" s="117">
        <v>13</v>
      </c>
      <c r="P26" s="117">
        <v>14</v>
      </c>
      <c r="Q26" s="117">
        <v>15</v>
      </c>
      <c r="R26" s="117">
        <v>16</v>
      </c>
      <c r="S26" s="117">
        <v>17</v>
      </c>
      <c r="T26" s="117">
        <v>18</v>
      </c>
      <c r="U26" s="117">
        <v>19</v>
      </c>
      <c r="V26" s="117">
        <v>20</v>
      </c>
      <c r="W26" s="117">
        <v>21</v>
      </c>
      <c r="X26" s="117">
        <v>22</v>
      </c>
      <c r="Y26" s="117">
        <v>23</v>
      </c>
      <c r="Z26" s="117">
        <v>24</v>
      </c>
      <c r="AA26" s="117">
        <v>25</v>
      </c>
      <c r="AB26" s="117">
        <v>26</v>
      </c>
      <c r="AC26" s="117">
        <v>27</v>
      </c>
      <c r="AD26" s="122">
        <v>28</v>
      </c>
      <c r="AE26" s="127">
        <v>29</v>
      </c>
      <c r="AF26" s="104"/>
      <c r="AG26" s="20"/>
    </row>
    <row r="27" spans="2:33" ht="14.4" thickTop="1" thickBot="1">
      <c r="B27" s="108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8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8" t="str">
        <f>Roster!$C$261</f>
        <v>March</v>
      </c>
      <c r="C29" s="109">
        <v>1</v>
      </c>
      <c r="D29" s="110">
        <v>2</v>
      </c>
      <c r="E29" s="110">
        <v>3</v>
      </c>
      <c r="F29" s="110">
        <v>4</v>
      </c>
      <c r="G29" s="110">
        <v>5</v>
      </c>
      <c r="H29" s="110">
        <v>6</v>
      </c>
      <c r="I29" s="110">
        <v>7</v>
      </c>
      <c r="J29" s="110">
        <v>8</v>
      </c>
      <c r="K29" s="110">
        <v>9</v>
      </c>
      <c r="L29" s="110">
        <v>10</v>
      </c>
      <c r="M29" s="110">
        <v>11</v>
      </c>
      <c r="N29" s="110">
        <v>12</v>
      </c>
      <c r="O29" s="110">
        <v>13</v>
      </c>
      <c r="P29" s="110">
        <v>14</v>
      </c>
      <c r="Q29" s="110">
        <v>15</v>
      </c>
      <c r="R29" s="110">
        <v>16</v>
      </c>
      <c r="S29" s="110">
        <v>17</v>
      </c>
      <c r="T29" s="110">
        <v>18</v>
      </c>
      <c r="U29" s="110">
        <v>19</v>
      </c>
      <c r="V29" s="110">
        <v>20</v>
      </c>
      <c r="W29" s="110">
        <v>21</v>
      </c>
      <c r="X29" s="110">
        <v>22</v>
      </c>
      <c r="Y29" s="110">
        <v>23</v>
      </c>
      <c r="Z29" s="110">
        <v>24</v>
      </c>
      <c r="AA29" s="110">
        <v>25</v>
      </c>
      <c r="AB29" s="110">
        <v>26</v>
      </c>
      <c r="AC29" s="110">
        <v>27</v>
      </c>
      <c r="AD29" s="110">
        <v>28</v>
      </c>
      <c r="AE29" s="110">
        <v>29</v>
      </c>
      <c r="AF29" s="110">
        <v>30</v>
      </c>
      <c r="AG29" s="111">
        <v>31</v>
      </c>
    </row>
    <row r="30" spans="2:33" ht="14.4" thickTop="1" thickBot="1">
      <c r="B30" s="108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3"/>
    </row>
    <row r="32" spans="2:33" ht="14.4" thickTop="1" thickBot="1">
      <c r="B32" s="108" t="str">
        <f>Roster!$C$292</f>
        <v>April</v>
      </c>
      <c r="C32" s="109">
        <v>1</v>
      </c>
      <c r="D32" s="110">
        <v>2</v>
      </c>
      <c r="E32" s="110">
        <v>3</v>
      </c>
      <c r="F32" s="110">
        <v>4</v>
      </c>
      <c r="G32" s="110">
        <v>5</v>
      </c>
      <c r="H32" s="110">
        <v>6</v>
      </c>
      <c r="I32" s="110">
        <v>7</v>
      </c>
      <c r="J32" s="110">
        <v>8</v>
      </c>
      <c r="K32" s="110">
        <v>9</v>
      </c>
      <c r="L32" s="110">
        <v>10</v>
      </c>
      <c r="M32" s="110">
        <v>11</v>
      </c>
      <c r="N32" s="110">
        <v>12</v>
      </c>
      <c r="O32" s="110">
        <v>13</v>
      </c>
      <c r="P32" s="110">
        <v>14</v>
      </c>
      <c r="Q32" s="110">
        <v>15</v>
      </c>
      <c r="R32" s="110">
        <v>16</v>
      </c>
      <c r="S32" s="110">
        <v>17</v>
      </c>
      <c r="T32" s="110">
        <v>18</v>
      </c>
      <c r="U32" s="110">
        <v>19</v>
      </c>
      <c r="V32" s="110">
        <v>20</v>
      </c>
      <c r="W32" s="110">
        <v>21</v>
      </c>
      <c r="X32" s="110">
        <v>22</v>
      </c>
      <c r="Y32" s="110">
        <v>23</v>
      </c>
      <c r="Z32" s="110">
        <v>24</v>
      </c>
      <c r="AA32" s="110">
        <v>25</v>
      </c>
      <c r="AB32" s="110">
        <v>26</v>
      </c>
      <c r="AC32" s="110">
        <v>27</v>
      </c>
      <c r="AD32" s="110">
        <v>28</v>
      </c>
      <c r="AE32" s="110">
        <v>29</v>
      </c>
      <c r="AF32" s="111">
        <v>30</v>
      </c>
      <c r="AG32" s="20"/>
    </row>
    <row r="33" spans="2:33" ht="14.4" thickTop="1" thickBot="1">
      <c r="B33" s="108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8" t="str">
        <f>Roster!$C$323</f>
        <v>May</v>
      </c>
      <c r="C35" s="109">
        <v>1</v>
      </c>
      <c r="D35" s="110">
        <v>2</v>
      </c>
      <c r="E35" s="110">
        <v>3</v>
      </c>
      <c r="F35" s="110">
        <v>4</v>
      </c>
      <c r="G35" s="110">
        <v>5</v>
      </c>
      <c r="H35" s="110">
        <v>6</v>
      </c>
      <c r="I35" s="110">
        <v>7</v>
      </c>
      <c r="J35" s="110">
        <v>8</v>
      </c>
      <c r="K35" s="110">
        <v>9</v>
      </c>
      <c r="L35" s="110">
        <v>10</v>
      </c>
      <c r="M35" s="110">
        <v>11</v>
      </c>
      <c r="N35" s="110">
        <v>12</v>
      </c>
      <c r="O35" s="110">
        <v>13</v>
      </c>
      <c r="P35" s="110">
        <v>14</v>
      </c>
      <c r="Q35" s="110">
        <v>15</v>
      </c>
      <c r="R35" s="110">
        <v>16</v>
      </c>
      <c r="S35" s="110">
        <v>17</v>
      </c>
      <c r="T35" s="110">
        <v>18</v>
      </c>
      <c r="U35" s="110">
        <v>19</v>
      </c>
      <c r="V35" s="110">
        <v>20</v>
      </c>
      <c r="W35" s="110">
        <v>21</v>
      </c>
      <c r="X35" s="110">
        <v>22</v>
      </c>
      <c r="Y35" s="110">
        <v>23</v>
      </c>
      <c r="Z35" s="110">
        <v>24</v>
      </c>
      <c r="AA35" s="110">
        <v>25</v>
      </c>
      <c r="AB35" s="110">
        <v>26</v>
      </c>
      <c r="AC35" s="110">
        <v>27</v>
      </c>
      <c r="AD35" s="110">
        <v>28</v>
      </c>
      <c r="AE35" s="110">
        <v>29</v>
      </c>
      <c r="AF35" s="110">
        <v>30</v>
      </c>
      <c r="AG35" s="111">
        <v>31</v>
      </c>
    </row>
    <row r="36" spans="2:33" ht="14.4" thickTop="1" thickBot="1">
      <c r="B36" s="108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5"/>
    </row>
    <row r="38" spans="2:33" ht="14.4" thickTop="1" thickBot="1">
      <c r="B38" s="108" t="str">
        <f>Roster!C354</f>
        <v>June</v>
      </c>
      <c r="C38" s="109">
        <v>1</v>
      </c>
      <c r="D38" s="110">
        <v>2</v>
      </c>
      <c r="E38" s="110">
        <v>3</v>
      </c>
      <c r="F38" s="110">
        <v>4</v>
      </c>
      <c r="G38" s="110">
        <v>5</v>
      </c>
      <c r="H38" s="110">
        <v>6</v>
      </c>
      <c r="I38" s="110">
        <v>7</v>
      </c>
      <c r="J38" s="110">
        <v>8</v>
      </c>
      <c r="K38" s="110">
        <v>9</v>
      </c>
      <c r="L38" s="110">
        <v>10</v>
      </c>
      <c r="M38" s="110">
        <v>11</v>
      </c>
      <c r="N38" s="110">
        <v>12</v>
      </c>
      <c r="O38" s="110">
        <v>13</v>
      </c>
      <c r="P38" s="110">
        <v>14</v>
      </c>
      <c r="Q38" s="110">
        <v>15</v>
      </c>
      <c r="R38" s="110">
        <v>16</v>
      </c>
      <c r="S38" s="110">
        <v>17</v>
      </c>
      <c r="T38" s="110">
        <v>18</v>
      </c>
      <c r="U38" s="110">
        <v>19</v>
      </c>
      <c r="V38" s="110">
        <v>20</v>
      </c>
      <c r="W38" s="110">
        <v>21</v>
      </c>
      <c r="X38" s="110">
        <v>22</v>
      </c>
      <c r="Y38" s="110">
        <v>23</v>
      </c>
      <c r="Z38" s="110">
        <v>24</v>
      </c>
      <c r="AA38" s="110">
        <v>25</v>
      </c>
      <c r="AB38" s="110">
        <v>26</v>
      </c>
      <c r="AC38" s="110">
        <v>27</v>
      </c>
      <c r="AD38" s="110">
        <v>28</v>
      </c>
      <c r="AE38" s="110">
        <v>29</v>
      </c>
      <c r="AF38" s="111">
        <v>30</v>
      </c>
      <c r="AG38" s="20"/>
    </row>
    <row r="39" spans="2:33" ht="14.4" thickTop="1" thickBot="1">
      <c r="B39" s="108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130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8"/>
      <c r="I3" s="140" t="s">
        <v>25</v>
      </c>
      <c r="R3" s="140" t="str">
        <f>EmpGName03 &amp;" " &amp; EmpSName03</f>
        <v>Ian Thelning</v>
      </c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7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8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7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8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8"/>
      <c r="I3" s="140" t="s">
        <v>25</v>
      </c>
      <c r="R3" s="140" t="str">
        <f>EmpGName05 &amp;" " &amp; EmpSName05</f>
        <v>David Castle</v>
      </c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7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8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7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8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8"/>
      <c r="I3" s="140" t="s">
        <v>25</v>
      </c>
      <c r="R3" s="140" t="str">
        <f>EmpGName07 &amp;" " &amp; EmpSName07</f>
        <v>Troy Sorensen</v>
      </c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8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8"/>
      <c r="I3" s="140" t="s">
        <v>25</v>
      </c>
      <c r="R3" s="140" t="str">
        <f>EmpGName08 &amp;" " &amp; EmpSName08</f>
        <v xml:space="preserve">Bodd Odd </v>
      </c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8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1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4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8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8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EmpGName11 &amp;" " &amp; EmpSName11</f>
        <v>3Bod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8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6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6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7" t="s">
        <v>25</v>
      </c>
      <c r="R3" s="137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9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3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28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tabSelected="1" topLeftCell="A16" zoomScale="141" zoomScaleNormal="141" workbookViewId="0">
      <selection activeCell="E24" sqref="E24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02" t="str">
        <f>CurYear-1 &amp; "/"&amp;CurYear</f>
        <v>2015/2016</v>
      </c>
      <c r="D3" s="202"/>
      <c r="E3" s="98" t="s">
        <v>9</v>
      </c>
      <c r="F3" s="98" t="s">
        <v>11</v>
      </c>
      <c r="G3" s="98" t="s">
        <v>10</v>
      </c>
      <c r="H3" s="98" t="s">
        <v>71</v>
      </c>
      <c r="I3" s="98" t="s">
        <v>39</v>
      </c>
      <c r="J3" s="98" t="s">
        <v>40</v>
      </c>
      <c r="K3" s="98" t="s">
        <v>45</v>
      </c>
      <c r="L3" s="101" t="s">
        <v>51</v>
      </c>
      <c r="M3" s="98" t="s">
        <v>46</v>
      </c>
      <c r="N3" s="98" t="s">
        <v>29</v>
      </c>
    </row>
    <row r="4" spans="2:14" s="55" customFormat="1">
      <c r="B4" s="55">
        <v>1</v>
      </c>
      <c r="C4" s="203" t="str">
        <f>EmpGName01</f>
        <v>Luciano</v>
      </c>
      <c r="D4" s="203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0</v>
      </c>
    </row>
    <row r="5" spans="2:14" s="55" customFormat="1">
      <c r="B5" s="55">
        <v>2</v>
      </c>
      <c r="C5" s="204" t="str">
        <f>EmpGName02</f>
        <v>Kevin</v>
      </c>
      <c r="D5" s="204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0</v>
      </c>
    </row>
    <row r="6" spans="2:14" s="55" customFormat="1">
      <c r="B6" s="55">
        <v>3</v>
      </c>
      <c r="C6" s="203" t="str">
        <f>EmpGName03</f>
        <v>Ian</v>
      </c>
      <c r="D6" s="203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0</v>
      </c>
    </row>
    <row r="7" spans="2:14" s="55" customFormat="1">
      <c r="B7" s="55">
        <v>4</v>
      </c>
      <c r="C7" s="204" t="str">
        <f>EmpGName04</f>
        <v>Leon</v>
      </c>
      <c r="D7" s="204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0</v>
      </c>
    </row>
    <row r="8" spans="2:14" s="55" customFormat="1">
      <c r="B8" s="55">
        <v>5</v>
      </c>
      <c r="C8" s="203" t="str">
        <f>EmpGName05</f>
        <v>David</v>
      </c>
      <c r="D8" s="203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0</v>
      </c>
    </row>
    <row r="9" spans="2:14" s="55" customFormat="1">
      <c r="B9" s="55">
        <v>6</v>
      </c>
      <c r="C9" s="204" t="str">
        <f>EmpGName06</f>
        <v>Robin</v>
      </c>
      <c r="D9" s="204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0</v>
      </c>
    </row>
    <row r="10" spans="2:14" s="55" customFormat="1">
      <c r="B10" s="55">
        <v>7</v>
      </c>
      <c r="C10" s="203" t="str">
        <f>EmpGName07</f>
        <v>Troy</v>
      </c>
      <c r="D10" s="203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0</v>
      </c>
    </row>
    <row r="11" spans="2:14" s="55" customFormat="1">
      <c r="B11" s="55">
        <v>8</v>
      </c>
      <c r="C11" s="204" t="str">
        <f>EmpGName08</f>
        <v>Bodd</v>
      </c>
      <c r="D11" s="204" t="str">
        <f>EmpSName08</f>
        <v xml:space="preserve">Odd 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0</v>
      </c>
    </row>
    <row r="12" spans="2:14" s="55" customFormat="1">
      <c r="B12" s="55">
        <v>9</v>
      </c>
      <c r="C12" s="203" t="str">
        <f>EmpGName09</f>
        <v>1Bod</v>
      </c>
      <c r="D12" s="203" t="str">
        <f>EmpSName09</f>
        <v>Odd1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0</v>
      </c>
    </row>
    <row r="13" spans="2:14" s="55" customFormat="1">
      <c r="B13" s="55">
        <v>10</v>
      </c>
      <c r="C13" s="204" t="str">
        <f>EmpSName10</f>
        <v>Odd2</v>
      </c>
      <c r="D13" s="204" t="str">
        <f>EmpGName10</f>
        <v>2Bod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5" si="1">SUM(E13:M13)</f>
        <v>0</v>
      </c>
    </row>
    <row r="14" spans="2:14" s="55" customFormat="1">
      <c r="B14" s="55">
        <v>11</v>
      </c>
      <c r="C14" s="203" t="str">
        <f>EmpSName11</f>
        <v>Odd3</v>
      </c>
      <c r="D14" s="203" t="str">
        <f>EmpGName11</f>
        <v>3Bod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0</v>
      </c>
    </row>
    <row r="15" spans="2:14" s="55" customFormat="1" ht="15" customHeight="1">
      <c r="B15" s="55">
        <v>12</v>
      </c>
      <c r="C15" s="204" t="str">
        <f>EmpSName12</f>
        <v>Odd4</v>
      </c>
      <c r="D15" s="204" t="str">
        <f>EmpGName12</f>
        <v>4Bod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0</v>
      </c>
    </row>
    <row r="16" spans="2:14" s="55" customFormat="1" ht="15" customHeight="1">
      <c r="B16" s="55">
        <v>13</v>
      </c>
      <c r="C16" s="205" t="str">
        <f>EmpSName13</f>
        <v>Odd5</v>
      </c>
      <c r="D16" s="203" t="str">
        <f>EmpGName13</f>
        <v>Abod</v>
      </c>
      <c r="E16" s="81"/>
      <c r="F16" s="81"/>
      <c r="G16" s="81"/>
      <c r="H16" s="81"/>
      <c r="I16" s="79"/>
      <c r="J16" s="79"/>
      <c r="K16" s="79"/>
      <c r="L16" s="81"/>
      <c r="M16" s="79"/>
      <c r="N16" s="81"/>
    </row>
    <row r="17" spans="2:14" s="55" customFormat="1" ht="15" customHeight="1">
      <c r="B17" s="55">
        <v>14</v>
      </c>
      <c r="C17" s="206" t="str">
        <f>EmpSName14</f>
        <v>Odd6</v>
      </c>
      <c r="D17" s="204" t="str">
        <f>EmpGName14</f>
        <v>Bbod</v>
      </c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2:14" s="55" customFormat="1" ht="15" customHeight="1">
      <c r="B18" s="55">
        <v>15</v>
      </c>
      <c r="C18" s="203" t="str">
        <f>EmpSName15</f>
        <v>Odd7</v>
      </c>
      <c r="D18" s="203" t="str">
        <f>EmpGName15</f>
        <v>Cbod</v>
      </c>
      <c r="E18" s="81"/>
      <c r="F18" s="81"/>
      <c r="G18" s="81"/>
      <c r="H18" s="81"/>
      <c r="I18" s="79"/>
      <c r="J18" s="79"/>
      <c r="K18" s="79"/>
      <c r="L18" s="81"/>
      <c r="M18" s="79"/>
      <c r="N18" s="81"/>
    </row>
    <row r="19" spans="2:14" s="55" customFormat="1" ht="15" customHeight="1">
      <c r="B19" s="55">
        <v>16</v>
      </c>
      <c r="C19" s="204" t="str">
        <f>EmpSName16</f>
        <v>Odd8</v>
      </c>
      <c r="D19" s="204" t="str">
        <f>EmpGName16</f>
        <v>Dbod</v>
      </c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2:14" s="55" customFormat="1" ht="15" customHeight="1">
      <c r="B20" s="55">
        <v>17</v>
      </c>
      <c r="C20" s="203" t="str">
        <f>EmpSName17</f>
        <v>Odd9</v>
      </c>
      <c r="D20" s="203" t="str">
        <f>EmpGName17</f>
        <v>Ebod</v>
      </c>
      <c r="E20" s="81"/>
      <c r="F20" s="81"/>
      <c r="G20" s="81"/>
      <c r="H20" s="81"/>
      <c r="I20" s="79"/>
      <c r="J20" s="79"/>
      <c r="K20" s="79"/>
      <c r="L20" s="81"/>
      <c r="M20" s="79"/>
      <c r="N20" s="81"/>
    </row>
    <row r="21" spans="2:14" s="55" customFormat="1" ht="15" customHeight="1">
      <c r="B21" s="55">
        <v>18</v>
      </c>
      <c r="C21" s="204" t="str">
        <f>EmpSName18</f>
        <v>Odd10</v>
      </c>
      <c r="D21" s="204" t="str">
        <f>EmpGName18</f>
        <v>Fbod</v>
      </c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2:14" s="55" customFormat="1" ht="15" customHeight="1">
      <c r="B22" s="55">
        <v>19</v>
      </c>
      <c r="C22" s="203" t="str">
        <f>EmpSName19</f>
        <v>Jack</v>
      </c>
      <c r="D22" s="203" t="str">
        <f>EmpGName19</f>
        <v>Shize</v>
      </c>
      <c r="E22" s="81"/>
      <c r="F22" s="81"/>
      <c r="G22" s="81"/>
      <c r="H22" s="81"/>
      <c r="I22" s="79"/>
      <c r="J22" s="79"/>
      <c r="K22" s="79"/>
      <c r="L22" s="81"/>
      <c r="M22" s="79"/>
      <c r="N22" s="81"/>
    </row>
    <row r="23" spans="2:14" s="55" customFormat="1" ht="15" customHeight="1">
      <c r="B23" s="55">
        <v>20</v>
      </c>
      <c r="C23" s="204" t="str">
        <f>EmpSName20</f>
        <v>Billy</v>
      </c>
      <c r="D23" s="204" t="str">
        <f>EmpGName20</f>
        <v>Bones</v>
      </c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2:14" s="55" customFormat="1" ht="15" customHeight="1">
      <c r="B24" s="55">
        <v>21</v>
      </c>
      <c r="C24" s="203" t="str">
        <f>EmpSName21</f>
        <v>Ted</v>
      </c>
      <c r="D24" s="203" t="str">
        <f>EmpGName21</f>
        <v>Tomes</v>
      </c>
      <c r="E24" s="81"/>
      <c r="F24" s="81"/>
      <c r="G24" s="81"/>
      <c r="H24" s="81"/>
      <c r="I24" s="79"/>
      <c r="J24" s="79"/>
      <c r="K24" s="79"/>
      <c r="L24" s="81"/>
      <c r="M24" s="79"/>
      <c r="N24" s="81"/>
    </row>
    <row r="25" spans="2:14" s="55" customFormat="1" ht="15" customHeight="1">
      <c r="B25" s="55">
        <v>22</v>
      </c>
      <c r="C25" s="204" t="str">
        <f>EmpSName22</f>
        <v>Ben</v>
      </c>
      <c r="D25" s="204" t="str">
        <f>EmpGName22</f>
        <v>Tung</v>
      </c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2:14" s="55" customFormat="1" ht="15" customHeight="1">
      <c r="B26" s="55">
        <v>23</v>
      </c>
      <c r="C26" s="203" t="str">
        <f>EmpSName23</f>
        <v>Long</v>
      </c>
      <c r="D26" s="203" t="str">
        <f>EmpGName23</f>
        <v>Tung</v>
      </c>
      <c r="E26" s="81"/>
      <c r="F26" s="81"/>
      <c r="G26" s="81"/>
      <c r="H26" s="81"/>
      <c r="I26" s="79"/>
      <c r="J26" s="79"/>
      <c r="K26" s="79"/>
      <c r="L26" s="81"/>
      <c r="M26" s="79"/>
      <c r="N26" s="81"/>
    </row>
    <row r="27" spans="2:14" s="55" customFormat="1" ht="15" customHeight="1">
      <c r="B27" s="55">
        <v>24</v>
      </c>
      <c r="C27" s="204" t="str">
        <f>EmpSName24</f>
        <v>Odd16</v>
      </c>
      <c r="D27" s="204" t="str">
        <f>EmpGName24</f>
        <v>Lbod</v>
      </c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2:14" s="55" customFormat="1" ht="15" customHeight="1">
      <c r="B28" s="55">
        <v>25</v>
      </c>
      <c r="C28" s="203" t="str">
        <f>EmpSName25</f>
        <v>Charlie</v>
      </c>
      <c r="D28" s="203" t="str">
        <f>EmpGName25</f>
        <v>Horse</v>
      </c>
      <c r="E28" s="81"/>
      <c r="F28" s="81"/>
      <c r="G28" s="81"/>
      <c r="H28" s="81"/>
      <c r="I28" s="79"/>
      <c r="J28" s="79"/>
      <c r="K28" s="79"/>
      <c r="L28" s="81"/>
      <c r="M28" s="79"/>
      <c r="N28" s="81"/>
    </row>
    <row r="29" spans="2:14" s="55" customFormat="1" ht="15" customHeight="1">
      <c r="B29" s="55">
        <v>26</v>
      </c>
      <c r="C29" s="204" t="str">
        <f>EmpSName26</f>
        <v>Scuzzy Old</v>
      </c>
      <c r="D29" s="204" t="str">
        <f>EmpGName26</f>
        <v>Horse</v>
      </c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2:14" s="55" customFormat="1" ht="15" customHeight="1">
      <c r="B30" s="55">
        <v>27</v>
      </c>
      <c r="C30" s="203" t="str">
        <f>EmpSName27</f>
        <v>Ben</v>
      </c>
      <c r="D30" s="203" t="str">
        <f>EmpGName27</f>
        <v>Lomond</v>
      </c>
      <c r="E30" s="81"/>
      <c r="F30" s="81"/>
      <c r="G30" s="81"/>
      <c r="H30" s="81"/>
      <c r="I30" s="79"/>
      <c r="J30" s="79"/>
      <c r="K30" s="79"/>
      <c r="L30" s="81"/>
      <c r="M30" s="79"/>
      <c r="N30" s="81"/>
    </row>
    <row r="31" spans="2:14" s="55" customFormat="1" ht="15" customHeight="1">
      <c r="B31" s="55">
        <v>28</v>
      </c>
      <c r="C31" s="204" t="str">
        <f>EmpSName28</f>
        <v>Ben</v>
      </c>
      <c r="D31" s="204" t="str">
        <f>EmpGName28</f>
        <v>Franklin</v>
      </c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2:14" s="55" customFormat="1"/>
    <row r="33" spans="4:14" s="55" customFormat="1">
      <c r="D33" s="100" t="s">
        <v>50</v>
      </c>
      <c r="E33" s="99">
        <f t="shared" ref="E33:M33" si="2">SUM(E4:E15)</f>
        <v>0</v>
      </c>
      <c r="F33" s="99">
        <f t="shared" si="2"/>
        <v>0</v>
      </c>
      <c r="G33" s="99">
        <f t="shared" si="2"/>
        <v>0</v>
      </c>
      <c r="H33" s="99">
        <f t="shared" si="2"/>
        <v>0</v>
      </c>
      <c r="I33" s="99">
        <f t="shared" si="2"/>
        <v>0</v>
      </c>
      <c r="J33" s="99">
        <f t="shared" si="2"/>
        <v>0</v>
      </c>
      <c r="K33" s="99">
        <f t="shared" si="2"/>
        <v>0</v>
      </c>
      <c r="L33" s="102">
        <f t="shared" si="2"/>
        <v>0</v>
      </c>
      <c r="M33" s="99">
        <f t="shared" si="2"/>
        <v>0</v>
      </c>
      <c r="N33" s="99">
        <f t="shared" ref="N33" si="3">SUM(N4:N15)</f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482</vt:i4>
      </vt:variant>
    </vt:vector>
  </HeadingPairs>
  <TitlesOfParts>
    <vt:vector size="497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2019-06-04T03:10:07Z</dcterms:modified>
</cp:coreProperties>
</file>