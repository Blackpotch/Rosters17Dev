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I33" i="9" s="1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J33" i="9" l="1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<sst xmlns="http://schemas.openxmlformats.org/spreadsheetml/2006/main" count="10434" uniqueCount="143">
  <si>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</si>
  <si>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</si>
  <si>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</si>
  <si>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</si>
  <si>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</si>
  <si>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</si>
  <si>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</si>
  <si>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</si>
  <si>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</si>
  <si>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</si>
  <si>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</si>
  <si>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</si>
  <si>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</si>
  <si>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</si>
  <si>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</si>
  <si>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</si>
  <si>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</si>
  <si>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</si>
  <si>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</si>
  <si>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</si>
  <si>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</si>
  <si>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</si>
  <si>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</si>
  <si>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</si>
  <si>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</si>
  <si>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</si>
  <si>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</si>
  <si>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</si>
  <si>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</si>
  <si>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</si>
  <si>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</si>
  <si>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</si>
  <si>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</si>
  <si>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</si>
  <si>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</si>
  <si>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</si>
  <si>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</si>
  <si>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</si>
  <si>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</si>
  <si>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</si>
  <si>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</si>
  <si>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</si>
  <si>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</si>
  <si>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</si>
  <si>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</si>
  <si>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</si>
  <si>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</si>
  <si>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</si>
  <si>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</si>
  <si>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</si>
  <si>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</si>
  <si>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</si>
  <si>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</si>
  <si>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</si>
  <si>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</si>
  <si>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</si>
  <si>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</si>
  <si>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</si>
  <si>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</si>
  <si>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</si>
  <si>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</si>
  <si>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</si>
  <si>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</si>
  <si>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</si>
  <si>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</si>
  <si>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</si>
  <si>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</si>
  <si>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</si>
  <si>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</si>
  <si>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</si>
  <si>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</si>
  <si>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</si>
  <si>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</si>
  <si>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</si>
  <si>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</si>
  <si>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</si>
  <si>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</si>
  <si>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</si>
  <si>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</si>
  <si>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</si>
  <si>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</si>
  <si>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</si>
  <si>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</si>
  <si>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</si>
  <si>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</si>
  <si>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</si>
  <si>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</si>
  <si>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</si>
  <si>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</si>
  <si>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</si>
  <si>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</si>
  <si>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</si>
  <si>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</si>
  <si>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</si>
  <si>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</si>
  <si>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</si>
  <si>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</si>
  <si>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</si>
  <si>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</si>
  <si>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</si>
  <si>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</si>
  <si>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Odd16</t>
  </si>
  <si>
    <t>1Bod</t>
  </si>
  <si>
    <t>2Bod</t>
  </si>
  <si>
    <t>4Bod</t>
  </si>
  <si>
    <t>Abod</t>
  </si>
  <si>
    <t>Bbod</t>
  </si>
  <si>
    <t>Cbod</t>
  </si>
  <si>
    <t>Dbod</t>
  </si>
  <si>
    <t>Ebod</t>
  </si>
  <si>
    <t>Lbod</t>
  </si>
  <si>
    <t>2016</t>
  </si>
  <si>
    <t>3Bod</t>
  </si>
  <si>
    <t>Charlie</t>
  </si>
  <si>
    <t>Horse</t>
  </si>
  <si>
    <t>Scuzzy Old</t>
  </si>
  <si>
    <t>Ben</t>
  </si>
  <si>
    <t>Lomond</t>
  </si>
  <si>
    <t>Franklin</t>
  </si>
  <si>
    <t>Jack</t>
  </si>
  <si>
    <t>Shize</t>
  </si>
  <si>
    <t>Billy</t>
  </si>
  <si>
    <t>Bones</t>
  </si>
  <si>
    <t>Ted</t>
  </si>
  <si>
    <t>Tomes</t>
  </si>
  <si>
    <t>Tung</t>
  </si>
  <si>
    <t>Long</t>
  </si>
  <si>
    <t>Public Holidays</t>
  </si>
  <si>
    <t>Simple</t>
  </si>
  <si>
    <t>Simon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</si>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</sst>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6" fillId="5" borderId="12" xfId="0" applyNumberFormat="1" applyFont="1" applyFill="1" applyBorder="1" applyAlignment="1" applyProtection="1">
      <alignment horizontal="center"/>
    </xf>
    <xf numFmtId="49" fontId="26" fillId="0" borderId="6" xfId="0" applyNumberFormat="1" applyFont="1" applyBorder="1" applyAlignment="1" applyProtection="1">
      <alignment horizontal="center"/>
      <protection hidden="1"/>
    </xf>
    <xf numFmtId="0" fontId="27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3" xfId="0" applyBorder="1"/>
    <xf numFmtId="0" fontId="9" fillId="0" borderId="52" xfId="0" applyFont="1" applyBorder="1"/>
    <xf numFmtId="14" fontId="0" fillId="0" borderId="53" xfId="0" applyNumberFormat="1" applyBorder="1"/>
    <xf numFmtId="14" fontId="0" fillId="0" borderId="2" xfId="0" applyNumberFormat="1" applyBorder="1"/>
    <xf numFmtId="14" fontId="0" fillId="0" borderId="33" xfId="0" applyNumberFormat="1" applyBorder="1"/>
    <xf numFmtId="0" fontId="9" fillId="0" borderId="1" xfId="0" applyFont="1" applyBorder="1"/>
    <xf numFmtId="0" fontId="28" fillId="13" borderId="3" xfId="0" applyFont="1" applyFill="1" applyBorder="1"/>
    <xf numFmtId="0" fontId="29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13" fillId="13" borderId="45" xfId="0" applyFont="1" applyFill="1" applyBorder="1" applyAlignment="1" applyProtection="1">
      <alignment horizontal="center"/>
    </xf>
    <xf numFmtId="0" fontId="29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tabSelected="1" zoomScale="120" zoomScaleNormal="120" workbookViewId="0">
      <pane ySplit="10" topLeftCell="A14" activePane="bottomLeft" state="frozen"/>
      <selection pane="bottomLeft" activeCell="C2" sqref="C2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11" t="str">
        <f>Location &amp;  " -  Roster Sheets"</f>
        <v>Oodlawirra Quarantine Station -  Roster Sheets</v>
      </c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97"/>
      <c r="AF1" s="97"/>
      <c r="AG1" s="97"/>
      <c r="AH1" s="97"/>
    </row>
    <row r="2" spans="1:36" s="2" customFormat="1" ht="12" customHeight="1"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97"/>
      <c r="AF2" s="97"/>
      <c r="AG2" s="97"/>
      <c r="AH2" s="97"/>
    </row>
    <row r="3" spans="1:36" s="2" customFormat="1" ht="17.25" customHeight="1">
      <c r="B3" s="29"/>
      <c r="J3" s="209" t="str">
        <f>"Financial Year Commencing - 1st July, "&amp; CurYear-1</f>
        <v>Financial Year Commencing - 1st July, 2015</v>
      </c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97"/>
      <c r="AF3" s="97"/>
      <c r="AG3" s="97"/>
      <c r="AH3" s="97"/>
    </row>
    <row r="4" spans="1:36" s="30" customFormat="1" ht="12" customHeight="1">
      <c r="B4" s="77" t="s">
        <v>111</v>
      </c>
      <c r="C4" s="208"/>
      <c r="D4" s="208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</row>
    <row r="5" spans="1:36" s="31" customFormat="1" ht="53.25" hidden="1" customHeight="1"/>
    <row r="6" spans="1:36" s="142" customFormat="1" ht="14.25" hidden="1" customHeight="1"/>
    <row r="7" spans="1:36" s="142" customFormat="1" ht="14.25" hidden="1" customHeight="1">
      <c r="C7" s="155" t="s">
        <v>59</v>
      </c>
      <c r="D7" s="157" t="s">
        <v>11</v>
      </c>
      <c r="E7" s="149" t="s">
        <v>60</v>
      </c>
      <c r="F7" s="150" t="s">
        <v>63</v>
      </c>
      <c r="G7" s="151"/>
      <c r="H7" s="151"/>
      <c r="I7" s="151"/>
      <c r="J7" s="153"/>
      <c r="K7" s="154"/>
      <c r="L7" s="148" t="s">
        <v>45</v>
      </c>
      <c r="M7" s="149" t="s">
        <v>60</v>
      </c>
      <c r="N7" s="150" t="s">
        <v>66</v>
      </c>
      <c r="O7" s="151"/>
      <c r="P7" s="151"/>
      <c r="Q7" s="153"/>
      <c r="R7" s="154"/>
      <c r="S7" s="148" t="s">
        <v>58</v>
      </c>
      <c r="T7" s="149" t="s">
        <v>60</v>
      </c>
      <c r="U7" s="150" t="s">
        <v>61</v>
      </c>
      <c r="V7" s="151"/>
      <c r="W7" s="151"/>
      <c r="X7" s="153"/>
      <c r="Y7" s="151"/>
      <c r="Z7" s="148" t="s">
        <v>40</v>
      </c>
      <c r="AA7" s="149" t="s">
        <v>60</v>
      </c>
      <c r="AB7" s="150" t="s">
        <v>70</v>
      </c>
      <c r="AC7" s="151"/>
      <c r="AD7" s="151"/>
      <c r="AE7" s="153"/>
    </row>
    <row r="8" spans="1:36" s="142" customFormat="1" ht="14.25" hidden="1" customHeight="1">
      <c r="C8" s="156"/>
      <c r="D8" s="157" t="s">
        <v>9</v>
      </c>
      <c r="E8" s="149" t="s">
        <v>60</v>
      </c>
      <c r="F8" s="150" t="s">
        <v>64</v>
      </c>
      <c r="G8" s="151"/>
      <c r="H8" s="151"/>
      <c r="I8" s="151"/>
      <c r="J8" s="153"/>
      <c r="K8" s="154"/>
      <c r="L8" s="152" t="s">
        <v>46</v>
      </c>
      <c r="M8" s="149" t="s">
        <v>60</v>
      </c>
      <c r="N8" s="150" t="s">
        <v>67</v>
      </c>
      <c r="O8" s="151"/>
      <c r="P8" s="151"/>
      <c r="Q8" s="153"/>
      <c r="R8" s="154"/>
      <c r="S8" s="148" t="s">
        <v>62</v>
      </c>
      <c r="T8" s="149" t="s">
        <v>60</v>
      </c>
      <c r="U8" s="150" t="s">
        <v>68</v>
      </c>
      <c r="V8" s="151"/>
      <c r="W8" s="151"/>
      <c r="X8" s="153"/>
      <c r="Y8" s="151"/>
      <c r="Z8" s="148" t="s">
        <v>39</v>
      </c>
      <c r="AA8" s="149" t="s">
        <v>60</v>
      </c>
      <c r="AB8" s="150" t="s">
        <v>69</v>
      </c>
      <c r="AC8" s="151"/>
      <c r="AD8" s="151"/>
      <c r="AE8" s="153"/>
    </row>
    <row r="9" spans="1:36" s="142" customFormat="1" ht="14.25" hidden="1" customHeight="1">
      <c r="C9" s="156"/>
      <c r="D9" s="157" t="s">
        <v>10</v>
      </c>
      <c r="E9" s="149" t="s">
        <v>60</v>
      </c>
      <c r="F9" s="150" t="s">
        <v>65</v>
      </c>
      <c r="G9" s="151"/>
      <c r="H9" s="151"/>
      <c r="I9" s="151"/>
      <c r="J9" s="153"/>
      <c r="K9" s="154"/>
      <c r="L9" s="152"/>
      <c r="M9" s="158"/>
      <c r="N9" s="151"/>
      <c r="O9" s="151"/>
      <c r="P9" s="151"/>
      <c r="Q9" s="153"/>
      <c r="R9" s="154"/>
      <c r="S9" s="159"/>
      <c r="T9" s="158"/>
      <c r="U9" s="151"/>
      <c r="V9" s="151"/>
      <c r="W9" s="151"/>
      <c r="X9" s="153"/>
      <c r="Y9" s="151"/>
      <c r="Z9" s="148"/>
      <c r="AA9" s="158"/>
      <c r="AB9" s="151"/>
      <c r="AC9" s="151"/>
      <c r="AD9" s="151"/>
      <c r="AE9" s="153"/>
      <c r="AI9" s="142" t="s">
        <v>62</v>
      </c>
    </row>
    <row r="10" spans="1:36" s="142" customFormat="1" ht="14.25" hidden="1" customHeight="1">
      <c r="D10" s="144"/>
      <c r="E10" s="147"/>
      <c r="K10" s="145"/>
      <c r="L10" s="146"/>
      <c r="M10" s="143"/>
    </row>
    <row r="11" spans="1:36" s="72" customFormat="1" ht="12" customHeight="1"/>
    <row r="12" spans="1:36" s="2" customFormat="1">
      <c r="B12"/>
      <c r="C12" s="193">
        <f>CurYear-1</f>
        <v>2015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7"/>
      <c r="C13" s="201" t="s">
        <v>18</v>
      </c>
      <c r="D13" s="203">
        <v>1</v>
      </c>
      <c r="E13" s="203">
        <v>2</v>
      </c>
      <c r="F13" s="202">
        <v>3</v>
      </c>
      <c r="G13" s="203">
        <v>4</v>
      </c>
      <c r="H13" s="203">
        <v>5</v>
      </c>
      <c r="I13" s="203">
        <v>6</v>
      </c>
      <c r="J13" s="203">
        <v>7</v>
      </c>
      <c r="K13" s="203">
        <v>8</v>
      </c>
      <c r="L13" s="203">
        <v>9</v>
      </c>
      <c r="M13" s="203">
        <v>10</v>
      </c>
      <c r="N13" s="203">
        <v>11</v>
      </c>
      <c r="O13" s="203">
        <v>12</v>
      </c>
      <c r="P13" s="203">
        <v>13</v>
      </c>
      <c r="Q13" s="203">
        <v>14</v>
      </c>
      <c r="R13" s="203">
        <v>15</v>
      </c>
      <c r="S13" s="203">
        <v>16</v>
      </c>
      <c r="T13" s="202">
        <v>17</v>
      </c>
      <c r="U13" s="203">
        <v>18</v>
      </c>
      <c r="V13" s="203">
        <v>19</v>
      </c>
      <c r="W13" s="203">
        <v>20</v>
      </c>
      <c r="X13" s="203">
        <v>21</v>
      </c>
      <c r="Y13" s="203">
        <v>22</v>
      </c>
      <c r="Z13" s="203">
        <v>23</v>
      </c>
      <c r="AA13" s="203">
        <v>24</v>
      </c>
      <c r="AB13" s="203">
        <v>25</v>
      </c>
      <c r="AC13" s="203">
        <v>26</v>
      </c>
      <c r="AD13" s="203">
        <v>27</v>
      </c>
      <c r="AE13" s="203">
        <v>28</v>
      </c>
      <c r="AF13" s="203">
        <v>29</v>
      </c>
      <c r="AG13" s="203">
        <v>30</v>
      </c>
      <c r="AH13" s="202">
        <v>31</v>
      </c>
    </row>
    <row r="14" spans="1:36">
      <c r="B14" s="84">
        <v>1</v>
      </c>
      <c r="C14" s="88" t="str">
        <f>LEFT(EmpGName01)&amp;" " &amp; EmpSName01</f>
        <v>L Marampon</v>
      </c>
      <c r="D14" s="4" t="s">
        <v>9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4">
        <v>2</v>
      </c>
      <c r="C15" s="89" t="str">
        <f>LEFT(EmpGName02)&amp;" " &amp;EmpSName02</f>
        <v>K Stone</v>
      </c>
      <c r="D15" s="3" t="s">
        <v>9</v>
      </c>
      <c r="E15" s="3" t="s">
        <v>9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4">
        <v>3</v>
      </c>
      <c r="C16" s="88" t="str">
        <f>LEFT(EmpGName03)&amp;" " &amp;EmpSName03</f>
        <v>I Thelning</v>
      </c>
      <c r="D16" s="4" t="s">
        <v>9</v>
      </c>
      <c r="E16" s="4" t="s">
        <v>9</v>
      </c>
      <c r="F16" s="4" t="s">
        <v>9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4">
        <v>4</v>
      </c>
      <c r="C17" s="89" t="str">
        <f>LEFT(EmpGName04)&amp;" " &amp;EmpSName04</f>
        <v>L King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4">
        <v>5</v>
      </c>
      <c r="C18" s="88" t="str">
        <f>LEFT(EmpGName05)&amp;" " &amp;EmpSName05</f>
        <v>D Castle</v>
      </c>
      <c r="D18" s="4" t="s">
        <v>9</v>
      </c>
      <c r="E18" s="4" t="s">
        <v>9</v>
      </c>
      <c r="F18" s="4" t="s">
        <v>9</v>
      </c>
      <c r="G18" s="4" t="s">
        <v>9</v>
      </c>
      <c r="H18" s="4" t="s">
        <v>9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4">
        <v>6</v>
      </c>
      <c r="C19" s="89" t="str">
        <f>LEFT(EmpGName06)&amp;" " &amp;EmpSName06</f>
        <v>R Fielding</v>
      </c>
      <c r="D19" s="3" t="s">
        <v>9</v>
      </c>
      <c r="E19" s="3" t="s">
        <v>9</v>
      </c>
      <c r="F19" s="3" t="s">
        <v>9</v>
      </c>
      <c r="G19" s="3" t="s">
        <v>9</v>
      </c>
      <c r="H19" s="3" t="s">
        <v>9</v>
      </c>
      <c r="I19" s="3" t="s">
        <v>9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4">
        <v>7</v>
      </c>
      <c r="C20" s="88" t="str">
        <f>LEFT(EmpGName07)&amp;" " &amp;EmpSName07</f>
        <v>T Sorensen</v>
      </c>
      <c r="D20" s="4" t="s">
        <v>9</v>
      </c>
      <c r="E20" s="4" t="s">
        <v>9</v>
      </c>
      <c r="F20" s="4" t="s">
        <v>9</v>
      </c>
      <c r="G20" s="4" t="s">
        <v>9</v>
      </c>
      <c r="H20" s="4" t="s">
        <v>9</v>
      </c>
      <c r="I20" s="4" t="s">
        <v>9</v>
      </c>
      <c r="J20" s="4" t="s">
        <v>9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4">
        <v>8</v>
      </c>
      <c r="C21" s="89" t="str">
        <f>LEFT(EmpGName08)&amp;" " &amp;EmpSName08</f>
        <v xml:space="preserve">B Odd </v>
      </c>
      <c r="D21" s="3" t="s">
        <v>9</v>
      </c>
      <c r="E21" s="3" t="s">
        <v>9</v>
      </c>
      <c r="F21" s="3" t="s">
        <v>9</v>
      </c>
      <c r="G21" s="3" t="s">
        <v>9</v>
      </c>
      <c r="H21" s="3" t="s">
        <v>9</v>
      </c>
      <c r="I21" s="3" t="s">
        <v>9</v>
      </c>
      <c r="J21" s="3" t="s">
        <v>9</v>
      </c>
      <c r="K21" s="3" t="s">
        <v>9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4">
        <v>9</v>
      </c>
      <c r="C22" s="88" t="str">
        <f>LEFT(EmpGName09)&amp;" " &amp;EmpSName09</f>
        <v>1 Odd1</v>
      </c>
      <c r="D22" s="4" t="s">
        <v>9</v>
      </c>
      <c r="E22" s="4" t="s">
        <v>9</v>
      </c>
      <c r="F22" s="4" t="s">
        <v>9</v>
      </c>
      <c r="G22" s="4" t="s">
        <v>9</v>
      </c>
      <c r="H22" s="4" t="s">
        <v>9</v>
      </c>
      <c r="I22" s="4" t="s">
        <v>9</v>
      </c>
      <c r="J22" s="4" t="s">
        <v>9</v>
      </c>
      <c r="K22" s="4" t="s">
        <v>9</v>
      </c>
      <c r="L22" s="4" t="s">
        <v>9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0">
        <v>10</v>
      </c>
      <c r="C23" s="89" t="str">
        <f>LEFT(EmpGName10)&amp;" " &amp;EmpSName10</f>
        <v>2 Odd2</v>
      </c>
      <c r="D23" s="3" t="s">
        <v>9</v>
      </c>
      <c r="E23" s="3" t="s">
        <v>9</v>
      </c>
      <c r="F23" s="3" t="s">
        <v>9</v>
      </c>
      <c r="G23" s="3" t="s">
        <v>9</v>
      </c>
      <c r="H23" s="3" t="s">
        <v>9</v>
      </c>
      <c r="I23" s="3" t="s">
        <v>9</v>
      </c>
      <c r="J23" s="3" t="s">
        <v>9</v>
      </c>
      <c r="K23" s="3" t="s">
        <v>9</v>
      </c>
      <c r="L23" s="3" t="s">
        <v>9</v>
      </c>
      <c r="M23" s="3" t="s">
        <v>9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0">
        <v>11</v>
      </c>
      <c r="C24" s="88" t="str">
        <f>LEFT(EmpGName11)&amp;" " &amp;EmpSName11</f>
        <v>3 Odd3</v>
      </c>
      <c r="D24" s="4" t="s">
        <v>9</v>
      </c>
      <c r="E24" s="4" t="s">
        <v>9</v>
      </c>
      <c r="F24" s="4" t="s">
        <v>9</v>
      </c>
      <c r="G24" s="4" t="s">
        <v>9</v>
      </c>
      <c r="H24" s="4" t="s">
        <v>9</v>
      </c>
      <c r="I24" s="4" t="s">
        <v>9</v>
      </c>
      <c r="J24" s="4" t="s">
        <v>9</v>
      </c>
      <c r="K24" s="4" t="s">
        <v>9</v>
      </c>
      <c r="L24" s="4" t="s">
        <v>9</v>
      </c>
      <c r="M24" s="4" t="s">
        <v>9</v>
      </c>
      <c r="N24" s="4" t="s">
        <v>9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0">
        <v>12</v>
      </c>
      <c r="C25" s="89" t="str">
        <f>LEFT(EmpGName12)&amp;" " &amp;EmpSName12</f>
        <v>4 Odd4</v>
      </c>
      <c r="D25" s="3" t="s">
        <v>9</v>
      </c>
      <c r="E25" s="3" t="s">
        <v>9</v>
      </c>
      <c r="F25" s="3" t="s">
        <v>9</v>
      </c>
      <c r="G25" s="3" t="s">
        <v>9</v>
      </c>
      <c r="H25" s="3" t="s">
        <v>9</v>
      </c>
      <c r="I25" s="3" t="s">
        <v>9</v>
      </c>
      <c r="J25" s="3" t="s">
        <v>9</v>
      </c>
      <c r="K25" s="3" t="s">
        <v>9</v>
      </c>
      <c r="L25" s="3" t="s">
        <v>9</v>
      </c>
      <c r="M25" s="3" t="s">
        <v>9</v>
      </c>
      <c r="N25" s="3" t="s">
        <v>9</v>
      </c>
      <c r="O25" s="3" t="s">
        <v>9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0">
        <v>13</v>
      </c>
      <c r="C26" s="88" t="str">
        <f>LEFT(EmpGName13)&amp;" " &amp;EmpSName13</f>
        <v>A Odd5</v>
      </c>
      <c r="D26" s="4" t="s">
        <v>9</v>
      </c>
      <c r="E26" s="4" t="s">
        <v>9</v>
      </c>
      <c r="F26" s="4" t="s">
        <v>9</v>
      </c>
      <c r="G26" s="4" t="s">
        <v>9</v>
      </c>
      <c r="H26" s="4" t="s">
        <v>9</v>
      </c>
      <c r="I26" s="4" t="s">
        <v>9</v>
      </c>
      <c r="J26" s="4" t="s">
        <v>9</v>
      </c>
      <c r="K26" s="4" t="s">
        <v>9</v>
      </c>
      <c r="L26" s="4" t="s">
        <v>9</v>
      </c>
      <c r="M26" s="4" t="s">
        <v>9</v>
      </c>
      <c r="N26" s="4" t="s">
        <v>9</v>
      </c>
      <c r="O26" s="4" t="s">
        <v>9</v>
      </c>
      <c r="P26" s="4" t="s">
        <v>9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0">
        <v>14</v>
      </c>
      <c r="C27" s="89" t="str">
        <f>LEFT(EmpGName14)&amp;" " &amp;EmpSName14</f>
        <v>B Odd6</v>
      </c>
      <c r="D27" s="3" t="s">
        <v>9</v>
      </c>
      <c r="E27" s="3" t="s">
        <v>9</v>
      </c>
      <c r="F27" s="3" t="s">
        <v>9</v>
      </c>
      <c r="G27" s="3" t="s">
        <v>9</v>
      </c>
      <c r="H27" s="3" t="s">
        <v>9</v>
      </c>
      <c r="I27" s="3" t="s">
        <v>9</v>
      </c>
      <c r="J27" s="3" t="s">
        <v>9</v>
      </c>
      <c r="K27" s="3" t="s">
        <v>9</v>
      </c>
      <c r="L27" s="3" t="s">
        <v>9</v>
      </c>
      <c r="M27" s="3" t="s">
        <v>9</v>
      </c>
      <c r="N27" s="3" t="s">
        <v>9</v>
      </c>
      <c r="O27" s="3" t="s">
        <v>9</v>
      </c>
      <c r="P27" s="3" t="s">
        <v>9</v>
      </c>
      <c r="Q27" s="3" t="s">
        <v>9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0">
        <v>15</v>
      </c>
      <c r="C28" s="88" t="str">
        <f>LEFT(EmpGName15)&amp;" " &amp;EmpSName15</f>
        <v>C Odd7</v>
      </c>
      <c r="D28" s="4" t="s">
        <v>9</v>
      </c>
      <c r="E28" s="4" t="s">
        <v>9</v>
      </c>
      <c r="F28" s="4" t="s">
        <v>9</v>
      </c>
      <c r="G28" s="4" t="s">
        <v>9</v>
      </c>
      <c r="H28" s="4" t="s">
        <v>9</v>
      </c>
      <c r="I28" s="4" t="s">
        <v>9</v>
      </c>
      <c r="J28" s="4" t="s">
        <v>9</v>
      </c>
      <c r="K28" s="4" t="s">
        <v>9</v>
      </c>
      <c r="L28" s="4" t="s">
        <v>9</v>
      </c>
      <c r="M28" s="4" t="s">
        <v>9</v>
      </c>
      <c r="N28" s="4" t="s">
        <v>9</v>
      </c>
      <c r="O28" s="4" t="s">
        <v>9</v>
      </c>
      <c r="P28" s="4" t="s">
        <v>9</v>
      </c>
      <c r="Q28" s="4" t="s">
        <v>9</v>
      </c>
      <c r="R28" s="4" t="s">
        <v>9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0">
        <v>16</v>
      </c>
      <c r="C29" s="89" t="str">
        <f>LEFT(EmpGName16)&amp;" " &amp;EmpSName16</f>
        <v>D Odd8</v>
      </c>
      <c r="D29" s="3" t="s">
        <v>9</v>
      </c>
      <c r="E29" s="3" t="s">
        <v>9</v>
      </c>
      <c r="F29" s="3" t="s">
        <v>9</v>
      </c>
      <c r="G29" s="3" t="s">
        <v>9</v>
      </c>
      <c r="H29" s="3" t="s">
        <v>9</v>
      </c>
      <c r="I29" s="3" t="s">
        <v>9</v>
      </c>
      <c r="J29" s="3" t="s">
        <v>9</v>
      </c>
      <c r="K29" s="3" t="s">
        <v>9</v>
      </c>
      <c r="L29" s="3" t="s">
        <v>9</v>
      </c>
      <c r="M29" s="3" t="s">
        <v>9</v>
      </c>
      <c r="N29" s="3" t="s">
        <v>9</v>
      </c>
      <c r="O29" s="3" t="s">
        <v>9</v>
      </c>
      <c r="P29" s="3" t="s">
        <v>9</v>
      </c>
      <c r="Q29" s="3" t="s">
        <v>9</v>
      </c>
      <c r="R29" s="3" t="s">
        <v>9</v>
      </c>
      <c r="S29" s="3" t="s">
        <v>9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0">
        <v>17</v>
      </c>
      <c r="C30" s="88" t="str">
        <f>LEFT(EmpGName17)&amp;" " &amp;EmpSName17</f>
        <v>E Odd9</v>
      </c>
      <c r="D30" s="4" t="s">
        <v>9</v>
      </c>
      <c r="E30" s="4" t="s">
        <v>9</v>
      </c>
      <c r="F30" s="4" t="s">
        <v>9</v>
      </c>
      <c r="G30" s="4" t="s">
        <v>9</v>
      </c>
      <c r="H30" s="4" t="s">
        <v>9</v>
      </c>
      <c r="I30" s="4" t="s">
        <v>9</v>
      </c>
      <c r="J30" s="4" t="s">
        <v>9</v>
      </c>
      <c r="K30" s="4" t="s">
        <v>9</v>
      </c>
      <c r="L30" s="4" t="s">
        <v>9</v>
      </c>
      <c r="M30" s="4" t="s">
        <v>9</v>
      </c>
      <c r="N30" s="4" t="s">
        <v>9</v>
      </c>
      <c r="O30" s="4" t="s">
        <v>9</v>
      </c>
      <c r="P30" s="4" t="s">
        <v>9</v>
      </c>
      <c r="Q30" s="4" t="s">
        <v>9</v>
      </c>
      <c r="R30" s="4" t="s">
        <v>9</v>
      </c>
      <c r="S30" s="4" t="s">
        <v>9</v>
      </c>
      <c r="T30" s="4" t="s">
        <v>9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0">
        <v>18</v>
      </c>
      <c r="C31" s="89" t="str">
        <f>LEFT(EmpGName18)&amp;" " &amp;EmpSName18</f>
        <v>S Simple</v>
      </c>
      <c r="D31" s="3" t="s">
        <v>9</v>
      </c>
      <c r="E31" s="3" t="s">
        <v>9</v>
      </c>
      <c r="F31" s="3" t="s">
        <v>9</v>
      </c>
      <c r="G31" s="3" t="s">
        <v>9</v>
      </c>
      <c r="H31" s="3" t="s">
        <v>9</v>
      </c>
      <c r="I31" s="3" t="s">
        <v>9</v>
      </c>
      <c r="J31" s="3" t="s">
        <v>9</v>
      </c>
      <c r="K31" s="3" t="s">
        <v>9</v>
      </c>
      <c r="L31" s="3" t="s">
        <v>9</v>
      </c>
      <c r="M31" s="3" t="s">
        <v>9</v>
      </c>
      <c r="N31" s="3" t="s">
        <v>9</v>
      </c>
      <c r="O31" s="3" t="s">
        <v>9</v>
      </c>
      <c r="P31" s="3" t="s">
        <v>9</v>
      </c>
      <c r="Q31" s="3" t="s">
        <v>9</v>
      </c>
      <c r="R31" s="3" t="s">
        <v>9</v>
      </c>
      <c r="S31" s="3" t="s">
        <v>9</v>
      </c>
      <c r="T31" s="3" t="s">
        <v>9</v>
      </c>
      <c r="U31" s="3" t="s">
        <v>9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0">
        <v>19</v>
      </c>
      <c r="C32" s="88" t="str">
        <f>LEFT(EmpGName19)&amp;" " &amp;EmpSName19</f>
        <v>S Jack</v>
      </c>
      <c r="D32" s="4" t="s">
        <v>9</v>
      </c>
      <c r="E32" s="4" t="s">
        <v>9</v>
      </c>
      <c r="F32" s="4" t="s">
        <v>9</v>
      </c>
      <c r="G32" s="4" t="s">
        <v>9</v>
      </c>
      <c r="H32" s="4" t="s">
        <v>9</v>
      </c>
      <c r="I32" s="4" t="s">
        <v>9</v>
      </c>
      <c r="J32" s="4" t="s">
        <v>9</v>
      </c>
      <c r="K32" s="4" t="s">
        <v>9</v>
      </c>
      <c r="L32" s="4" t="s">
        <v>9</v>
      </c>
      <c r="M32" s="4" t="s">
        <v>9</v>
      </c>
      <c r="N32" s="4" t="s">
        <v>9</v>
      </c>
      <c r="O32" s="4" t="s">
        <v>9</v>
      </c>
      <c r="P32" s="4" t="s">
        <v>9</v>
      </c>
      <c r="Q32" s="4" t="s">
        <v>9</v>
      </c>
      <c r="R32" s="4" t="s">
        <v>9</v>
      </c>
      <c r="S32" s="4" t="s">
        <v>9</v>
      </c>
      <c r="T32" s="4" t="s">
        <v>9</v>
      </c>
      <c r="U32" s="4" t="s">
        <v>9</v>
      </c>
      <c r="V32" s="4" t="s">
        <v>9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0">
        <v>20</v>
      </c>
      <c r="C33" s="89" t="str">
        <f>LEFT(EmpGName20)&amp;" " &amp;EmpSName20</f>
        <v>B Billy</v>
      </c>
      <c r="D33" s="3" t="s">
        <v>9</v>
      </c>
      <c r="E33" s="3" t="s">
        <v>9</v>
      </c>
      <c r="F33" s="3" t="s">
        <v>9</v>
      </c>
      <c r="G33" s="3" t="s">
        <v>9</v>
      </c>
      <c r="H33" s="3" t="s">
        <v>9</v>
      </c>
      <c r="I33" s="3" t="s">
        <v>9</v>
      </c>
      <c r="J33" s="3" t="s">
        <v>9</v>
      </c>
      <c r="K33" s="3" t="s">
        <v>9</v>
      </c>
      <c r="L33" s="3" t="s">
        <v>9</v>
      </c>
      <c r="M33" s="3" t="s">
        <v>9</v>
      </c>
      <c r="N33" s="3" t="s">
        <v>9</v>
      </c>
      <c r="O33" s="3" t="s">
        <v>9</v>
      </c>
      <c r="P33" s="3" t="s">
        <v>9</v>
      </c>
      <c r="Q33" s="3" t="s">
        <v>9</v>
      </c>
      <c r="R33" s="3" t="s">
        <v>9</v>
      </c>
      <c r="S33" s="3" t="s">
        <v>9</v>
      </c>
      <c r="T33" s="3" t="s">
        <v>9</v>
      </c>
      <c r="U33" s="3" t="s">
        <v>9</v>
      </c>
      <c r="V33" s="3" t="s">
        <v>9</v>
      </c>
      <c r="W33" s="3" t="s">
        <v>9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0">
        <v>21</v>
      </c>
      <c r="C34" s="88" t="str">
        <f>LEFT(EmpGName21)&amp;" " &amp;EmpSName21</f>
        <v>T Ted</v>
      </c>
      <c r="D34" s="4" t="s">
        <v>9</v>
      </c>
      <c r="E34" s="4" t="s">
        <v>9</v>
      </c>
      <c r="F34" s="4" t="s">
        <v>9</v>
      </c>
      <c r="G34" s="4" t="s">
        <v>9</v>
      </c>
      <c r="H34" s="4" t="s">
        <v>9</v>
      </c>
      <c r="I34" s="4" t="s">
        <v>9</v>
      </c>
      <c r="J34" s="4" t="s">
        <v>9</v>
      </c>
      <c r="K34" s="4" t="s">
        <v>9</v>
      </c>
      <c r="L34" s="4" t="s">
        <v>9</v>
      </c>
      <c r="M34" s="4" t="s">
        <v>9</v>
      </c>
      <c r="N34" s="4" t="s">
        <v>9</v>
      </c>
      <c r="O34" s="4" t="s">
        <v>9</v>
      </c>
      <c r="P34" s="4" t="s">
        <v>9</v>
      </c>
      <c r="Q34" s="4" t="s">
        <v>9</v>
      </c>
      <c r="R34" s="4" t="s">
        <v>9</v>
      </c>
      <c r="S34" s="4" t="s">
        <v>9</v>
      </c>
      <c r="T34" s="4" t="s">
        <v>9</v>
      </c>
      <c r="U34" s="4" t="s">
        <v>9</v>
      </c>
      <c r="V34" s="4" t="s">
        <v>9</v>
      </c>
      <c r="W34" s="4" t="s">
        <v>9</v>
      </c>
      <c r="X34" s="4" t="s">
        <v>9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0">
        <v>22</v>
      </c>
      <c r="C35" s="89" t="str">
        <f>LEFT(EmpGName22)&amp;" " &amp;EmpSName22</f>
        <v>T Ben</v>
      </c>
      <c r="D35" s="3" t="s">
        <v>9</v>
      </c>
      <c r="E35" s="3" t="s">
        <v>9</v>
      </c>
      <c r="F35" s="3" t="s">
        <v>9</v>
      </c>
      <c r="G35" s="3" t="s">
        <v>9</v>
      </c>
      <c r="H35" s="3" t="s">
        <v>9</v>
      </c>
      <c r="I35" s="3" t="s">
        <v>9</v>
      </c>
      <c r="J35" s="3" t="s">
        <v>9</v>
      </c>
      <c r="K35" s="3" t="s">
        <v>9</v>
      </c>
      <c r="L35" s="3" t="s">
        <v>9</v>
      </c>
      <c r="M35" s="3" t="s">
        <v>9</v>
      </c>
      <c r="N35" s="3" t="s">
        <v>9</v>
      </c>
      <c r="O35" s="3" t="s">
        <v>9</v>
      </c>
      <c r="P35" s="3" t="s">
        <v>9</v>
      </c>
      <c r="Q35" s="3" t="s">
        <v>9</v>
      </c>
      <c r="R35" s="3" t="s">
        <v>9</v>
      </c>
      <c r="S35" s="3" t="s">
        <v>9</v>
      </c>
      <c r="T35" s="3" t="s">
        <v>9</v>
      </c>
      <c r="U35" s="3" t="s">
        <v>9</v>
      </c>
      <c r="V35" s="3" t="s">
        <v>9</v>
      </c>
      <c r="W35" s="3" t="s">
        <v>9</v>
      </c>
      <c r="X35" s="3" t="s">
        <v>9</v>
      </c>
      <c r="Y35" s="3" t="s">
        <v>9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0">
        <v>23</v>
      </c>
      <c r="C36" s="88" t="str">
        <f>LEFT(EmpGName23)&amp;" " &amp;EmpSName23</f>
        <v>T Long</v>
      </c>
      <c r="D36" s="4" t="s">
        <v>9</v>
      </c>
      <c r="E36" s="4" t="s">
        <v>9</v>
      </c>
      <c r="F36" s="4" t="s">
        <v>9</v>
      </c>
      <c r="G36" s="4" t="s">
        <v>9</v>
      </c>
      <c r="H36" s="4" t="s">
        <v>9</v>
      </c>
      <c r="I36" s="4" t="s">
        <v>9</v>
      </c>
      <c r="J36" s="4" t="s">
        <v>9</v>
      </c>
      <c r="K36" s="4" t="s">
        <v>9</v>
      </c>
      <c r="L36" s="4" t="s">
        <v>9</v>
      </c>
      <c r="M36" s="4" t="s">
        <v>9</v>
      </c>
      <c r="N36" s="4" t="s">
        <v>9</v>
      </c>
      <c r="O36" s="4" t="s">
        <v>9</v>
      </c>
      <c r="P36" s="4" t="s">
        <v>9</v>
      </c>
      <c r="Q36" s="4" t="s">
        <v>9</v>
      </c>
      <c r="R36" s="4" t="s">
        <v>9</v>
      </c>
      <c r="S36" s="4" t="s">
        <v>9</v>
      </c>
      <c r="T36" s="4" t="s">
        <v>9</v>
      </c>
      <c r="U36" s="4" t="s">
        <v>9</v>
      </c>
      <c r="V36" s="4" t="s">
        <v>9</v>
      </c>
      <c r="W36" s="4" t="s">
        <v>9</v>
      </c>
      <c r="X36" s="4" t="s">
        <v>9</v>
      </c>
      <c r="Y36" s="4" t="s">
        <v>9</v>
      </c>
      <c r="Z36" s="4" t="s">
        <v>9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0">
        <v>24</v>
      </c>
      <c r="C37" s="89" t="str">
        <f>LEFT(EmpGName24)&amp;" " &amp;EmpSName24</f>
        <v>L Odd16</v>
      </c>
      <c r="D37" s="3" t="s">
        <v>9</v>
      </c>
      <c r="E37" s="3" t="s">
        <v>9</v>
      </c>
      <c r="F37" s="3" t="s">
        <v>9</v>
      </c>
      <c r="G37" s="3" t="s">
        <v>9</v>
      </c>
      <c r="H37" s="3" t="s">
        <v>9</v>
      </c>
      <c r="I37" s="3" t="s">
        <v>9</v>
      </c>
      <c r="J37" s="3" t="s">
        <v>9</v>
      </c>
      <c r="K37" s="3" t="s">
        <v>9</v>
      </c>
      <c r="L37" s="3" t="s">
        <v>9</v>
      </c>
      <c r="M37" s="3" t="s">
        <v>9</v>
      </c>
      <c r="N37" s="3" t="s">
        <v>9</v>
      </c>
      <c r="O37" s="3" t="s">
        <v>9</v>
      </c>
      <c r="P37" s="3" t="s">
        <v>9</v>
      </c>
      <c r="Q37" s="3" t="s">
        <v>9</v>
      </c>
      <c r="R37" s="3" t="s">
        <v>9</v>
      </c>
      <c r="S37" s="3" t="s">
        <v>9</v>
      </c>
      <c r="T37" s="3" t="s">
        <v>9</v>
      </c>
      <c r="U37" s="3" t="s">
        <v>9</v>
      </c>
      <c r="V37" s="3" t="s">
        <v>9</v>
      </c>
      <c r="W37" s="3" t="s">
        <v>9</v>
      </c>
      <c r="X37" s="3" t="s">
        <v>9</v>
      </c>
      <c r="Y37" s="3" t="s">
        <v>9</v>
      </c>
      <c r="Z37" s="3" t="s">
        <v>9</v>
      </c>
      <c r="AA37" s="3" t="s">
        <v>9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0">
        <v>25</v>
      </c>
      <c r="C38" s="88" t="str">
        <f>LEFT(EmpGName25)&amp;" " &amp;EmpSName25</f>
        <v>H Charlie</v>
      </c>
      <c r="D38" s="4" t="s">
        <v>9</v>
      </c>
      <c r="E38" s="4" t="s">
        <v>9</v>
      </c>
      <c r="F38" s="4" t="s">
        <v>9</v>
      </c>
      <c r="G38" s="4" t="s">
        <v>9</v>
      </c>
      <c r="H38" s="4" t="s">
        <v>9</v>
      </c>
      <c r="I38" s="4" t="s">
        <v>9</v>
      </c>
      <c r="J38" s="4" t="s">
        <v>9</v>
      </c>
      <c r="K38" s="4" t="s">
        <v>9</v>
      </c>
      <c r="L38" s="4" t="s">
        <v>9</v>
      </c>
      <c r="M38" s="4" t="s">
        <v>9</v>
      </c>
      <c r="N38" s="4" t="s">
        <v>9</v>
      </c>
      <c r="O38" s="4" t="s">
        <v>9</v>
      </c>
      <c r="P38" s="4" t="s">
        <v>9</v>
      </c>
      <c r="Q38" s="4" t="s">
        <v>9</v>
      </c>
      <c r="R38" s="4" t="s">
        <v>9</v>
      </c>
      <c r="S38" s="4" t="s">
        <v>9</v>
      </c>
      <c r="T38" s="4" t="s">
        <v>9</v>
      </c>
      <c r="U38" s="4" t="s">
        <v>9</v>
      </c>
      <c r="V38" s="4" t="s">
        <v>9</v>
      </c>
      <c r="W38" s="4" t="s">
        <v>9</v>
      </c>
      <c r="X38" s="4" t="s">
        <v>9</v>
      </c>
      <c r="Y38" s="4" t="s">
        <v>9</v>
      </c>
      <c r="Z38" s="4" t="s">
        <v>9</v>
      </c>
      <c r="AA38" s="4" t="s">
        <v>9</v>
      </c>
      <c r="AB38" s="4" t="s">
        <v>9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0">
        <v>26</v>
      </c>
      <c r="C39" s="89" t="str">
        <f>LEFT(EmpGName26)&amp;" " &amp;EmpSName26</f>
        <v>H Scuzzy Old</v>
      </c>
      <c r="D39" s="3" t="s">
        <v>9</v>
      </c>
      <c r="E39" s="3" t="s">
        <v>9</v>
      </c>
      <c r="F39" s="3" t="s">
        <v>9</v>
      </c>
      <c r="G39" s="3" t="s">
        <v>9</v>
      </c>
      <c r="H39" s="3" t="s">
        <v>9</v>
      </c>
      <c r="I39" s="3" t="s">
        <v>9</v>
      </c>
      <c r="J39" s="3" t="s">
        <v>9</v>
      </c>
      <c r="K39" s="3" t="s">
        <v>9</v>
      </c>
      <c r="L39" s="3" t="s">
        <v>9</v>
      </c>
      <c r="M39" s="3" t="s">
        <v>9</v>
      </c>
      <c r="N39" s="3" t="s">
        <v>9</v>
      </c>
      <c r="O39" s="3" t="s">
        <v>9</v>
      </c>
      <c r="P39" s="3" t="s">
        <v>9</v>
      </c>
      <c r="Q39" s="3" t="s">
        <v>9</v>
      </c>
      <c r="R39" s="3" t="s">
        <v>9</v>
      </c>
      <c r="S39" s="3" t="s">
        <v>9</v>
      </c>
      <c r="T39" s="3" t="s">
        <v>9</v>
      </c>
      <c r="U39" s="3" t="s">
        <v>9</v>
      </c>
      <c r="V39" s="3" t="s">
        <v>9</v>
      </c>
      <c r="W39" s="3" t="s">
        <v>9</v>
      </c>
      <c r="X39" s="3" t="s">
        <v>9</v>
      </c>
      <c r="Y39" s="3" t="s">
        <v>9</v>
      </c>
      <c r="Z39" s="3" t="s">
        <v>9</v>
      </c>
      <c r="AA39" s="3" t="s">
        <v>9</v>
      </c>
      <c r="AB39" s="3" t="s">
        <v>9</v>
      </c>
      <c r="AC39" s="3" t="s">
        <v>9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0">
        <v>27</v>
      </c>
      <c r="C40" s="88" t="str">
        <f>LEFT(EmpGName27)&amp;" " &amp;EmpSName27</f>
        <v>L Ben</v>
      </c>
      <c r="D40" s="4" t="s">
        <v>9</v>
      </c>
      <c r="E40" s="4" t="s">
        <v>9</v>
      </c>
      <c r="F40" s="4" t="s">
        <v>9</v>
      </c>
      <c r="G40" s="4" t="s">
        <v>9</v>
      </c>
      <c r="H40" s="4" t="s">
        <v>9</v>
      </c>
      <c r="I40" s="4" t="s">
        <v>9</v>
      </c>
      <c r="J40" s="4" t="s">
        <v>9</v>
      </c>
      <c r="K40" s="4" t="s">
        <v>9</v>
      </c>
      <c r="L40" s="4" t="s">
        <v>9</v>
      </c>
      <c r="M40" s="4" t="s">
        <v>9</v>
      </c>
      <c r="N40" s="4" t="s">
        <v>9</v>
      </c>
      <c r="O40" s="4" t="s">
        <v>9</v>
      </c>
      <c r="P40" s="4" t="s">
        <v>9</v>
      </c>
      <c r="Q40" s="4" t="s">
        <v>9</v>
      </c>
      <c r="R40" s="4" t="s">
        <v>9</v>
      </c>
      <c r="S40" s="4" t="s">
        <v>9</v>
      </c>
      <c r="T40" s="4" t="s">
        <v>9</v>
      </c>
      <c r="U40" s="4" t="s">
        <v>9</v>
      </c>
      <c r="V40" s="4" t="s">
        <v>9</v>
      </c>
      <c r="W40" s="4" t="s">
        <v>9</v>
      </c>
      <c r="X40" s="4" t="s">
        <v>9</v>
      </c>
      <c r="Y40" s="4" t="s">
        <v>9</v>
      </c>
      <c r="Z40" s="4" t="s">
        <v>9</v>
      </c>
      <c r="AA40" s="4" t="s">
        <v>9</v>
      </c>
      <c r="AB40" s="4" t="s">
        <v>9</v>
      </c>
      <c r="AC40" s="4" t="s">
        <v>9</v>
      </c>
      <c r="AD40" s="4" t="s">
        <v>9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0">
        <v>28</v>
      </c>
      <c r="C41" s="89" t="str">
        <f>LEFT(EmpGName28)&amp;" " &amp;EmpSName28</f>
        <v>F Ben</v>
      </c>
      <c r="D41" s="3" t="s">
        <v>9</v>
      </c>
      <c r="E41" s="3" t="s">
        <v>9</v>
      </c>
      <c r="F41" s="3" t="s">
        <v>9</v>
      </c>
      <c r="G41" s="3" t="s">
        <v>9</v>
      </c>
      <c r="H41" s="3" t="s">
        <v>9</v>
      </c>
      <c r="I41" s="3" t="s">
        <v>9</v>
      </c>
      <c r="J41" s="3" t="s">
        <v>9</v>
      </c>
      <c r="K41" s="3" t="s">
        <v>9</v>
      </c>
      <c r="L41" s="3" t="s">
        <v>9</v>
      </c>
      <c r="M41" s="3" t="s">
        <v>9</v>
      </c>
      <c r="N41" s="3" t="s">
        <v>9</v>
      </c>
      <c r="O41" s="3" t="s">
        <v>9</v>
      </c>
      <c r="P41" s="3" t="s">
        <v>9</v>
      </c>
      <c r="Q41" s="3" t="s">
        <v>9</v>
      </c>
      <c r="R41" s="3" t="s">
        <v>9</v>
      </c>
      <c r="S41" s="3" t="s">
        <v>9</v>
      </c>
      <c r="T41" s="3" t="s">
        <v>9</v>
      </c>
      <c r="U41" s="3" t="s">
        <v>9</v>
      </c>
      <c r="V41" s="3" t="s">
        <v>9</v>
      </c>
      <c r="W41" s="3" t="s">
        <v>9</v>
      </c>
      <c r="X41" s="3" t="s">
        <v>9</v>
      </c>
      <c r="Y41" s="3" t="s">
        <v>9</v>
      </c>
      <c r="Z41" s="3" t="s">
        <v>9</v>
      </c>
      <c r="AA41" s="3" t="s">
        <v>9</v>
      </c>
      <c r="AB41" s="3" t="s">
        <v>9</v>
      </c>
      <c r="AC41" s="3" t="s">
        <v>9</v>
      </c>
      <c r="AD41" s="3" t="s">
        <v>9</v>
      </c>
      <c r="AE41" s="3" t="s">
        <v>9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93">
        <f>CurYear-1</f>
        <v>2015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7"/>
      <c r="C44" s="201" t="s">
        <v>19</v>
      </c>
      <c r="D44" s="203">
        <v>1</v>
      </c>
      <c r="E44" s="203">
        <v>2</v>
      </c>
      <c r="F44" s="203">
        <v>3</v>
      </c>
      <c r="G44" s="203">
        <v>4</v>
      </c>
      <c r="H44" s="203">
        <v>5</v>
      </c>
      <c r="I44" s="203">
        <v>6</v>
      </c>
      <c r="J44" s="203">
        <v>7</v>
      </c>
      <c r="K44" s="203">
        <v>8</v>
      </c>
      <c r="L44" s="203">
        <v>9</v>
      </c>
      <c r="M44" s="203">
        <v>10</v>
      </c>
      <c r="N44" s="203">
        <v>11</v>
      </c>
      <c r="O44" s="203">
        <v>12</v>
      </c>
      <c r="P44" s="203">
        <v>13</v>
      </c>
      <c r="Q44" s="202">
        <v>14</v>
      </c>
      <c r="R44" s="203">
        <v>15</v>
      </c>
      <c r="S44" s="203">
        <v>16</v>
      </c>
      <c r="T44" s="203">
        <v>17</v>
      </c>
      <c r="U44" s="203">
        <v>18</v>
      </c>
      <c r="V44" s="203">
        <v>19</v>
      </c>
      <c r="W44" s="203">
        <v>20</v>
      </c>
      <c r="X44" s="203">
        <v>21</v>
      </c>
      <c r="Y44" s="203">
        <v>22</v>
      </c>
      <c r="Z44" s="203">
        <v>23</v>
      </c>
      <c r="AA44" s="203">
        <v>24</v>
      </c>
      <c r="AB44" s="203">
        <v>25</v>
      </c>
      <c r="AC44" s="203">
        <v>26</v>
      </c>
      <c r="AD44" s="203">
        <v>27</v>
      </c>
      <c r="AE44" s="202">
        <v>28</v>
      </c>
      <c r="AF44" s="203">
        <v>29</v>
      </c>
      <c r="AG44" s="203">
        <v>30</v>
      </c>
      <c r="AH44" s="203">
        <v>31</v>
      </c>
    </row>
    <row r="45" spans="2:34">
      <c r="B45" s="84">
        <v>1</v>
      </c>
      <c r="C45" s="88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4">
        <v>2</v>
      </c>
      <c r="C46" s="89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4">
        <v>3</v>
      </c>
      <c r="C47" s="88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4">
        <v>4</v>
      </c>
      <c r="C48" s="89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4">
        <v>5</v>
      </c>
      <c r="C49" s="88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4">
        <v>6</v>
      </c>
      <c r="C50" s="89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4">
        <v>7</v>
      </c>
      <c r="C51" s="88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4">
        <v>8</v>
      </c>
      <c r="C52" s="89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4">
        <v>9</v>
      </c>
      <c r="C53" s="88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0">
        <v>10</v>
      </c>
      <c r="C54" s="89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0">
        <v>11</v>
      </c>
      <c r="C55" s="88" t="str">
        <f>LEFT(EmpGName11)&amp;" " &amp;EmpSName11</f>
        <v>3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0">
        <v>12</v>
      </c>
      <c r="C56" s="89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0">
        <v>13</v>
      </c>
      <c r="C57" s="88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0">
        <v>14</v>
      </c>
      <c r="C58" s="89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0">
        <v>15</v>
      </c>
      <c r="C59" s="88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0">
        <v>16</v>
      </c>
      <c r="C60" s="89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0">
        <v>17</v>
      </c>
      <c r="C61" s="88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0">
        <v>18</v>
      </c>
      <c r="C62" s="89" t="str">
        <f>LEFT(EmpGName18)&amp;" " &amp;EmpSName18</f>
        <v>S Simple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0">
        <v>19</v>
      </c>
      <c r="C63" s="88" t="str">
        <f>LEFT(EmpGName19)&amp;" " &amp;EmpSName19</f>
        <v>S Jack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0">
        <v>20</v>
      </c>
      <c r="C64" s="89" t="str">
        <f>LEFT(EmpGName20)&amp;" " &amp;EmpSName20</f>
        <v>B Billy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0">
        <v>21</v>
      </c>
      <c r="C65" s="88" t="str">
        <f>LEFT(EmpGName21)&amp;" " &amp;EmpSName21</f>
        <v>T Ted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0">
        <v>22</v>
      </c>
      <c r="C66" s="89" t="str">
        <f>LEFT(EmpGName22)&amp;" " &amp;EmpSName22</f>
        <v>T Ben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0">
        <v>23</v>
      </c>
      <c r="C67" s="88" t="str">
        <f>LEFT(EmpGName23)&amp;" " &amp;EmpSName23</f>
        <v>T Long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0">
        <v>24</v>
      </c>
      <c r="C68" s="89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0">
        <v>25</v>
      </c>
      <c r="C69" s="88" t="str">
        <f>LEFT(EmpGName25)&amp;" " &amp;EmpSName25</f>
        <v>H Charlie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0">
        <v>26</v>
      </c>
      <c r="C70" s="89" t="str">
        <f>LEFT(EmpGName26)&amp;" " &amp;EmpSName26</f>
        <v>H Scuzzy Old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0">
        <v>27</v>
      </c>
      <c r="C71" s="88" t="str">
        <f>LEFT(EmpGName27)&amp;" " &amp;EmpSName27</f>
        <v>L Ben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0">
        <v>28</v>
      </c>
      <c r="C72" s="89" t="str">
        <f>LEFT(EmpGName28)&amp;" " &amp;EmpSName28</f>
        <v>F Ben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93">
        <f>CurYear-1</f>
        <v>2015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7"/>
      <c r="C75" s="201" t="s">
        <v>20</v>
      </c>
      <c r="D75" s="203">
        <v>1</v>
      </c>
      <c r="E75" s="203">
        <v>2</v>
      </c>
      <c r="F75" s="203">
        <v>3</v>
      </c>
      <c r="G75" s="203">
        <v>4</v>
      </c>
      <c r="H75" s="203">
        <v>5</v>
      </c>
      <c r="I75" s="203">
        <v>6</v>
      </c>
      <c r="J75" s="203">
        <v>7</v>
      </c>
      <c r="K75" s="203">
        <v>8</v>
      </c>
      <c r="L75" s="203">
        <v>9</v>
      </c>
      <c r="M75" s="203">
        <v>10</v>
      </c>
      <c r="N75" s="202">
        <v>11</v>
      </c>
      <c r="O75" s="203">
        <v>12</v>
      </c>
      <c r="P75" s="203">
        <v>13</v>
      </c>
      <c r="Q75" s="203">
        <v>14</v>
      </c>
      <c r="R75" s="203">
        <v>15</v>
      </c>
      <c r="S75" s="203">
        <v>16</v>
      </c>
      <c r="T75" s="203">
        <v>17</v>
      </c>
      <c r="U75" s="203">
        <v>18</v>
      </c>
      <c r="V75" s="203">
        <v>19</v>
      </c>
      <c r="W75" s="203">
        <v>20</v>
      </c>
      <c r="X75" s="203">
        <v>21</v>
      </c>
      <c r="Y75" s="203">
        <v>22</v>
      </c>
      <c r="Z75" s="203">
        <v>23</v>
      </c>
      <c r="AA75" s="203">
        <v>24</v>
      </c>
      <c r="AB75" s="202">
        <v>25</v>
      </c>
      <c r="AC75" s="203">
        <v>26</v>
      </c>
      <c r="AD75" s="203">
        <v>27</v>
      </c>
      <c r="AE75" s="203">
        <v>28</v>
      </c>
      <c r="AF75" s="203">
        <v>29</v>
      </c>
      <c r="AG75" s="203">
        <v>30</v>
      </c>
    </row>
    <row r="76" spans="2:34">
      <c r="B76" s="84">
        <v>1</v>
      </c>
      <c r="C76" s="88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4">
        <v>2</v>
      </c>
      <c r="C77" s="89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4">
        <v>3</v>
      </c>
      <c r="C78" s="88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4">
        <v>4</v>
      </c>
      <c r="C79" s="89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4">
        <v>5</v>
      </c>
      <c r="C80" s="88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4">
        <v>6</v>
      </c>
      <c r="C81" s="89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4">
        <v>7</v>
      </c>
      <c r="C82" s="88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4">
        <v>8</v>
      </c>
      <c r="C83" s="89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4">
        <v>9</v>
      </c>
      <c r="C84" s="88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0">
        <v>10</v>
      </c>
      <c r="C85" s="89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0">
        <v>11</v>
      </c>
      <c r="C86" s="88" t="str">
        <f>LEFT(EmpGName11)&amp;" " &amp;EmpSName11</f>
        <v>3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0">
        <v>12</v>
      </c>
      <c r="C87" s="89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0">
        <v>13</v>
      </c>
      <c r="C88" s="88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0">
        <v>14</v>
      </c>
      <c r="C89" s="89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0">
        <v>15</v>
      </c>
      <c r="C90" s="88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0">
        <v>16</v>
      </c>
      <c r="C91" s="89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0">
        <v>17</v>
      </c>
      <c r="C92" s="88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0">
        <v>18</v>
      </c>
      <c r="C93" s="89" t="str">
        <f>LEFT(EmpGName18)&amp;" " &amp;EmpSName18</f>
        <v>S Simple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0">
        <v>19</v>
      </c>
      <c r="C94" s="88" t="str">
        <f>LEFT(EmpGName19)&amp;" " &amp;EmpSName19</f>
        <v>S Jack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0">
        <v>20</v>
      </c>
      <c r="C95" s="89" t="str">
        <f>LEFT(EmpGName20)&amp;" " &amp;EmpSName20</f>
        <v>B Billy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0">
        <v>21</v>
      </c>
      <c r="C96" s="88" t="str">
        <f>LEFT(EmpGName21)&amp;" " &amp;EmpSName21</f>
        <v>T Ted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0">
        <v>22</v>
      </c>
      <c r="C97" s="89" t="str">
        <f>LEFT(EmpGName22)&amp;" " &amp;EmpSName22</f>
        <v>T Ben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0">
        <v>23</v>
      </c>
      <c r="C98" s="88" t="str">
        <f>LEFT(EmpGName23)&amp;" " &amp;EmpSName23</f>
        <v>T Long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0">
        <v>24</v>
      </c>
      <c r="C99" s="89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0">
        <v>25</v>
      </c>
      <c r="C100" s="88" t="str">
        <f>LEFT(EmpGName25)&amp;" " &amp;EmpSName25</f>
        <v>H Charlie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0">
        <v>26</v>
      </c>
      <c r="C101" s="89" t="str">
        <f>LEFT(EmpGName26)&amp;" " &amp;EmpSName26</f>
        <v>H Scuzzy Old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0">
        <v>27</v>
      </c>
      <c r="C102" s="88" t="str">
        <f>LEFT(EmpGName27)&amp;" " &amp;EmpSName27</f>
        <v>L Ben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9">
        <v>28</v>
      </c>
      <c r="C103" s="170" t="str">
        <f>LEFT(EmpGName28)&amp;" " &amp;EmpSName28</f>
        <v>F Ben</v>
      </c>
      <c r="D103" s="171" t="s">
        <v>62</v>
      </c>
      <c r="E103" s="171" t="s">
        <v>62</v>
      </c>
      <c r="F103" s="171" t="s">
        <v>62</v>
      </c>
      <c r="G103" s="171" t="s">
        <v>62</v>
      </c>
      <c r="H103" s="171" t="s">
        <v>62</v>
      </c>
      <c r="I103" s="171" t="s">
        <v>62</v>
      </c>
      <c r="J103" s="171" t="s">
        <v>62</v>
      </c>
      <c r="K103" s="171" t="s">
        <v>62</v>
      </c>
      <c r="L103" s="171" t="s">
        <v>62</v>
      </c>
      <c r="M103" s="171" t="s">
        <v>62</v>
      </c>
      <c r="N103" s="171" t="s">
        <v>62</v>
      </c>
      <c r="O103" s="171" t="s">
        <v>62</v>
      </c>
      <c r="P103" s="171" t="s">
        <v>62</v>
      </c>
      <c r="Q103" s="171" t="s">
        <v>62</v>
      </c>
      <c r="R103" s="171" t="s">
        <v>62</v>
      </c>
      <c r="S103" s="171" t="s">
        <v>62</v>
      </c>
      <c r="T103" s="171" t="s">
        <v>62</v>
      </c>
      <c r="U103" s="171" t="s">
        <v>62</v>
      </c>
      <c r="V103" s="171" t="s">
        <v>62</v>
      </c>
      <c r="W103" s="171" t="s">
        <v>62</v>
      </c>
      <c r="X103" s="171" t="s">
        <v>62</v>
      </c>
      <c r="Y103" s="171" t="s">
        <v>62</v>
      </c>
      <c r="Z103" s="171" t="s">
        <v>62</v>
      </c>
      <c r="AA103" s="171" t="s">
        <v>62</v>
      </c>
      <c r="AB103" s="171" t="s">
        <v>62</v>
      </c>
      <c r="AC103" s="171" t="s">
        <v>62</v>
      </c>
      <c r="AD103" s="171" t="s">
        <v>62</v>
      </c>
      <c r="AE103" s="171" t="s">
        <v>62</v>
      </c>
      <c r="AF103" s="171" t="s">
        <v>62</v>
      </c>
      <c r="AG103" s="171" t="s">
        <v>62</v>
      </c>
    </row>
    <row r="104" spans="2:34" s="2" customFormat="1">
      <c r="B104" s="167"/>
      <c r="C104" s="168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s="193">
        <f>CurYear-1</f>
        <v>2015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7"/>
      <c r="C106" s="201" t="s">
        <v>21</v>
      </c>
      <c r="D106" s="203">
        <v>1</v>
      </c>
      <c r="E106" s="203">
        <v>2</v>
      </c>
      <c r="F106" s="203">
        <v>3</v>
      </c>
      <c r="G106" s="203">
        <v>4</v>
      </c>
      <c r="H106" s="203">
        <v>5</v>
      </c>
      <c r="I106" s="203">
        <v>6</v>
      </c>
      <c r="J106" s="207">
        <v>7</v>
      </c>
      <c r="K106" s="203">
        <v>8</v>
      </c>
      <c r="L106" s="202">
        <v>9</v>
      </c>
      <c r="M106" s="203">
        <v>10</v>
      </c>
      <c r="N106" s="203">
        <v>11</v>
      </c>
      <c r="O106" s="203">
        <v>12</v>
      </c>
      <c r="P106" s="203">
        <v>13</v>
      </c>
      <c r="Q106" s="203">
        <v>14</v>
      </c>
      <c r="R106" s="203">
        <v>15</v>
      </c>
      <c r="S106" s="203">
        <v>16</v>
      </c>
      <c r="T106" s="203">
        <v>17</v>
      </c>
      <c r="U106" s="203">
        <v>18</v>
      </c>
      <c r="V106" s="203">
        <v>19</v>
      </c>
      <c r="W106" s="203">
        <v>20</v>
      </c>
      <c r="X106" s="203">
        <v>21</v>
      </c>
      <c r="Y106" s="203">
        <v>22</v>
      </c>
      <c r="Z106" s="202">
        <v>23</v>
      </c>
      <c r="AA106" s="203">
        <v>24</v>
      </c>
      <c r="AB106" s="203">
        <v>25</v>
      </c>
      <c r="AC106" s="203">
        <v>26</v>
      </c>
      <c r="AD106" s="203">
        <v>27</v>
      </c>
      <c r="AE106" s="203">
        <v>28</v>
      </c>
      <c r="AF106" s="203">
        <v>29</v>
      </c>
      <c r="AG106" s="203">
        <v>30</v>
      </c>
      <c r="AH106" s="203">
        <v>31</v>
      </c>
    </row>
    <row r="107" spans="2:34">
      <c r="B107" s="84">
        <v>1</v>
      </c>
      <c r="C107" s="88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4">
        <v>2</v>
      </c>
      <c r="C108" s="89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4">
        <v>3</v>
      </c>
      <c r="C109" s="88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4">
        <v>4</v>
      </c>
      <c r="C110" s="89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4">
        <v>5</v>
      </c>
      <c r="C111" s="88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4">
        <v>6</v>
      </c>
      <c r="C112" s="89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4">
        <v>7</v>
      </c>
      <c r="C113" s="88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4">
        <v>8</v>
      </c>
      <c r="C114" s="89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4">
        <v>9</v>
      </c>
      <c r="C115" s="88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0">
        <v>10</v>
      </c>
      <c r="C116" s="89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0">
        <v>11</v>
      </c>
      <c r="C117" s="88" t="str">
        <f>LEFT(EmpGName11)&amp;" " &amp;EmpSName11</f>
        <v>3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0">
        <v>12</v>
      </c>
      <c r="C118" s="89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0">
        <v>13</v>
      </c>
      <c r="C119" s="88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0">
        <v>14</v>
      </c>
      <c r="C120" s="89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0">
        <v>15</v>
      </c>
      <c r="C121" s="88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0">
        <v>16</v>
      </c>
      <c r="C122" s="89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0">
        <v>17</v>
      </c>
      <c r="C123" s="88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0">
        <v>18</v>
      </c>
      <c r="C124" s="89" t="str">
        <f>LEFT(EmpGName18)&amp;" " &amp;EmpSName18</f>
        <v>S Simple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0">
        <v>19</v>
      </c>
      <c r="C125" s="88" t="str">
        <f>LEFT(EmpGName19)&amp;" " &amp;EmpSName19</f>
        <v>S Jack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0">
        <v>20</v>
      </c>
      <c r="C126" s="89" t="str">
        <f>LEFT(EmpGName20)&amp;" " &amp;EmpSName20</f>
        <v>B Billy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0">
        <v>21</v>
      </c>
      <c r="C127" s="88" t="str">
        <f>LEFT(EmpGName21)&amp;" " &amp;EmpSName21</f>
        <v>T Ted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0">
        <v>22</v>
      </c>
      <c r="C128" s="89" t="str">
        <f>LEFT(EmpGName22)&amp;" " &amp;EmpSName22</f>
        <v>T Ben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0">
        <v>23</v>
      </c>
      <c r="C129" s="88" t="str">
        <f>LEFT(EmpGName23)&amp;" " &amp;EmpSName23</f>
        <v>T Long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0">
        <v>24</v>
      </c>
      <c r="C130" s="89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0">
        <v>25</v>
      </c>
      <c r="C131" s="88" t="str">
        <f>LEFT(EmpGName25)&amp;" " &amp;EmpSName25</f>
        <v>H Charlie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0">
        <v>26</v>
      </c>
      <c r="C132" s="89" t="str">
        <f>LEFT(EmpGName26)&amp;" " &amp;EmpSName26</f>
        <v>H Scuzzy Old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0">
        <v>27</v>
      </c>
      <c r="C133" s="88" t="str">
        <f>LEFT(EmpGName27)&amp;" " &amp;EmpSName27</f>
        <v>L Ben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0">
        <v>28</v>
      </c>
      <c r="C134" s="89" t="str">
        <f>LEFT(EmpGName28)&amp;" " &amp;EmpSName28</f>
        <v>F Ben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93">
        <f>CurYear-1</f>
        <v>2015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7"/>
      <c r="C137" s="201" t="s">
        <v>22</v>
      </c>
      <c r="D137" s="203">
        <v>1</v>
      </c>
      <c r="E137" s="203">
        <v>2</v>
      </c>
      <c r="F137" s="203">
        <v>3</v>
      </c>
      <c r="G137" s="203">
        <v>4</v>
      </c>
      <c r="H137" s="203">
        <v>5</v>
      </c>
      <c r="I137" s="202">
        <v>6</v>
      </c>
      <c r="J137" s="203">
        <v>7</v>
      </c>
      <c r="K137" s="203">
        <v>8</v>
      </c>
      <c r="L137" s="203">
        <v>9</v>
      </c>
      <c r="M137" s="203">
        <v>10</v>
      </c>
      <c r="N137" s="203">
        <v>11</v>
      </c>
      <c r="O137" s="203">
        <v>12</v>
      </c>
      <c r="P137" s="203">
        <v>13</v>
      </c>
      <c r="Q137" s="203">
        <v>14</v>
      </c>
      <c r="R137" s="203">
        <v>15</v>
      </c>
      <c r="S137" s="203">
        <v>16</v>
      </c>
      <c r="T137" s="203">
        <v>17</v>
      </c>
      <c r="U137" s="203">
        <v>18</v>
      </c>
      <c r="V137" s="203">
        <v>19</v>
      </c>
      <c r="W137" s="202">
        <v>20</v>
      </c>
      <c r="X137" s="203">
        <v>21</v>
      </c>
      <c r="Y137" s="203">
        <v>22</v>
      </c>
      <c r="Z137" s="203">
        <v>23</v>
      </c>
      <c r="AA137" s="203">
        <v>24</v>
      </c>
      <c r="AB137" s="203">
        <v>25</v>
      </c>
      <c r="AC137" s="203">
        <v>26</v>
      </c>
      <c r="AD137" s="203">
        <v>27</v>
      </c>
      <c r="AE137" s="203">
        <v>28</v>
      </c>
      <c r="AF137" s="203">
        <v>29</v>
      </c>
      <c r="AG137" s="203">
        <v>30</v>
      </c>
    </row>
    <row r="138" spans="2:34">
      <c r="B138" s="84">
        <v>1</v>
      </c>
      <c r="C138" s="88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4">
        <v>2</v>
      </c>
      <c r="C139" s="89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4">
        <v>3</v>
      </c>
      <c r="C140" s="88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4">
        <v>4</v>
      </c>
      <c r="C141" s="89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4">
        <v>5</v>
      </c>
      <c r="C142" s="88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4">
        <v>6</v>
      </c>
      <c r="C143" s="89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4">
        <v>7</v>
      </c>
      <c r="C144" s="88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4">
        <v>8</v>
      </c>
      <c r="C145" s="89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4">
        <v>9</v>
      </c>
      <c r="C146" s="88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0">
        <v>10</v>
      </c>
      <c r="C147" s="89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0">
        <v>11</v>
      </c>
      <c r="C148" s="88" t="str">
        <f>LEFT(EmpGName11)&amp;" " &amp;EmpSName11</f>
        <v>3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0">
        <v>12</v>
      </c>
      <c r="C149" s="89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0">
        <v>13</v>
      </c>
      <c r="C150" s="88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0">
        <v>14</v>
      </c>
      <c r="C151" s="89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0">
        <v>15</v>
      </c>
      <c r="C152" s="88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0">
        <v>16</v>
      </c>
      <c r="C153" s="89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0">
        <v>17</v>
      </c>
      <c r="C154" s="88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0">
        <v>18</v>
      </c>
      <c r="C155" s="89" t="str">
        <f>LEFT(EmpGName18)&amp;" " &amp;EmpSName18</f>
        <v>S Simple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0">
        <v>19</v>
      </c>
      <c r="C156" s="88" t="str">
        <f>LEFT(EmpGName19)&amp;" " &amp;EmpSName19</f>
        <v>S Jack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0">
        <v>20</v>
      </c>
      <c r="C157" s="89" t="str">
        <f>LEFT(EmpGName20)&amp;" " &amp;EmpSName20</f>
        <v>B Billy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0">
        <v>21</v>
      </c>
      <c r="C158" s="88" t="str">
        <f>LEFT(EmpGName21)&amp;" " &amp;EmpSName21</f>
        <v>T Ted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0">
        <v>22</v>
      </c>
      <c r="C159" s="89" t="str">
        <f>LEFT(EmpGName22)&amp;" " &amp;EmpSName22</f>
        <v>T Ben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0">
        <v>23</v>
      </c>
      <c r="C160" s="88" t="str">
        <f>LEFT(EmpGName23)&amp;" " &amp;EmpSName23</f>
        <v>T Long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0">
        <v>24</v>
      </c>
      <c r="C161" s="89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0">
        <v>25</v>
      </c>
      <c r="C162" s="88" t="str">
        <f>LEFT(EmpGName25)&amp;" " &amp;EmpSName25</f>
        <v>H Charlie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0">
        <v>26</v>
      </c>
      <c r="C163" s="89" t="str">
        <f>LEFT(EmpGName26)&amp;" " &amp;EmpSName26</f>
        <v>H Scuzzy Old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0">
        <v>27</v>
      </c>
      <c r="C164" s="88" t="str">
        <f>LEFT(EmpGName27)&amp;" " &amp;EmpSName27</f>
        <v>L Ben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2">
        <v>28</v>
      </c>
      <c r="C165" s="173" t="str">
        <f>LEFT(EmpGName28)&amp;" " &amp;EmpSName28</f>
        <v>F Ben</v>
      </c>
      <c r="D165" s="174" t="s">
        <v>62</v>
      </c>
      <c r="E165" s="174" t="s">
        <v>62</v>
      </c>
      <c r="F165" s="174" t="s">
        <v>62</v>
      </c>
      <c r="G165" s="174" t="s">
        <v>62</v>
      </c>
      <c r="H165" s="174" t="s">
        <v>62</v>
      </c>
      <c r="I165" s="174" t="s">
        <v>62</v>
      </c>
      <c r="J165" s="174" t="s">
        <v>62</v>
      </c>
      <c r="K165" s="174" t="s">
        <v>62</v>
      </c>
      <c r="L165" s="174" t="s">
        <v>62</v>
      </c>
      <c r="M165" s="174" t="s">
        <v>62</v>
      </c>
      <c r="N165" s="174" t="s">
        <v>62</v>
      </c>
      <c r="O165" s="174" t="s">
        <v>62</v>
      </c>
      <c r="P165" s="174" t="s">
        <v>62</v>
      </c>
      <c r="Q165" s="174" t="s">
        <v>62</v>
      </c>
      <c r="R165" s="174" t="s">
        <v>62</v>
      </c>
      <c r="S165" s="174" t="s">
        <v>62</v>
      </c>
      <c r="T165" s="174" t="s">
        <v>62</v>
      </c>
      <c r="U165" s="174" t="s">
        <v>62</v>
      </c>
      <c r="V165" s="174" t="s">
        <v>62</v>
      </c>
      <c r="W165" s="174" t="s">
        <v>62</v>
      </c>
      <c r="X165" s="174" t="s">
        <v>62</v>
      </c>
      <c r="Y165" s="174" t="s">
        <v>62</v>
      </c>
      <c r="Z165" s="174" t="s">
        <v>62</v>
      </c>
      <c r="AA165" s="174" t="s">
        <v>62</v>
      </c>
      <c r="AB165" s="174" t="s">
        <v>62</v>
      </c>
      <c r="AC165" s="174" t="s">
        <v>62</v>
      </c>
      <c r="AD165" s="174" t="s">
        <v>62</v>
      </c>
      <c r="AE165" s="174" t="s">
        <v>62</v>
      </c>
      <c r="AF165" s="174" t="s">
        <v>62</v>
      </c>
      <c r="AG165" s="174" t="s">
        <v>62</v>
      </c>
    </row>
    <row r="166" spans="2:34" s="2" customFormat="1">
      <c r="B166" s="175"/>
      <c r="C166" s="176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</row>
    <row r="167" spans="2:34">
      <c r="C167" s="193">
        <f>CurYear-1</f>
        <v>2015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7"/>
      <c r="C168" s="201" t="s">
        <v>23</v>
      </c>
      <c r="D168" s="203">
        <v>1</v>
      </c>
      <c r="E168" s="203">
        <v>2</v>
      </c>
      <c r="F168" s="203">
        <v>3</v>
      </c>
      <c r="G168" s="202">
        <v>4</v>
      </c>
      <c r="H168" s="203">
        <v>5</v>
      </c>
      <c r="I168" s="203">
        <v>6</v>
      </c>
      <c r="J168" s="203">
        <v>7</v>
      </c>
      <c r="K168" s="203">
        <v>8</v>
      </c>
      <c r="L168" s="203">
        <v>9</v>
      </c>
      <c r="M168" s="203">
        <v>10</v>
      </c>
      <c r="N168" s="203">
        <v>11</v>
      </c>
      <c r="O168" s="203">
        <v>12</v>
      </c>
      <c r="P168" s="203">
        <v>13</v>
      </c>
      <c r="Q168" s="203">
        <v>14</v>
      </c>
      <c r="R168" s="203">
        <v>15</v>
      </c>
      <c r="S168" s="203">
        <v>16</v>
      </c>
      <c r="T168" s="203">
        <v>17</v>
      </c>
      <c r="U168" s="202">
        <v>18</v>
      </c>
      <c r="V168" s="203">
        <v>19</v>
      </c>
      <c r="W168" s="203">
        <v>20</v>
      </c>
      <c r="X168" s="203">
        <v>21</v>
      </c>
      <c r="Y168" s="203">
        <v>22</v>
      </c>
      <c r="Z168" s="203">
        <v>23</v>
      </c>
      <c r="AA168" s="207">
        <v>24</v>
      </c>
      <c r="AB168" s="207">
        <v>25</v>
      </c>
      <c r="AC168" s="207">
        <v>26</v>
      </c>
      <c r="AD168" s="203">
        <v>27</v>
      </c>
      <c r="AE168" s="203">
        <v>28</v>
      </c>
      <c r="AF168" s="203">
        <v>29</v>
      </c>
      <c r="AG168" s="203">
        <v>30</v>
      </c>
      <c r="AH168" s="207">
        <v>31</v>
      </c>
    </row>
    <row r="169" spans="2:34">
      <c r="B169" s="84">
        <v>1</v>
      </c>
      <c r="C169" s="88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4">
        <v>2</v>
      </c>
      <c r="C170" s="89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4">
        <v>3</v>
      </c>
      <c r="C171" s="88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4">
        <v>4</v>
      </c>
      <c r="C172" s="89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4">
        <v>5</v>
      </c>
      <c r="C173" s="88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4">
        <v>6</v>
      </c>
      <c r="C174" s="89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4">
        <v>7</v>
      </c>
      <c r="C175" s="88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4">
        <v>8</v>
      </c>
      <c r="C176" s="89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4">
        <v>9</v>
      </c>
      <c r="C177" s="88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0">
        <v>10</v>
      </c>
      <c r="C178" s="89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0">
        <v>11</v>
      </c>
      <c r="C179" s="88" t="str">
        <f>LEFT(EmpGName11)&amp;" " &amp;EmpSName11</f>
        <v>3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0">
        <v>12</v>
      </c>
      <c r="C180" s="89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0">
        <v>13</v>
      </c>
      <c r="C181" s="88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0">
        <v>14</v>
      </c>
      <c r="C182" s="89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0">
        <v>15</v>
      </c>
      <c r="C183" s="88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0">
        <v>16</v>
      </c>
      <c r="C184" s="89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0">
        <v>17</v>
      </c>
      <c r="C185" s="88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0">
        <v>18</v>
      </c>
      <c r="C186" s="89" t="str">
        <f>LEFT(EmpGName18)&amp;" " &amp;EmpSName18</f>
        <v>S Simple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0">
        <v>19</v>
      </c>
      <c r="C187" s="88" t="str">
        <f>LEFT(EmpGName19)&amp;" " &amp;EmpSName19</f>
        <v>S Jack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0">
        <v>20</v>
      </c>
      <c r="C188" s="89" t="str">
        <f>LEFT(EmpGName20)&amp;" " &amp;EmpSName20</f>
        <v>B Billy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0">
        <v>21</v>
      </c>
      <c r="C189" s="88" t="str">
        <f>LEFT(EmpGName21)&amp;" " &amp;EmpSName21</f>
        <v>T Ted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0">
        <v>22</v>
      </c>
      <c r="C190" s="89" t="str">
        <f>LEFT(EmpGName22)&amp;" " &amp;EmpSName22</f>
        <v>T Ben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0">
        <v>23</v>
      </c>
      <c r="C191" s="88" t="str">
        <f>LEFT(EmpGName23)&amp;" " &amp;EmpSName23</f>
        <v>T Long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0">
        <v>24</v>
      </c>
      <c r="C192" s="89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0">
        <v>25</v>
      </c>
      <c r="C193" s="88" t="str">
        <f>LEFT(EmpGName25)&amp;" " &amp;EmpSName25</f>
        <v>H Charlie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0">
        <v>26</v>
      </c>
      <c r="C194" s="89" t="str">
        <f>LEFT(EmpGName26)&amp;" " &amp;EmpSName26</f>
        <v>H Scuzzy Old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0">
        <v>27</v>
      </c>
      <c r="C195" s="88" t="str">
        <f>LEFT(EmpGName27)&amp;" " &amp;EmpSName27</f>
        <v>L Ben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0">
        <v>28</v>
      </c>
      <c r="C196" s="89" t="str">
        <f>LEFT(EmpGName28)&amp;" " &amp;EmpSName28</f>
        <v>F Ben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93" t="str">
        <f>CurYear</f>
        <v>2016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5"/>
      <c r="C199" s="201" t="s">
        <v>8</v>
      </c>
      <c r="D199" s="206">
        <v>1</v>
      </c>
      <c r="E199" s="203">
        <v>2</v>
      </c>
      <c r="F199" s="203">
        <v>3</v>
      </c>
      <c r="G199" s="203">
        <v>4</v>
      </c>
      <c r="H199" s="203">
        <v>5</v>
      </c>
      <c r="I199" s="203">
        <v>6</v>
      </c>
      <c r="J199" s="203">
        <v>7</v>
      </c>
      <c r="K199" s="203">
        <v>8</v>
      </c>
      <c r="L199" s="203">
        <v>9</v>
      </c>
      <c r="M199" s="203">
        <v>10</v>
      </c>
      <c r="N199" s="203">
        <v>11</v>
      </c>
      <c r="O199" s="203">
        <v>12</v>
      </c>
      <c r="P199" s="203">
        <v>13</v>
      </c>
      <c r="Q199" s="203">
        <v>14</v>
      </c>
      <c r="R199" s="202">
        <v>15</v>
      </c>
      <c r="S199" s="203">
        <v>16</v>
      </c>
      <c r="T199" s="203">
        <v>17</v>
      </c>
      <c r="U199" s="203">
        <v>18</v>
      </c>
      <c r="V199" s="203">
        <v>19</v>
      </c>
      <c r="W199" s="203">
        <v>20</v>
      </c>
      <c r="X199" s="203">
        <v>21</v>
      </c>
      <c r="Y199" s="203">
        <v>22</v>
      </c>
      <c r="Z199" s="203">
        <v>23</v>
      </c>
      <c r="AA199" s="203">
        <v>24</v>
      </c>
      <c r="AB199" s="203">
        <v>25</v>
      </c>
      <c r="AC199" s="207">
        <v>26</v>
      </c>
      <c r="AD199" s="203">
        <v>27</v>
      </c>
      <c r="AE199" s="203">
        <v>28</v>
      </c>
      <c r="AF199" s="202">
        <v>29</v>
      </c>
      <c r="AG199" s="203">
        <v>30</v>
      </c>
      <c r="AH199" s="203">
        <v>31</v>
      </c>
    </row>
    <row r="200" spans="2:34">
      <c r="B200" s="83">
        <v>1</v>
      </c>
      <c r="C200" s="88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89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8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89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8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89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8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89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8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1">
        <v>10</v>
      </c>
      <c r="C209" s="90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1">
        <v>11</v>
      </c>
      <c r="C210" s="88" t="str">
        <f>LEFT(EmpGName11)&amp;" " &amp;EmpSName11</f>
        <v>3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1">
        <v>12</v>
      </c>
      <c r="C211" s="90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0">
        <v>13</v>
      </c>
      <c r="C212" s="88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0">
        <v>14</v>
      </c>
      <c r="C213" s="89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0">
        <v>15</v>
      </c>
      <c r="C214" s="88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0">
        <v>16</v>
      </c>
      <c r="C215" s="89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0">
        <v>17</v>
      </c>
      <c r="C216" s="88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0">
        <v>18</v>
      </c>
      <c r="C217" s="89" t="str">
        <f>LEFT(EmpGName18)&amp;" " &amp;EmpSName18</f>
        <v>S Simple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0">
        <v>19</v>
      </c>
      <c r="C218" s="88" t="str">
        <f>LEFT(EmpGName19)&amp;" " &amp;EmpSName19</f>
        <v>S Jack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0">
        <v>20</v>
      </c>
      <c r="C219" s="89" t="str">
        <f>LEFT(EmpGName20)&amp;" " &amp;EmpSName20</f>
        <v>B Billy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0">
        <v>21</v>
      </c>
      <c r="C220" s="88" t="str">
        <f>LEFT(EmpGName21)&amp;" " &amp;EmpSName21</f>
        <v>T Ted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0">
        <v>22</v>
      </c>
      <c r="C221" s="89" t="str">
        <f>LEFT(EmpGName22)&amp;" " &amp;EmpSName22</f>
        <v>T Ben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0">
        <v>23</v>
      </c>
      <c r="C222" s="88" t="str">
        <f>LEFT(EmpGName23)&amp;" " &amp;EmpSName23</f>
        <v>T Long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0">
        <v>24</v>
      </c>
      <c r="C223" s="89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0">
        <v>25</v>
      </c>
      <c r="C224" s="88" t="str">
        <f>LEFT(EmpGName25)&amp;" " &amp;EmpSName25</f>
        <v>H Charlie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0">
        <v>26</v>
      </c>
      <c r="C225" s="89" t="str">
        <f>LEFT(EmpGName26)&amp;" " &amp;EmpSName26</f>
        <v>H Scuzzy Old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0">
        <v>27</v>
      </c>
      <c r="C226" s="88" t="str">
        <f>LEFT(EmpGName27)&amp;" " &amp;EmpSName27</f>
        <v>L Ben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0">
        <v>28</v>
      </c>
      <c r="C227" s="89" t="str">
        <f>LEFT(EmpGName28)&amp;" " &amp;EmpSName28</f>
        <v>F Ben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93" t="str">
        <f>CurYear</f>
        <v>2016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78" t="str">
        <f t="shared" si="7"/>
        <v>Mo</v>
      </c>
    </row>
    <row r="230" spans="2:34">
      <c r="B230" s="85"/>
      <c r="C230" s="201" t="s">
        <v>13</v>
      </c>
      <c r="D230" s="203">
        <v>1</v>
      </c>
      <c r="E230" s="203">
        <v>2</v>
      </c>
      <c r="F230" s="203">
        <v>3</v>
      </c>
      <c r="G230" s="203">
        <v>4</v>
      </c>
      <c r="H230" s="203">
        <v>5</v>
      </c>
      <c r="I230" s="203">
        <v>6</v>
      </c>
      <c r="J230" s="203">
        <v>7</v>
      </c>
      <c r="K230" s="203">
        <v>8</v>
      </c>
      <c r="L230" s="203">
        <v>9</v>
      </c>
      <c r="M230" s="203">
        <v>10</v>
      </c>
      <c r="N230" s="203">
        <v>11</v>
      </c>
      <c r="O230" s="202">
        <v>12</v>
      </c>
      <c r="P230" s="203">
        <v>13</v>
      </c>
      <c r="Q230" s="203">
        <v>14</v>
      </c>
      <c r="R230" s="203">
        <v>15</v>
      </c>
      <c r="S230" s="203">
        <v>16</v>
      </c>
      <c r="T230" s="203">
        <v>17</v>
      </c>
      <c r="U230" s="203">
        <v>18</v>
      </c>
      <c r="V230" s="203">
        <v>19</v>
      </c>
      <c r="W230" s="203">
        <v>20</v>
      </c>
      <c r="X230" s="203">
        <v>21</v>
      </c>
      <c r="Y230" s="203">
        <v>22</v>
      </c>
      <c r="Z230" s="203">
        <v>23</v>
      </c>
      <c r="AA230" s="203">
        <v>24</v>
      </c>
      <c r="AB230" s="203">
        <v>25</v>
      </c>
      <c r="AC230" s="202">
        <v>26</v>
      </c>
      <c r="AD230" s="203">
        <v>27</v>
      </c>
      <c r="AE230" s="204">
        <v>28</v>
      </c>
      <c r="AF230" s="205">
        <v>29</v>
      </c>
      <c r="AG230" s="1"/>
      <c r="AH230" s="1"/>
    </row>
    <row r="231" spans="2:34">
      <c r="B231" s="83">
        <v>1</v>
      </c>
      <c r="C231" s="88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90" t="s">
        <v>62</v>
      </c>
      <c r="AF231" s="179" t="s">
        <v>62</v>
      </c>
      <c r="AG231" s="2"/>
      <c r="AH231" s="2"/>
    </row>
    <row r="232" spans="2:34">
      <c r="B232" s="83">
        <v>2</v>
      </c>
      <c r="C232" s="89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91" t="s">
        <v>62</v>
      </c>
      <c r="AF232" s="180" t="s">
        <v>62</v>
      </c>
      <c r="AG232" s="2"/>
      <c r="AH232" s="2"/>
    </row>
    <row r="233" spans="2:34">
      <c r="B233" s="83">
        <v>3</v>
      </c>
      <c r="C233" s="88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90" t="s">
        <v>62</v>
      </c>
      <c r="AF233" s="179" t="s">
        <v>62</v>
      </c>
      <c r="AG233" s="2"/>
      <c r="AH233" s="2"/>
    </row>
    <row r="234" spans="2:34">
      <c r="B234" s="83">
        <v>4</v>
      </c>
      <c r="C234" s="89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91" t="s">
        <v>62</v>
      </c>
      <c r="AF234" s="180" t="s">
        <v>62</v>
      </c>
      <c r="AG234" s="2"/>
      <c r="AH234" s="2"/>
    </row>
    <row r="235" spans="2:34">
      <c r="B235" s="83">
        <v>5</v>
      </c>
      <c r="C235" s="88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90" t="s">
        <v>62</v>
      </c>
      <c r="AF235" s="179" t="s">
        <v>62</v>
      </c>
      <c r="AG235" s="2"/>
      <c r="AH235" s="2"/>
    </row>
    <row r="236" spans="2:34">
      <c r="B236" s="83">
        <v>6</v>
      </c>
      <c r="C236" s="89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91" t="s">
        <v>62</v>
      </c>
      <c r="AF236" s="180" t="s">
        <v>62</v>
      </c>
      <c r="AG236" s="2"/>
      <c r="AH236" s="2"/>
    </row>
    <row r="237" spans="2:34">
      <c r="B237" s="83">
        <v>7</v>
      </c>
      <c r="C237" s="88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90" t="s">
        <v>62</v>
      </c>
      <c r="AF237" s="179" t="s">
        <v>62</v>
      </c>
      <c r="AG237" s="2"/>
      <c r="AH237" s="2"/>
    </row>
    <row r="238" spans="2:34">
      <c r="B238" s="83">
        <v>8</v>
      </c>
      <c r="C238" s="89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91" t="s">
        <v>62</v>
      </c>
      <c r="AF238" s="180" t="s">
        <v>62</v>
      </c>
      <c r="AG238" s="2"/>
      <c r="AH238" s="2"/>
    </row>
    <row r="239" spans="2:34">
      <c r="B239" s="83">
        <v>9</v>
      </c>
      <c r="C239" s="88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90" t="s">
        <v>62</v>
      </c>
      <c r="AF239" s="179" t="s">
        <v>62</v>
      </c>
      <c r="AG239" s="2"/>
      <c r="AH239" s="2"/>
    </row>
    <row r="240" spans="2:34">
      <c r="B240" s="141">
        <v>10</v>
      </c>
      <c r="C240" s="90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92" t="s">
        <v>62</v>
      </c>
      <c r="AF240" s="180" t="s">
        <v>62</v>
      </c>
      <c r="AG240" s="2"/>
      <c r="AH240" s="2"/>
    </row>
    <row r="241" spans="2:34">
      <c r="B241" s="141">
        <v>11</v>
      </c>
      <c r="C241" s="88" t="str">
        <f>LEFT(EmpGName11)&amp;" " &amp;EmpSName11</f>
        <v>3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90" t="s">
        <v>62</v>
      </c>
      <c r="AF241" s="179" t="s">
        <v>62</v>
      </c>
      <c r="AG241" s="2"/>
      <c r="AH241" s="2"/>
    </row>
    <row r="242" spans="2:34">
      <c r="B242" s="141">
        <v>12</v>
      </c>
      <c r="C242" s="90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92" t="s">
        <v>62</v>
      </c>
      <c r="AF242" s="180" t="s">
        <v>62</v>
      </c>
      <c r="AG242" s="2"/>
      <c r="AH242" s="2"/>
    </row>
    <row r="243" spans="2:34">
      <c r="B243" s="140">
        <v>13</v>
      </c>
      <c r="C243" s="88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90" t="s">
        <v>62</v>
      </c>
      <c r="AF243" s="179" t="s">
        <v>62</v>
      </c>
      <c r="AG243" s="2"/>
      <c r="AH243" s="2"/>
    </row>
    <row r="244" spans="2:34">
      <c r="B244" s="140">
        <v>14</v>
      </c>
      <c r="C244" s="89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91" t="s">
        <v>62</v>
      </c>
      <c r="AF244" s="180" t="s">
        <v>62</v>
      </c>
      <c r="AG244" s="2"/>
      <c r="AH244" s="2"/>
    </row>
    <row r="245" spans="2:34">
      <c r="B245" s="140">
        <v>15</v>
      </c>
      <c r="C245" s="88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90" t="s">
        <v>62</v>
      </c>
      <c r="AF245" s="179" t="s">
        <v>62</v>
      </c>
      <c r="AG245" s="2"/>
      <c r="AH245" s="2"/>
    </row>
    <row r="246" spans="2:34">
      <c r="B246" s="140">
        <v>16</v>
      </c>
      <c r="C246" s="89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91" t="s">
        <v>62</v>
      </c>
      <c r="AF246" s="180" t="s">
        <v>62</v>
      </c>
      <c r="AG246" s="2"/>
      <c r="AH246" s="2"/>
    </row>
    <row r="247" spans="2:34">
      <c r="B247" s="140">
        <v>17</v>
      </c>
      <c r="C247" s="88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90" t="s">
        <v>62</v>
      </c>
      <c r="AF247" s="179" t="s">
        <v>62</v>
      </c>
      <c r="AG247" s="2"/>
      <c r="AH247" s="2"/>
    </row>
    <row r="248" spans="2:34">
      <c r="B248" s="140">
        <v>18</v>
      </c>
      <c r="C248" s="89" t="str">
        <f>LEFT(EmpGName18)&amp;" " &amp;EmpSName18</f>
        <v>S Simple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91" t="s">
        <v>62</v>
      </c>
      <c r="AF248" s="180" t="s">
        <v>62</v>
      </c>
      <c r="AG248" s="2"/>
      <c r="AH248" s="2"/>
    </row>
    <row r="249" spans="2:34">
      <c r="B249" s="140">
        <v>19</v>
      </c>
      <c r="C249" s="88" t="str">
        <f>LEFT(EmpGName19)&amp;" " &amp;EmpSName19</f>
        <v>S Jack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90" t="s">
        <v>62</v>
      </c>
      <c r="AF249" s="179" t="s">
        <v>62</v>
      </c>
      <c r="AG249" s="2"/>
      <c r="AH249" s="2"/>
    </row>
    <row r="250" spans="2:34">
      <c r="B250" s="140">
        <v>20</v>
      </c>
      <c r="C250" s="89" t="str">
        <f>LEFT(EmpGName20)&amp;" " &amp;EmpSName20</f>
        <v>B Billy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91" t="s">
        <v>62</v>
      </c>
      <c r="AF250" s="180" t="s">
        <v>62</v>
      </c>
      <c r="AG250" s="2"/>
      <c r="AH250" s="2"/>
    </row>
    <row r="251" spans="2:34">
      <c r="B251" s="140">
        <v>21</v>
      </c>
      <c r="C251" s="88" t="str">
        <f>LEFT(EmpGName21)&amp;" " &amp;EmpSName21</f>
        <v>T Ted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90" t="s">
        <v>62</v>
      </c>
      <c r="AF251" s="179" t="s">
        <v>62</v>
      </c>
      <c r="AG251" s="2"/>
      <c r="AH251" s="2"/>
    </row>
    <row r="252" spans="2:34">
      <c r="B252" s="140">
        <v>22</v>
      </c>
      <c r="C252" s="89" t="str">
        <f>LEFT(EmpGName22)&amp;" " &amp;EmpSName22</f>
        <v>T Ben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91" t="s">
        <v>62</v>
      </c>
      <c r="AF252" s="180" t="s">
        <v>62</v>
      </c>
      <c r="AG252" s="2"/>
      <c r="AH252" s="2"/>
    </row>
    <row r="253" spans="2:34">
      <c r="B253" s="140">
        <v>23</v>
      </c>
      <c r="C253" s="88" t="str">
        <f>LEFT(EmpGName23)&amp;" " &amp;EmpSName23</f>
        <v>T Long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90" t="s">
        <v>62</v>
      </c>
      <c r="AF253" s="179" t="s">
        <v>62</v>
      </c>
      <c r="AG253" s="2"/>
      <c r="AH253" s="2"/>
    </row>
    <row r="254" spans="2:34">
      <c r="B254" s="140">
        <v>24</v>
      </c>
      <c r="C254" s="89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91" t="s">
        <v>62</v>
      </c>
      <c r="AF254" s="180" t="s">
        <v>62</v>
      </c>
      <c r="AG254" s="2"/>
      <c r="AH254" s="2"/>
    </row>
    <row r="255" spans="2:34">
      <c r="B255" s="140">
        <v>25</v>
      </c>
      <c r="C255" s="88" t="str">
        <f>LEFT(EmpGName25)&amp;" " &amp;EmpSName25</f>
        <v>H Charlie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90" t="s">
        <v>62</v>
      </c>
      <c r="AF255" s="179" t="s">
        <v>62</v>
      </c>
      <c r="AG255" s="2"/>
      <c r="AH255" s="2"/>
    </row>
    <row r="256" spans="2:34">
      <c r="B256" s="140">
        <v>26</v>
      </c>
      <c r="C256" s="89" t="str">
        <f>LEFT(EmpGName26)&amp;" " &amp;EmpSName26</f>
        <v>H Scuzzy Old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91" t="s">
        <v>62</v>
      </c>
      <c r="AF256" s="180" t="s">
        <v>62</v>
      </c>
      <c r="AG256" s="2"/>
      <c r="AH256" s="2"/>
    </row>
    <row r="257" spans="2:34">
      <c r="B257" s="140">
        <v>27</v>
      </c>
      <c r="C257" s="88" t="str">
        <f>LEFT(EmpGName27)&amp;" " &amp;EmpSName27</f>
        <v>L Ben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90" t="s">
        <v>62</v>
      </c>
      <c r="AF257" s="179" t="s">
        <v>62</v>
      </c>
      <c r="AG257" s="2"/>
      <c r="AH257" s="2"/>
    </row>
    <row r="258" spans="2:34">
      <c r="B258" s="140">
        <v>28</v>
      </c>
      <c r="C258" s="89" t="str">
        <f>LEFT(EmpGName28)&amp;" " &amp;EmpSName28</f>
        <v>F Ben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91" t="s">
        <v>62</v>
      </c>
      <c r="AF258" s="180" t="s">
        <v>62</v>
      </c>
      <c r="AG258" s="7"/>
      <c r="AH258" s="7"/>
    </row>
    <row r="259" spans="2:34">
      <c r="B259" s="167"/>
      <c r="C259" s="168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s="193" t="str">
        <f>CurYear</f>
        <v>2016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7"/>
      <c r="C261" s="201" t="s">
        <v>14</v>
      </c>
      <c r="D261" s="203">
        <v>1</v>
      </c>
      <c r="E261" s="203">
        <v>2</v>
      </c>
      <c r="F261" s="203">
        <v>3</v>
      </c>
      <c r="G261" s="203">
        <v>4</v>
      </c>
      <c r="H261" s="203">
        <v>5</v>
      </c>
      <c r="I261" s="203">
        <v>6</v>
      </c>
      <c r="J261" s="203">
        <v>7</v>
      </c>
      <c r="K261" s="203">
        <v>8</v>
      </c>
      <c r="L261" s="203">
        <v>9</v>
      </c>
      <c r="M261" s="203">
        <v>10</v>
      </c>
      <c r="N261" s="202">
        <v>11</v>
      </c>
      <c r="O261" s="207">
        <v>12</v>
      </c>
      <c r="P261" s="203">
        <v>13</v>
      </c>
      <c r="Q261" s="203">
        <v>14</v>
      </c>
      <c r="R261" s="203">
        <v>15</v>
      </c>
      <c r="S261" s="203">
        <v>16</v>
      </c>
      <c r="T261" s="203">
        <v>17</v>
      </c>
      <c r="U261" s="203">
        <v>18</v>
      </c>
      <c r="V261" s="203">
        <v>19</v>
      </c>
      <c r="W261" s="203">
        <v>20</v>
      </c>
      <c r="X261" s="203">
        <v>21</v>
      </c>
      <c r="Y261" s="203">
        <v>22</v>
      </c>
      <c r="Z261" s="203">
        <v>23</v>
      </c>
      <c r="AA261" s="203">
        <v>24</v>
      </c>
      <c r="AB261" s="202">
        <v>25</v>
      </c>
      <c r="AC261" s="203">
        <v>26</v>
      </c>
      <c r="AD261" s="203">
        <v>27</v>
      </c>
      <c r="AE261" s="203">
        <v>28</v>
      </c>
      <c r="AF261" s="203">
        <v>29</v>
      </c>
      <c r="AG261" s="207">
        <v>30</v>
      </c>
      <c r="AH261" s="207">
        <v>31</v>
      </c>
    </row>
    <row r="262" spans="2:34">
      <c r="B262" s="83">
        <v>1</v>
      </c>
      <c r="C262" s="88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89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8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89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8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89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8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89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8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1">
        <v>10</v>
      </c>
      <c r="C271" s="90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1">
        <v>11</v>
      </c>
      <c r="C272" s="88" t="str">
        <f>LEFT(EmpGName11)&amp;" " &amp;EmpSName11</f>
        <v>3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1">
        <v>12</v>
      </c>
      <c r="C273" s="90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0">
        <v>13</v>
      </c>
      <c r="C274" s="88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0">
        <v>14</v>
      </c>
      <c r="C275" s="89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0">
        <v>15</v>
      </c>
      <c r="C276" s="88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0">
        <v>16</v>
      </c>
      <c r="C277" s="89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0">
        <v>17</v>
      </c>
      <c r="C278" s="88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0">
        <v>18</v>
      </c>
      <c r="C279" s="89" t="str">
        <f>LEFT(EmpGName18)&amp;" " &amp;EmpSName18</f>
        <v>S Simple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0">
        <v>19</v>
      </c>
      <c r="C280" s="88" t="str">
        <f>LEFT(EmpGName19)&amp;" " &amp;EmpSName19</f>
        <v>S Jack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0">
        <v>20</v>
      </c>
      <c r="C281" s="89" t="str">
        <f>LEFT(EmpGName20)&amp;" " &amp;EmpSName20</f>
        <v>B Billy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0">
        <v>21</v>
      </c>
      <c r="C282" s="88" t="str">
        <f>LEFT(EmpGName21)&amp;" " &amp;EmpSName21</f>
        <v>T Ted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0">
        <v>22</v>
      </c>
      <c r="C283" s="89" t="str">
        <f>LEFT(EmpGName22)&amp;" " &amp;EmpSName22</f>
        <v>T Ben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0">
        <v>23</v>
      </c>
      <c r="C284" s="88" t="str">
        <f>LEFT(EmpGName23)&amp;" " &amp;EmpSName23</f>
        <v>T Long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0">
        <v>24</v>
      </c>
      <c r="C285" s="89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0">
        <v>25</v>
      </c>
      <c r="C286" s="88" t="str">
        <f>LEFT(EmpGName25)&amp;" " &amp;EmpSName25</f>
        <v>H Charlie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0">
        <v>26</v>
      </c>
      <c r="C287" s="89" t="str">
        <f>LEFT(EmpGName26)&amp;" " &amp;EmpSName26</f>
        <v>H Scuzzy Old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0">
        <v>27</v>
      </c>
      <c r="C288" s="88" t="str">
        <f>LEFT(EmpGName27)&amp;" " &amp;EmpSName27</f>
        <v>L Ben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0">
        <v>28</v>
      </c>
      <c r="C289" s="89" t="str">
        <f>LEFT(EmpGName28)&amp;" " &amp;EmpSName28</f>
        <v>F Ben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s="193" t="str">
        <f>CurYear</f>
        <v>2016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6"/>
      <c r="C292" s="201" t="s">
        <v>15</v>
      </c>
      <c r="D292" s="203">
        <v>1</v>
      </c>
      <c r="E292" s="207">
        <v>2</v>
      </c>
      <c r="F292" s="203">
        <v>3</v>
      </c>
      <c r="G292" s="203">
        <v>4</v>
      </c>
      <c r="H292" s="203">
        <v>5</v>
      </c>
      <c r="I292" s="203">
        <v>6</v>
      </c>
      <c r="J292" s="203">
        <v>7</v>
      </c>
      <c r="K292" s="202">
        <v>8</v>
      </c>
      <c r="L292" s="203">
        <v>9</v>
      </c>
      <c r="M292" s="203">
        <v>10</v>
      </c>
      <c r="N292" s="203">
        <v>11</v>
      </c>
      <c r="O292" s="203">
        <v>12</v>
      </c>
      <c r="P292" s="203">
        <v>13</v>
      </c>
      <c r="Q292" s="203">
        <v>14</v>
      </c>
      <c r="R292" s="203">
        <v>15</v>
      </c>
      <c r="S292" s="203">
        <v>16</v>
      </c>
      <c r="T292" s="203">
        <v>17</v>
      </c>
      <c r="U292" s="203">
        <v>18</v>
      </c>
      <c r="V292" s="203">
        <v>19</v>
      </c>
      <c r="W292" s="203">
        <v>20</v>
      </c>
      <c r="X292" s="203">
        <v>21</v>
      </c>
      <c r="Y292" s="202">
        <v>22</v>
      </c>
      <c r="Z292" s="203">
        <v>23</v>
      </c>
      <c r="AA292" s="203">
        <v>24</v>
      </c>
      <c r="AB292" s="207">
        <v>25</v>
      </c>
      <c r="AC292" s="203">
        <v>26</v>
      </c>
      <c r="AD292" s="203">
        <v>27</v>
      </c>
      <c r="AE292" s="203">
        <v>28</v>
      </c>
      <c r="AF292" s="203">
        <v>29</v>
      </c>
      <c r="AG292" s="203">
        <v>30</v>
      </c>
      <c r="AH292" s="91"/>
    </row>
    <row r="293" spans="2:34">
      <c r="B293" s="83">
        <v>1</v>
      </c>
      <c r="C293" s="88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89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8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89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8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89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8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89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8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1">
        <v>10</v>
      </c>
      <c r="C302" s="89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1">
        <v>11</v>
      </c>
      <c r="C303" s="88" t="str">
        <f>LEFT(EmpGName11)&amp;" " &amp;EmpSName11</f>
        <v>3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1">
        <v>12</v>
      </c>
      <c r="C304" s="89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0">
        <v>13</v>
      </c>
      <c r="C305" s="88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0">
        <v>14</v>
      </c>
      <c r="C306" s="89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0">
        <v>15</v>
      </c>
      <c r="C307" s="88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0">
        <v>16</v>
      </c>
      <c r="C308" s="89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0">
        <v>17</v>
      </c>
      <c r="C309" s="88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0">
        <v>18</v>
      </c>
      <c r="C310" s="89" t="str">
        <f>LEFT(EmpGName18)&amp;" " &amp;EmpSName18</f>
        <v>S Simple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0">
        <v>19</v>
      </c>
      <c r="C311" s="88" t="str">
        <f>LEFT(EmpGName19)&amp;" " &amp;EmpSName19</f>
        <v>S Jack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0">
        <v>20</v>
      </c>
      <c r="C312" s="89" t="str">
        <f>LEFT(EmpGName20)&amp;" " &amp;EmpSName20</f>
        <v>B Billy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0">
        <v>21</v>
      </c>
      <c r="C313" s="88" t="str">
        <f>LEFT(EmpGName21)&amp;" " &amp;EmpSName21</f>
        <v>T Ted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0">
        <v>22</v>
      </c>
      <c r="C314" s="89" t="str">
        <f>LEFT(EmpGName22)&amp;" " &amp;EmpSName22</f>
        <v>T Ben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0">
        <v>23</v>
      </c>
      <c r="C315" s="88" t="str">
        <f>LEFT(EmpGName23)&amp;" " &amp;EmpSName23</f>
        <v>T Long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0">
        <v>24</v>
      </c>
      <c r="C316" s="89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0">
        <v>25</v>
      </c>
      <c r="C317" s="88" t="str">
        <f>LEFT(EmpGName25)&amp;" " &amp;EmpSName25</f>
        <v>H Charlie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0">
        <v>26</v>
      </c>
      <c r="C318" s="89" t="str">
        <f>LEFT(EmpGName26)&amp;" " &amp;EmpSName26</f>
        <v>H Scuzzy Old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0">
        <v>27</v>
      </c>
      <c r="C319" s="88" t="str">
        <f>LEFT(EmpGName27)&amp;" " &amp;EmpSName27</f>
        <v>L Ben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81">
        <v>28</v>
      </c>
      <c r="C320" s="182" t="str">
        <f>LEFT(EmpGName28)&amp;" " &amp;EmpSName28</f>
        <v>F Ben</v>
      </c>
      <c r="D320" s="180" t="s">
        <v>62</v>
      </c>
      <c r="E320" s="180" t="s">
        <v>62</v>
      </c>
      <c r="F320" s="180" t="s">
        <v>62</v>
      </c>
      <c r="G320" s="180" t="s">
        <v>62</v>
      </c>
      <c r="H320" s="180" t="s">
        <v>62</v>
      </c>
      <c r="I320" s="180" t="s">
        <v>62</v>
      </c>
      <c r="J320" s="180" t="s">
        <v>62</v>
      </c>
      <c r="K320" s="180" t="s">
        <v>62</v>
      </c>
      <c r="L320" s="180" t="s">
        <v>62</v>
      </c>
      <c r="M320" s="180" t="s">
        <v>62</v>
      </c>
      <c r="N320" s="180" t="s">
        <v>62</v>
      </c>
      <c r="O320" s="180" t="s">
        <v>62</v>
      </c>
      <c r="P320" s="180" t="s">
        <v>62</v>
      </c>
      <c r="Q320" s="180" t="s">
        <v>62</v>
      </c>
      <c r="R320" s="180" t="s">
        <v>62</v>
      </c>
      <c r="S320" s="180" t="s">
        <v>62</v>
      </c>
      <c r="T320" s="180" t="s">
        <v>62</v>
      </c>
      <c r="U320" s="180" t="s">
        <v>62</v>
      </c>
      <c r="V320" s="180" t="s">
        <v>62</v>
      </c>
      <c r="W320" s="180" t="s">
        <v>62</v>
      </c>
      <c r="X320" s="180" t="s">
        <v>62</v>
      </c>
      <c r="Y320" s="180" t="s">
        <v>62</v>
      </c>
      <c r="Z320" s="180" t="s">
        <v>62</v>
      </c>
      <c r="AA320" s="180" t="s">
        <v>62</v>
      </c>
      <c r="AB320" s="180" t="s">
        <v>62</v>
      </c>
      <c r="AC320" s="180" t="s">
        <v>62</v>
      </c>
      <c r="AD320" s="180" t="s">
        <v>62</v>
      </c>
      <c r="AE320" s="180" t="s">
        <v>62</v>
      </c>
      <c r="AF320" s="180" t="s">
        <v>62</v>
      </c>
      <c r="AG320" s="180" t="s">
        <v>62</v>
      </c>
      <c r="AH320" s="74"/>
    </row>
    <row r="321" spans="1:34">
      <c r="A321" s="20"/>
      <c r="AH321" s="2"/>
    </row>
    <row r="322" spans="1:34">
      <c r="C322" s="193" t="str">
        <f>CurYear</f>
        <v>2016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7"/>
      <c r="C323" s="201" t="s">
        <v>16</v>
      </c>
      <c r="D323" s="203">
        <v>1</v>
      </c>
      <c r="E323" s="203">
        <v>2</v>
      </c>
      <c r="F323" s="203">
        <v>3</v>
      </c>
      <c r="G323" s="203">
        <v>4</v>
      </c>
      <c r="H323" s="203">
        <v>5</v>
      </c>
      <c r="I323" s="202">
        <v>6</v>
      </c>
      <c r="J323" s="203">
        <v>7</v>
      </c>
      <c r="K323" s="207">
        <v>8</v>
      </c>
      <c r="L323" s="203">
        <v>9</v>
      </c>
      <c r="M323" s="203">
        <v>10</v>
      </c>
      <c r="N323" s="203">
        <v>11</v>
      </c>
      <c r="O323" s="203">
        <v>12</v>
      </c>
      <c r="P323" s="203">
        <v>13</v>
      </c>
      <c r="Q323" s="203">
        <v>14</v>
      </c>
      <c r="R323" s="203">
        <v>15</v>
      </c>
      <c r="S323" s="203">
        <v>16</v>
      </c>
      <c r="T323" s="203">
        <v>17</v>
      </c>
      <c r="U323" s="203">
        <v>18</v>
      </c>
      <c r="V323" s="203">
        <v>19</v>
      </c>
      <c r="W323" s="202">
        <v>20</v>
      </c>
      <c r="X323" s="203">
        <v>21</v>
      </c>
      <c r="Y323" s="203">
        <v>22</v>
      </c>
      <c r="Z323" s="203">
        <v>23</v>
      </c>
      <c r="AA323" s="203">
        <v>24</v>
      </c>
      <c r="AB323" s="203">
        <v>25</v>
      </c>
      <c r="AC323" s="203">
        <v>26</v>
      </c>
      <c r="AD323" s="203">
        <v>27</v>
      </c>
      <c r="AE323" s="203">
        <v>28</v>
      </c>
      <c r="AF323" s="203">
        <v>29</v>
      </c>
      <c r="AG323" s="203">
        <v>30</v>
      </c>
      <c r="AH323" s="203">
        <v>31</v>
      </c>
    </row>
    <row r="324" spans="1:34">
      <c r="B324" s="84">
        <v>1</v>
      </c>
      <c r="C324" s="88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4">
        <v>2</v>
      </c>
      <c r="C325" s="89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4">
        <v>3</v>
      </c>
      <c r="C326" s="88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4">
        <v>4</v>
      </c>
      <c r="C327" s="89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4">
        <v>5</v>
      </c>
      <c r="C328" s="88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4">
        <v>6</v>
      </c>
      <c r="C329" s="89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4">
        <v>7</v>
      </c>
      <c r="C330" s="88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4">
        <v>8</v>
      </c>
      <c r="C331" s="89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4">
        <v>9</v>
      </c>
      <c r="C332" s="88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0">
        <v>10</v>
      </c>
      <c r="C333" s="89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0">
        <v>11</v>
      </c>
      <c r="C334" s="88" t="str">
        <f>LEFT(EmpGName11)&amp;" " &amp;EmpSName11</f>
        <v>3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0">
        <v>12</v>
      </c>
      <c r="C335" s="89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0">
        <v>13</v>
      </c>
      <c r="C336" s="88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0">
        <v>14</v>
      </c>
      <c r="C337" s="89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0">
        <v>15</v>
      </c>
      <c r="C338" s="88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0">
        <v>16</v>
      </c>
      <c r="C339" s="89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0">
        <v>17</v>
      </c>
      <c r="C340" s="88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0">
        <v>18</v>
      </c>
      <c r="C341" s="89" t="str">
        <f>LEFT(EmpGName18)&amp;" " &amp;EmpSName18</f>
        <v>S Simple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0">
        <v>19</v>
      </c>
      <c r="C342" s="88" t="str">
        <f>LEFT(EmpGName19)&amp;" " &amp;EmpSName19</f>
        <v>S Jack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0">
        <v>20</v>
      </c>
      <c r="C343" s="89" t="str">
        <f>LEFT(EmpGName20)&amp;" " &amp;EmpSName20</f>
        <v>B Billy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0">
        <v>21</v>
      </c>
      <c r="C344" s="88" t="str">
        <f>LEFT(EmpGName21)&amp;" " &amp;EmpSName21</f>
        <v>T Ted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0">
        <v>22</v>
      </c>
      <c r="C345" s="89" t="str">
        <f>LEFT(EmpGName22)&amp;" " &amp;EmpSName22</f>
        <v>T Ben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0">
        <v>23</v>
      </c>
      <c r="C346" s="88" t="str">
        <f>LEFT(EmpGName23)&amp;" " &amp;EmpSName23</f>
        <v>T Long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0">
        <v>24</v>
      </c>
      <c r="C347" s="89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0">
        <v>25</v>
      </c>
      <c r="C348" s="88" t="str">
        <f>LEFT(EmpGName25)&amp;" " &amp;EmpSName25</f>
        <v>H Charlie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0">
        <v>26</v>
      </c>
      <c r="C349" s="89" t="str">
        <f>LEFT(EmpGName26)&amp;" " &amp;EmpSName26</f>
        <v>H Scuzzy Old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0">
        <v>27</v>
      </c>
      <c r="C350" s="88" t="str">
        <f>LEFT(EmpGName27)&amp;" " &amp;EmpSName27</f>
        <v>L Ben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0">
        <v>28</v>
      </c>
      <c r="C351" s="89" t="str">
        <f>LEFT(EmpGName28)&amp;" " &amp;EmpSName28</f>
        <v>F Ben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93" t="str">
        <f>CurYear</f>
        <v>2016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7"/>
      <c r="C354" s="201" t="s">
        <v>17</v>
      </c>
      <c r="D354" s="203">
        <v>1</v>
      </c>
      <c r="E354" s="203">
        <v>2</v>
      </c>
      <c r="F354" s="202">
        <v>3</v>
      </c>
      <c r="G354" s="203">
        <v>4</v>
      </c>
      <c r="H354" s="203">
        <v>5</v>
      </c>
      <c r="I354" s="203">
        <v>6</v>
      </c>
      <c r="J354" s="203">
        <v>7</v>
      </c>
      <c r="K354" s="203">
        <v>8</v>
      </c>
      <c r="L354" s="203">
        <v>9</v>
      </c>
      <c r="M354" s="203">
        <v>10</v>
      </c>
      <c r="N354" s="203">
        <v>11</v>
      </c>
      <c r="O354" s="203">
        <v>12</v>
      </c>
      <c r="P354" s="203">
        <v>13</v>
      </c>
      <c r="Q354" s="203">
        <v>14</v>
      </c>
      <c r="R354" s="203">
        <v>15</v>
      </c>
      <c r="S354" s="203">
        <v>16</v>
      </c>
      <c r="T354" s="202">
        <v>17</v>
      </c>
      <c r="U354" s="203">
        <v>18</v>
      </c>
      <c r="V354" s="203">
        <v>19</v>
      </c>
      <c r="W354" s="203">
        <v>20</v>
      </c>
      <c r="X354" s="203">
        <v>21</v>
      </c>
      <c r="Y354" s="203">
        <v>22</v>
      </c>
      <c r="Z354" s="203">
        <v>23</v>
      </c>
      <c r="AA354" s="203">
        <v>24</v>
      </c>
      <c r="AB354" s="203">
        <v>25</v>
      </c>
      <c r="AC354" s="203">
        <v>26</v>
      </c>
      <c r="AD354" s="203">
        <v>27</v>
      </c>
      <c r="AE354" s="203">
        <v>28</v>
      </c>
      <c r="AF354" s="203">
        <v>29</v>
      </c>
      <c r="AG354" s="203">
        <v>30</v>
      </c>
      <c r="AH354" s="91"/>
    </row>
    <row r="355" spans="2:34">
      <c r="B355" s="84">
        <v>1</v>
      </c>
      <c r="C355" s="88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4">
        <v>2</v>
      </c>
      <c r="C356" s="89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4">
        <v>3</v>
      </c>
      <c r="C357" s="88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4">
        <v>4</v>
      </c>
      <c r="C358" s="89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4">
        <v>5</v>
      </c>
      <c r="C359" s="88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4">
        <v>6</v>
      </c>
      <c r="C360" s="89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4">
        <v>7</v>
      </c>
      <c r="C361" s="88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4">
        <v>8</v>
      </c>
      <c r="C362" s="89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4">
        <v>9</v>
      </c>
      <c r="C363" s="88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0">
        <v>10</v>
      </c>
      <c r="C364" s="89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0">
        <v>11</v>
      </c>
      <c r="C365" s="88" t="str">
        <f>LEFT(EmpGName11)&amp;" " &amp;EmpSName11</f>
        <v>3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0">
        <v>12</v>
      </c>
      <c r="C366" s="89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0">
        <v>13</v>
      </c>
      <c r="C367" s="88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0">
        <v>14</v>
      </c>
      <c r="C368" s="89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0">
        <v>15</v>
      </c>
      <c r="C369" s="88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0">
        <v>16</v>
      </c>
      <c r="C370" s="89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0">
        <v>17</v>
      </c>
      <c r="C371" s="88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0">
        <v>18</v>
      </c>
      <c r="C372" s="89" t="str">
        <f>LEFT(EmpGName18)&amp;" " &amp;EmpSName18</f>
        <v>S Simple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0">
        <v>19</v>
      </c>
      <c r="C373" s="88" t="str">
        <f>LEFT(EmpGName19)&amp;" " &amp;EmpSName19</f>
        <v>S Jack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0">
        <v>20</v>
      </c>
      <c r="C374" s="89" t="str">
        <f>LEFT(EmpGName20)&amp;" " &amp;EmpSName20</f>
        <v>B Billy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0">
        <v>21</v>
      </c>
      <c r="C375" s="88" t="str">
        <f>LEFT(EmpGName21)&amp;" " &amp;EmpSName21</f>
        <v>T Ted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0">
        <v>22</v>
      </c>
      <c r="C376" s="89" t="str">
        <f>LEFT(EmpGName22)&amp;" " &amp;EmpSName22</f>
        <v>T Ben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0">
        <v>23</v>
      </c>
      <c r="C377" s="88" t="str">
        <f>LEFT(EmpGName23)&amp;" " &amp;EmpSName23</f>
        <v>T Long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0">
        <v>24</v>
      </c>
      <c r="C378" s="89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0">
        <v>25</v>
      </c>
      <c r="C379" s="88" t="str">
        <f>LEFT(EmpGName25)&amp;" " &amp;EmpSName25</f>
        <v>H Charlie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0">
        <v>26</v>
      </c>
      <c r="C380" s="89" t="str">
        <f>LEFT(EmpGName26)&amp;" " &amp;EmpSName26</f>
        <v>H Scuzzy Old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0">
        <v>27</v>
      </c>
      <c r="C381" s="88" t="str">
        <f>LEFT(EmpGName27)&amp;" " &amp;EmpSName27</f>
        <v>L Ben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81">
        <v>28</v>
      </c>
      <c r="C382" s="182" t="str">
        <f>LEFT(EmpGName28)&amp;" " &amp;EmpSName28</f>
        <v>F Ben</v>
      </c>
      <c r="D382" s="180" t="s">
        <v>62</v>
      </c>
      <c r="E382" s="180" t="s">
        <v>62</v>
      </c>
      <c r="F382" s="180" t="s">
        <v>62</v>
      </c>
      <c r="G382" s="180" t="s">
        <v>62</v>
      </c>
      <c r="H382" s="180" t="s">
        <v>62</v>
      </c>
      <c r="I382" s="180" t="s">
        <v>62</v>
      </c>
      <c r="J382" s="180" t="s">
        <v>62</v>
      </c>
      <c r="K382" s="180" t="s">
        <v>62</v>
      </c>
      <c r="L382" s="180" t="s">
        <v>62</v>
      </c>
      <c r="M382" s="180" t="s">
        <v>62</v>
      </c>
      <c r="N382" s="180" t="s">
        <v>62</v>
      </c>
      <c r="O382" s="180" t="s">
        <v>62</v>
      </c>
      <c r="P382" s="180" t="s">
        <v>62</v>
      </c>
      <c r="Q382" s="180" t="s">
        <v>62</v>
      </c>
      <c r="R382" s="180" t="s">
        <v>62</v>
      </c>
      <c r="S382" s="180" t="s">
        <v>62</v>
      </c>
      <c r="T382" s="180" t="s">
        <v>62</v>
      </c>
      <c r="U382" s="180" t="s">
        <v>62</v>
      </c>
      <c r="V382" s="180" t="s">
        <v>62</v>
      </c>
      <c r="W382" s="180" t="s">
        <v>62</v>
      </c>
      <c r="X382" s="180" t="s">
        <v>62</v>
      </c>
      <c r="Y382" s="180" t="s">
        <v>62</v>
      </c>
      <c r="Z382" s="180" t="s">
        <v>62</v>
      </c>
      <c r="AA382" s="180" t="s">
        <v>62</v>
      </c>
      <c r="AB382" s="180" t="s">
        <v>62</v>
      </c>
      <c r="AC382" s="180" t="s">
        <v>62</v>
      </c>
      <c r="AD382" s="180" t="s">
        <v>62</v>
      </c>
      <c r="AE382" s="180" t="s">
        <v>62</v>
      </c>
      <c r="AF382" s="180" t="s">
        <v>62</v>
      </c>
      <c r="AG382" s="180" t="s">
        <v>62</v>
      </c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5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43:AF259 D26:AH41 D305:AG320 D57:AH72 D88:AG104 D119:AH134 D150:AG166 D181:AH196 D274:AH289 D336:AH351 D367:AG382 D212:AH227">
      <formula1>Shifts</formula1>
    </dataValidation>
    <dataValidation type="list" allowBlank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topLeftCell="A4" workbookViewId="0">
      <selection activeCell="C2" sqref="C2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8" t="s">
        <v>24</v>
      </c>
      <c r="D3" s="139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9" t="s">
        <v>0</v>
      </c>
      <c r="C6" s="220"/>
      <c r="D6" s="220"/>
      <c r="E6" s="221"/>
      <c r="G6" s="217" t="s">
        <v>7</v>
      </c>
      <c r="I6" s="217" t="s">
        <v>12</v>
      </c>
      <c r="K6" s="217" t="s">
        <v>72</v>
      </c>
      <c r="M6" s="222" t="s">
        <v>73</v>
      </c>
      <c r="O6" s="213" t="s">
        <v>127</v>
      </c>
      <c r="P6" s="214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8"/>
      <c r="I7" s="218"/>
      <c r="K7" s="218"/>
      <c r="M7" s="222"/>
      <c r="O7" s="215"/>
      <c r="P7" s="216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0" t="s">
        <v>10</v>
      </c>
      <c r="K8" s="164">
        <v>42188</v>
      </c>
      <c r="M8" s="163">
        <f>InitialPeriodEnding</f>
        <v>42188</v>
      </c>
      <c r="O8" s="196" t="s">
        <v>130</v>
      </c>
      <c r="P8" s="197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1" t="s">
        <v>11</v>
      </c>
      <c r="M9" s="163">
        <f>M8+7*2</f>
        <v>42202</v>
      </c>
      <c r="O9" s="200" t="s">
        <v>131</v>
      </c>
      <c r="P9" s="198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1" t="s">
        <v>9</v>
      </c>
      <c r="M10" s="163">
        <f t="shared" ref="M10:M34" si="0">M9+7*2</f>
        <v>42216</v>
      </c>
      <c r="O10" s="200" t="s">
        <v>132</v>
      </c>
      <c r="P10" s="198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1" t="s">
        <v>58</v>
      </c>
      <c r="M11" s="163">
        <f t="shared" si="0"/>
        <v>42230</v>
      </c>
      <c r="O11" s="200" t="s">
        <v>133</v>
      </c>
      <c r="P11" s="198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1" t="s">
        <v>39</v>
      </c>
      <c r="M12" s="163">
        <f t="shared" si="0"/>
        <v>42244</v>
      </c>
      <c r="O12" s="200" t="s">
        <v>134</v>
      </c>
      <c r="P12" s="198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1" t="s">
        <v>40</v>
      </c>
      <c r="M13" s="163">
        <f t="shared" si="0"/>
        <v>42258</v>
      </c>
      <c r="O13" s="200" t="s">
        <v>135</v>
      </c>
      <c r="P13" s="198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1" t="s">
        <v>45</v>
      </c>
      <c r="M14" s="163">
        <f t="shared" si="0"/>
        <v>42272</v>
      </c>
      <c r="O14" s="200" t="s">
        <v>136</v>
      </c>
      <c r="P14" s="198">
        <v>43946</v>
      </c>
    </row>
    <row r="15" spans="2:16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1" t="s">
        <v>46</v>
      </c>
      <c r="M15" s="163">
        <f t="shared" si="0"/>
        <v>42286</v>
      </c>
      <c r="O15" s="200" t="s">
        <v>137</v>
      </c>
      <c r="P15" s="198">
        <v>43959</v>
      </c>
    </row>
    <row r="16" spans="2:16" ht="14.4" thickBot="1">
      <c r="B16" s="50" t="s">
        <v>38</v>
      </c>
      <c r="C16" s="58" t="s">
        <v>92</v>
      </c>
      <c r="D16" s="58" t="s">
        <v>102</v>
      </c>
      <c r="E16" s="63" t="str">
        <f>LEFT(EmpGName09)&amp;" " &amp; LEFT(EmpSName09)</f>
        <v>1 O</v>
      </c>
      <c r="I16" s="161" t="s">
        <v>51</v>
      </c>
      <c r="M16" s="163">
        <f t="shared" si="0"/>
        <v>42300</v>
      </c>
      <c r="O16" s="200" t="s">
        <v>138</v>
      </c>
      <c r="P16" s="198">
        <v>43745</v>
      </c>
    </row>
    <row r="17" spans="2:16" ht="14.4" thickBot="1">
      <c r="B17" s="66" t="s">
        <v>47</v>
      </c>
      <c r="C17" s="58" t="s">
        <v>93</v>
      </c>
      <c r="D17" s="58" t="s">
        <v>103</v>
      </c>
      <c r="E17" s="63" t="str">
        <f>LEFT(EmpGName10)&amp;" " &amp; LEFT(EmpSName10)</f>
        <v>2 O</v>
      </c>
      <c r="I17" s="161" t="s">
        <v>62</v>
      </c>
      <c r="M17" s="163">
        <f t="shared" si="0"/>
        <v>42314</v>
      </c>
      <c r="O17" s="200" t="s">
        <v>139</v>
      </c>
      <c r="P17" s="198">
        <v>43823</v>
      </c>
    </row>
    <row r="18" spans="2:16" ht="14.4" thickBot="1">
      <c r="B18" s="66" t="s">
        <v>48</v>
      </c>
      <c r="C18" s="58" t="s">
        <v>94</v>
      </c>
      <c r="D18" s="58" t="s">
        <v>112</v>
      </c>
      <c r="E18" s="63" t="str">
        <f>LEFT(EmpGName11)&amp;" " &amp; LEFT(EmpSName11)</f>
        <v>3 O</v>
      </c>
      <c r="I18" s="162"/>
      <c r="M18" s="163">
        <f t="shared" si="0"/>
        <v>42328</v>
      </c>
      <c r="O18" s="200" t="s">
        <v>140</v>
      </c>
      <c r="P18" s="198">
        <v>43824</v>
      </c>
    </row>
    <row r="19" spans="2:16" ht="14.4" thickBot="1">
      <c r="B19" s="66" t="s">
        <v>49</v>
      </c>
      <c r="C19" s="165" t="s">
        <v>95</v>
      </c>
      <c r="D19" s="165" t="s">
        <v>104</v>
      </c>
      <c r="E19" s="63" t="str">
        <f>LEFT(EmpGName12)&amp;" " &amp; LEFT(EmpSName12)</f>
        <v>4 O</v>
      </c>
      <c r="M19" s="163">
        <f>M18+7*2</f>
        <v>42342</v>
      </c>
      <c r="O19" s="200" t="s">
        <v>141</v>
      </c>
      <c r="P19" s="198">
        <v>43825</v>
      </c>
    </row>
    <row r="20" spans="2:16" ht="14.4" thickBot="1">
      <c r="B20" s="66" t="s">
        <v>74</v>
      </c>
      <c r="C20" s="165" t="s">
        <v>96</v>
      </c>
      <c r="D20" s="165" t="s">
        <v>105</v>
      </c>
      <c r="E20" s="63" t="str">
        <f>LEFT(EmpGName13)&amp;" " &amp; LEFT(EmpSName13)</f>
        <v>A O</v>
      </c>
      <c r="M20" s="163">
        <f t="shared" si="0"/>
        <v>42356</v>
      </c>
      <c r="O20" s="200" t="s">
        <v>142</v>
      </c>
      <c r="P20" s="198">
        <v>43830</v>
      </c>
    </row>
    <row r="21" spans="2:16" ht="14.4" thickBot="1">
      <c r="B21" s="66" t="s">
        <v>75</v>
      </c>
      <c r="C21" s="165" t="s">
        <v>97</v>
      </c>
      <c r="D21" s="165" t="s">
        <v>106</v>
      </c>
      <c r="E21" s="63" t="str">
        <f>LEFT(EmpGName14)&amp;" " &amp; LEFT(EmpSName14)</f>
        <v>B O</v>
      </c>
      <c r="M21" s="163">
        <f t="shared" si="0"/>
        <v>42370</v>
      </c>
      <c r="O21" s="194"/>
      <c r="P21" s="198"/>
    </row>
    <row r="22" spans="2:16" ht="14.4" thickBot="1">
      <c r="B22" s="66" t="s">
        <v>76</v>
      </c>
      <c r="C22" s="165" t="s">
        <v>98</v>
      </c>
      <c r="D22" s="165" t="s">
        <v>107</v>
      </c>
      <c r="E22" s="63" t="str">
        <f>LEFT(EmpGName15)&amp;" " &amp; LEFT(EmpSName15)</f>
        <v>C O</v>
      </c>
      <c r="M22" s="163">
        <f t="shared" si="0"/>
        <v>42384</v>
      </c>
      <c r="O22" s="195"/>
      <c r="P22" s="199"/>
    </row>
    <row r="23" spans="2:16" ht="14.4" thickBot="1">
      <c r="B23" s="66" t="s">
        <v>77</v>
      </c>
      <c r="C23" s="165" t="s">
        <v>99</v>
      </c>
      <c r="D23" s="165" t="s">
        <v>108</v>
      </c>
      <c r="E23" s="63" t="str">
        <f>LEFT(EmpGName16)&amp;" " &amp; LEFT(EmpSName16)</f>
        <v>D O</v>
      </c>
      <c r="M23" s="163">
        <f t="shared" si="0"/>
        <v>42398</v>
      </c>
      <c r="O23" s="44"/>
      <c r="P23" s="44"/>
    </row>
    <row r="24" spans="2:16" ht="14.4" thickBot="1">
      <c r="B24" s="66" t="s">
        <v>78</v>
      </c>
      <c r="C24" s="165" t="s">
        <v>100</v>
      </c>
      <c r="D24" s="165" t="s">
        <v>109</v>
      </c>
      <c r="E24" s="63" t="str">
        <f>LEFT(EmpGName17)&amp;" " &amp; LEFT(EmpSName17)</f>
        <v>E O</v>
      </c>
      <c r="M24" s="163">
        <f t="shared" si="0"/>
        <v>42412</v>
      </c>
    </row>
    <row r="25" spans="2:16" ht="14.4" thickBot="1">
      <c r="B25" s="66" t="s">
        <v>79</v>
      </c>
      <c r="C25" s="165" t="s">
        <v>128</v>
      </c>
      <c r="D25" s="165" t="s">
        <v>129</v>
      </c>
      <c r="E25" s="63" t="str">
        <f>LEFT(EmpGName18)&amp;" " &amp; LEFT(EmpSName18)</f>
        <v>S S</v>
      </c>
      <c r="M25" s="163">
        <f t="shared" si="0"/>
        <v>42426</v>
      </c>
    </row>
    <row r="26" spans="2:16" ht="14.4" thickBot="1">
      <c r="B26" s="66" t="s">
        <v>80</v>
      </c>
      <c r="C26" s="165" t="s">
        <v>119</v>
      </c>
      <c r="D26" s="165" t="s">
        <v>120</v>
      </c>
      <c r="E26" s="63" t="str">
        <f>LEFT(EmpGName19)&amp;" " &amp; LEFT(EmpSName19)</f>
        <v>S J</v>
      </c>
      <c r="M26" s="163">
        <f t="shared" si="0"/>
        <v>42440</v>
      </c>
    </row>
    <row r="27" spans="2:16" ht="14.4" thickBot="1">
      <c r="B27" s="66" t="s">
        <v>81</v>
      </c>
      <c r="C27" s="165" t="s">
        <v>121</v>
      </c>
      <c r="D27" s="165" t="s">
        <v>122</v>
      </c>
      <c r="E27" s="63" t="str">
        <f>LEFT(EmpGName20)&amp;" " &amp; LEFT(EmpSName20)</f>
        <v>B B</v>
      </c>
      <c r="M27" s="163">
        <f t="shared" si="0"/>
        <v>42454</v>
      </c>
    </row>
    <row r="28" spans="2:16" ht="14.4" thickBot="1">
      <c r="B28" s="66" t="s">
        <v>82</v>
      </c>
      <c r="C28" s="165" t="s">
        <v>123</v>
      </c>
      <c r="D28" s="165" t="s">
        <v>124</v>
      </c>
      <c r="E28" s="63" t="str">
        <f>LEFT(EmpGName21)&amp;" " &amp; LEFT(EmpSName21)</f>
        <v>T T</v>
      </c>
      <c r="M28" s="163">
        <f t="shared" si="0"/>
        <v>42468</v>
      </c>
    </row>
    <row r="29" spans="2:16" ht="14.4" thickBot="1">
      <c r="B29" s="66" t="s">
        <v>83</v>
      </c>
      <c r="C29" s="165" t="s">
        <v>116</v>
      </c>
      <c r="D29" s="165" t="s">
        <v>125</v>
      </c>
      <c r="E29" s="63" t="str">
        <f>LEFT(EmpGName22)&amp;" " &amp; LEFT(EmpSName22)</f>
        <v>T B</v>
      </c>
      <c r="M29" s="163">
        <f t="shared" si="0"/>
        <v>42482</v>
      </c>
    </row>
    <row r="30" spans="2:16" ht="14.4" thickBot="1">
      <c r="B30" s="66" t="s">
        <v>84</v>
      </c>
      <c r="C30" s="165" t="s">
        <v>126</v>
      </c>
      <c r="D30" s="165" t="s">
        <v>125</v>
      </c>
      <c r="E30" s="63" t="str">
        <f>LEFT(EmpGName23)&amp;" " &amp; LEFT(EmpSName23)</f>
        <v>T L</v>
      </c>
      <c r="M30" s="163">
        <f t="shared" si="0"/>
        <v>42496</v>
      </c>
    </row>
    <row r="31" spans="2:16" ht="14.4" thickBot="1">
      <c r="B31" s="66" t="s">
        <v>85</v>
      </c>
      <c r="C31" s="165" t="s">
        <v>101</v>
      </c>
      <c r="D31" s="165" t="s">
        <v>110</v>
      </c>
      <c r="E31" s="63" t="str">
        <f>LEFT(EmpGName24)&amp;" " &amp; LEFT(EmpSName24)</f>
        <v>L O</v>
      </c>
      <c r="M31" s="163">
        <f t="shared" si="0"/>
        <v>42510</v>
      </c>
    </row>
    <row r="32" spans="2:16" ht="14.4" thickBot="1">
      <c r="B32" s="66" t="s">
        <v>86</v>
      </c>
      <c r="C32" s="165" t="s">
        <v>113</v>
      </c>
      <c r="D32" s="165" t="s">
        <v>114</v>
      </c>
      <c r="E32" s="63" t="str">
        <f>LEFT(EmpGName25)&amp;" " &amp; LEFT(EmpSName25)</f>
        <v>H C</v>
      </c>
      <c r="M32" s="163">
        <f t="shared" si="0"/>
        <v>42524</v>
      </c>
    </row>
    <row r="33" spans="2:13" ht="14.4" thickBot="1">
      <c r="B33" s="66" t="s">
        <v>87</v>
      </c>
      <c r="C33" s="165" t="s">
        <v>115</v>
      </c>
      <c r="D33" s="165" t="s">
        <v>114</v>
      </c>
      <c r="E33" s="63" t="str">
        <f>LEFT(EmpGName26)&amp;" " &amp; LEFT(EmpSName26)</f>
        <v>H S</v>
      </c>
      <c r="M33" s="163">
        <f t="shared" si="0"/>
        <v>42538</v>
      </c>
    </row>
    <row r="34" spans="2:13" ht="14.4" thickBot="1">
      <c r="B34" s="66" t="s">
        <v>88</v>
      </c>
      <c r="C34" s="165" t="s">
        <v>116</v>
      </c>
      <c r="D34" s="165" t="s">
        <v>117</v>
      </c>
      <c r="E34" s="63" t="str">
        <f>LEFT(EmpGName27)&amp;" " &amp; LEFT(EmpSName27)</f>
        <v>L B</v>
      </c>
      <c r="M34" s="163">
        <f t="shared" si="0"/>
        <v>42552</v>
      </c>
    </row>
    <row r="35" spans="2:13" ht="14.4" thickBot="1">
      <c r="B35" s="67" t="s">
        <v>89</v>
      </c>
      <c r="C35" s="166" t="s">
        <v>116</v>
      </c>
      <c r="D35" s="166" t="s">
        <v>118</v>
      </c>
      <c r="E35" s="92" t="str">
        <f>LEFT(EmpGName28)&amp;" " &amp; LEFT(EmpSName28)</f>
        <v>F B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8" t="str">
        <f>Location</f>
        <v>Oodlawirra Quarantine Station</v>
      </c>
      <c r="J2" s="101"/>
      <c r="K2" s="101"/>
      <c r="L2" s="101"/>
      <c r="M2" s="101"/>
      <c r="N2" s="101"/>
      <c r="O2" s="101"/>
      <c r="P2" s="101"/>
      <c r="Q2" s="101"/>
      <c r="R2" s="118" t="str">
        <f xml:space="preserve"> "Financial Year Commencing 1st July, " &amp; CurYear -1</f>
        <v>Financial Year Commencing 1st July, 2015</v>
      </c>
      <c r="S2" s="34"/>
      <c r="T2" s="101"/>
      <c r="U2" s="101"/>
      <c r="V2" s="34"/>
      <c r="W2" s="101"/>
      <c r="X2" s="101"/>
      <c r="Y2" s="101"/>
      <c r="Z2" s="101"/>
      <c r="AA2" s="101"/>
      <c r="AB2" s="101"/>
      <c r="AC2" s="101"/>
      <c r="AD2" s="101"/>
      <c r="AE2" s="101"/>
      <c r="AF2" s="101"/>
    </row>
    <row r="3" spans="2:33" s="26" customFormat="1" ht="27" customHeight="1">
      <c r="B3" s="47"/>
      <c r="I3" s="119" t="s">
        <v>25</v>
      </c>
      <c r="R3" s="119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8" customFormat="1" ht="13.8" thickBot="1">
      <c r="B4" s="99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8" t="str">
        <f t="shared" si="0"/>
        <v>Fr</v>
      </c>
    </row>
    <row r="5" spans="2:33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3" ht="14.4" thickTop="1" thickBot="1">
      <c r="B6" s="102">
        <f>CurYear-1</f>
        <v>2015</v>
      </c>
      <c r="C6" s="36" t="str">
        <f>Roster!D14</f>
        <v>D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3" ht="14.4" thickTop="1" thickBot="1">
      <c r="B9" s="102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9"/>
    </row>
    <row r="11" spans="2:33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</row>
    <row r="12" spans="2:33" ht="14.4" thickTop="1" thickBot="1">
      <c r="B12" s="102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3" ht="14.4" thickTop="1" thickBot="1">
      <c r="B15" s="102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</row>
    <row r="18" spans="2:33" ht="14.4" thickTop="1" thickBot="1">
      <c r="B18" s="102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3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0" t="str">
        <f t="shared" si="7"/>
        <v>Tu</v>
      </c>
      <c r="E25" s="120" t="str">
        <f t="shared" si="7"/>
        <v>We</v>
      </c>
      <c r="F25" s="120" t="str">
        <f t="shared" si="7"/>
        <v>Th</v>
      </c>
      <c r="G25" s="120" t="str">
        <f t="shared" si="7"/>
        <v>Fr</v>
      </c>
      <c r="H25" s="120" t="str">
        <f t="shared" si="7"/>
        <v>Sa</v>
      </c>
      <c r="I25" s="120" t="str">
        <f t="shared" si="7"/>
        <v>Su</v>
      </c>
      <c r="J25" s="120" t="str">
        <f t="shared" si="7"/>
        <v>Mo</v>
      </c>
      <c r="K25" s="120" t="str">
        <f t="shared" si="7"/>
        <v>Tu</v>
      </c>
      <c r="L25" s="120" t="str">
        <f t="shared" si="7"/>
        <v>We</v>
      </c>
      <c r="M25" s="120" t="str">
        <f t="shared" si="7"/>
        <v>Th</v>
      </c>
      <c r="N25" s="120" t="str">
        <f t="shared" si="7"/>
        <v>Fr</v>
      </c>
      <c r="O25" s="120" t="str">
        <f t="shared" si="7"/>
        <v>Sa</v>
      </c>
      <c r="P25" s="120" t="str">
        <f t="shared" si="7"/>
        <v>Su</v>
      </c>
      <c r="Q25" s="120" t="str">
        <f t="shared" si="7"/>
        <v>Mo</v>
      </c>
      <c r="R25" s="120" t="str">
        <f t="shared" si="7"/>
        <v>Tu</v>
      </c>
      <c r="S25" s="120" t="str">
        <f t="shared" si="7"/>
        <v>We</v>
      </c>
      <c r="T25" s="120" t="str">
        <f t="shared" si="7"/>
        <v>Th</v>
      </c>
      <c r="U25" s="120" t="str">
        <f t="shared" si="7"/>
        <v>Fr</v>
      </c>
      <c r="V25" s="120" t="str">
        <f t="shared" si="7"/>
        <v>Sa</v>
      </c>
      <c r="W25" s="120" t="str">
        <f t="shared" si="7"/>
        <v>Su</v>
      </c>
      <c r="X25" s="120" t="str">
        <f t="shared" si="7"/>
        <v>Mo</v>
      </c>
      <c r="Y25" s="120" t="str">
        <f t="shared" si="7"/>
        <v>Tu</v>
      </c>
      <c r="Z25" s="120" t="str">
        <f t="shared" si="7"/>
        <v>We</v>
      </c>
      <c r="AA25" s="120" t="str">
        <f t="shared" si="7"/>
        <v>Th</v>
      </c>
      <c r="AB25" s="120" t="str">
        <f t="shared" si="7"/>
        <v>Fr</v>
      </c>
      <c r="AC25" s="120" t="str">
        <f t="shared" si="7"/>
        <v>Sa</v>
      </c>
      <c r="AD25" s="120" t="str">
        <f t="shared" si="7"/>
        <v>Su</v>
      </c>
      <c r="AE25" s="136" t="str">
        <f t="shared" si="7"/>
        <v>Mo</v>
      </c>
      <c r="AF25" s="115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</row>
    <row r="27" spans="2:33" ht="14.4" thickTop="1" thickBot="1">
      <c r="B27" s="102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2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</row>
    <row r="33" spans="2:33" ht="14.4" thickTop="1" thickBot="1">
      <c r="B33" s="102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</row>
    <row r="39" spans="2:33" ht="14.4" thickTop="1" thickBot="1">
      <c r="B39" s="102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6" customFormat="1" ht="17.399999999999999">
      <c r="B1" s="125"/>
    </row>
    <row r="2" spans="2:35" s="126" customFormat="1" ht="24.75" customHeight="1">
      <c r="B2" s="125"/>
      <c r="I2" s="130" t="str">
        <f>Location</f>
        <v>Oodlawirra Quarantine Station</v>
      </c>
      <c r="J2" s="128"/>
      <c r="K2" s="128"/>
      <c r="L2" s="128"/>
      <c r="M2" s="128"/>
      <c r="N2" s="128"/>
      <c r="O2" s="128"/>
      <c r="P2" s="128"/>
      <c r="Q2" s="128"/>
      <c r="R2" s="130" t="str">
        <f xml:space="preserve"> "Financial Year Commencing 1st July, " &amp; CurYear -1</f>
        <v>Financial Year Commencing 1st July, 2015</v>
      </c>
      <c r="S2" s="127"/>
      <c r="T2" s="128"/>
      <c r="U2" s="128"/>
      <c r="V2" s="127"/>
      <c r="W2" s="128"/>
      <c r="X2" s="128"/>
      <c r="Y2" s="128"/>
      <c r="Z2" s="128"/>
      <c r="AA2" s="128"/>
      <c r="AB2" s="128"/>
      <c r="AC2" s="128"/>
      <c r="AD2" s="128"/>
      <c r="AE2" s="128"/>
      <c r="AF2" s="128"/>
    </row>
    <row r="3" spans="2:35" s="126" customFormat="1" ht="27" customHeight="1">
      <c r="B3" s="125"/>
      <c r="I3" s="131" t="s">
        <v>25</v>
      </c>
      <c r="R3" s="131" t="str">
        <f>EmpGName02 &amp;" " &amp; EmpSName02</f>
        <v>Kevin Stone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2:35" s="44" customFormat="1" ht="13.8" thickBot="1">
      <c r="B4" s="99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9" t="str">
        <f t="shared" si="0"/>
        <v>Fr</v>
      </c>
    </row>
    <row r="5" spans="2:35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5" ht="14.4" thickTop="1" thickBot="1">
      <c r="B6" s="102">
        <f>CurYear-1</f>
        <v>2015</v>
      </c>
      <c r="C6" s="36" t="str">
        <f>Roster!D15</f>
        <v>D</v>
      </c>
      <c r="D6" s="37" t="str">
        <f>Roster!E15</f>
        <v>D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06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5" ht="14.4" thickTop="1" thickBot="1">
      <c r="B9" s="102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9"/>
      <c r="AI10" s="100"/>
    </row>
    <row r="11" spans="2:35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  <c r="AG11" s="20"/>
    </row>
    <row r="12" spans="2:35" ht="14.4" thickTop="1" thickBot="1">
      <c r="B12" s="102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5" ht="14.4" thickTop="1" thickBot="1">
      <c r="B15" s="102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  <c r="AG17" s="20"/>
    </row>
    <row r="18" spans="2:33" ht="14.4" thickTop="1" thickBot="1">
      <c r="B18" s="102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3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114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  <c r="AG26" s="20"/>
    </row>
    <row r="27" spans="2:33" ht="14.4" thickTop="1" thickBot="1">
      <c r="B27" s="102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2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  <c r="AG32" s="20"/>
    </row>
    <row r="33" spans="2:33" ht="14.4" thickTop="1" thickBot="1">
      <c r="B33" s="102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  <c r="AG38" s="20"/>
    </row>
    <row r="39" spans="2:33" ht="14.4" thickTop="1" thickBot="1">
      <c r="B39" s="102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124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EmpGName03 &amp;" " &amp; EmpSName03</f>
        <v>Ian Thelning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D</v>
      </c>
      <c r="D6" s="37" t="str">
        <f>Roster!E16</f>
        <v>D</v>
      </c>
      <c r="E6" s="37" t="str">
        <f>Roster!F16</f>
        <v>D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2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D</v>
      </c>
      <c r="D6" s="37" t="str">
        <f>Roster!E17</f>
        <v>D</v>
      </c>
      <c r="E6" s="37" t="str">
        <f>Roster!F17</f>
        <v>D</v>
      </c>
      <c r="F6" s="37" t="str">
        <f>Roster!G17</f>
        <v>D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2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EmpGName05 &amp;" " &amp; EmpSName05</f>
        <v>David Castle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D</v>
      </c>
      <c r="D6" s="37" t="str">
        <f>Roster!E18</f>
        <v>D</v>
      </c>
      <c r="E6" s="37" t="str">
        <f>Roster!F18</f>
        <v>D</v>
      </c>
      <c r="F6" s="37" t="str">
        <f>Roster!G18</f>
        <v>D</v>
      </c>
      <c r="G6" s="37" t="str">
        <f>Roster!H18</f>
        <v>D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2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D</v>
      </c>
      <c r="D6" s="37" t="str">
        <f>Roster!E19</f>
        <v>D</v>
      </c>
      <c r="E6" s="37" t="str">
        <f>Roster!F19</f>
        <v>D</v>
      </c>
      <c r="F6" s="37" t="str">
        <f>Roster!G19</f>
        <v>D</v>
      </c>
      <c r="G6" s="37" t="str">
        <f>Roster!H19</f>
        <v>D</v>
      </c>
      <c r="H6" s="37" t="str">
        <f>Roster!I19</f>
        <v>D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2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EmpGName07 &amp;" " &amp; EmpSName07</f>
        <v>Troy Sorensen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D</v>
      </c>
      <c r="D6" s="37" t="str">
        <f>Roster!E20</f>
        <v>D</v>
      </c>
      <c r="E6" s="37" t="str">
        <f>Roster!F20</f>
        <v>D</v>
      </c>
      <c r="F6" s="37" t="str">
        <f>Roster!G20</f>
        <v>D</v>
      </c>
      <c r="G6" s="37" t="str">
        <f>Roster!H20</f>
        <v>D</v>
      </c>
      <c r="H6" s="37" t="str">
        <f>Roster!I20</f>
        <v>D</v>
      </c>
      <c r="I6" s="37" t="str">
        <f>Roster!J20</f>
        <v>D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2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EmpGName08 &amp;" " &amp; EmpSName08</f>
        <v xml:space="preserve">Bodd Odd 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D</v>
      </c>
      <c r="D6" s="37" t="str">
        <f>Roster!E21</f>
        <v>D</v>
      </c>
      <c r="E6" s="37" t="str">
        <f>Roster!F21</f>
        <v>D</v>
      </c>
      <c r="F6" s="37" t="str">
        <f>Roster!G21</f>
        <v>D</v>
      </c>
      <c r="G6" s="37" t="str">
        <f>Roster!H21</f>
        <v>D</v>
      </c>
      <c r="H6" s="37" t="str">
        <f>Roster!I21</f>
        <v>D</v>
      </c>
      <c r="I6" s="37" t="str">
        <f>Roster!J21</f>
        <v>D</v>
      </c>
      <c r="J6" s="37" t="str">
        <f>Roster!K21</f>
        <v>D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5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8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D</v>
      </c>
      <c r="D6" s="37" t="str">
        <f>Roster!E22</f>
        <v>D</v>
      </c>
      <c r="E6" s="37" t="str">
        <f>Roster!F22</f>
        <v>D</v>
      </c>
      <c r="F6" s="37" t="str">
        <f>Roster!G22</f>
        <v>D</v>
      </c>
      <c r="G6" s="37" t="str">
        <f>Roster!H22</f>
        <v>D</v>
      </c>
      <c r="H6" s="37" t="str">
        <f>Roster!I22</f>
        <v>D</v>
      </c>
      <c r="I6" s="37" t="str">
        <f>Roster!J22</f>
        <v>D</v>
      </c>
      <c r="J6" s="37" t="str">
        <f>Roster!K22</f>
        <v>D</v>
      </c>
      <c r="K6" s="37" t="str">
        <f>Roster!L22</f>
        <v>D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D</v>
      </c>
      <c r="D6" s="37" t="str">
        <f>Roster!E23</f>
        <v>D</v>
      </c>
      <c r="E6" s="37" t="str">
        <f>Roster!F23</f>
        <v>D</v>
      </c>
      <c r="F6" s="37" t="str">
        <f>Roster!G23</f>
        <v>D</v>
      </c>
      <c r="G6" s="37" t="str">
        <f>Roster!H23</f>
        <v>D</v>
      </c>
      <c r="H6" s="37" t="str">
        <f>Roster!I23</f>
        <v>D</v>
      </c>
      <c r="I6" s="37" t="str">
        <f>Roster!J23</f>
        <v>D</v>
      </c>
      <c r="J6" s="37" t="str">
        <f>Roster!K23</f>
        <v>D</v>
      </c>
      <c r="K6" s="37" t="str">
        <f>Roster!L23</f>
        <v>D</v>
      </c>
      <c r="L6" s="37" t="str">
        <f>Roster!M23</f>
        <v>D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EmpGName11 &amp;" " &amp; EmpSName11</f>
        <v>3Bod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D</v>
      </c>
      <c r="D6" s="37" t="str">
        <f>Roster!E24</f>
        <v>D</v>
      </c>
      <c r="E6" s="37" t="str">
        <f>Roster!F24</f>
        <v>D</v>
      </c>
      <c r="F6" s="37" t="str">
        <f>Roster!G24</f>
        <v>D</v>
      </c>
      <c r="G6" s="37" t="str">
        <f>Roster!H24</f>
        <v>D</v>
      </c>
      <c r="H6" s="37" t="str">
        <f>Roster!I24</f>
        <v>D</v>
      </c>
      <c r="I6" s="37" t="str">
        <f>Roster!J24</f>
        <v>D</v>
      </c>
      <c r="J6" s="37" t="str">
        <f>Roster!K24</f>
        <v>D</v>
      </c>
      <c r="K6" s="37" t="str">
        <f>Roster!L24</f>
        <v>D</v>
      </c>
      <c r="L6" s="37" t="str">
        <f>Roster!M24</f>
        <v>D</v>
      </c>
      <c r="M6" s="37" t="str">
        <f>Roster!N24</f>
        <v>D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D</v>
      </c>
      <c r="D6" s="37" t="str">
        <f>Roster!E25</f>
        <v>D</v>
      </c>
      <c r="E6" s="37" t="str">
        <f>Roster!F25</f>
        <v>D</v>
      </c>
      <c r="F6" s="37" t="str">
        <f>Roster!G25</f>
        <v>D</v>
      </c>
      <c r="G6" s="37" t="str">
        <f>Roster!H25</f>
        <v>D</v>
      </c>
      <c r="H6" s="37" t="str">
        <f>Roster!I25</f>
        <v>D</v>
      </c>
      <c r="I6" s="37" t="str">
        <f>Roster!J25</f>
        <v>D</v>
      </c>
      <c r="J6" s="37" t="str">
        <f>Roster!K25</f>
        <v>D</v>
      </c>
      <c r="K6" s="37" t="str">
        <f>Roster!L25</f>
        <v>D</v>
      </c>
      <c r="L6" s="37" t="str">
        <f>Roster!M25</f>
        <v>D</v>
      </c>
      <c r="M6" s="37" t="str">
        <f>Roster!N25</f>
        <v>D</v>
      </c>
      <c r="N6" s="37" t="str">
        <f>Roster!O25</f>
        <v>D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87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8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9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zoomScale="185" zoomScaleNormal="185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3" t="str">
        <f>CurYear-1 &amp; "/"&amp;CurYear</f>
        <v>2015/2016</v>
      </c>
      <c r="D3" s="223"/>
      <c r="E3" s="93" t="s">
        <v>9</v>
      </c>
      <c r="F3" s="93" t="s">
        <v>11</v>
      </c>
      <c r="G3" s="93" t="s">
        <v>10</v>
      </c>
      <c r="H3" s="93" t="s">
        <v>71</v>
      </c>
      <c r="I3" s="93" t="s">
        <v>39</v>
      </c>
      <c r="J3" s="93" t="s">
        <v>40</v>
      </c>
      <c r="K3" s="93" t="s">
        <v>45</v>
      </c>
      <c r="L3" s="96" t="s">
        <v>51</v>
      </c>
      <c r="M3" s="93" t="s">
        <v>46</v>
      </c>
      <c r="N3" s="93" t="s">
        <v>29</v>
      </c>
    </row>
    <row r="4" spans="2:14" s="55" customFormat="1">
      <c r="B4" s="55">
        <v>1</v>
      </c>
      <c r="C4" s="183" t="str">
        <f>EmpGName01</f>
        <v>Luciano</v>
      </c>
      <c r="D4" s="183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1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1</v>
      </c>
    </row>
    <row r="5" spans="2:14" s="55" customFormat="1">
      <c r="B5" s="55">
        <v>2</v>
      </c>
      <c r="C5" s="184" t="str">
        <f>EmpGName02</f>
        <v>Kevin</v>
      </c>
      <c r="D5" s="184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2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2</v>
      </c>
    </row>
    <row r="6" spans="2:14" s="55" customFormat="1">
      <c r="B6" s="55">
        <v>3</v>
      </c>
      <c r="C6" s="183" t="str">
        <f>EmpGName03</f>
        <v>Ian</v>
      </c>
      <c r="D6" s="183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3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3</v>
      </c>
    </row>
    <row r="7" spans="2:14" s="55" customFormat="1">
      <c r="B7" s="55">
        <v>4</v>
      </c>
      <c r="C7" s="184" t="str">
        <f>EmpGName04</f>
        <v>Leon</v>
      </c>
      <c r="D7" s="184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4</v>
      </c>
    </row>
    <row r="8" spans="2:14" s="55" customFormat="1">
      <c r="B8" s="55">
        <v>5</v>
      </c>
      <c r="C8" s="183" t="str">
        <f>EmpGName05</f>
        <v>David</v>
      </c>
      <c r="D8" s="183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5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5</v>
      </c>
    </row>
    <row r="9" spans="2:14" s="55" customFormat="1">
      <c r="B9" s="55">
        <v>6</v>
      </c>
      <c r="C9" s="184" t="str">
        <f>EmpGName06</f>
        <v>Robin</v>
      </c>
      <c r="D9" s="184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6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6</v>
      </c>
    </row>
    <row r="10" spans="2:14" s="55" customFormat="1">
      <c r="B10" s="55">
        <v>7</v>
      </c>
      <c r="C10" s="183" t="str">
        <f>EmpGName07</f>
        <v>Troy</v>
      </c>
      <c r="D10" s="183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7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7</v>
      </c>
    </row>
    <row r="11" spans="2:14" s="55" customFormat="1">
      <c r="B11" s="55">
        <v>8</v>
      </c>
      <c r="C11" s="184" t="str">
        <f>EmpGName08</f>
        <v>Bodd</v>
      </c>
      <c r="D11" s="184" t="str">
        <f>EmpSName08</f>
        <v xml:space="preserve">Odd 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8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8</v>
      </c>
    </row>
    <row r="12" spans="2:14" s="55" customFormat="1">
      <c r="B12" s="55">
        <v>9</v>
      </c>
      <c r="C12" s="183" t="str">
        <f>EmpGName09</f>
        <v>1Bod</v>
      </c>
      <c r="D12" s="183" t="str">
        <f>EmpSName09</f>
        <v>Odd1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9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9</v>
      </c>
    </row>
    <row r="13" spans="2:14" s="55" customFormat="1">
      <c r="B13" s="55">
        <v>10</v>
      </c>
      <c r="C13" s="184" t="str">
        <f>EmpSName10</f>
        <v>Odd2</v>
      </c>
      <c r="D13" s="184" t="str">
        <f>EmpGName10</f>
        <v>2Bod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10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6" si="1">SUM(E13:M13)</f>
        <v>10</v>
      </c>
    </row>
    <row r="14" spans="2:14" s="55" customFormat="1">
      <c r="B14" s="55">
        <v>11</v>
      </c>
      <c r="C14" s="183" t="str">
        <f>EmpSName11</f>
        <v>Odd3</v>
      </c>
      <c r="D14" s="183" t="str">
        <f>EmpGName11</f>
        <v>3Bod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11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11</v>
      </c>
    </row>
    <row r="15" spans="2:14" s="55" customFormat="1" ht="15" customHeight="1">
      <c r="B15" s="55">
        <v>12</v>
      </c>
      <c r="C15" s="184" t="str">
        <f>EmpSName12</f>
        <v>Odd4</v>
      </c>
      <c r="D15" s="184" t="str">
        <f>EmpGName12</f>
        <v>4Bod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12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12</v>
      </c>
    </row>
    <row r="16" spans="2:14" s="55" customFormat="1" ht="15" customHeight="1">
      <c r="B16" s="55">
        <v>13</v>
      </c>
      <c r="C16" s="185" t="str">
        <f>EmpSName13</f>
        <v>Odd5</v>
      </c>
      <c r="D16" s="183" t="str">
        <f>EmpGName13</f>
        <v>Abod</v>
      </c>
      <c r="E16" s="81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13</v>
      </c>
      <c r="F16" s="81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1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1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9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9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9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1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9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1">
        <f t="shared" si="1"/>
        <v>13</v>
      </c>
    </row>
    <row r="17" spans="2:14" s="55" customFormat="1" ht="15" customHeight="1">
      <c r="B17" s="55">
        <v>14</v>
      </c>
      <c r="C17" s="186" t="str">
        <f>EmpSName14</f>
        <v>Odd6</v>
      </c>
      <c r="D17" s="184" t="str">
        <f>EmpGName14</f>
        <v>Bbod</v>
      </c>
      <c r="E17" s="80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14</v>
      </c>
      <c r="F17" s="80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80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80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80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80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80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80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80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80">
        <f t="shared" ref="N17" si="2">SUM(E17:M17)</f>
        <v>14</v>
      </c>
    </row>
    <row r="18" spans="2:14" s="55" customFormat="1" ht="15" customHeight="1">
      <c r="B18" s="55">
        <v>15</v>
      </c>
      <c r="C18" s="183" t="str">
        <f>EmpSName15</f>
        <v>Odd7</v>
      </c>
      <c r="D18" s="183" t="str">
        <f>EmpGName15</f>
        <v>Cbod</v>
      </c>
      <c r="E18" s="81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15</v>
      </c>
      <c r="F18" s="81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1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1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9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9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9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1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9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1">
        <f t="shared" ref="N18" si="3">SUM(E18:M18)</f>
        <v>15</v>
      </c>
    </row>
    <row r="19" spans="2:14" s="55" customFormat="1" ht="15" customHeight="1">
      <c r="B19" s="55">
        <v>16</v>
      </c>
      <c r="C19" s="184" t="str">
        <f>EmpSName16</f>
        <v>Odd8</v>
      </c>
      <c r="D19" s="184" t="str">
        <f>EmpGName16</f>
        <v>Dbod</v>
      </c>
      <c r="E19" s="80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16</v>
      </c>
      <c r="F19" s="80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80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80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80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80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80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80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80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80">
        <f t="shared" ref="N19" si="4">SUM(E19:M19)</f>
        <v>16</v>
      </c>
    </row>
    <row r="20" spans="2:14" s="55" customFormat="1" ht="15" customHeight="1">
      <c r="B20" s="55">
        <v>17</v>
      </c>
      <c r="C20" s="183" t="str">
        <f>EmpSName17</f>
        <v>Odd9</v>
      </c>
      <c r="D20" s="183" t="str">
        <f>EmpGName17</f>
        <v>Ebod</v>
      </c>
      <c r="E20" s="81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17</v>
      </c>
      <c r="F20" s="81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1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1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9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9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9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1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9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1">
        <f t="shared" ref="N20" si="5">SUM(E20:M20)</f>
        <v>17</v>
      </c>
    </row>
    <row r="21" spans="2:14" s="55" customFormat="1" ht="15" customHeight="1">
      <c r="B21" s="55">
        <v>18</v>
      </c>
      <c r="C21" s="184" t="str">
        <f>EmpSName18</f>
        <v>Simple</v>
      </c>
      <c r="D21" s="184" t="str">
        <f>EmpGName18</f>
        <v>Simon</v>
      </c>
      <c r="E21" s="80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18</v>
      </c>
      <c r="F21" s="80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80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80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80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80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80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80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80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80">
        <f t="shared" ref="N21" si="6">SUM(E21:M21)</f>
        <v>18</v>
      </c>
    </row>
    <row r="22" spans="2:14" s="55" customFormat="1" ht="15" customHeight="1">
      <c r="B22" s="55">
        <v>19</v>
      </c>
      <c r="C22" s="183" t="str">
        <f>EmpSName19</f>
        <v>Jack</v>
      </c>
      <c r="D22" s="183" t="str">
        <f>EmpGName19</f>
        <v>Shize</v>
      </c>
      <c r="E22" s="81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19</v>
      </c>
      <c r="F22" s="81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1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1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9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9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9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1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9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1">
        <f t="shared" ref="N22" si="7">SUM(E22:M22)</f>
        <v>19</v>
      </c>
    </row>
    <row r="23" spans="2:14" s="55" customFormat="1" ht="15" customHeight="1">
      <c r="B23" s="55">
        <v>20</v>
      </c>
      <c r="C23" s="184" t="str">
        <f>EmpSName20</f>
        <v>Billy</v>
      </c>
      <c r="D23" s="184" t="str">
        <f>EmpGName20</f>
        <v>Bones</v>
      </c>
      <c r="E23" s="80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20</v>
      </c>
      <c r="F23" s="80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80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80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80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80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80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80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80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80">
        <f t="shared" ref="N23" si="8">SUM(E23:M23)</f>
        <v>20</v>
      </c>
    </row>
    <row r="24" spans="2:14" s="55" customFormat="1" ht="15" customHeight="1">
      <c r="B24" s="55">
        <v>21</v>
      </c>
      <c r="C24" s="183" t="str">
        <f>EmpSName21</f>
        <v>Ted</v>
      </c>
      <c r="D24" s="183" t="str">
        <f>EmpGName21</f>
        <v>Tomes</v>
      </c>
      <c r="E24" s="81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21</v>
      </c>
      <c r="F24" s="81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1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1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9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9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9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1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9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1">
        <f t="shared" ref="N24" si="9">SUM(E24:M24)</f>
        <v>21</v>
      </c>
    </row>
    <row r="25" spans="2:14" s="55" customFormat="1" ht="15" customHeight="1">
      <c r="B25" s="55">
        <v>22</v>
      </c>
      <c r="C25" s="184" t="s">
        <v>128</v>
      </c>
      <c r="D25" s="184" t="str">
        <f>EmpGName22</f>
        <v>Tung</v>
      </c>
      <c r="E25" s="80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22</v>
      </c>
      <c r="F25" s="80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80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80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80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80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80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80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80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80">
        <f t="shared" ref="N25" si="10">SUM(E25:M25)</f>
        <v>22</v>
      </c>
    </row>
    <row r="26" spans="2:14" s="55" customFormat="1" ht="15" customHeight="1">
      <c r="B26" s="55">
        <v>23</v>
      </c>
      <c r="C26" s="183" t="str">
        <f>EmpSName23</f>
        <v>Long</v>
      </c>
      <c r="D26" s="183" t="str">
        <f>EmpGName23</f>
        <v>Tung</v>
      </c>
      <c r="E26" s="81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23</v>
      </c>
      <c r="F26" s="81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1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1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9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9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9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1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9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1">
        <f t="shared" ref="N26" si="11">SUM(E26:M26)</f>
        <v>23</v>
      </c>
    </row>
    <row r="27" spans="2:14" s="55" customFormat="1" ht="15" customHeight="1">
      <c r="B27" s="55">
        <v>24</v>
      </c>
      <c r="C27" s="184" t="str">
        <f>EmpSName24</f>
        <v>Odd16</v>
      </c>
      <c r="D27" s="184" t="str">
        <f>EmpGName24</f>
        <v>Lbod</v>
      </c>
      <c r="E27" s="80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24</v>
      </c>
      <c r="F27" s="80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80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80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80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80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80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80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80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80">
        <f t="shared" ref="N27" si="12">SUM(E27:M27)</f>
        <v>24</v>
      </c>
    </row>
    <row r="28" spans="2:14" s="55" customFormat="1" ht="15" customHeight="1">
      <c r="B28" s="55">
        <v>25</v>
      </c>
      <c r="C28" s="183" t="str">
        <f>EmpSName25</f>
        <v>Charlie</v>
      </c>
      <c r="D28" s="183" t="str">
        <f>EmpGName25</f>
        <v>Horse</v>
      </c>
      <c r="E28" s="81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25</v>
      </c>
      <c r="F28" s="81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1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1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9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9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9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1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9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1">
        <f t="shared" ref="N28" si="13">SUM(E28:M28)</f>
        <v>25</v>
      </c>
    </row>
    <row r="29" spans="2:14" s="55" customFormat="1" ht="15" customHeight="1">
      <c r="B29" s="55">
        <v>26</v>
      </c>
      <c r="C29" s="184" t="str">
        <f>EmpSName26</f>
        <v>Scuzzy Old</v>
      </c>
      <c r="D29" s="184" t="str">
        <f>EmpGName26</f>
        <v>Horse</v>
      </c>
      <c r="E29" s="80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26</v>
      </c>
      <c r="F29" s="80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80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80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80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80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80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80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80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80">
        <f t="shared" ref="N29" si="14">SUM(E29:M29)</f>
        <v>26</v>
      </c>
    </row>
    <row r="30" spans="2:14" s="55" customFormat="1" ht="15" customHeight="1">
      <c r="B30" s="55">
        <v>27</v>
      </c>
      <c r="C30" s="183" t="str">
        <f>EmpSName27</f>
        <v>Ben</v>
      </c>
      <c r="D30" s="183" t="str">
        <f>EmpGName27</f>
        <v>Lomond</v>
      </c>
      <c r="E30" s="81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27</v>
      </c>
      <c r="F30" s="81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1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1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9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9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9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1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9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1">
        <f t="shared" ref="N30" si="15">SUM(E30:M30)</f>
        <v>27</v>
      </c>
    </row>
    <row r="31" spans="2:14" s="55" customFormat="1" ht="15" customHeight="1">
      <c r="B31" s="55">
        <v>28</v>
      </c>
      <c r="C31" s="184" t="str">
        <f>EmpSName28</f>
        <v>Ben</v>
      </c>
      <c r="D31" s="184" t="str">
        <f>EmpGName28</f>
        <v>Franklin</v>
      </c>
      <c r="E31" s="80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28</v>
      </c>
      <c r="F31" s="80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80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80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80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80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80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80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80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80">
        <f t="shared" ref="N31" si="16">SUM(E31:M31)</f>
        <v>28</v>
      </c>
    </row>
    <row r="32" spans="2:14" s="55" customFormat="1"/>
    <row r="33" spans="4:14" s="55" customFormat="1">
      <c r="D33" s="95" t="s">
        <v>50</v>
      </c>
      <c r="E33" s="94">
        <f>SUM(E4:E31)</f>
        <v>406</v>
      </c>
      <c r="F33" s="94">
        <f t="shared" ref="F33:N33" si="17">SUM(F4:F31)</f>
        <v>0</v>
      </c>
      <c r="G33" s="94">
        <f t="shared" si="17"/>
        <v>0</v>
      </c>
      <c r="H33" s="94">
        <f t="shared" si="17"/>
        <v>0</v>
      </c>
      <c r="I33" s="94">
        <f t="shared" si="17"/>
        <v>0</v>
      </c>
      <c r="J33" s="94">
        <f t="shared" si="17"/>
        <v>0</v>
      </c>
      <c r="K33" s="94">
        <f t="shared" si="17"/>
        <v>0</v>
      </c>
      <c r="L33" s="94">
        <f t="shared" si="17"/>
        <v>0</v>
      </c>
      <c r="M33" s="94">
        <f t="shared" si="17"/>
        <v>0</v>
      </c>
      <c r="N33" s="94">
        <f t="shared" si="17"/>
        <v>406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2019-08-01T22:32:41Z</dcterms:modified>
</cp:coreProperties>
</file>