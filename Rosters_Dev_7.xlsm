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Roadblock\Rosters17Dev\"/>
    </mc:Choice>
  </mc:AlternateContent>
  <bookViews>
    <workbookView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<sst xmlns="http://schemas.openxmlformats.org/spreadsheetml/2006/main" count="4497" uniqueCount="81">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</sst>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</cellXfs>
  <cellStyles count="1">
    <cellStyle name="Normal" xfId="0" builtinId="0"/>
  </cellStyles>
  <dxfs count="7"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</xdr:row>
          <xdr:rowOff>47625</xdr:rowOff>
        </xdr:from>
        <xdr:to>
          <xdr:col>16</xdr:col>
          <xdr:colOff>38100</xdr:colOff>
          <xdr:row>4</xdr:row>
          <xdr:rowOff>257175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47625</xdr:rowOff>
        </xdr:from>
        <xdr:to>
          <xdr:col>23</xdr:col>
          <xdr:colOff>190500</xdr:colOff>
          <xdr:row>4</xdr:row>
          <xdr:rowOff>238125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47625</xdr:rowOff>
        </xdr:from>
        <xdr:to>
          <xdr:col>11</xdr:col>
          <xdr:colOff>152400</xdr:colOff>
          <xdr:row>4</xdr:row>
          <xdr:rowOff>238125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57150</xdr:colOff>
          <xdr:row>4</xdr:row>
          <xdr:rowOff>542925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66675</xdr:colOff>
          <xdr:row>4</xdr:row>
          <xdr:rowOff>552450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123825</xdr:colOff>
          <xdr:row>4</xdr:row>
          <xdr:rowOff>238125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352425</xdr:rowOff>
        </xdr:from>
        <xdr:to>
          <xdr:col>12</xdr:col>
          <xdr:colOff>209550</xdr:colOff>
          <xdr:row>4</xdr:row>
          <xdr:rowOff>542925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</xdr:row>
          <xdr:rowOff>352425</xdr:rowOff>
        </xdr:from>
        <xdr:to>
          <xdr:col>18</xdr:col>
          <xdr:colOff>152400</xdr:colOff>
          <xdr:row>4</xdr:row>
          <xdr:rowOff>542925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4</xdr:row>
          <xdr:rowOff>295275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4</xdr:row>
          <xdr:rowOff>47625</xdr:rowOff>
        </xdr:from>
        <xdr:to>
          <xdr:col>28</xdr:col>
          <xdr:colOff>200025</xdr:colOff>
          <xdr:row>4</xdr:row>
          <xdr:rowOff>228600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352425</xdr:rowOff>
        </xdr:from>
        <xdr:to>
          <xdr:col>23</xdr:col>
          <xdr:colOff>190500</xdr:colOff>
          <xdr:row>4</xdr:row>
          <xdr:rowOff>542925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4</xdr:row>
          <xdr:rowOff>352425</xdr:rowOff>
        </xdr:from>
        <xdr:to>
          <xdr:col>28</xdr:col>
          <xdr:colOff>190500</xdr:colOff>
          <xdr:row>4</xdr:row>
          <xdr:rowOff>542925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4</xdr:row>
          <xdr:rowOff>47625</xdr:rowOff>
        </xdr:from>
        <xdr:to>
          <xdr:col>34</xdr:col>
          <xdr:colOff>95250</xdr:colOff>
          <xdr:row>4</xdr:row>
          <xdr:rowOff>228600</xdr:rowOff>
        </xdr:to>
        <xdr:sp macro="" textlink="">
          <xdr:nvSpPr>
            <xdr:cNvPr id="1115" name="OptRosteredOff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90"/>
  <sheetViews>
    <sheetView showGridLines="0" tabSelected="1" zoomScale="145" zoomScaleNormal="145" workbookViewId="0">
      <pane ySplit="5" topLeftCell="A168" activePane="bottomLeft" state="frozen"/>
      <selection pane="bottomLeft" activeCell="B2" sqref="B2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2"/>
      <c r="J1" s="175" t="str">
        <f>Location &amp;  " -  Roster Sheets"</f>
        <v>Oodlawirra Quarantine Station -  Roster Sheets</v>
      </c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06"/>
      <c r="AF1" s="106"/>
      <c r="AG1" s="106"/>
      <c r="AH1" s="106"/>
    </row>
    <row r="2" spans="1:34" s="2" customFormat="1" ht="12" customHeight="1"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06"/>
      <c r="AF2" s="106"/>
      <c r="AG2" s="106"/>
      <c r="AH2" s="106"/>
    </row>
    <row r="3" spans="1:34" s="2" customFormat="1" ht="17.25" customHeight="1">
      <c r="B3" s="29"/>
      <c r="J3" s="173" t="str">
        <f>"Financial Year Commencing - 1st July, "&amp; CurYear-1</f>
        <v>Financial Year Commencing - 1st July, 2016</v>
      </c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06"/>
      <c r="AF3" s="106"/>
      <c r="AG3" s="106"/>
      <c r="AH3" s="106"/>
    </row>
    <row r="4" spans="1:34" s="30" customFormat="1" ht="12" customHeight="1">
      <c r="B4" s="77" t="s">
        <v>54</v>
      </c>
      <c r="C4" s="172"/>
      <c r="D4" s="172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4" s="31" customFormat="1" ht="53.25" customHeight="1"/>
    <row r="6" spans="1:34" s="154" customFormat="1" ht="14.25" customHeight="1"/>
    <row r="7" spans="1:34" s="154" customFormat="1" ht="14.25" customHeight="1">
      <c r="C7" s="167" t="s">
        <v>69</v>
      </c>
      <c r="D7" s="169" t="s">
        <v>11</v>
      </c>
      <c r="E7" s="161" t="s">
        <v>70</v>
      </c>
      <c r="F7" s="162" t="s">
        <v>73</v>
      </c>
      <c r="G7" s="163"/>
      <c r="H7" s="163"/>
      <c r="I7" s="163"/>
      <c r="J7" s="165"/>
      <c r="K7" s="166"/>
      <c r="L7" s="160" t="s">
        <v>46</v>
      </c>
      <c r="M7" s="161" t="s">
        <v>70</v>
      </c>
      <c r="N7" s="162" t="s">
        <v>76</v>
      </c>
      <c r="O7" s="163"/>
      <c r="P7" s="163"/>
      <c r="Q7" s="165"/>
      <c r="R7" s="166"/>
      <c r="S7" s="160" t="s">
        <v>68</v>
      </c>
      <c r="T7" s="161" t="s">
        <v>70</v>
      </c>
      <c r="U7" s="162" t="s">
        <v>71</v>
      </c>
      <c r="V7" s="163"/>
      <c r="W7" s="163"/>
      <c r="X7" s="165"/>
      <c r="Y7" s="163"/>
      <c r="Z7" s="160" t="s">
        <v>41</v>
      </c>
      <c r="AA7" s="161" t="s">
        <v>70</v>
      </c>
      <c r="AB7" s="162" t="s">
        <v>80</v>
      </c>
      <c r="AC7" s="163"/>
      <c r="AD7" s="163"/>
      <c r="AE7" s="165"/>
    </row>
    <row r="8" spans="1:34" s="154" customFormat="1" ht="14.25" customHeight="1">
      <c r="C8" s="168"/>
      <c r="D8" s="169" t="s">
        <v>9</v>
      </c>
      <c r="E8" s="161" t="s">
        <v>70</v>
      </c>
      <c r="F8" s="162" t="s">
        <v>74</v>
      </c>
      <c r="G8" s="163"/>
      <c r="H8" s="163"/>
      <c r="I8" s="163"/>
      <c r="J8" s="165"/>
      <c r="K8" s="166"/>
      <c r="L8" s="164" t="s">
        <v>47</v>
      </c>
      <c r="M8" s="161" t="s">
        <v>70</v>
      </c>
      <c r="N8" s="162" t="s">
        <v>77</v>
      </c>
      <c r="O8" s="163"/>
      <c r="P8" s="163"/>
      <c r="Q8" s="165"/>
      <c r="R8" s="166"/>
      <c r="S8" s="160" t="s">
        <v>72</v>
      </c>
      <c r="T8" s="161" t="s">
        <v>70</v>
      </c>
      <c r="U8" s="162" t="s">
        <v>78</v>
      </c>
      <c r="V8" s="163"/>
      <c r="W8" s="163"/>
      <c r="X8" s="165"/>
      <c r="Y8" s="163"/>
      <c r="Z8" s="160" t="s">
        <v>40</v>
      </c>
      <c r="AA8" s="161" t="s">
        <v>70</v>
      </c>
      <c r="AB8" s="162" t="s">
        <v>79</v>
      </c>
      <c r="AC8" s="163"/>
      <c r="AD8" s="163"/>
      <c r="AE8" s="165"/>
    </row>
    <row r="9" spans="1:34" s="154" customFormat="1" ht="14.25" customHeight="1">
      <c r="C9" s="168"/>
      <c r="D9" s="169" t="s">
        <v>10</v>
      </c>
      <c r="E9" s="161" t="s">
        <v>70</v>
      </c>
      <c r="F9" s="162" t="s">
        <v>75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</row>
    <row r="10" spans="1:34" s="154" customFormat="1" ht="14.25" customHeight="1">
      <c r="D10" s="156"/>
      <c r="E10" s="159"/>
      <c r="K10" s="157"/>
      <c r="L10" s="158"/>
      <c r="M10" s="155"/>
    </row>
    <row r="11" spans="1:34" s="72" customFormat="1" ht="12" customHeight="1"/>
    <row r="12" spans="1:34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</row>
    <row r="13" spans="1:34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4">
      <c r="B14" s="85">
        <v>1</v>
      </c>
      <c r="C14" s="89" t="str">
        <f>LEFT(EmpGName01)&amp;" " &amp; EmpSName01</f>
        <v>L Marampon</v>
      </c>
      <c r="D14" s="4" t="s">
        <v>72</v>
      </c>
      <c r="E14" s="4" t="s">
        <v>72</v>
      </c>
      <c r="F14" s="4" t="s">
        <v>72</v>
      </c>
      <c r="G14" s="4" t="s">
        <v>72</v>
      </c>
      <c r="H14" s="4" t="s">
        <v>72</v>
      </c>
      <c r="I14" s="4" t="s">
        <v>72</v>
      </c>
      <c r="J14" s="4" t="s">
        <v>72</v>
      </c>
      <c r="K14" s="4" t="s">
        <v>72</v>
      </c>
      <c r="L14" s="4" t="s">
        <v>72</v>
      </c>
      <c r="M14" s="4" t="s">
        <v>72</v>
      </c>
      <c r="N14" s="4" t="s">
        <v>72</v>
      </c>
      <c r="O14" s="4" t="s">
        <v>72</v>
      </c>
      <c r="P14" s="4" t="s">
        <v>72</v>
      </c>
      <c r="Q14" s="4" t="s">
        <v>72</v>
      </c>
      <c r="R14" s="4" t="s">
        <v>72</v>
      </c>
      <c r="S14" s="4" t="s">
        <v>72</v>
      </c>
      <c r="T14" s="4" t="s">
        <v>72</v>
      </c>
      <c r="U14" s="4" t="s">
        <v>72</v>
      </c>
      <c r="V14" s="4" t="s">
        <v>72</v>
      </c>
      <c r="W14" s="4" t="s">
        <v>72</v>
      </c>
      <c r="X14" s="4" t="s">
        <v>72</v>
      </c>
      <c r="Y14" s="4" t="s">
        <v>72</v>
      </c>
      <c r="Z14" s="4" t="s">
        <v>72</v>
      </c>
      <c r="AA14" s="4" t="s">
        <v>72</v>
      </c>
      <c r="AB14" s="4" t="s">
        <v>72</v>
      </c>
      <c r="AC14" s="4" t="s">
        <v>72</v>
      </c>
      <c r="AD14" s="4" t="s">
        <v>72</v>
      </c>
      <c r="AE14" s="4" t="s">
        <v>72</v>
      </c>
      <c r="AF14" s="4" t="s">
        <v>72</v>
      </c>
      <c r="AG14" s="4" t="s">
        <v>72</v>
      </c>
      <c r="AH14" s="4" t="s">
        <v>72</v>
      </c>
    </row>
    <row r="15" spans="1:34">
      <c r="B15" s="85">
        <v>2</v>
      </c>
      <c r="C15" s="90" t="str">
        <f>LEFT(EmpGName02)&amp;" " &amp;EmpSName02</f>
        <v>K Stone</v>
      </c>
      <c r="D15" s="3" t="s">
        <v>72</v>
      </c>
      <c r="E15" s="3" t="s">
        <v>72</v>
      </c>
      <c r="F15" s="3" t="s">
        <v>72</v>
      </c>
      <c r="G15" s="3" t="s">
        <v>72</v>
      </c>
      <c r="H15" s="3" t="s">
        <v>72</v>
      </c>
      <c r="I15" s="3" t="s">
        <v>72</v>
      </c>
      <c r="J15" s="3" t="s">
        <v>72</v>
      </c>
      <c r="K15" s="3" t="s">
        <v>72</v>
      </c>
      <c r="L15" s="3" t="s">
        <v>72</v>
      </c>
      <c r="M15" s="3" t="s">
        <v>72</v>
      </c>
      <c r="N15" s="3" t="s">
        <v>72</v>
      </c>
      <c r="O15" s="3" t="s">
        <v>72</v>
      </c>
      <c r="P15" s="3" t="s">
        <v>72</v>
      </c>
      <c r="Q15" s="3" t="s">
        <v>72</v>
      </c>
      <c r="R15" s="3" t="s">
        <v>72</v>
      </c>
      <c r="S15" s="3" t="s">
        <v>72</v>
      </c>
      <c r="T15" s="3" t="s">
        <v>72</v>
      </c>
      <c r="U15" s="3" t="s">
        <v>72</v>
      </c>
      <c r="V15" s="3" t="s">
        <v>72</v>
      </c>
      <c r="W15" s="3" t="s">
        <v>72</v>
      </c>
      <c r="X15" s="3" t="s">
        <v>72</v>
      </c>
      <c r="Y15" s="3" t="s">
        <v>72</v>
      </c>
      <c r="Z15" s="3" t="s">
        <v>72</v>
      </c>
      <c r="AA15" s="3" t="s">
        <v>72</v>
      </c>
      <c r="AB15" s="3" t="s">
        <v>72</v>
      </c>
      <c r="AC15" s="3" t="s">
        <v>72</v>
      </c>
      <c r="AD15" s="3" t="s">
        <v>72</v>
      </c>
      <c r="AE15" s="3" t="s">
        <v>72</v>
      </c>
      <c r="AF15" s="3" t="s">
        <v>72</v>
      </c>
      <c r="AG15" s="3" t="s">
        <v>72</v>
      </c>
      <c r="AH15" s="3" t="s">
        <v>72</v>
      </c>
    </row>
    <row r="16" spans="1:34">
      <c r="B16" s="85">
        <v>3</v>
      </c>
      <c r="C16" s="89" t="str">
        <f>LEFT(EmpGName03)&amp;" " &amp;EmpSName03</f>
        <v>I Thelning</v>
      </c>
      <c r="D16" s="4" t="s">
        <v>72</v>
      </c>
      <c r="E16" s="4" t="s">
        <v>72</v>
      </c>
      <c r="F16" s="4" t="s">
        <v>72</v>
      </c>
      <c r="G16" s="4" t="s">
        <v>72</v>
      </c>
      <c r="H16" s="4" t="s">
        <v>72</v>
      </c>
      <c r="I16" s="4" t="s">
        <v>72</v>
      </c>
      <c r="J16" s="4" t="s">
        <v>72</v>
      </c>
      <c r="K16" s="4" t="s">
        <v>72</v>
      </c>
      <c r="L16" s="4" t="s">
        <v>72</v>
      </c>
      <c r="M16" s="4" t="s">
        <v>72</v>
      </c>
      <c r="N16" s="4" t="s">
        <v>72</v>
      </c>
      <c r="O16" s="4" t="s">
        <v>72</v>
      </c>
      <c r="P16" s="4" t="s">
        <v>72</v>
      </c>
      <c r="Q16" s="4" t="s">
        <v>72</v>
      </c>
      <c r="R16" s="4" t="s">
        <v>72</v>
      </c>
      <c r="S16" s="4" t="s">
        <v>72</v>
      </c>
      <c r="T16" s="4" t="s">
        <v>72</v>
      </c>
      <c r="U16" s="4" t="s">
        <v>72</v>
      </c>
      <c r="V16" s="4" t="s">
        <v>72</v>
      </c>
      <c r="W16" s="4" t="s">
        <v>72</v>
      </c>
      <c r="X16" s="4" t="s">
        <v>72</v>
      </c>
      <c r="Y16" s="4" t="s">
        <v>72</v>
      </c>
      <c r="Z16" s="4" t="s">
        <v>72</v>
      </c>
      <c r="AA16" s="4" t="s">
        <v>72</v>
      </c>
      <c r="AB16" s="4" t="s">
        <v>72</v>
      </c>
      <c r="AC16" s="4" t="s">
        <v>72</v>
      </c>
      <c r="AD16" s="4" t="s">
        <v>72</v>
      </c>
      <c r="AE16" s="4" t="s">
        <v>72</v>
      </c>
      <c r="AF16" s="4" t="s">
        <v>72</v>
      </c>
      <c r="AG16" s="4" t="s">
        <v>72</v>
      </c>
      <c r="AH16" s="4" t="s">
        <v>72</v>
      </c>
    </row>
    <row r="17" spans="2:34">
      <c r="B17" s="85">
        <v>4</v>
      </c>
      <c r="C17" s="90" t="str">
        <f>LEFT(EmpGName04)&amp;" " &amp;EmpSName04</f>
        <v>L King</v>
      </c>
      <c r="D17" s="3" t="s">
        <v>72</v>
      </c>
      <c r="E17" s="3" t="s">
        <v>72</v>
      </c>
      <c r="F17" s="3" t="s">
        <v>72</v>
      </c>
      <c r="G17" s="3" t="s">
        <v>72</v>
      </c>
      <c r="H17" s="3" t="s">
        <v>72</v>
      </c>
      <c r="I17" s="3" t="s">
        <v>72</v>
      </c>
      <c r="J17" s="3" t="s">
        <v>72</v>
      </c>
      <c r="K17" s="3" t="s">
        <v>72</v>
      </c>
      <c r="L17" s="3" t="s">
        <v>72</v>
      </c>
      <c r="M17" s="3" t="s">
        <v>72</v>
      </c>
      <c r="N17" s="3" t="s">
        <v>72</v>
      </c>
      <c r="O17" s="3" t="s">
        <v>72</v>
      </c>
      <c r="P17" s="3" t="s">
        <v>72</v>
      </c>
      <c r="Q17" s="3" t="s">
        <v>72</v>
      </c>
      <c r="R17" s="3" t="s">
        <v>72</v>
      </c>
      <c r="S17" s="3" t="s">
        <v>72</v>
      </c>
      <c r="T17" s="3" t="s">
        <v>72</v>
      </c>
      <c r="U17" s="3" t="s">
        <v>72</v>
      </c>
      <c r="V17" s="3" t="s">
        <v>72</v>
      </c>
      <c r="W17" s="3" t="s">
        <v>72</v>
      </c>
      <c r="X17" s="3" t="s">
        <v>72</v>
      </c>
      <c r="Y17" s="3" t="s">
        <v>72</v>
      </c>
      <c r="Z17" s="3" t="s">
        <v>72</v>
      </c>
      <c r="AA17" s="3" t="s">
        <v>72</v>
      </c>
      <c r="AB17" s="3" t="s">
        <v>72</v>
      </c>
      <c r="AC17" s="3" t="s">
        <v>72</v>
      </c>
      <c r="AD17" s="3" t="s">
        <v>72</v>
      </c>
      <c r="AE17" s="3" t="s">
        <v>72</v>
      </c>
      <c r="AF17" s="3" t="s">
        <v>72</v>
      </c>
      <c r="AG17" s="3" t="s">
        <v>72</v>
      </c>
      <c r="AH17" s="3" t="s">
        <v>72</v>
      </c>
    </row>
    <row r="18" spans="2:34">
      <c r="B18" s="85">
        <v>5</v>
      </c>
      <c r="C18" s="89" t="str">
        <f>LEFT(EmpGName05)&amp;" " &amp;EmpSName05</f>
        <v>D Castle</v>
      </c>
      <c r="D18" s="4" t="s">
        <v>72</v>
      </c>
      <c r="E18" s="4" t="s">
        <v>72</v>
      </c>
      <c r="F18" s="4" t="s">
        <v>72</v>
      </c>
      <c r="G18" s="4" t="s">
        <v>72</v>
      </c>
      <c r="H18" s="4" t="s">
        <v>72</v>
      </c>
      <c r="I18" s="4" t="s">
        <v>72</v>
      </c>
      <c r="J18" s="4" t="s">
        <v>72</v>
      </c>
      <c r="K18" s="4" t="s">
        <v>72</v>
      </c>
      <c r="L18" s="4" t="s">
        <v>72</v>
      </c>
      <c r="M18" s="4" t="s">
        <v>72</v>
      </c>
      <c r="N18" s="4" t="s">
        <v>72</v>
      </c>
      <c r="O18" s="4" t="s">
        <v>72</v>
      </c>
      <c r="P18" s="4" t="s">
        <v>72</v>
      </c>
      <c r="Q18" s="4" t="s">
        <v>72</v>
      </c>
      <c r="R18" s="4" t="s">
        <v>72</v>
      </c>
      <c r="S18" s="4" t="s">
        <v>72</v>
      </c>
      <c r="T18" s="4" t="s">
        <v>72</v>
      </c>
      <c r="U18" s="4" t="s">
        <v>72</v>
      </c>
      <c r="V18" s="4" t="s">
        <v>72</v>
      </c>
      <c r="W18" s="4" t="s">
        <v>72</v>
      </c>
      <c r="X18" s="4" t="s">
        <v>72</v>
      </c>
      <c r="Y18" s="4" t="s">
        <v>72</v>
      </c>
      <c r="Z18" s="4" t="s">
        <v>72</v>
      </c>
      <c r="AA18" s="4" t="s">
        <v>72</v>
      </c>
      <c r="AB18" s="4" t="s">
        <v>72</v>
      </c>
      <c r="AC18" s="4" t="s">
        <v>72</v>
      </c>
      <c r="AD18" s="4" t="s">
        <v>72</v>
      </c>
      <c r="AE18" s="4" t="s">
        <v>72</v>
      </c>
      <c r="AF18" s="4" t="s">
        <v>72</v>
      </c>
      <c r="AG18" s="4" t="s">
        <v>72</v>
      </c>
      <c r="AH18" s="4" t="s">
        <v>72</v>
      </c>
    </row>
    <row r="19" spans="2:34">
      <c r="B19" s="85">
        <v>6</v>
      </c>
      <c r="C19" s="90" t="str">
        <f>LEFT(EmpGName06)&amp;" " &amp;EmpSName06</f>
        <v>T Sorensen</v>
      </c>
      <c r="D19" s="3" t="s">
        <v>72</v>
      </c>
      <c r="E19" s="3" t="s">
        <v>72</v>
      </c>
      <c r="F19" s="3" t="s">
        <v>72</v>
      </c>
      <c r="G19" s="3" t="s">
        <v>72</v>
      </c>
      <c r="H19" s="3" t="s">
        <v>72</v>
      </c>
      <c r="I19" s="3" t="s">
        <v>72</v>
      </c>
      <c r="J19" s="3" t="s">
        <v>72</v>
      </c>
      <c r="K19" s="3" t="s">
        <v>72</v>
      </c>
      <c r="L19" s="3" t="s">
        <v>72</v>
      </c>
      <c r="M19" s="3" t="s">
        <v>72</v>
      </c>
      <c r="N19" s="3" t="s">
        <v>72</v>
      </c>
      <c r="O19" s="3" t="s">
        <v>72</v>
      </c>
      <c r="P19" s="3" t="s">
        <v>72</v>
      </c>
      <c r="Q19" s="3" t="s">
        <v>72</v>
      </c>
      <c r="R19" s="3" t="s">
        <v>72</v>
      </c>
      <c r="S19" s="3" t="s">
        <v>72</v>
      </c>
      <c r="T19" s="3" t="s">
        <v>72</v>
      </c>
      <c r="U19" s="3" t="s">
        <v>72</v>
      </c>
      <c r="V19" s="3" t="s">
        <v>72</v>
      </c>
      <c r="W19" s="3" t="s">
        <v>72</v>
      </c>
      <c r="X19" s="3" t="s">
        <v>72</v>
      </c>
      <c r="Y19" s="3" t="s">
        <v>72</v>
      </c>
      <c r="Z19" s="3" t="s">
        <v>72</v>
      </c>
      <c r="AA19" s="3" t="s">
        <v>72</v>
      </c>
      <c r="AB19" s="3" t="s">
        <v>72</v>
      </c>
      <c r="AC19" s="3" t="s">
        <v>72</v>
      </c>
      <c r="AD19" s="3" t="s">
        <v>72</v>
      </c>
      <c r="AE19" s="3" t="s">
        <v>72</v>
      </c>
      <c r="AF19" s="3" t="s">
        <v>72</v>
      </c>
      <c r="AG19" s="3" t="s">
        <v>72</v>
      </c>
      <c r="AH19" s="3" t="s">
        <v>72</v>
      </c>
    </row>
    <row r="20" spans="2:34">
      <c r="B20" s="85">
        <v>7</v>
      </c>
      <c r="C20" s="89" t="str">
        <f>LEFT(EmpGName07)&amp;" " &amp;EmpSName07</f>
        <v>R Fielding</v>
      </c>
      <c r="D20" s="4" t="s">
        <v>72</v>
      </c>
      <c r="E20" s="4" t="s">
        <v>72</v>
      </c>
      <c r="F20" s="4" t="s">
        <v>72</v>
      </c>
      <c r="G20" s="4" t="s">
        <v>72</v>
      </c>
      <c r="H20" s="4" t="s">
        <v>72</v>
      </c>
      <c r="I20" s="4" t="s">
        <v>72</v>
      </c>
      <c r="J20" s="4" t="s">
        <v>72</v>
      </c>
      <c r="K20" s="4" t="s">
        <v>72</v>
      </c>
      <c r="L20" s="4" t="s">
        <v>72</v>
      </c>
      <c r="M20" s="4" t="s">
        <v>72</v>
      </c>
      <c r="N20" s="4" t="s">
        <v>72</v>
      </c>
      <c r="O20" s="4" t="s">
        <v>72</v>
      </c>
      <c r="P20" s="4" t="s">
        <v>72</v>
      </c>
      <c r="Q20" s="4" t="s">
        <v>72</v>
      </c>
      <c r="R20" s="4" t="s">
        <v>72</v>
      </c>
      <c r="S20" s="4" t="s">
        <v>72</v>
      </c>
      <c r="T20" s="4" t="s">
        <v>72</v>
      </c>
      <c r="U20" s="4" t="s">
        <v>72</v>
      </c>
      <c r="V20" s="4" t="s">
        <v>72</v>
      </c>
      <c r="W20" s="4" t="s">
        <v>72</v>
      </c>
      <c r="X20" s="4" t="s">
        <v>72</v>
      </c>
      <c r="Y20" s="4" t="s">
        <v>72</v>
      </c>
      <c r="Z20" s="4" t="s">
        <v>72</v>
      </c>
      <c r="AA20" s="4" t="s">
        <v>72</v>
      </c>
      <c r="AB20" s="4" t="s">
        <v>72</v>
      </c>
      <c r="AC20" s="4" t="s">
        <v>72</v>
      </c>
      <c r="AD20" s="4" t="s">
        <v>72</v>
      </c>
      <c r="AE20" s="4" t="s">
        <v>72</v>
      </c>
      <c r="AF20" s="4" t="s">
        <v>72</v>
      </c>
      <c r="AG20" s="4" t="s">
        <v>72</v>
      </c>
      <c r="AH20" s="4" t="s">
        <v>72</v>
      </c>
    </row>
    <row r="21" spans="2:34">
      <c r="B21" s="85">
        <v>8</v>
      </c>
      <c r="C21" s="90" t="str">
        <f>LEFT(EmpGName08)&amp;" " &amp;EmpSName08</f>
        <v>F Flannery</v>
      </c>
      <c r="D21" s="3" t="s">
        <v>72</v>
      </c>
      <c r="E21" s="3" t="s">
        <v>72</v>
      </c>
      <c r="F21" s="3" t="s">
        <v>72</v>
      </c>
      <c r="G21" s="3" t="s">
        <v>72</v>
      </c>
      <c r="H21" s="3" t="s">
        <v>72</v>
      </c>
      <c r="I21" s="3" t="s">
        <v>72</v>
      </c>
      <c r="J21" s="3" t="s">
        <v>72</v>
      </c>
      <c r="K21" s="3" t="s">
        <v>72</v>
      </c>
      <c r="L21" s="3" t="s">
        <v>72</v>
      </c>
      <c r="M21" s="3" t="s">
        <v>72</v>
      </c>
      <c r="N21" s="3" t="s">
        <v>72</v>
      </c>
      <c r="O21" s="3" t="s">
        <v>72</v>
      </c>
      <c r="P21" s="3" t="s">
        <v>72</v>
      </c>
      <c r="Q21" s="3" t="s">
        <v>72</v>
      </c>
      <c r="R21" s="3" t="s">
        <v>72</v>
      </c>
      <c r="S21" s="3" t="s">
        <v>72</v>
      </c>
      <c r="T21" s="3" t="s">
        <v>72</v>
      </c>
      <c r="U21" s="3" t="s">
        <v>72</v>
      </c>
      <c r="V21" s="3" t="s">
        <v>72</v>
      </c>
      <c r="W21" s="3" t="s">
        <v>72</v>
      </c>
      <c r="X21" s="3" t="s">
        <v>72</v>
      </c>
      <c r="Y21" s="3" t="s">
        <v>72</v>
      </c>
      <c r="Z21" s="3" t="s">
        <v>72</v>
      </c>
      <c r="AA21" s="3" t="s">
        <v>72</v>
      </c>
      <c r="AB21" s="3" t="s">
        <v>72</v>
      </c>
      <c r="AC21" s="3" t="s">
        <v>72</v>
      </c>
      <c r="AD21" s="3" t="s">
        <v>72</v>
      </c>
      <c r="AE21" s="3" t="s">
        <v>72</v>
      </c>
      <c r="AF21" s="3" t="s">
        <v>72</v>
      </c>
      <c r="AG21" s="3" t="s">
        <v>72</v>
      </c>
      <c r="AH21" s="3" t="s">
        <v>72</v>
      </c>
    </row>
    <row r="22" spans="2:34">
      <c r="B22" s="85">
        <v>9</v>
      </c>
      <c r="C22" s="89" t="str">
        <f>LEFT(EmpGName09)&amp;" " &amp;EmpSName09</f>
        <v>P Hogan</v>
      </c>
      <c r="D22" s="4" t="s">
        <v>72</v>
      </c>
      <c r="E22" s="4" t="s">
        <v>72</v>
      </c>
      <c r="F22" s="4" t="s">
        <v>72</v>
      </c>
      <c r="G22" s="4" t="s">
        <v>72</v>
      </c>
      <c r="H22" s="4" t="s">
        <v>72</v>
      </c>
      <c r="I22" s="4" t="s">
        <v>72</v>
      </c>
      <c r="J22" s="4" t="s">
        <v>72</v>
      </c>
      <c r="K22" s="4" t="s">
        <v>72</v>
      </c>
      <c r="L22" s="4" t="s">
        <v>72</v>
      </c>
      <c r="M22" s="4" t="s">
        <v>72</v>
      </c>
      <c r="N22" s="4" t="s">
        <v>72</v>
      </c>
      <c r="O22" s="4" t="s">
        <v>72</v>
      </c>
      <c r="P22" s="4" t="s">
        <v>72</v>
      </c>
      <c r="Q22" s="4" t="s">
        <v>72</v>
      </c>
      <c r="R22" s="4" t="s">
        <v>72</v>
      </c>
      <c r="S22" s="4" t="s">
        <v>72</v>
      </c>
      <c r="T22" s="4" t="s">
        <v>72</v>
      </c>
      <c r="U22" s="4" t="s">
        <v>72</v>
      </c>
      <c r="V22" s="4" t="s">
        <v>72</v>
      </c>
      <c r="W22" s="4" t="s">
        <v>72</v>
      </c>
      <c r="X22" s="4" t="s">
        <v>72</v>
      </c>
      <c r="Y22" s="4" t="s">
        <v>72</v>
      </c>
      <c r="Z22" s="4" t="s">
        <v>72</v>
      </c>
      <c r="AA22" s="4" t="s">
        <v>72</v>
      </c>
      <c r="AB22" s="4" t="s">
        <v>72</v>
      </c>
      <c r="AC22" s="4" t="s">
        <v>72</v>
      </c>
      <c r="AD22" s="4" t="s">
        <v>72</v>
      </c>
      <c r="AE22" s="4" t="s">
        <v>72</v>
      </c>
      <c r="AF22" s="4" t="s">
        <v>72</v>
      </c>
      <c r="AG22" s="4" t="s">
        <v>72</v>
      </c>
      <c r="AH22" s="4" t="s">
        <v>72</v>
      </c>
    </row>
    <row r="23" spans="2:34">
      <c r="B23" s="152">
        <v>10</v>
      </c>
      <c r="C23" s="90" t="str">
        <f>LEFT(EmpGName10)&amp;" " &amp;EmpSName10</f>
        <v>J Stretton</v>
      </c>
      <c r="D23" s="3" t="s">
        <v>72</v>
      </c>
      <c r="E23" s="3" t="s">
        <v>72</v>
      </c>
      <c r="F23" s="3" t="s">
        <v>72</v>
      </c>
      <c r="G23" s="3" t="s">
        <v>72</v>
      </c>
      <c r="H23" s="3" t="s">
        <v>72</v>
      </c>
      <c r="I23" s="3" t="s">
        <v>72</v>
      </c>
      <c r="J23" s="3" t="s">
        <v>72</v>
      </c>
      <c r="K23" s="3" t="s">
        <v>72</v>
      </c>
      <c r="L23" s="3" t="s">
        <v>72</v>
      </c>
      <c r="M23" s="3" t="s">
        <v>72</v>
      </c>
      <c r="N23" s="3" t="s">
        <v>72</v>
      </c>
      <c r="O23" s="3" t="s">
        <v>72</v>
      </c>
      <c r="P23" s="3" t="s">
        <v>72</v>
      </c>
      <c r="Q23" s="3" t="s">
        <v>72</v>
      </c>
      <c r="R23" s="3" t="s">
        <v>72</v>
      </c>
      <c r="S23" s="3" t="s">
        <v>72</v>
      </c>
      <c r="T23" s="3" t="s">
        <v>72</v>
      </c>
      <c r="U23" s="3" t="s">
        <v>72</v>
      </c>
      <c r="V23" s="3" t="s">
        <v>72</v>
      </c>
      <c r="W23" s="3" t="s">
        <v>72</v>
      </c>
      <c r="X23" s="3" t="s">
        <v>72</v>
      </c>
      <c r="Y23" s="3" t="s">
        <v>72</v>
      </c>
      <c r="Z23" s="3" t="s">
        <v>72</v>
      </c>
      <c r="AA23" s="3" t="s">
        <v>72</v>
      </c>
      <c r="AB23" s="3" t="s">
        <v>72</v>
      </c>
      <c r="AC23" s="3" t="s">
        <v>72</v>
      </c>
      <c r="AD23" s="3" t="s">
        <v>72</v>
      </c>
      <c r="AE23" s="3" t="s">
        <v>72</v>
      </c>
      <c r="AF23" s="3" t="s">
        <v>72</v>
      </c>
      <c r="AG23" s="3" t="s">
        <v>72</v>
      </c>
      <c r="AH23" s="3" t="s">
        <v>72</v>
      </c>
    </row>
    <row r="24" spans="2:34">
      <c r="B24" s="152">
        <v>11</v>
      </c>
      <c r="C24" s="89" t="str">
        <f>LEFT(EmpGName11)&amp;" " &amp;EmpSName11</f>
        <v>M Rowe</v>
      </c>
      <c r="D24" s="4" t="s">
        <v>72</v>
      </c>
      <c r="E24" s="4" t="s">
        <v>72</v>
      </c>
      <c r="F24" s="4" t="s">
        <v>72</v>
      </c>
      <c r="G24" s="4" t="s">
        <v>72</v>
      </c>
      <c r="H24" s="4" t="s">
        <v>72</v>
      </c>
      <c r="I24" s="4" t="s">
        <v>72</v>
      </c>
      <c r="J24" s="4" t="s">
        <v>72</v>
      </c>
      <c r="K24" s="4" t="s">
        <v>72</v>
      </c>
      <c r="L24" s="4" t="s">
        <v>72</v>
      </c>
      <c r="M24" s="4" t="s">
        <v>72</v>
      </c>
      <c r="N24" s="4" t="s">
        <v>72</v>
      </c>
      <c r="O24" s="4" t="s">
        <v>72</v>
      </c>
      <c r="P24" s="4" t="s">
        <v>72</v>
      </c>
      <c r="Q24" s="4" t="s">
        <v>72</v>
      </c>
      <c r="R24" s="4" t="s">
        <v>72</v>
      </c>
      <c r="S24" s="4" t="s">
        <v>72</v>
      </c>
      <c r="T24" s="4" t="s">
        <v>72</v>
      </c>
      <c r="U24" s="4" t="s">
        <v>72</v>
      </c>
      <c r="V24" s="4" t="s">
        <v>72</v>
      </c>
      <c r="W24" s="4" t="s">
        <v>72</v>
      </c>
      <c r="X24" s="4" t="s">
        <v>72</v>
      </c>
      <c r="Y24" s="4" t="s">
        <v>72</v>
      </c>
      <c r="Z24" s="4" t="s">
        <v>72</v>
      </c>
      <c r="AA24" s="4" t="s">
        <v>72</v>
      </c>
      <c r="AB24" s="4" t="s">
        <v>72</v>
      </c>
      <c r="AC24" s="4" t="s">
        <v>72</v>
      </c>
      <c r="AD24" s="4" t="s">
        <v>72</v>
      </c>
      <c r="AE24" s="4" t="s">
        <v>72</v>
      </c>
      <c r="AF24" s="4" t="s">
        <v>72</v>
      </c>
      <c r="AG24" s="4" t="s">
        <v>72</v>
      </c>
      <c r="AH24" s="4" t="s">
        <v>72</v>
      </c>
    </row>
    <row r="25" spans="2:34" hidden="1">
      <c r="B25" s="152">
        <v>12</v>
      </c>
      <c r="C25" s="90" t="str">
        <f>LEFT(EmpGName12)&amp;" " &amp;EmpSName12</f>
        <v xml:space="preserve"> </v>
      </c>
      <c r="D25" s="3" t="s">
        <v>72</v>
      </c>
      <c r="E25" s="3" t="s">
        <v>72</v>
      </c>
      <c r="F25" s="3" t="s">
        <v>72</v>
      </c>
      <c r="G25" s="3" t="s">
        <v>72</v>
      </c>
      <c r="H25" s="3" t="s">
        <v>72</v>
      </c>
      <c r="I25" s="3" t="s">
        <v>72</v>
      </c>
      <c r="J25" s="3" t="s">
        <v>72</v>
      </c>
      <c r="K25" s="3" t="s">
        <v>72</v>
      </c>
      <c r="L25" s="3" t="s">
        <v>72</v>
      </c>
      <c r="M25" s="3" t="s">
        <v>72</v>
      </c>
      <c r="N25" s="3" t="s">
        <v>72</v>
      </c>
      <c r="O25" s="3" t="s">
        <v>72</v>
      </c>
      <c r="P25" s="3" t="s">
        <v>72</v>
      </c>
      <c r="Q25" s="3" t="s">
        <v>72</v>
      </c>
      <c r="R25" s="3" t="s">
        <v>72</v>
      </c>
      <c r="S25" s="3" t="s">
        <v>72</v>
      </c>
      <c r="T25" s="3" t="s">
        <v>72</v>
      </c>
      <c r="U25" s="3" t="s">
        <v>72</v>
      </c>
      <c r="V25" s="3" t="s">
        <v>72</v>
      </c>
      <c r="W25" s="3" t="s">
        <v>72</v>
      </c>
      <c r="X25" s="3" t="s">
        <v>72</v>
      </c>
      <c r="Y25" s="3" t="s">
        <v>72</v>
      </c>
      <c r="Z25" s="3" t="s">
        <v>72</v>
      </c>
      <c r="AA25" s="3" t="s">
        <v>72</v>
      </c>
      <c r="AB25" s="3" t="s">
        <v>72</v>
      </c>
      <c r="AC25" s="3" t="s">
        <v>72</v>
      </c>
      <c r="AD25" s="3" t="s">
        <v>72</v>
      </c>
      <c r="AE25" s="3" t="s">
        <v>72</v>
      </c>
      <c r="AF25" s="3" t="s">
        <v>72</v>
      </c>
      <c r="AG25" s="3" t="s">
        <v>72</v>
      </c>
      <c r="AH25" s="3" t="s">
        <v>72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72</v>
      </c>
      <c r="E29" s="4" t="s">
        <v>72</v>
      </c>
      <c r="F29" s="4" t="s">
        <v>72</v>
      </c>
      <c r="G29" s="4" t="s">
        <v>72</v>
      </c>
      <c r="H29" s="4" t="s">
        <v>72</v>
      </c>
      <c r="I29" s="4" t="s">
        <v>72</v>
      </c>
      <c r="J29" s="4" t="s">
        <v>72</v>
      </c>
      <c r="K29" s="4" t="s">
        <v>72</v>
      </c>
      <c r="L29" s="4" t="s">
        <v>72</v>
      </c>
      <c r="M29" s="4" t="s">
        <v>72</v>
      </c>
      <c r="N29" s="4" t="s">
        <v>72</v>
      </c>
      <c r="O29" s="4" t="s">
        <v>72</v>
      </c>
      <c r="P29" s="4" t="s">
        <v>72</v>
      </c>
      <c r="Q29" s="4" t="s">
        <v>72</v>
      </c>
      <c r="R29" s="4" t="s">
        <v>72</v>
      </c>
      <c r="S29" s="4" t="s">
        <v>72</v>
      </c>
      <c r="T29" s="4" t="s">
        <v>72</v>
      </c>
      <c r="U29" s="4" t="s">
        <v>72</v>
      </c>
      <c r="V29" s="4" t="s">
        <v>72</v>
      </c>
      <c r="W29" s="4" t="s">
        <v>72</v>
      </c>
      <c r="X29" s="4" t="s">
        <v>72</v>
      </c>
      <c r="Y29" s="4" t="s">
        <v>72</v>
      </c>
      <c r="Z29" s="4" t="s">
        <v>72</v>
      </c>
      <c r="AA29" s="4" t="s">
        <v>72</v>
      </c>
      <c r="AB29" s="4" t="s">
        <v>72</v>
      </c>
      <c r="AC29" s="4" t="s">
        <v>72</v>
      </c>
      <c r="AD29" s="4" t="s">
        <v>72</v>
      </c>
      <c r="AE29" s="4" t="s">
        <v>72</v>
      </c>
      <c r="AF29" s="4" t="s">
        <v>72</v>
      </c>
      <c r="AG29" s="4" t="s">
        <v>72</v>
      </c>
      <c r="AH29" s="4" t="s">
        <v>72</v>
      </c>
    </row>
    <row r="30" spans="2:34">
      <c r="B30" s="85">
        <v>2</v>
      </c>
      <c r="C30" s="90" t="str">
        <f>LEFT(EmpGName02)&amp;" " &amp;EmpSName02</f>
        <v>K Stone</v>
      </c>
      <c r="D30" s="3" t="s">
        <v>72</v>
      </c>
      <c r="E30" s="3" t="s">
        <v>72</v>
      </c>
      <c r="F30" s="3" t="s">
        <v>72</v>
      </c>
      <c r="G30" s="3" t="s">
        <v>72</v>
      </c>
      <c r="H30" s="3" t="s">
        <v>72</v>
      </c>
      <c r="I30" s="3" t="s">
        <v>72</v>
      </c>
      <c r="J30" s="3" t="s">
        <v>72</v>
      </c>
      <c r="K30" s="3" t="s">
        <v>72</v>
      </c>
      <c r="L30" s="3" t="s">
        <v>72</v>
      </c>
      <c r="M30" s="3" t="s">
        <v>72</v>
      </c>
      <c r="N30" s="3" t="s">
        <v>72</v>
      </c>
      <c r="O30" s="3" t="s">
        <v>72</v>
      </c>
      <c r="P30" s="3" t="s">
        <v>72</v>
      </c>
      <c r="Q30" s="3" t="s">
        <v>72</v>
      </c>
      <c r="R30" s="3" t="s">
        <v>72</v>
      </c>
      <c r="S30" s="3" t="s">
        <v>72</v>
      </c>
      <c r="T30" s="3" t="s">
        <v>72</v>
      </c>
      <c r="U30" s="3" t="s">
        <v>72</v>
      </c>
      <c r="V30" s="3" t="s">
        <v>72</v>
      </c>
      <c r="W30" s="3" t="s">
        <v>72</v>
      </c>
      <c r="X30" s="3" t="s">
        <v>72</v>
      </c>
      <c r="Y30" s="3" t="s">
        <v>72</v>
      </c>
      <c r="Z30" s="3" t="s">
        <v>72</v>
      </c>
      <c r="AA30" s="3" t="s">
        <v>72</v>
      </c>
      <c r="AB30" s="3" t="s">
        <v>72</v>
      </c>
      <c r="AC30" s="3" t="s">
        <v>72</v>
      </c>
      <c r="AD30" s="3" t="s">
        <v>72</v>
      </c>
      <c r="AE30" s="3" t="s">
        <v>72</v>
      </c>
      <c r="AF30" s="3" t="s">
        <v>72</v>
      </c>
      <c r="AG30" s="3" t="s">
        <v>72</v>
      </c>
      <c r="AH30" s="3" t="s">
        <v>72</v>
      </c>
    </row>
    <row r="31" spans="2:34">
      <c r="B31" s="85">
        <v>3</v>
      </c>
      <c r="C31" s="89" t="str">
        <f>LEFT(EmpGName03)&amp;" " &amp;EmpSName03</f>
        <v>I Thelning</v>
      </c>
      <c r="D31" s="4" t="s">
        <v>72</v>
      </c>
      <c r="E31" s="4" t="s">
        <v>72</v>
      </c>
      <c r="F31" s="4" t="s">
        <v>72</v>
      </c>
      <c r="G31" s="4" t="s">
        <v>72</v>
      </c>
      <c r="H31" s="4" t="s">
        <v>72</v>
      </c>
      <c r="I31" s="4" t="s">
        <v>72</v>
      </c>
      <c r="J31" s="4" t="s">
        <v>72</v>
      </c>
      <c r="K31" s="4" t="s">
        <v>72</v>
      </c>
      <c r="L31" s="4" t="s">
        <v>72</v>
      </c>
      <c r="M31" s="4" t="s">
        <v>72</v>
      </c>
      <c r="N31" s="4" t="s">
        <v>72</v>
      </c>
      <c r="O31" s="4" t="s">
        <v>72</v>
      </c>
      <c r="P31" s="4" t="s">
        <v>72</v>
      </c>
      <c r="Q31" s="4" t="s">
        <v>72</v>
      </c>
      <c r="R31" s="4" t="s">
        <v>72</v>
      </c>
      <c r="S31" s="4" t="s">
        <v>72</v>
      </c>
      <c r="T31" s="4" t="s">
        <v>72</v>
      </c>
      <c r="U31" s="4" t="s">
        <v>72</v>
      </c>
      <c r="V31" s="4" t="s">
        <v>72</v>
      </c>
      <c r="W31" s="4" t="s">
        <v>72</v>
      </c>
      <c r="X31" s="4" t="s">
        <v>72</v>
      </c>
      <c r="Y31" s="4" t="s">
        <v>72</v>
      </c>
      <c r="Z31" s="4" t="s">
        <v>72</v>
      </c>
      <c r="AA31" s="4" t="s">
        <v>72</v>
      </c>
      <c r="AB31" s="4" t="s">
        <v>72</v>
      </c>
      <c r="AC31" s="4" t="s">
        <v>72</v>
      </c>
      <c r="AD31" s="4" t="s">
        <v>72</v>
      </c>
      <c r="AE31" s="4" t="s">
        <v>72</v>
      </c>
      <c r="AF31" s="4" t="s">
        <v>72</v>
      </c>
      <c r="AG31" s="4" t="s">
        <v>72</v>
      </c>
      <c r="AH31" s="4" t="s">
        <v>72</v>
      </c>
    </row>
    <row r="32" spans="2:34">
      <c r="B32" s="85">
        <v>4</v>
      </c>
      <c r="C32" s="90" t="str">
        <f>LEFT(EmpGName04)&amp;" " &amp;EmpSName04</f>
        <v>L King</v>
      </c>
      <c r="D32" s="3" t="s">
        <v>72</v>
      </c>
      <c r="E32" s="3" t="s">
        <v>72</v>
      </c>
      <c r="F32" s="3" t="s">
        <v>72</v>
      </c>
      <c r="G32" s="3" t="s">
        <v>72</v>
      </c>
      <c r="H32" s="3" t="s">
        <v>72</v>
      </c>
      <c r="I32" s="3" t="s">
        <v>72</v>
      </c>
      <c r="J32" s="3" t="s">
        <v>72</v>
      </c>
      <c r="K32" s="3" t="s">
        <v>72</v>
      </c>
      <c r="L32" s="3" t="s">
        <v>72</v>
      </c>
      <c r="M32" s="3" t="s">
        <v>72</v>
      </c>
      <c r="N32" s="3" t="s">
        <v>72</v>
      </c>
      <c r="O32" s="3" t="s">
        <v>72</v>
      </c>
      <c r="P32" s="3" t="s">
        <v>72</v>
      </c>
      <c r="Q32" s="3" t="s">
        <v>72</v>
      </c>
      <c r="R32" s="3" t="s">
        <v>72</v>
      </c>
      <c r="S32" s="3" t="s">
        <v>72</v>
      </c>
      <c r="T32" s="3" t="s">
        <v>72</v>
      </c>
      <c r="U32" s="3" t="s">
        <v>72</v>
      </c>
      <c r="V32" s="3" t="s">
        <v>72</v>
      </c>
      <c r="W32" s="3" t="s">
        <v>72</v>
      </c>
      <c r="X32" s="3" t="s">
        <v>72</v>
      </c>
      <c r="Y32" s="3" t="s">
        <v>72</v>
      </c>
      <c r="Z32" s="3" t="s">
        <v>72</v>
      </c>
      <c r="AA32" s="3" t="s">
        <v>72</v>
      </c>
      <c r="AB32" s="3" t="s">
        <v>72</v>
      </c>
      <c r="AC32" s="3" t="s">
        <v>72</v>
      </c>
      <c r="AD32" s="3" t="s">
        <v>72</v>
      </c>
      <c r="AE32" s="3" t="s">
        <v>72</v>
      </c>
      <c r="AF32" s="3" t="s">
        <v>72</v>
      </c>
      <c r="AG32" s="3" t="s">
        <v>72</v>
      </c>
      <c r="AH32" s="3" t="s">
        <v>72</v>
      </c>
    </row>
    <row r="33" spans="2:34">
      <c r="B33" s="85">
        <v>5</v>
      </c>
      <c r="C33" s="89" t="str">
        <f>LEFT(EmpGName05)&amp;" " &amp;EmpSName05</f>
        <v>D Castle</v>
      </c>
      <c r="D33" s="4" t="s">
        <v>72</v>
      </c>
      <c r="E33" s="4" t="s">
        <v>72</v>
      </c>
      <c r="F33" s="4" t="s">
        <v>72</v>
      </c>
      <c r="G33" s="4" t="s">
        <v>72</v>
      </c>
      <c r="H33" s="4" t="s">
        <v>72</v>
      </c>
      <c r="I33" s="4" t="s">
        <v>72</v>
      </c>
      <c r="J33" s="4" t="s">
        <v>72</v>
      </c>
      <c r="K33" s="4" t="s">
        <v>72</v>
      </c>
      <c r="L33" s="4" t="s">
        <v>72</v>
      </c>
      <c r="M33" s="4" t="s">
        <v>72</v>
      </c>
      <c r="N33" s="4" t="s">
        <v>72</v>
      </c>
      <c r="O33" s="4" t="s">
        <v>72</v>
      </c>
      <c r="P33" s="4" t="s">
        <v>72</v>
      </c>
      <c r="Q33" s="4" t="s">
        <v>72</v>
      </c>
      <c r="R33" s="4" t="s">
        <v>72</v>
      </c>
      <c r="S33" s="4" t="s">
        <v>72</v>
      </c>
      <c r="T33" s="4" t="s">
        <v>72</v>
      </c>
      <c r="U33" s="4" t="s">
        <v>72</v>
      </c>
      <c r="V33" s="4" t="s">
        <v>72</v>
      </c>
      <c r="W33" s="4" t="s">
        <v>72</v>
      </c>
      <c r="X33" s="4" t="s">
        <v>72</v>
      </c>
      <c r="Y33" s="4" t="s">
        <v>72</v>
      </c>
      <c r="Z33" s="4" t="s">
        <v>72</v>
      </c>
      <c r="AA33" s="4" t="s">
        <v>72</v>
      </c>
      <c r="AB33" s="4" t="s">
        <v>72</v>
      </c>
      <c r="AC33" s="4" t="s">
        <v>72</v>
      </c>
      <c r="AD33" s="4" t="s">
        <v>72</v>
      </c>
      <c r="AE33" s="4" t="s">
        <v>72</v>
      </c>
      <c r="AF33" s="4" t="s">
        <v>72</v>
      </c>
      <c r="AG33" s="4" t="s">
        <v>72</v>
      </c>
      <c r="AH33" s="4" t="s">
        <v>72</v>
      </c>
    </row>
    <row r="34" spans="2:34">
      <c r="B34" s="85">
        <v>6</v>
      </c>
      <c r="C34" s="90" t="str">
        <f>LEFT(EmpGName06)&amp;" " &amp;EmpSName06</f>
        <v>T Sorensen</v>
      </c>
      <c r="D34" s="3" t="s">
        <v>72</v>
      </c>
      <c r="E34" s="3" t="s">
        <v>72</v>
      </c>
      <c r="F34" s="3" t="s">
        <v>72</v>
      </c>
      <c r="G34" s="3" t="s">
        <v>72</v>
      </c>
      <c r="H34" s="3" t="s">
        <v>72</v>
      </c>
      <c r="I34" s="3" t="s">
        <v>72</v>
      </c>
      <c r="J34" s="3" t="s">
        <v>72</v>
      </c>
      <c r="K34" s="3" t="s">
        <v>72</v>
      </c>
      <c r="L34" s="3" t="s">
        <v>72</v>
      </c>
      <c r="M34" s="3" t="s">
        <v>72</v>
      </c>
      <c r="N34" s="3" t="s">
        <v>72</v>
      </c>
      <c r="O34" s="3" t="s">
        <v>72</v>
      </c>
      <c r="P34" s="3" t="s">
        <v>72</v>
      </c>
      <c r="Q34" s="3" t="s">
        <v>72</v>
      </c>
      <c r="R34" s="3" t="s">
        <v>72</v>
      </c>
      <c r="S34" s="3" t="s">
        <v>72</v>
      </c>
      <c r="T34" s="3" t="s">
        <v>72</v>
      </c>
      <c r="U34" s="3" t="s">
        <v>72</v>
      </c>
      <c r="V34" s="3" t="s">
        <v>72</v>
      </c>
      <c r="W34" s="3" t="s">
        <v>72</v>
      </c>
      <c r="X34" s="3" t="s">
        <v>72</v>
      </c>
      <c r="Y34" s="3" t="s">
        <v>72</v>
      </c>
      <c r="Z34" s="3" t="s">
        <v>72</v>
      </c>
      <c r="AA34" s="3" t="s">
        <v>72</v>
      </c>
      <c r="AB34" s="3" t="s">
        <v>72</v>
      </c>
      <c r="AC34" s="3" t="s">
        <v>72</v>
      </c>
      <c r="AD34" s="3" t="s">
        <v>72</v>
      </c>
      <c r="AE34" s="3" t="s">
        <v>72</v>
      </c>
      <c r="AF34" s="3" t="s">
        <v>72</v>
      </c>
      <c r="AG34" s="3" t="s">
        <v>72</v>
      </c>
      <c r="AH34" s="3" t="s">
        <v>72</v>
      </c>
    </row>
    <row r="35" spans="2:34">
      <c r="B35" s="85">
        <v>7</v>
      </c>
      <c r="C35" s="89" t="str">
        <f>LEFT(EmpGName07)&amp;" " &amp;EmpSName07</f>
        <v>R Fielding</v>
      </c>
      <c r="D35" s="4" t="s">
        <v>72</v>
      </c>
      <c r="E35" s="4" t="s">
        <v>72</v>
      </c>
      <c r="F35" s="4" t="s">
        <v>72</v>
      </c>
      <c r="G35" s="4" t="s">
        <v>72</v>
      </c>
      <c r="H35" s="4" t="s">
        <v>72</v>
      </c>
      <c r="I35" s="4" t="s">
        <v>72</v>
      </c>
      <c r="J35" s="4" t="s">
        <v>72</v>
      </c>
      <c r="K35" s="4" t="s">
        <v>72</v>
      </c>
      <c r="L35" s="4" t="s">
        <v>72</v>
      </c>
      <c r="M35" s="4" t="s">
        <v>72</v>
      </c>
      <c r="N35" s="4" t="s">
        <v>72</v>
      </c>
      <c r="O35" s="4" t="s">
        <v>72</v>
      </c>
      <c r="P35" s="4" t="s">
        <v>72</v>
      </c>
      <c r="Q35" s="4" t="s">
        <v>72</v>
      </c>
      <c r="R35" s="4" t="s">
        <v>72</v>
      </c>
      <c r="S35" s="4" t="s">
        <v>72</v>
      </c>
      <c r="T35" s="4" t="s">
        <v>72</v>
      </c>
      <c r="U35" s="4" t="s">
        <v>72</v>
      </c>
      <c r="V35" s="4" t="s">
        <v>72</v>
      </c>
      <c r="W35" s="4" t="s">
        <v>72</v>
      </c>
      <c r="X35" s="4" t="s">
        <v>72</v>
      </c>
      <c r="Y35" s="4" t="s">
        <v>72</v>
      </c>
      <c r="Z35" s="4" t="s">
        <v>72</v>
      </c>
      <c r="AA35" s="4" t="s">
        <v>72</v>
      </c>
      <c r="AB35" s="4" t="s">
        <v>72</v>
      </c>
      <c r="AC35" s="4" t="s">
        <v>72</v>
      </c>
      <c r="AD35" s="4" t="s">
        <v>72</v>
      </c>
      <c r="AE35" s="4" t="s">
        <v>72</v>
      </c>
      <c r="AF35" s="4" t="s">
        <v>72</v>
      </c>
      <c r="AG35" s="4" t="s">
        <v>72</v>
      </c>
      <c r="AH35" s="4" t="s">
        <v>72</v>
      </c>
    </row>
    <row r="36" spans="2:34">
      <c r="B36" s="85">
        <v>8</v>
      </c>
      <c r="C36" s="90" t="str">
        <f>LEFT(EmpGName08)&amp;" " &amp;EmpSName08</f>
        <v>F Flannery</v>
      </c>
      <c r="D36" s="3" t="s">
        <v>72</v>
      </c>
      <c r="E36" s="3" t="s">
        <v>72</v>
      </c>
      <c r="F36" s="3" t="s">
        <v>72</v>
      </c>
      <c r="G36" s="3" t="s">
        <v>72</v>
      </c>
      <c r="H36" s="3" t="s">
        <v>72</v>
      </c>
      <c r="I36" s="3" t="s">
        <v>72</v>
      </c>
      <c r="J36" s="3" t="s">
        <v>72</v>
      </c>
      <c r="K36" s="3" t="s">
        <v>72</v>
      </c>
      <c r="L36" s="3" t="s">
        <v>72</v>
      </c>
      <c r="M36" s="3" t="s">
        <v>72</v>
      </c>
      <c r="N36" s="3" t="s">
        <v>72</v>
      </c>
      <c r="O36" s="3" t="s">
        <v>72</v>
      </c>
      <c r="P36" s="3" t="s">
        <v>72</v>
      </c>
      <c r="Q36" s="3" t="s">
        <v>72</v>
      </c>
      <c r="R36" s="3" t="s">
        <v>72</v>
      </c>
      <c r="S36" s="3" t="s">
        <v>72</v>
      </c>
      <c r="T36" s="3" t="s">
        <v>72</v>
      </c>
      <c r="U36" s="3" t="s">
        <v>72</v>
      </c>
      <c r="V36" s="3" t="s">
        <v>72</v>
      </c>
      <c r="W36" s="3" t="s">
        <v>72</v>
      </c>
      <c r="X36" s="3" t="s">
        <v>72</v>
      </c>
      <c r="Y36" s="3" t="s">
        <v>72</v>
      </c>
      <c r="Z36" s="3" t="s">
        <v>72</v>
      </c>
      <c r="AA36" s="3" t="s">
        <v>72</v>
      </c>
      <c r="AB36" s="3" t="s">
        <v>72</v>
      </c>
      <c r="AC36" s="3" t="s">
        <v>72</v>
      </c>
      <c r="AD36" s="3" t="s">
        <v>72</v>
      </c>
      <c r="AE36" s="3" t="s">
        <v>72</v>
      </c>
      <c r="AF36" s="3" t="s">
        <v>72</v>
      </c>
      <c r="AG36" s="3" t="s">
        <v>72</v>
      </c>
      <c r="AH36" s="3" t="s">
        <v>72</v>
      </c>
    </row>
    <row r="37" spans="2:34">
      <c r="B37" s="85">
        <v>9</v>
      </c>
      <c r="C37" s="89" t="str">
        <f>LEFT(EmpGName09)&amp;" " &amp;EmpSName09</f>
        <v>P Hogan</v>
      </c>
      <c r="D37" s="4" t="s">
        <v>72</v>
      </c>
      <c r="E37" s="4" t="s">
        <v>72</v>
      </c>
      <c r="F37" s="4" t="s">
        <v>72</v>
      </c>
      <c r="G37" s="4" t="s">
        <v>72</v>
      </c>
      <c r="H37" s="4" t="s">
        <v>72</v>
      </c>
      <c r="I37" s="4" t="s">
        <v>72</v>
      </c>
      <c r="J37" s="4" t="s">
        <v>72</v>
      </c>
      <c r="K37" s="4" t="s">
        <v>72</v>
      </c>
      <c r="L37" s="4" t="s">
        <v>72</v>
      </c>
      <c r="M37" s="4" t="s">
        <v>72</v>
      </c>
      <c r="N37" s="4" t="s">
        <v>72</v>
      </c>
      <c r="O37" s="4" t="s">
        <v>72</v>
      </c>
      <c r="P37" s="4" t="s">
        <v>72</v>
      </c>
      <c r="Q37" s="4" t="s">
        <v>72</v>
      </c>
      <c r="R37" s="4" t="s">
        <v>72</v>
      </c>
      <c r="S37" s="4" t="s">
        <v>72</v>
      </c>
      <c r="T37" s="4" t="s">
        <v>72</v>
      </c>
      <c r="U37" s="4" t="s">
        <v>72</v>
      </c>
      <c r="V37" s="4" t="s">
        <v>72</v>
      </c>
      <c r="W37" s="4" t="s">
        <v>72</v>
      </c>
      <c r="X37" s="4" t="s">
        <v>72</v>
      </c>
      <c r="Y37" s="4" t="s">
        <v>72</v>
      </c>
      <c r="Z37" s="4" t="s">
        <v>72</v>
      </c>
      <c r="AA37" s="4" t="s">
        <v>72</v>
      </c>
      <c r="AB37" s="4" t="s">
        <v>72</v>
      </c>
      <c r="AC37" s="4" t="s">
        <v>72</v>
      </c>
      <c r="AD37" s="4" t="s">
        <v>72</v>
      </c>
      <c r="AE37" s="4" t="s">
        <v>72</v>
      </c>
      <c r="AF37" s="4" t="s">
        <v>72</v>
      </c>
      <c r="AG37" s="4" t="s">
        <v>72</v>
      </c>
      <c r="AH37" s="4" t="s">
        <v>72</v>
      </c>
    </row>
    <row r="38" spans="2:34">
      <c r="B38" s="152">
        <v>10</v>
      </c>
      <c r="C38" s="90" t="str">
        <f>LEFT(EmpGName10)&amp;" " &amp;EmpSName10</f>
        <v>J Stretton</v>
      </c>
      <c r="D38" s="3" t="s">
        <v>72</v>
      </c>
      <c r="E38" s="3" t="s">
        <v>72</v>
      </c>
      <c r="F38" s="3" t="s">
        <v>72</v>
      </c>
      <c r="G38" s="3" t="s">
        <v>72</v>
      </c>
      <c r="H38" s="3" t="s">
        <v>72</v>
      </c>
      <c r="I38" s="3" t="s">
        <v>72</v>
      </c>
      <c r="J38" s="3" t="s">
        <v>72</v>
      </c>
      <c r="K38" s="3" t="s">
        <v>72</v>
      </c>
      <c r="L38" s="3" t="s">
        <v>72</v>
      </c>
      <c r="M38" s="3" t="s">
        <v>72</v>
      </c>
      <c r="N38" s="3" t="s">
        <v>72</v>
      </c>
      <c r="O38" s="3" t="s">
        <v>72</v>
      </c>
      <c r="P38" s="3" t="s">
        <v>72</v>
      </c>
      <c r="Q38" s="3" t="s">
        <v>72</v>
      </c>
      <c r="R38" s="3" t="s">
        <v>72</v>
      </c>
      <c r="S38" s="3" t="s">
        <v>72</v>
      </c>
      <c r="T38" s="3" t="s">
        <v>72</v>
      </c>
      <c r="U38" s="3" t="s">
        <v>72</v>
      </c>
      <c r="V38" s="3" t="s">
        <v>72</v>
      </c>
      <c r="W38" s="3" t="s">
        <v>72</v>
      </c>
      <c r="X38" s="3" t="s">
        <v>72</v>
      </c>
      <c r="Y38" s="3" t="s">
        <v>72</v>
      </c>
      <c r="Z38" s="3" t="s">
        <v>72</v>
      </c>
      <c r="AA38" s="3" t="s">
        <v>72</v>
      </c>
      <c r="AB38" s="3" t="s">
        <v>72</v>
      </c>
      <c r="AC38" s="3" t="s">
        <v>72</v>
      </c>
      <c r="AD38" s="3" t="s">
        <v>72</v>
      </c>
      <c r="AE38" s="3" t="s">
        <v>72</v>
      </c>
      <c r="AF38" s="3" t="s">
        <v>72</v>
      </c>
      <c r="AG38" s="3" t="s">
        <v>72</v>
      </c>
      <c r="AH38" s="3" t="s">
        <v>72</v>
      </c>
    </row>
    <row r="39" spans="2:34">
      <c r="B39" s="152">
        <v>11</v>
      </c>
      <c r="C39" s="89" t="str">
        <f>LEFT(EmpGName11)&amp;" " &amp;EmpSName11</f>
        <v>M Rowe</v>
      </c>
      <c r="D39" s="4" t="s">
        <v>72</v>
      </c>
      <c r="E39" s="4" t="s">
        <v>72</v>
      </c>
      <c r="F39" s="4" t="s">
        <v>72</v>
      </c>
      <c r="G39" s="4" t="s">
        <v>72</v>
      </c>
      <c r="H39" s="4" t="s">
        <v>72</v>
      </c>
      <c r="I39" s="4" t="s">
        <v>72</v>
      </c>
      <c r="J39" s="4" t="s">
        <v>72</v>
      </c>
      <c r="K39" s="4" t="s">
        <v>72</v>
      </c>
      <c r="L39" s="4" t="s">
        <v>72</v>
      </c>
      <c r="M39" s="4" t="s">
        <v>72</v>
      </c>
      <c r="N39" s="4" t="s">
        <v>72</v>
      </c>
      <c r="O39" s="4" t="s">
        <v>72</v>
      </c>
      <c r="P39" s="4" t="s">
        <v>72</v>
      </c>
      <c r="Q39" s="4" t="s">
        <v>72</v>
      </c>
      <c r="R39" s="4" t="s">
        <v>72</v>
      </c>
      <c r="S39" s="4" t="s">
        <v>72</v>
      </c>
      <c r="T39" s="4" t="s">
        <v>72</v>
      </c>
      <c r="U39" s="4" t="s">
        <v>72</v>
      </c>
      <c r="V39" s="4" t="s">
        <v>72</v>
      </c>
      <c r="W39" s="4" t="s">
        <v>72</v>
      </c>
      <c r="X39" s="4" t="s">
        <v>72</v>
      </c>
      <c r="Y39" s="4" t="s">
        <v>72</v>
      </c>
      <c r="Z39" s="4" t="s">
        <v>72</v>
      </c>
      <c r="AA39" s="4" t="s">
        <v>72</v>
      </c>
      <c r="AB39" s="4" t="s">
        <v>72</v>
      </c>
      <c r="AC39" s="4" t="s">
        <v>72</v>
      </c>
      <c r="AD39" s="4" t="s">
        <v>72</v>
      </c>
      <c r="AE39" s="4" t="s">
        <v>72</v>
      </c>
      <c r="AF39" s="4" t="s">
        <v>72</v>
      </c>
      <c r="AG39" s="4" t="s">
        <v>72</v>
      </c>
      <c r="AH39" s="4" t="s">
        <v>72</v>
      </c>
    </row>
    <row r="40" spans="2:34" hidden="1">
      <c r="B40" s="152">
        <v>12</v>
      </c>
      <c r="C40" s="90" t="str">
        <f>LEFT(EmpGName12)&amp;" " &amp;EmpSName12</f>
        <v xml:space="preserve"> </v>
      </c>
      <c r="D40" s="3" t="s">
        <v>72</v>
      </c>
      <c r="E40" s="3" t="s">
        <v>72</v>
      </c>
      <c r="F40" s="3" t="s">
        <v>72</v>
      </c>
      <c r="G40" s="3" t="s">
        <v>72</v>
      </c>
      <c r="H40" s="3" t="s">
        <v>72</v>
      </c>
      <c r="I40" s="3" t="s">
        <v>72</v>
      </c>
      <c r="J40" s="3" t="s">
        <v>72</v>
      </c>
      <c r="K40" s="3" t="s">
        <v>72</v>
      </c>
      <c r="L40" s="3" t="s">
        <v>72</v>
      </c>
      <c r="M40" s="3" t="s">
        <v>72</v>
      </c>
      <c r="N40" s="3" t="s">
        <v>72</v>
      </c>
      <c r="O40" s="3" t="s">
        <v>72</v>
      </c>
      <c r="P40" s="3" t="s">
        <v>72</v>
      </c>
      <c r="Q40" s="3" t="s">
        <v>72</v>
      </c>
      <c r="R40" s="3" t="s">
        <v>72</v>
      </c>
      <c r="S40" s="3" t="s">
        <v>72</v>
      </c>
      <c r="T40" s="3" t="s">
        <v>72</v>
      </c>
      <c r="U40" s="3" t="s">
        <v>72</v>
      </c>
      <c r="V40" s="3" t="s">
        <v>72</v>
      </c>
      <c r="W40" s="3" t="s">
        <v>72</v>
      </c>
      <c r="X40" s="3" t="s">
        <v>72</v>
      </c>
      <c r="Y40" s="3" t="s">
        <v>72</v>
      </c>
      <c r="Z40" s="3" t="s">
        <v>72</v>
      </c>
      <c r="AA40" s="3" t="s">
        <v>72</v>
      </c>
      <c r="AB40" s="3" t="s">
        <v>72</v>
      </c>
      <c r="AC40" s="3" t="s">
        <v>72</v>
      </c>
      <c r="AD40" s="3" t="s">
        <v>72</v>
      </c>
      <c r="AE40" s="3" t="s">
        <v>72</v>
      </c>
      <c r="AF40" s="3" t="s">
        <v>72</v>
      </c>
      <c r="AG40" s="3" t="s">
        <v>72</v>
      </c>
      <c r="AH40" s="3" t="s">
        <v>72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72</v>
      </c>
      <c r="E44" s="4" t="s">
        <v>72</v>
      </c>
      <c r="F44" s="4" t="s">
        <v>72</v>
      </c>
      <c r="G44" s="4" t="s">
        <v>72</v>
      </c>
      <c r="H44" s="4" t="s">
        <v>72</v>
      </c>
      <c r="I44" s="4" t="s">
        <v>72</v>
      </c>
      <c r="J44" s="4" t="s">
        <v>72</v>
      </c>
      <c r="K44" s="4" t="s">
        <v>72</v>
      </c>
      <c r="L44" s="4" t="s">
        <v>72</v>
      </c>
      <c r="M44" s="4" t="s">
        <v>72</v>
      </c>
      <c r="N44" s="4" t="s">
        <v>72</v>
      </c>
      <c r="O44" s="4" t="s">
        <v>72</v>
      </c>
      <c r="P44" s="4" t="s">
        <v>72</v>
      </c>
      <c r="Q44" s="4" t="s">
        <v>72</v>
      </c>
      <c r="R44" s="4" t="s">
        <v>72</v>
      </c>
      <c r="S44" s="4" t="s">
        <v>72</v>
      </c>
      <c r="T44" s="4" t="s">
        <v>72</v>
      </c>
      <c r="U44" s="4" t="s">
        <v>72</v>
      </c>
      <c r="V44" s="4" t="s">
        <v>72</v>
      </c>
      <c r="W44" s="4" t="s">
        <v>72</v>
      </c>
      <c r="X44" s="4" t="s">
        <v>72</v>
      </c>
      <c r="Y44" s="4" t="s">
        <v>72</v>
      </c>
      <c r="Z44" s="4" t="s">
        <v>72</v>
      </c>
      <c r="AA44" s="4" t="s">
        <v>72</v>
      </c>
      <c r="AB44" s="4" t="s">
        <v>72</v>
      </c>
      <c r="AC44" s="4" t="s">
        <v>72</v>
      </c>
      <c r="AD44" s="4" t="s">
        <v>72</v>
      </c>
      <c r="AE44" s="4" t="s">
        <v>72</v>
      </c>
      <c r="AF44" s="4" t="s">
        <v>72</v>
      </c>
      <c r="AG44" s="4" t="s">
        <v>72</v>
      </c>
    </row>
    <row r="45" spans="2:34">
      <c r="B45" s="85">
        <v>2</v>
      </c>
      <c r="C45" s="90" t="str">
        <f>LEFT(EmpGName02)&amp;" " &amp;EmpSName02</f>
        <v>K Stone</v>
      </c>
      <c r="D45" s="3" t="s">
        <v>72</v>
      </c>
      <c r="E45" s="3" t="s">
        <v>72</v>
      </c>
      <c r="F45" s="3" t="s">
        <v>72</v>
      </c>
      <c r="G45" s="3" t="s">
        <v>72</v>
      </c>
      <c r="H45" s="3" t="s">
        <v>72</v>
      </c>
      <c r="I45" s="3" t="s">
        <v>72</v>
      </c>
      <c r="J45" s="3" t="s">
        <v>72</v>
      </c>
      <c r="K45" s="3" t="s">
        <v>72</v>
      </c>
      <c r="L45" s="3" t="s">
        <v>72</v>
      </c>
      <c r="M45" s="3" t="s">
        <v>72</v>
      </c>
      <c r="N45" s="3" t="s">
        <v>72</v>
      </c>
      <c r="O45" s="3" t="s">
        <v>72</v>
      </c>
      <c r="P45" s="3" t="s">
        <v>72</v>
      </c>
      <c r="Q45" s="3" t="s">
        <v>72</v>
      </c>
      <c r="R45" s="3" t="s">
        <v>72</v>
      </c>
      <c r="S45" s="3" t="s">
        <v>72</v>
      </c>
      <c r="T45" s="3" t="s">
        <v>72</v>
      </c>
      <c r="U45" s="3" t="s">
        <v>72</v>
      </c>
      <c r="V45" s="3" t="s">
        <v>72</v>
      </c>
      <c r="W45" s="3" t="s">
        <v>72</v>
      </c>
      <c r="X45" s="3" t="s">
        <v>72</v>
      </c>
      <c r="Y45" s="3" t="s">
        <v>72</v>
      </c>
      <c r="Z45" s="3" t="s">
        <v>72</v>
      </c>
      <c r="AA45" s="3" t="s">
        <v>72</v>
      </c>
      <c r="AB45" s="3" t="s">
        <v>72</v>
      </c>
      <c r="AC45" s="3" t="s">
        <v>72</v>
      </c>
      <c r="AD45" s="3" t="s">
        <v>72</v>
      </c>
      <c r="AE45" s="3" t="s">
        <v>72</v>
      </c>
      <c r="AF45" s="3" t="s">
        <v>72</v>
      </c>
      <c r="AG45" s="3" t="s">
        <v>72</v>
      </c>
    </row>
    <row r="46" spans="2:34">
      <c r="B46" s="85">
        <v>3</v>
      </c>
      <c r="C46" s="89" t="str">
        <f>LEFT(EmpGName03)&amp;" " &amp;EmpSName03</f>
        <v>I Thelning</v>
      </c>
      <c r="D46" s="4" t="s">
        <v>72</v>
      </c>
      <c r="E46" s="4" t="s">
        <v>72</v>
      </c>
      <c r="F46" s="4" t="s">
        <v>72</v>
      </c>
      <c r="G46" s="4" t="s">
        <v>72</v>
      </c>
      <c r="H46" s="4" t="s">
        <v>72</v>
      </c>
      <c r="I46" s="4" t="s">
        <v>72</v>
      </c>
      <c r="J46" s="4" t="s">
        <v>72</v>
      </c>
      <c r="K46" s="4" t="s">
        <v>72</v>
      </c>
      <c r="L46" s="4" t="s">
        <v>72</v>
      </c>
      <c r="M46" s="4" t="s">
        <v>72</v>
      </c>
      <c r="N46" s="4" t="s">
        <v>72</v>
      </c>
      <c r="O46" s="4" t="s">
        <v>72</v>
      </c>
      <c r="P46" s="4" t="s">
        <v>72</v>
      </c>
      <c r="Q46" s="4" t="s">
        <v>72</v>
      </c>
      <c r="R46" s="4" t="s">
        <v>72</v>
      </c>
      <c r="S46" s="4" t="s">
        <v>72</v>
      </c>
      <c r="T46" s="4" t="s">
        <v>72</v>
      </c>
      <c r="U46" s="4" t="s">
        <v>72</v>
      </c>
      <c r="V46" s="4" t="s">
        <v>72</v>
      </c>
      <c r="W46" s="4" t="s">
        <v>72</v>
      </c>
      <c r="X46" s="4" t="s">
        <v>72</v>
      </c>
      <c r="Y46" s="4" t="s">
        <v>72</v>
      </c>
      <c r="Z46" s="4" t="s">
        <v>72</v>
      </c>
      <c r="AA46" s="4" t="s">
        <v>72</v>
      </c>
      <c r="AB46" s="4" t="s">
        <v>72</v>
      </c>
      <c r="AC46" s="4" t="s">
        <v>72</v>
      </c>
      <c r="AD46" s="4" t="s">
        <v>72</v>
      </c>
      <c r="AE46" s="4" t="s">
        <v>72</v>
      </c>
      <c r="AF46" s="4" t="s">
        <v>72</v>
      </c>
      <c r="AG46" s="4" t="s">
        <v>72</v>
      </c>
    </row>
    <row r="47" spans="2:34">
      <c r="B47" s="85">
        <v>4</v>
      </c>
      <c r="C47" s="90" t="str">
        <f>LEFT(EmpGName04)&amp;" " &amp;EmpSName04</f>
        <v>L King</v>
      </c>
      <c r="D47" s="3" t="s">
        <v>72</v>
      </c>
      <c r="E47" s="3" t="s">
        <v>72</v>
      </c>
      <c r="F47" s="3" t="s">
        <v>72</v>
      </c>
      <c r="G47" s="3" t="s">
        <v>72</v>
      </c>
      <c r="H47" s="3" t="s">
        <v>72</v>
      </c>
      <c r="I47" s="3" t="s">
        <v>72</v>
      </c>
      <c r="J47" s="3" t="s">
        <v>72</v>
      </c>
      <c r="K47" s="3" t="s">
        <v>72</v>
      </c>
      <c r="L47" s="3" t="s">
        <v>72</v>
      </c>
      <c r="M47" s="3" t="s">
        <v>72</v>
      </c>
      <c r="N47" s="3" t="s">
        <v>72</v>
      </c>
      <c r="O47" s="3" t="s">
        <v>72</v>
      </c>
      <c r="P47" s="3" t="s">
        <v>72</v>
      </c>
      <c r="Q47" s="3" t="s">
        <v>72</v>
      </c>
      <c r="R47" s="3" t="s">
        <v>72</v>
      </c>
      <c r="S47" s="3" t="s">
        <v>72</v>
      </c>
      <c r="T47" s="3" t="s">
        <v>72</v>
      </c>
      <c r="U47" s="3" t="s">
        <v>72</v>
      </c>
      <c r="V47" s="3" t="s">
        <v>72</v>
      </c>
      <c r="W47" s="3" t="s">
        <v>72</v>
      </c>
      <c r="X47" s="3" t="s">
        <v>72</v>
      </c>
      <c r="Y47" s="3" t="s">
        <v>72</v>
      </c>
      <c r="Z47" s="3" t="s">
        <v>72</v>
      </c>
      <c r="AA47" s="3" t="s">
        <v>72</v>
      </c>
      <c r="AB47" s="3" t="s">
        <v>72</v>
      </c>
      <c r="AC47" s="3" t="s">
        <v>72</v>
      </c>
      <c r="AD47" s="3" t="s">
        <v>72</v>
      </c>
      <c r="AE47" s="3" t="s">
        <v>72</v>
      </c>
      <c r="AF47" s="3" t="s">
        <v>72</v>
      </c>
      <c r="AG47" s="3" t="s">
        <v>72</v>
      </c>
    </row>
    <row r="48" spans="2:34">
      <c r="B48" s="85">
        <v>5</v>
      </c>
      <c r="C48" s="89" t="str">
        <f>LEFT(EmpGName05)&amp;" " &amp;EmpSName05</f>
        <v>D Castle</v>
      </c>
      <c r="D48" s="4" t="s">
        <v>72</v>
      </c>
      <c r="E48" s="4" t="s">
        <v>72</v>
      </c>
      <c r="F48" s="4" t="s">
        <v>72</v>
      </c>
      <c r="G48" s="4" t="s">
        <v>72</v>
      </c>
      <c r="H48" s="4" t="s">
        <v>72</v>
      </c>
      <c r="I48" s="4" t="s">
        <v>72</v>
      </c>
      <c r="J48" s="4" t="s">
        <v>72</v>
      </c>
      <c r="K48" s="4" t="s">
        <v>72</v>
      </c>
      <c r="L48" s="4" t="s">
        <v>72</v>
      </c>
      <c r="M48" s="4" t="s">
        <v>72</v>
      </c>
      <c r="N48" s="4" t="s">
        <v>72</v>
      </c>
      <c r="O48" s="4" t="s">
        <v>72</v>
      </c>
      <c r="P48" s="4" t="s">
        <v>72</v>
      </c>
      <c r="Q48" s="4" t="s">
        <v>72</v>
      </c>
      <c r="R48" s="4" t="s">
        <v>72</v>
      </c>
      <c r="S48" s="4" t="s">
        <v>72</v>
      </c>
      <c r="T48" s="4" t="s">
        <v>72</v>
      </c>
      <c r="U48" s="4" t="s">
        <v>72</v>
      </c>
      <c r="V48" s="4" t="s">
        <v>72</v>
      </c>
      <c r="W48" s="4" t="s">
        <v>72</v>
      </c>
      <c r="X48" s="4" t="s">
        <v>72</v>
      </c>
      <c r="Y48" s="4" t="s">
        <v>72</v>
      </c>
      <c r="Z48" s="4" t="s">
        <v>72</v>
      </c>
      <c r="AA48" s="4" t="s">
        <v>72</v>
      </c>
      <c r="AB48" s="4" t="s">
        <v>72</v>
      </c>
      <c r="AC48" s="4" t="s">
        <v>72</v>
      </c>
      <c r="AD48" s="4" t="s">
        <v>72</v>
      </c>
      <c r="AE48" s="4" t="s">
        <v>72</v>
      </c>
      <c r="AF48" s="4" t="s">
        <v>72</v>
      </c>
      <c r="AG48" s="4" t="s">
        <v>72</v>
      </c>
    </row>
    <row r="49" spans="2:34">
      <c r="B49" s="85">
        <v>6</v>
      </c>
      <c r="C49" s="90" t="str">
        <f>LEFT(EmpGName06)&amp;" " &amp;EmpSName06</f>
        <v>T Sorensen</v>
      </c>
      <c r="D49" s="3" t="s">
        <v>72</v>
      </c>
      <c r="E49" s="3" t="s">
        <v>72</v>
      </c>
      <c r="F49" s="3" t="s">
        <v>72</v>
      </c>
      <c r="G49" s="3" t="s">
        <v>72</v>
      </c>
      <c r="H49" s="3" t="s">
        <v>72</v>
      </c>
      <c r="I49" s="3" t="s">
        <v>72</v>
      </c>
      <c r="J49" s="3" t="s">
        <v>72</v>
      </c>
      <c r="K49" s="3" t="s">
        <v>72</v>
      </c>
      <c r="L49" s="3" t="s">
        <v>72</v>
      </c>
      <c r="M49" s="3" t="s">
        <v>72</v>
      </c>
      <c r="N49" s="3" t="s">
        <v>72</v>
      </c>
      <c r="O49" s="3" t="s">
        <v>72</v>
      </c>
      <c r="P49" s="3" t="s">
        <v>72</v>
      </c>
      <c r="Q49" s="3" t="s">
        <v>72</v>
      </c>
      <c r="R49" s="3" t="s">
        <v>72</v>
      </c>
      <c r="S49" s="3" t="s">
        <v>72</v>
      </c>
      <c r="T49" s="3" t="s">
        <v>72</v>
      </c>
      <c r="U49" s="3" t="s">
        <v>72</v>
      </c>
      <c r="V49" s="3" t="s">
        <v>72</v>
      </c>
      <c r="W49" s="3" t="s">
        <v>72</v>
      </c>
      <c r="X49" s="3" t="s">
        <v>72</v>
      </c>
      <c r="Y49" s="3" t="s">
        <v>72</v>
      </c>
      <c r="Z49" s="3" t="s">
        <v>72</v>
      </c>
      <c r="AA49" s="3" t="s">
        <v>72</v>
      </c>
      <c r="AB49" s="3" t="s">
        <v>72</v>
      </c>
      <c r="AC49" s="3" t="s">
        <v>72</v>
      </c>
      <c r="AD49" s="3" t="s">
        <v>72</v>
      </c>
      <c r="AE49" s="3" t="s">
        <v>72</v>
      </c>
      <c r="AF49" s="3" t="s">
        <v>72</v>
      </c>
      <c r="AG49" s="3" t="s">
        <v>72</v>
      </c>
    </row>
    <row r="50" spans="2:34">
      <c r="B50" s="85">
        <v>7</v>
      </c>
      <c r="C50" s="89" t="str">
        <f>LEFT(EmpGName07)&amp;" " &amp;EmpSName07</f>
        <v>R Fielding</v>
      </c>
      <c r="D50" s="4" t="s">
        <v>72</v>
      </c>
      <c r="E50" s="4" t="s">
        <v>72</v>
      </c>
      <c r="F50" s="4" t="s">
        <v>72</v>
      </c>
      <c r="G50" s="4" t="s">
        <v>72</v>
      </c>
      <c r="H50" s="4" t="s">
        <v>72</v>
      </c>
      <c r="I50" s="4" t="s">
        <v>72</v>
      </c>
      <c r="J50" s="4" t="s">
        <v>72</v>
      </c>
      <c r="K50" s="4" t="s">
        <v>72</v>
      </c>
      <c r="L50" s="4" t="s">
        <v>72</v>
      </c>
      <c r="M50" s="4" t="s">
        <v>72</v>
      </c>
      <c r="N50" s="4" t="s">
        <v>72</v>
      </c>
      <c r="O50" s="4" t="s">
        <v>72</v>
      </c>
      <c r="P50" s="4" t="s">
        <v>72</v>
      </c>
      <c r="Q50" s="4" t="s">
        <v>72</v>
      </c>
      <c r="R50" s="4" t="s">
        <v>72</v>
      </c>
      <c r="S50" s="4" t="s">
        <v>72</v>
      </c>
      <c r="T50" s="4" t="s">
        <v>72</v>
      </c>
      <c r="U50" s="4" t="s">
        <v>72</v>
      </c>
      <c r="V50" s="4" t="s">
        <v>72</v>
      </c>
      <c r="W50" s="4" t="s">
        <v>72</v>
      </c>
      <c r="X50" s="4" t="s">
        <v>72</v>
      </c>
      <c r="Y50" s="4" t="s">
        <v>72</v>
      </c>
      <c r="Z50" s="4" t="s">
        <v>72</v>
      </c>
      <c r="AA50" s="4" t="s">
        <v>72</v>
      </c>
      <c r="AB50" s="4" t="s">
        <v>72</v>
      </c>
      <c r="AC50" s="4" t="s">
        <v>72</v>
      </c>
      <c r="AD50" s="4" t="s">
        <v>72</v>
      </c>
      <c r="AE50" s="4" t="s">
        <v>72</v>
      </c>
      <c r="AF50" s="4" t="s">
        <v>72</v>
      </c>
      <c r="AG50" s="4" t="s">
        <v>72</v>
      </c>
    </row>
    <row r="51" spans="2:34">
      <c r="B51" s="85">
        <v>8</v>
      </c>
      <c r="C51" s="90" t="str">
        <f>LEFT(EmpGName08)&amp;" " &amp;EmpSName08</f>
        <v>F Flannery</v>
      </c>
      <c r="D51" s="3" t="s">
        <v>72</v>
      </c>
      <c r="E51" s="3" t="s">
        <v>72</v>
      </c>
      <c r="F51" s="3" t="s">
        <v>72</v>
      </c>
      <c r="G51" s="3" t="s">
        <v>72</v>
      </c>
      <c r="H51" s="3" t="s">
        <v>72</v>
      </c>
      <c r="I51" s="3" t="s">
        <v>72</v>
      </c>
      <c r="J51" s="3" t="s">
        <v>72</v>
      </c>
      <c r="K51" s="3" t="s">
        <v>72</v>
      </c>
      <c r="L51" s="3" t="s">
        <v>72</v>
      </c>
      <c r="M51" s="3" t="s">
        <v>72</v>
      </c>
      <c r="N51" s="3" t="s">
        <v>72</v>
      </c>
      <c r="O51" s="3" t="s">
        <v>72</v>
      </c>
      <c r="P51" s="3" t="s">
        <v>72</v>
      </c>
      <c r="Q51" s="3" t="s">
        <v>72</v>
      </c>
      <c r="R51" s="3" t="s">
        <v>72</v>
      </c>
      <c r="S51" s="3" t="s">
        <v>72</v>
      </c>
      <c r="T51" s="3" t="s">
        <v>72</v>
      </c>
      <c r="U51" s="3" t="s">
        <v>72</v>
      </c>
      <c r="V51" s="3" t="s">
        <v>72</v>
      </c>
      <c r="W51" s="3" t="s">
        <v>72</v>
      </c>
      <c r="X51" s="3" t="s">
        <v>72</v>
      </c>
      <c r="Y51" s="3" t="s">
        <v>72</v>
      </c>
      <c r="Z51" s="3" t="s">
        <v>72</v>
      </c>
      <c r="AA51" s="3" t="s">
        <v>72</v>
      </c>
      <c r="AB51" s="3" t="s">
        <v>72</v>
      </c>
      <c r="AC51" s="3" t="s">
        <v>72</v>
      </c>
      <c r="AD51" s="3" t="s">
        <v>72</v>
      </c>
      <c r="AE51" s="3" t="s">
        <v>72</v>
      </c>
      <c r="AF51" s="3" t="s">
        <v>72</v>
      </c>
      <c r="AG51" s="3" t="s">
        <v>72</v>
      </c>
    </row>
    <row r="52" spans="2:34">
      <c r="B52" s="85">
        <v>9</v>
      </c>
      <c r="C52" s="89" t="str">
        <f>LEFT(EmpGName09)&amp;" " &amp;EmpSName09</f>
        <v>P Hogan</v>
      </c>
      <c r="D52" s="4" t="s">
        <v>72</v>
      </c>
      <c r="E52" s="4" t="s">
        <v>72</v>
      </c>
      <c r="F52" s="4" t="s">
        <v>72</v>
      </c>
      <c r="G52" s="4" t="s">
        <v>72</v>
      </c>
      <c r="H52" s="4" t="s">
        <v>72</v>
      </c>
      <c r="I52" s="4" t="s">
        <v>72</v>
      </c>
      <c r="J52" s="4" t="s">
        <v>72</v>
      </c>
      <c r="K52" s="4" t="s">
        <v>72</v>
      </c>
      <c r="L52" s="4" t="s">
        <v>72</v>
      </c>
      <c r="M52" s="4" t="s">
        <v>72</v>
      </c>
      <c r="N52" s="4" t="s">
        <v>72</v>
      </c>
      <c r="O52" s="4" t="s">
        <v>72</v>
      </c>
      <c r="P52" s="4" t="s">
        <v>72</v>
      </c>
      <c r="Q52" s="4" t="s">
        <v>72</v>
      </c>
      <c r="R52" s="4" t="s">
        <v>72</v>
      </c>
      <c r="S52" s="4" t="s">
        <v>72</v>
      </c>
      <c r="T52" s="4" t="s">
        <v>72</v>
      </c>
      <c r="U52" s="4" t="s">
        <v>72</v>
      </c>
      <c r="V52" s="4" t="s">
        <v>72</v>
      </c>
      <c r="W52" s="4" t="s">
        <v>72</v>
      </c>
      <c r="X52" s="4" t="s">
        <v>72</v>
      </c>
      <c r="Y52" s="4" t="s">
        <v>72</v>
      </c>
      <c r="Z52" s="4" t="s">
        <v>72</v>
      </c>
      <c r="AA52" s="4" t="s">
        <v>72</v>
      </c>
      <c r="AB52" s="4" t="s">
        <v>72</v>
      </c>
      <c r="AC52" s="4" t="s">
        <v>72</v>
      </c>
      <c r="AD52" s="4" t="s">
        <v>72</v>
      </c>
      <c r="AE52" s="4" t="s">
        <v>72</v>
      </c>
      <c r="AF52" s="4" t="s">
        <v>72</v>
      </c>
      <c r="AG52" s="4" t="s">
        <v>72</v>
      </c>
    </row>
    <row r="53" spans="2:34">
      <c r="B53" s="152">
        <v>10</v>
      </c>
      <c r="C53" s="90" t="str">
        <f>LEFT(EmpGName10)&amp;" " &amp;EmpSName10</f>
        <v>J Stretton</v>
      </c>
      <c r="D53" s="3" t="s">
        <v>72</v>
      </c>
      <c r="E53" s="3" t="s">
        <v>72</v>
      </c>
      <c r="F53" s="3" t="s">
        <v>72</v>
      </c>
      <c r="G53" s="3" t="s">
        <v>72</v>
      </c>
      <c r="H53" s="3" t="s">
        <v>72</v>
      </c>
      <c r="I53" s="3" t="s">
        <v>72</v>
      </c>
      <c r="J53" s="3" t="s">
        <v>72</v>
      </c>
      <c r="K53" s="3" t="s">
        <v>72</v>
      </c>
      <c r="L53" s="3" t="s">
        <v>72</v>
      </c>
      <c r="M53" s="3" t="s">
        <v>72</v>
      </c>
      <c r="N53" s="3" t="s">
        <v>72</v>
      </c>
      <c r="O53" s="3" t="s">
        <v>72</v>
      </c>
      <c r="P53" s="3" t="s">
        <v>72</v>
      </c>
      <c r="Q53" s="3" t="s">
        <v>72</v>
      </c>
      <c r="R53" s="3" t="s">
        <v>72</v>
      </c>
      <c r="S53" s="3" t="s">
        <v>72</v>
      </c>
      <c r="T53" s="3" t="s">
        <v>72</v>
      </c>
      <c r="U53" s="3" t="s">
        <v>72</v>
      </c>
      <c r="V53" s="3" t="s">
        <v>72</v>
      </c>
      <c r="W53" s="3" t="s">
        <v>72</v>
      </c>
      <c r="X53" s="3" t="s">
        <v>72</v>
      </c>
      <c r="Y53" s="3" t="s">
        <v>72</v>
      </c>
      <c r="Z53" s="3" t="s">
        <v>72</v>
      </c>
      <c r="AA53" s="3" t="s">
        <v>72</v>
      </c>
      <c r="AB53" s="3" t="s">
        <v>72</v>
      </c>
      <c r="AC53" s="3" t="s">
        <v>72</v>
      </c>
      <c r="AD53" s="3" t="s">
        <v>72</v>
      </c>
      <c r="AE53" s="3" t="s">
        <v>72</v>
      </c>
      <c r="AF53" s="3" t="s">
        <v>72</v>
      </c>
      <c r="AG53" s="3" t="s">
        <v>72</v>
      </c>
    </row>
    <row r="54" spans="2:34" s="70" customFormat="1">
      <c r="B54" s="152">
        <v>11</v>
      </c>
      <c r="C54" s="89" t="str">
        <f>LEFT(EmpGName11)&amp;" " &amp;EmpSName11</f>
        <v>M Rowe</v>
      </c>
      <c r="D54" s="4" t="s">
        <v>72</v>
      </c>
      <c r="E54" s="4" t="s">
        <v>72</v>
      </c>
      <c r="F54" s="4" t="s">
        <v>72</v>
      </c>
      <c r="G54" s="4" t="s">
        <v>72</v>
      </c>
      <c r="H54" s="4" t="s">
        <v>72</v>
      </c>
      <c r="I54" s="4" t="s">
        <v>72</v>
      </c>
      <c r="J54" s="4" t="s">
        <v>72</v>
      </c>
      <c r="K54" s="4" t="s">
        <v>72</v>
      </c>
      <c r="L54" s="4" t="s">
        <v>72</v>
      </c>
      <c r="M54" s="4" t="s">
        <v>72</v>
      </c>
      <c r="N54" s="4" t="s">
        <v>72</v>
      </c>
      <c r="O54" s="4" t="s">
        <v>72</v>
      </c>
      <c r="P54" s="4" t="s">
        <v>72</v>
      </c>
      <c r="Q54" s="4" t="s">
        <v>72</v>
      </c>
      <c r="R54" s="4" t="s">
        <v>72</v>
      </c>
      <c r="S54" s="4" t="s">
        <v>72</v>
      </c>
      <c r="T54" s="4" t="s">
        <v>72</v>
      </c>
      <c r="U54" s="4" t="s">
        <v>72</v>
      </c>
      <c r="V54" s="4" t="s">
        <v>72</v>
      </c>
      <c r="W54" s="4" t="s">
        <v>72</v>
      </c>
      <c r="X54" s="4" t="s">
        <v>72</v>
      </c>
      <c r="Y54" s="4" t="s">
        <v>72</v>
      </c>
      <c r="Z54" s="4" t="s">
        <v>72</v>
      </c>
      <c r="AA54" s="4" t="s">
        <v>72</v>
      </c>
      <c r="AB54" s="4" t="s">
        <v>72</v>
      </c>
      <c r="AC54" s="4" t="s">
        <v>72</v>
      </c>
      <c r="AD54" s="4" t="s">
        <v>72</v>
      </c>
      <c r="AE54" s="4" t="s">
        <v>72</v>
      </c>
      <c r="AF54" s="4" t="s">
        <v>72</v>
      </c>
      <c r="AG54" s="4" t="s">
        <v>72</v>
      </c>
      <c r="AH54"/>
    </row>
    <row r="55" spans="2:34" hidden="1">
      <c r="B55" s="152">
        <v>12</v>
      </c>
      <c r="C55" s="90" t="str">
        <f>LEFT(EmpGName12)&amp;" " &amp;EmpSName12</f>
        <v xml:space="preserve"> </v>
      </c>
      <c r="D55" s="3" t="s">
        <v>72</v>
      </c>
      <c r="E55" s="3" t="s">
        <v>72</v>
      </c>
      <c r="F55" s="3" t="s">
        <v>72</v>
      </c>
      <c r="G55" s="3" t="s">
        <v>72</v>
      </c>
      <c r="H55" s="3" t="s">
        <v>72</v>
      </c>
      <c r="I55" s="3" t="s">
        <v>72</v>
      </c>
      <c r="J55" s="3" t="s">
        <v>72</v>
      </c>
      <c r="K55" s="3" t="s">
        <v>72</v>
      </c>
      <c r="L55" s="3" t="s">
        <v>72</v>
      </c>
      <c r="M55" s="3" t="s">
        <v>72</v>
      </c>
      <c r="N55" s="3" t="s">
        <v>72</v>
      </c>
      <c r="O55" s="3" t="s">
        <v>72</v>
      </c>
      <c r="P55" s="3" t="s">
        <v>72</v>
      </c>
      <c r="Q55" s="3" t="s">
        <v>72</v>
      </c>
      <c r="R55" s="3" t="s">
        <v>72</v>
      </c>
      <c r="S55" s="3" t="s">
        <v>72</v>
      </c>
      <c r="T55" s="3" t="s">
        <v>72</v>
      </c>
      <c r="U55" s="3" t="s">
        <v>72</v>
      </c>
      <c r="V55" s="3" t="s">
        <v>72</v>
      </c>
      <c r="W55" s="3" t="s">
        <v>72</v>
      </c>
      <c r="X55" s="3" t="s">
        <v>72</v>
      </c>
      <c r="Y55" s="3" t="s">
        <v>72</v>
      </c>
      <c r="Z55" s="3" t="s">
        <v>72</v>
      </c>
      <c r="AA55" s="3" t="s">
        <v>72</v>
      </c>
      <c r="AB55" s="3" t="s">
        <v>72</v>
      </c>
      <c r="AC55" s="3" t="s">
        <v>72</v>
      </c>
      <c r="AD55" s="3" t="s">
        <v>72</v>
      </c>
      <c r="AE55" s="3" t="s">
        <v>72</v>
      </c>
      <c r="AF55" s="3" t="s">
        <v>72</v>
      </c>
      <c r="AG55" s="3" t="s">
        <v>72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72</v>
      </c>
      <c r="E59" s="4" t="s">
        <v>72</v>
      </c>
      <c r="F59" s="4" t="s">
        <v>72</v>
      </c>
      <c r="G59" s="4" t="s">
        <v>72</v>
      </c>
      <c r="H59" s="4" t="s">
        <v>72</v>
      </c>
      <c r="I59" s="4" t="s">
        <v>72</v>
      </c>
      <c r="J59" s="4" t="s">
        <v>72</v>
      </c>
      <c r="K59" s="4" t="s">
        <v>72</v>
      </c>
      <c r="L59" s="4" t="s">
        <v>72</v>
      </c>
      <c r="M59" s="4" t="s">
        <v>72</v>
      </c>
      <c r="N59" s="4" t="s">
        <v>72</v>
      </c>
      <c r="O59" s="4" t="s">
        <v>72</v>
      </c>
      <c r="P59" s="4" t="s">
        <v>72</v>
      </c>
      <c r="Q59" s="4" t="s">
        <v>72</v>
      </c>
      <c r="R59" s="4" t="s">
        <v>72</v>
      </c>
      <c r="S59" s="4" t="s">
        <v>72</v>
      </c>
      <c r="T59" s="4" t="s">
        <v>72</v>
      </c>
      <c r="U59" s="4" t="s">
        <v>72</v>
      </c>
      <c r="V59" s="4" t="s">
        <v>72</v>
      </c>
      <c r="W59" s="4" t="s">
        <v>72</v>
      </c>
      <c r="X59" s="4" t="s">
        <v>72</v>
      </c>
      <c r="Y59" s="4" t="s">
        <v>72</v>
      </c>
      <c r="Z59" s="4" t="s">
        <v>72</v>
      </c>
      <c r="AA59" s="4" t="s">
        <v>72</v>
      </c>
      <c r="AB59" s="4" t="s">
        <v>72</v>
      </c>
      <c r="AC59" s="4" t="s">
        <v>72</v>
      </c>
      <c r="AD59" s="4" t="s">
        <v>72</v>
      </c>
      <c r="AE59" s="4" t="s">
        <v>72</v>
      </c>
      <c r="AF59" s="4" t="s">
        <v>72</v>
      </c>
      <c r="AG59" s="4" t="s">
        <v>72</v>
      </c>
      <c r="AH59" s="4" t="s">
        <v>72</v>
      </c>
    </row>
    <row r="60" spans="2:34">
      <c r="B60" s="85">
        <v>2</v>
      </c>
      <c r="C60" s="90" t="str">
        <f>LEFT(EmpGName02)&amp;" " &amp;EmpSName02</f>
        <v>K Stone</v>
      </c>
      <c r="D60" s="3" t="s">
        <v>72</v>
      </c>
      <c r="E60" s="3" t="s">
        <v>72</v>
      </c>
      <c r="F60" s="3" t="s">
        <v>72</v>
      </c>
      <c r="G60" s="3" t="s">
        <v>72</v>
      </c>
      <c r="H60" s="3" t="s">
        <v>72</v>
      </c>
      <c r="I60" s="3" t="s">
        <v>72</v>
      </c>
      <c r="J60" s="3" t="s">
        <v>72</v>
      </c>
      <c r="K60" s="3" t="s">
        <v>72</v>
      </c>
      <c r="L60" s="3" t="s">
        <v>72</v>
      </c>
      <c r="M60" s="3" t="s">
        <v>72</v>
      </c>
      <c r="N60" s="3" t="s">
        <v>72</v>
      </c>
      <c r="O60" s="3" t="s">
        <v>72</v>
      </c>
      <c r="P60" s="3" t="s">
        <v>72</v>
      </c>
      <c r="Q60" s="3" t="s">
        <v>72</v>
      </c>
      <c r="R60" s="3" t="s">
        <v>72</v>
      </c>
      <c r="S60" s="3" t="s">
        <v>72</v>
      </c>
      <c r="T60" s="3" t="s">
        <v>72</v>
      </c>
      <c r="U60" s="3" t="s">
        <v>72</v>
      </c>
      <c r="V60" s="3" t="s">
        <v>72</v>
      </c>
      <c r="W60" s="3" t="s">
        <v>72</v>
      </c>
      <c r="X60" s="3" t="s">
        <v>72</v>
      </c>
      <c r="Y60" s="3" t="s">
        <v>72</v>
      </c>
      <c r="Z60" s="3" t="s">
        <v>72</v>
      </c>
      <c r="AA60" s="3" t="s">
        <v>72</v>
      </c>
      <c r="AB60" s="3" t="s">
        <v>72</v>
      </c>
      <c r="AC60" s="3" t="s">
        <v>72</v>
      </c>
      <c r="AD60" s="3" t="s">
        <v>72</v>
      </c>
      <c r="AE60" s="3" t="s">
        <v>72</v>
      </c>
      <c r="AF60" s="3" t="s">
        <v>72</v>
      </c>
      <c r="AG60" s="3" t="s">
        <v>72</v>
      </c>
      <c r="AH60" s="3" t="s">
        <v>72</v>
      </c>
    </row>
    <row r="61" spans="2:34">
      <c r="B61" s="85">
        <v>3</v>
      </c>
      <c r="C61" s="89" t="str">
        <f>LEFT(EmpGName03)&amp;" " &amp;EmpSName03</f>
        <v>I Thelning</v>
      </c>
      <c r="D61" s="4" t="s">
        <v>72</v>
      </c>
      <c r="E61" s="4" t="s">
        <v>72</v>
      </c>
      <c r="F61" s="4" t="s">
        <v>72</v>
      </c>
      <c r="G61" s="4" t="s">
        <v>72</v>
      </c>
      <c r="H61" s="4" t="s">
        <v>72</v>
      </c>
      <c r="I61" s="4" t="s">
        <v>72</v>
      </c>
      <c r="J61" s="4" t="s">
        <v>72</v>
      </c>
      <c r="K61" s="4" t="s">
        <v>72</v>
      </c>
      <c r="L61" s="4" t="s">
        <v>72</v>
      </c>
      <c r="M61" s="4" t="s">
        <v>72</v>
      </c>
      <c r="N61" s="4" t="s">
        <v>72</v>
      </c>
      <c r="O61" s="4" t="s">
        <v>72</v>
      </c>
      <c r="P61" s="4" t="s">
        <v>72</v>
      </c>
      <c r="Q61" s="4" t="s">
        <v>72</v>
      </c>
      <c r="R61" s="4" t="s">
        <v>72</v>
      </c>
      <c r="S61" s="4" t="s">
        <v>72</v>
      </c>
      <c r="T61" s="4" t="s">
        <v>72</v>
      </c>
      <c r="U61" s="4" t="s">
        <v>72</v>
      </c>
      <c r="V61" s="4" t="s">
        <v>72</v>
      </c>
      <c r="W61" s="4" t="s">
        <v>72</v>
      </c>
      <c r="X61" s="4" t="s">
        <v>72</v>
      </c>
      <c r="Y61" s="4" t="s">
        <v>72</v>
      </c>
      <c r="Z61" s="4" t="s">
        <v>72</v>
      </c>
      <c r="AA61" s="4" t="s">
        <v>72</v>
      </c>
      <c r="AB61" s="4" t="s">
        <v>72</v>
      </c>
      <c r="AC61" s="4" t="s">
        <v>72</v>
      </c>
      <c r="AD61" s="4" t="s">
        <v>72</v>
      </c>
      <c r="AE61" s="4" t="s">
        <v>72</v>
      </c>
      <c r="AF61" s="4" t="s">
        <v>72</v>
      </c>
      <c r="AG61" s="4" t="s">
        <v>72</v>
      </c>
      <c r="AH61" s="4" t="s">
        <v>72</v>
      </c>
    </row>
    <row r="62" spans="2:34">
      <c r="B62" s="85">
        <v>4</v>
      </c>
      <c r="C62" s="90" t="str">
        <f>LEFT(EmpGName04)&amp;" " &amp;EmpSName04</f>
        <v>L King</v>
      </c>
      <c r="D62" s="3" t="s">
        <v>72</v>
      </c>
      <c r="E62" s="3" t="s">
        <v>72</v>
      </c>
      <c r="F62" s="3" t="s">
        <v>72</v>
      </c>
      <c r="G62" s="3" t="s">
        <v>72</v>
      </c>
      <c r="H62" s="3" t="s">
        <v>72</v>
      </c>
      <c r="I62" s="3" t="s">
        <v>72</v>
      </c>
      <c r="J62" s="3" t="s">
        <v>72</v>
      </c>
      <c r="K62" s="3" t="s">
        <v>72</v>
      </c>
      <c r="L62" s="3" t="s">
        <v>72</v>
      </c>
      <c r="M62" s="3" t="s">
        <v>72</v>
      </c>
      <c r="N62" s="3" t="s">
        <v>72</v>
      </c>
      <c r="O62" s="3" t="s">
        <v>72</v>
      </c>
      <c r="P62" s="3" t="s">
        <v>72</v>
      </c>
      <c r="Q62" s="3" t="s">
        <v>72</v>
      </c>
      <c r="R62" s="3" t="s">
        <v>72</v>
      </c>
      <c r="S62" s="3" t="s">
        <v>72</v>
      </c>
      <c r="T62" s="3" t="s">
        <v>72</v>
      </c>
      <c r="U62" s="3" t="s">
        <v>72</v>
      </c>
      <c r="V62" s="3" t="s">
        <v>72</v>
      </c>
      <c r="W62" s="3" t="s">
        <v>72</v>
      </c>
      <c r="X62" s="3" t="s">
        <v>72</v>
      </c>
      <c r="Y62" s="3" t="s">
        <v>72</v>
      </c>
      <c r="Z62" s="3" t="s">
        <v>72</v>
      </c>
      <c r="AA62" s="3" t="s">
        <v>72</v>
      </c>
      <c r="AB62" s="3" t="s">
        <v>72</v>
      </c>
      <c r="AC62" s="3" t="s">
        <v>72</v>
      </c>
      <c r="AD62" s="3" t="s">
        <v>72</v>
      </c>
      <c r="AE62" s="3" t="s">
        <v>72</v>
      </c>
      <c r="AF62" s="3" t="s">
        <v>72</v>
      </c>
      <c r="AG62" s="3" t="s">
        <v>72</v>
      </c>
      <c r="AH62" s="3" t="s">
        <v>72</v>
      </c>
    </row>
    <row r="63" spans="2:34">
      <c r="B63" s="85">
        <v>5</v>
      </c>
      <c r="C63" s="89" t="str">
        <f>LEFT(EmpGName05)&amp;" " &amp;EmpSName05</f>
        <v>D Castle</v>
      </c>
      <c r="D63" s="4" t="s">
        <v>72</v>
      </c>
      <c r="E63" s="4" t="s">
        <v>72</v>
      </c>
      <c r="F63" s="4" t="s">
        <v>72</v>
      </c>
      <c r="G63" s="4" t="s">
        <v>72</v>
      </c>
      <c r="H63" s="4" t="s">
        <v>72</v>
      </c>
      <c r="I63" s="4" t="s">
        <v>72</v>
      </c>
      <c r="J63" s="4" t="s">
        <v>72</v>
      </c>
      <c r="K63" s="4" t="s">
        <v>72</v>
      </c>
      <c r="L63" s="4" t="s">
        <v>72</v>
      </c>
      <c r="M63" s="4" t="s">
        <v>72</v>
      </c>
      <c r="N63" s="4" t="s">
        <v>72</v>
      </c>
      <c r="O63" s="4" t="s">
        <v>72</v>
      </c>
      <c r="P63" s="4" t="s">
        <v>72</v>
      </c>
      <c r="Q63" s="4" t="s">
        <v>72</v>
      </c>
      <c r="R63" s="4" t="s">
        <v>72</v>
      </c>
      <c r="S63" s="4" t="s">
        <v>72</v>
      </c>
      <c r="T63" s="4" t="s">
        <v>72</v>
      </c>
      <c r="U63" s="4" t="s">
        <v>72</v>
      </c>
      <c r="V63" s="4" t="s">
        <v>72</v>
      </c>
      <c r="W63" s="4" t="s">
        <v>72</v>
      </c>
      <c r="X63" s="4" t="s">
        <v>72</v>
      </c>
      <c r="Y63" s="4" t="s">
        <v>72</v>
      </c>
      <c r="Z63" s="4" t="s">
        <v>72</v>
      </c>
      <c r="AA63" s="4" t="s">
        <v>72</v>
      </c>
      <c r="AB63" s="4" t="s">
        <v>72</v>
      </c>
      <c r="AC63" s="4" t="s">
        <v>72</v>
      </c>
      <c r="AD63" s="4" t="s">
        <v>72</v>
      </c>
      <c r="AE63" s="4" t="s">
        <v>72</v>
      </c>
      <c r="AF63" s="4" t="s">
        <v>72</v>
      </c>
      <c r="AG63" s="4" t="s">
        <v>72</v>
      </c>
      <c r="AH63" s="4" t="s">
        <v>72</v>
      </c>
    </row>
    <row r="64" spans="2:34">
      <c r="B64" s="85">
        <v>6</v>
      </c>
      <c r="C64" s="90" t="str">
        <f>LEFT(EmpGName06)&amp;" " &amp;EmpSName06</f>
        <v>T Sorensen</v>
      </c>
      <c r="D64" s="3" t="s">
        <v>72</v>
      </c>
      <c r="E64" s="3" t="s">
        <v>72</v>
      </c>
      <c r="F64" s="3" t="s">
        <v>72</v>
      </c>
      <c r="G64" s="3" t="s">
        <v>72</v>
      </c>
      <c r="H64" s="3" t="s">
        <v>72</v>
      </c>
      <c r="I64" s="3" t="s">
        <v>72</v>
      </c>
      <c r="J64" s="3" t="s">
        <v>72</v>
      </c>
      <c r="K64" s="3" t="s">
        <v>72</v>
      </c>
      <c r="L64" s="3" t="s">
        <v>72</v>
      </c>
      <c r="M64" s="3" t="s">
        <v>72</v>
      </c>
      <c r="N64" s="3" t="s">
        <v>72</v>
      </c>
      <c r="O64" s="3" t="s">
        <v>72</v>
      </c>
      <c r="P64" s="3" t="s">
        <v>72</v>
      </c>
      <c r="Q64" s="3" t="s">
        <v>72</v>
      </c>
      <c r="R64" s="3" t="s">
        <v>72</v>
      </c>
      <c r="S64" s="3" t="s">
        <v>72</v>
      </c>
      <c r="T64" s="3" t="s">
        <v>72</v>
      </c>
      <c r="U64" s="3" t="s">
        <v>72</v>
      </c>
      <c r="V64" s="3" t="s">
        <v>72</v>
      </c>
      <c r="W64" s="3" t="s">
        <v>72</v>
      </c>
      <c r="X64" s="3" t="s">
        <v>72</v>
      </c>
      <c r="Y64" s="3" t="s">
        <v>72</v>
      </c>
      <c r="Z64" s="3" t="s">
        <v>72</v>
      </c>
      <c r="AA64" s="3" t="s">
        <v>72</v>
      </c>
      <c r="AB64" s="3" t="s">
        <v>72</v>
      </c>
      <c r="AC64" s="3" t="s">
        <v>72</v>
      </c>
      <c r="AD64" s="3" t="s">
        <v>72</v>
      </c>
      <c r="AE64" s="3" t="s">
        <v>72</v>
      </c>
      <c r="AF64" s="3" t="s">
        <v>72</v>
      </c>
      <c r="AG64" s="3" t="s">
        <v>72</v>
      </c>
      <c r="AH64" s="3" t="s">
        <v>72</v>
      </c>
    </row>
    <row r="65" spans="2:34">
      <c r="B65" s="85">
        <v>7</v>
      </c>
      <c r="C65" s="89" t="str">
        <f>LEFT(EmpGName07)&amp;" " &amp;EmpSName07</f>
        <v>R Fielding</v>
      </c>
      <c r="D65" s="4" t="s">
        <v>72</v>
      </c>
      <c r="E65" s="4" t="s">
        <v>72</v>
      </c>
      <c r="F65" s="4" t="s">
        <v>72</v>
      </c>
      <c r="G65" s="4" t="s">
        <v>72</v>
      </c>
      <c r="H65" s="4" t="s">
        <v>72</v>
      </c>
      <c r="I65" s="4" t="s">
        <v>72</v>
      </c>
      <c r="J65" s="4" t="s">
        <v>72</v>
      </c>
      <c r="K65" s="4" t="s">
        <v>72</v>
      </c>
      <c r="L65" s="4" t="s">
        <v>72</v>
      </c>
      <c r="M65" s="4" t="s">
        <v>72</v>
      </c>
      <c r="N65" s="4" t="s">
        <v>72</v>
      </c>
      <c r="O65" s="4" t="s">
        <v>72</v>
      </c>
      <c r="P65" s="4" t="s">
        <v>72</v>
      </c>
      <c r="Q65" s="4" t="s">
        <v>72</v>
      </c>
      <c r="R65" s="4" t="s">
        <v>72</v>
      </c>
      <c r="S65" s="4" t="s">
        <v>72</v>
      </c>
      <c r="T65" s="4" t="s">
        <v>72</v>
      </c>
      <c r="U65" s="4" t="s">
        <v>72</v>
      </c>
      <c r="V65" s="4" t="s">
        <v>72</v>
      </c>
      <c r="W65" s="4" t="s">
        <v>72</v>
      </c>
      <c r="X65" s="4" t="s">
        <v>72</v>
      </c>
      <c r="Y65" s="4" t="s">
        <v>72</v>
      </c>
      <c r="Z65" s="4" t="s">
        <v>72</v>
      </c>
      <c r="AA65" s="4" t="s">
        <v>72</v>
      </c>
      <c r="AB65" s="4" t="s">
        <v>72</v>
      </c>
      <c r="AC65" s="4" t="s">
        <v>72</v>
      </c>
      <c r="AD65" s="4" t="s">
        <v>72</v>
      </c>
      <c r="AE65" s="4" t="s">
        <v>72</v>
      </c>
      <c r="AF65" s="4" t="s">
        <v>72</v>
      </c>
      <c r="AG65" s="4" t="s">
        <v>72</v>
      </c>
      <c r="AH65" s="4" t="s">
        <v>72</v>
      </c>
    </row>
    <row r="66" spans="2:34">
      <c r="B66" s="85">
        <v>8</v>
      </c>
      <c r="C66" s="90" t="str">
        <f>LEFT(EmpGName08)&amp;" " &amp;EmpSName08</f>
        <v>F Flannery</v>
      </c>
      <c r="D66" s="3" t="s">
        <v>72</v>
      </c>
      <c r="E66" s="3" t="s">
        <v>72</v>
      </c>
      <c r="F66" s="3" t="s">
        <v>72</v>
      </c>
      <c r="G66" s="3" t="s">
        <v>72</v>
      </c>
      <c r="H66" s="3" t="s">
        <v>72</v>
      </c>
      <c r="I66" s="3" t="s">
        <v>72</v>
      </c>
      <c r="J66" s="3" t="s">
        <v>72</v>
      </c>
      <c r="K66" s="3" t="s">
        <v>72</v>
      </c>
      <c r="L66" s="3" t="s">
        <v>72</v>
      </c>
      <c r="M66" s="3" t="s">
        <v>72</v>
      </c>
      <c r="N66" s="3" t="s">
        <v>72</v>
      </c>
      <c r="O66" s="3" t="s">
        <v>72</v>
      </c>
      <c r="P66" s="3" t="s">
        <v>72</v>
      </c>
      <c r="Q66" s="3" t="s">
        <v>72</v>
      </c>
      <c r="R66" s="3" t="s">
        <v>72</v>
      </c>
      <c r="S66" s="3" t="s">
        <v>72</v>
      </c>
      <c r="T66" s="3" t="s">
        <v>72</v>
      </c>
      <c r="U66" s="3" t="s">
        <v>72</v>
      </c>
      <c r="V66" s="3" t="s">
        <v>72</v>
      </c>
      <c r="W66" s="3" t="s">
        <v>72</v>
      </c>
      <c r="X66" s="3" t="s">
        <v>72</v>
      </c>
      <c r="Y66" s="3" t="s">
        <v>72</v>
      </c>
      <c r="Z66" s="3" t="s">
        <v>72</v>
      </c>
      <c r="AA66" s="3" t="s">
        <v>72</v>
      </c>
      <c r="AB66" s="3" t="s">
        <v>72</v>
      </c>
      <c r="AC66" s="3" t="s">
        <v>72</v>
      </c>
      <c r="AD66" s="3" t="s">
        <v>72</v>
      </c>
      <c r="AE66" s="3" t="s">
        <v>72</v>
      </c>
      <c r="AF66" s="3" t="s">
        <v>72</v>
      </c>
      <c r="AG66" s="3" t="s">
        <v>72</v>
      </c>
      <c r="AH66" s="3" t="s">
        <v>72</v>
      </c>
    </row>
    <row r="67" spans="2:34">
      <c r="B67" s="85">
        <v>9</v>
      </c>
      <c r="C67" s="89" t="str">
        <f>LEFT(EmpGName09)&amp;" " &amp;EmpSName09</f>
        <v>P Hogan</v>
      </c>
      <c r="D67" s="4" t="s">
        <v>72</v>
      </c>
      <c r="E67" s="4" t="s">
        <v>72</v>
      </c>
      <c r="F67" s="4" t="s">
        <v>72</v>
      </c>
      <c r="G67" s="4" t="s">
        <v>72</v>
      </c>
      <c r="H67" s="4" t="s">
        <v>72</v>
      </c>
      <c r="I67" s="4" t="s">
        <v>72</v>
      </c>
      <c r="J67" s="4" t="s">
        <v>72</v>
      </c>
      <c r="K67" s="4" t="s">
        <v>72</v>
      </c>
      <c r="L67" s="4" t="s">
        <v>72</v>
      </c>
      <c r="M67" s="4" t="s">
        <v>72</v>
      </c>
      <c r="N67" s="4" t="s">
        <v>72</v>
      </c>
      <c r="O67" s="4" t="s">
        <v>72</v>
      </c>
      <c r="P67" s="4" t="s">
        <v>72</v>
      </c>
      <c r="Q67" s="4" t="s">
        <v>72</v>
      </c>
      <c r="R67" s="4" t="s">
        <v>72</v>
      </c>
      <c r="S67" s="4" t="s">
        <v>72</v>
      </c>
      <c r="T67" s="4" t="s">
        <v>72</v>
      </c>
      <c r="U67" s="4" t="s">
        <v>72</v>
      </c>
      <c r="V67" s="4" t="s">
        <v>72</v>
      </c>
      <c r="W67" s="4" t="s">
        <v>72</v>
      </c>
      <c r="X67" s="4" t="s">
        <v>72</v>
      </c>
      <c r="Y67" s="4" t="s">
        <v>72</v>
      </c>
      <c r="Z67" s="4" t="s">
        <v>72</v>
      </c>
      <c r="AA67" s="4" t="s">
        <v>72</v>
      </c>
      <c r="AB67" s="4" t="s">
        <v>72</v>
      </c>
      <c r="AC67" s="4" t="s">
        <v>72</v>
      </c>
      <c r="AD67" s="4" t="s">
        <v>72</v>
      </c>
      <c r="AE67" s="4" t="s">
        <v>72</v>
      </c>
      <c r="AF67" s="4" t="s">
        <v>72</v>
      </c>
      <c r="AG67" s="4" t="s">
        <v>72</v>
      </c>
      <c r="AH67" s="4" t="s">
        <v>72</v>
      </c>
    </row>
    <row r="68" spans="2:34">
      <c r="B68" s="152">
        <v>10</v>
      </c>
      <c r="C68" s="90" t="str">
        <f>LEFT(EmpGName10)&amp;" " &amp;EmpSName10</f>
        <v>J Stretton</v>
      </c>
      <c r="D68" s="3" t="s">
        <v>72</v>
      </c>
      <c r="E68" s="3" t="s">
        <v>72</v>
      </c>
      <c r="F68" s="3" t="s">
        <v>72</v>
      </c>
      <c r="G68" s="3" t="s">
        <v>72</v>
      </c>
      <c r="H68" s="3" t="s">
        <v>72</v>
      </c>
      <c r="I68" s="3" t="s">
        <v>72</v>
      </c>
      <c r="J68" s="3" t="s">
        <v>72</v>
      </c>
      <c r="K68" s="3" t="s">
        <v>72</v>
      </c>
      <c r="L68" s="3" t="s">
        <v>72</v>
      </c>
      <c r="M68" s="3" t="s">
        <v>72</v>
      </c>
      <c r="N68" s="3" t="s">
        <v>72</v>
      </c>
      <c r="O68" s="3" t="s">
        <v>72</v>
      </c>
      <c r="P68" s="3" t="s">
        <v>72</v>
      </c>
      <c r="Q68" s="3" t="s">
        <v>72</v>
      </c>
      <c r="R68" s="3" t="s">
        <v>72</v>
      </c>
      <c r="S68" s="3" t="s">
        <v>72</v>
      </c>
      <c r="T68" s="3" t="s">
        <v>72</v>
      </c>
      <c r="U68" s="3" t="s">
        <v>72</v>
      </c>
      <c r="V68" s="3" t="s">
        <v>72</v>
      </c>
      <c r="W68" s="3" t="s">
        <v>72</v>
      </c>
      <c r="X68" s="3" t="s">
        <v>72</v>
      </c>
      <c r="Y68" s="3" t="s">
        <v>72</v>
      </c>
      <c r="Z68" s="3" t="s">
        <v>72</v>
      </c>
      <c r="AA68" s="3" t="s">
        <v>72</v>
      </c>
      <c r="AB68" s="3" t="s">
        <v>72</v>
      </c>
      <c r="AC68" s="3" t="s">
        <v>72</v>
      </c>
      <c r="AD68" s="3" t="s">
        <v>72</v>
      </c>
      <c r="AE68" s="3" t="s">
        <v>72</v>
      </c>
      <c r="AF68" s="3" t="s">
        <v>72</v>
      </c>
      <c r="AG68" s="3" t="s">
        <v>72</v>
      </c>
      <c r="AH68" s="3" t="s">
        <v>72</v>
      </c>
    </row>
    <row r="69" spans="2:34" s="70" customFormat="1">
      <c r="B69" s="152">
        <v>11</v>
      </c>
      <c r="C69" s="89" t="str">
        <f>LEFT(EmpGName11)&amp;" " &amp;EmpSName11</f>
        <v>M Rowe</v>
      </c>
      <c r="D69" s="4" t="s">
        <v>72</v>
      </c>
      <c r="E69" s="4" t="s">
        <v>72</v>
      </c>
      <c r="F69" s="4" t="s">
        <v>72</v>
      </c>
      <c r="G69" s="4" t="s">
        <v>72</v>
      </c>
      <c r="H69" s="4" t="s">
        <v>72</v>
      </c>
      <c r="I69" s="4" t="s">
        <v>72</v>
      </c>
      <c r="J69" s="4" t="s">
        <v>72</v>
      </c>
      <c r="K69" s="4" t="s">
        <v>72</v>
      </c>
      <c r="L69" s="4" t="s">
        <v>72</v>
      </c>
      <c r="M69" s="4" t="s">
        <v>72</v>
      </c>
      <c r="N69" s="4" t="s">
        <v>72</v>
      </c>
      <c r="O69" s="4" t="s">
        <v>72</v>
      </c>
      <c r="P69" s="4" t="s">
        <v>72</v>
      </c>
      <c r="Q69" s="4" t="s">
        <v>72</v>
      </c>
      <c r="R69" s="4" t="s">
        <v>72</v>
      </c>
      <c r="S69" s="4" t="s">
        <v>72</v>
      </c>
      <c r="T69" s="4" t="s">
        <v>72</v>
      </c>
      <c r="U69" s="4" t="s">
        <v>72</v>
      </c>
      <c r="V69" s="4" t="s">
        <v>72</v>
      </c>
      <c r="W69" s="4" t="s">
        <v>72</v>
      </c>
      <c r="X69" s="4" t="s">
        <v>72</v>
      </c>
      <c r="Y69" s="4" t="s">
        <v>72</v>
      </c>
      <c r="Z69" s="4" t="s">
        <v>72</v>
      </c>
      <c r="AA69" s="4" t="s">
        <v>72</v>
      </c>
      <c r="AB69" s="4" t="s">
        <v>72</v>
      </c>
      <c r="AC69" s="4" t="s">
        <v>72</v>
      </c>
      <c r="AD69" s="4" t="s">
        <v>72</v>
      </c>
      <c r="AE69" s="4" t="s">
        <v>72</v>
      </c>
      <c r="AF69" s="4" t="s">
        <v>72</v>
      </c>
      <c r="AG69" s="4" t="s">
        <v>72</v>
      </c>
      <c r="AH69" s="4" t="s">
        <v>72</v>
      </c>
    </row>
    <row r="70" spans="2:34" s="70" customFormat="1" hidden="1">
      <c r="B70" s="152">
        <v>12</v>
      </c>
      <c r="C70" s="90" t="str">
        <f>LEFT(EmpGName12)&amp;" " &amp;EmpSName12</f>
        <v xml:space="preserve"> </v>
      </c>
      <c r="D70" s="3" t="s">
        <v>72</v>
      </c>
      <c r="E70" s="3" t="s">
        <v>72</v>
      </c>
      <c r="F70" s="3" t="s">
        <v>72</v>
      </c>
      <c r="G70" s="3" t="s">
        <v>72</v>
      </c>
      <c r="H70" s="3" t="s">
        <v>72</v>
      </c>
      <c r="I70" s="3" t="s">
        <v>72</v>
      </c>
      <c r="J70" s="3" t="s">
        <v>72</v>
      </c>
      <c r="K70" s="3" t="s">
        <v>72</v>
      </c>
      <c r="L70" s="3" t="s">
        <v>72</v>
      </c>
      <c r="M70" s="3" t="s">
        <v>72</v>
      </c>
      <c r="N70" s="3" t="s">
        <v>72</v>
      </c>
      <c r="O70" s="3" t="s">
        <v>72</v>
      </c>
      <c r="P70" s="3" t="s">
        <v>72</v>
      </c>
      <c r="Q70" s="3" t="s">
        <v>72</v>
      </c>
      <c r="R70" s="3" t="s">
        <v>72</v>
      </c>
      <c r="S70" s="3" t="s">
        <v>72</v>
      </c>
      <c r="T70" s="3" t="s">
        <v>72</v>
      </c>
      <c r="U70" s="3" t="s">
        <v>72</v>
      </c>
      <c r="V70" s="3" t="s">
        <v>72</v>
      </c>
      <c r="W70" s="3" t="s">
        <v>72</v>
      </c>
      <c r="X70" s="3" t="s">
        <v>72</v>
      </c>
      <c r="Y70" s="3" t="s">
        <v>72</v>
      </c>
      <c r="Z70" s="3" t="s">
        <v>72</v>
      </c>
      <c r="AA70" s="3" t="s">
        <v>72</v>
      </c>
      <c r="AB70" s="3" t="s">
        <v>72</v>
      </c>
      <c r="AC70" s="3" t="s">
        <v>72</v>
      </c>
      <c r="AD70" s="3" t="s">
        <v>72</v>
      </c>
      <c r="AE70" s="3" t="s">
        <v>72</v>
      </c>
      <c r="AF70" s="3" t="s">
        <v>72</v>
      </c>
      <c r="AG70" s="3" t="s">
        <v>72</v>
      </c>
      <c r="AH70" s="3" t="s">
        <v>72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72</v>
      </c>
      <c r="E74" s="4" t="s">
        <v>72</v>
      </c>
      <c r="F74" s="4" t="s">
        <v>72</v>
      </c>
      <c r="G74" s="4" t="s">
        <v>72</v>
      </c>
      <c r="H74" s="4" t="s">
        <v>72</v>
      </c>
      <c r="I74" s="4" t="s">
        <v>72</v>
      </c>
      <c r="J74" s="4" t="s">
        <v>72</v>
      </c>
      <c r="K74" s="4" t="s">
        <v>72</v>
      </c>
      <c r="L74" s="4" t="s">
        <v>72</v>
      </c>
      <c r="M74" s="4" t="s">
        <v>72</v>
      </c>
      <c r="N74" s="4" t="s">
        <v>72</v>
      </c>
      <c r="O74" s="4" t="s">
        <v>72</v>
      </c>
      <c r="P74" s="4" t="s">
        <v>72</v>
      </c>
      <c r="Q74" s="4" t="s">
        <v>72</v>
      </c>
      <c r="R74" s="4" t="s">
        <v>72</v>
      </c>
      <c r="S74" s="4" t="s">
        <v>72</v>
      </c>
      <c r="T74" s="4" t="s">
        <v>72</v>
      </c>
      <c r="U74" s="4" t="s">
        <v>72</v>
      </c>
      <c r="V74" s="4" t="s">
        <v>72</v>
      </c>
      <c r="W74" s="4" t="s">
        <v>72</v>
      </c>
      <c r="X74" s="4" t="s">
        <v>72</v>
      </c>
      <c r="Y74" s="4" t="s">
        <v>72</v>
      </c>
      <c r="Z74" s="4" t="s">
        <v>72</v>
      </c>
      <c r="AA74" s="4" t="s">
        <v>72</v>
      </c>
      <c r="AB74" s="4" t="s">
        <v>72</v>
      </c>
      <c r="AC74" s="4" t="s">
        <v>72</v>
      </c>
      <c r="AD74" s="4" t="s">
        <v>72</v>
      </c>
      <c r="AE74" s="4" t="s">
        <v>72</v>
      </c>
      <c r="AF74" s="4" t="s">
        <v>72</v>
      </c>
      <c r="AG74" s="4" t="s">
        <v>72</v>
      </c>
    </row>
    <row r="75" spans="2:34">
      <c r="B75" s="85">
        <v>2</v>
      </c>
      <c r="C75" s="90" t="str">
        <f>LEFT(EmpGName02)&amp;" " &amp;EmpSName02</f>
        <v>K Stone</v>
      </c>
      <c r="D75" s="3" t="s">
        <v>72</v>
      </c>
      <c r="E75" s="3" t="s">
        <v>72</v>
      </c>
      <c r="F75" s="3" t="s">
        <v>72</v>
      </c>
      <c r="G75" s="3" t="s">
        <v>72</v>
      </c>
      <c r="H75" s="3" t="s">
        <v>72</v>
      </c>
      <c r="I75" s="3" t="s">
        <v>72</v>
      </c>
      <c r="J75" s="3" t="s">
        <v>72</v>
      </c>
      <c r="K75" s="3" t="s">
        <v>72</v>
      </c>
      <c r="L75" s="3" t="s">
        <v>72</v>
      </c>
      <c r="M75" s="3" t="s">
        <v>72</v>
      </c>
      <c r="N75" s="3" t="s">
        <v>72</v>
      </c>
      <c r="O75" s="3" t="s">
        <v>72</v>
      </c>
      <c r="P75" s="3" t="s">
        <v>72</v>
      </c>
      <c r="Q75" s="3" t="s">
        <v>72</v>
      </c>
      <c r="R75" s="3" t="s">
        <v>72</v>
      </c>
      <c r="S75" s="3" t="s">
        <v>72</v>
      </c>
      <c r="T75" s="3" t="s">
        <v>72</v>
      </c>
      <c r="U75" s="3" t="s">
        <v>72</v>
      </c>
      <c r="V75" s="3" t="s">
        <v>72</v>
      </c>
      <c r="W75" s="3" t="s">
        <v>72</v>
      </c>
      <c r="X75" s="3" t="s">
        <v>72</v>
      </c>
      <c r="Y75" s="3" t="s">
        <v>72</v>
      </c>
      <c r="Z75" s="3" t="s">
        <v>72</v>
      </c>
      <c r="AA75" s="3" t="s">
        <v>72</v>
      </c>
      <c r="AB75" s="3" t="s">
        <v>72</v>
      </c>
      <c r="AC75" s="3" t="s">
        <v>72</v>
      </c>
      <c r="AD75" s="3" t="s">
        <v>72</v>
      </c>
      <c r="AE75" s="3" t="s">
        <v>72</v>
      </c>
      <c r="AF75" s="3" t="s">
        <v>72</v>
      </c>
      <c r="AG75" s="3" t="s">
        <v>72</v>
      </c>
    </row>
    <row r="76" spans="2:34">
      <c r="B76" s="85">
        <v>3</v>
      </c>
      <c r="C76" s="89" t="str">
        <f>LEFT(EmpGName03)&amp;" " &amp;EmpSName03</f>
        <v>I Thelning</v>
      </c>
      <c r="D76" s="4" t="s">
        <v>72</v>
      </c>
      <c r="E76" s="4" t="s">
        <v>72</v>
      </c>
      <c r="F76" s="4" t="s">
        <v>72</v>
      </c>
      <c r="G76" s="4" t="s">
        <v>72</v>
      </c>
      <c r="H76" s="4" t="s">
        <v>72</v>
      </c>
      <c r="I76" s="4" t="s">
        <v>72</v>
      </c>
      <c r="J76" s="4" t="s">
        <v>72</v>
      </c>
      <c r="K76" s="4" t="s">
        <v>72</v>
      </c>
      <c r="L76" s="4" t="s">
        <v>72</v>
      </c>
      <c r="M76" s="4" t="s">
        <v>72</v>
      </c>
      <c r="N76" s="4" t="s">
        <v>72</v>
      </c>
      <c r="O76" s="4" t="s">
        <v>72</v>
      </c>
      <c r="P76" s="4" t="s">
        <v>72</v>
      </c>
      <c r="Q76" s="4" t="s">
        <v>72</v>
      </c>
      <c r="R76" s="4" t="s">
        <v>72</v>
      </c>
      <c r="S76" s="4" t="s">
        <v>72</v>
      </c>
      <c r="T76" s="4" t="s">
        <v>72</v>
      </c>
      <c r="U76" s="4" t="s">
        <v>72</v>
      </c>
      <c r="V76" s="4" t="s">
        <v>72</v>
      </c>
      <c r="W76" s="4" t="s">
        <v>72</v>
      </c>
      <c r="X76" s="4" t="s">
        <v>72</v>
      </c>
      <c r="Y76" s="4" t="s">
        <v>72</v>
      </c>
      <c r="Z76" s="4" t="s">
        <v>72</v>
      </c>
      <c r="AA76" s="4" t="s">
        <v>72</v>
      </c>
      <c r="AB76" s="4" t="s">
        <v>72</v>
      </c>
      <c r="AC76" s="4" t="s">
        <v>72</v>
      </c>
      <c r="AD76" s="4" t="s">
        <v>72</v>
      </c>
      <c r="AE76" s="4" t="s">
        <v>72</v>
      </c>
      <c r="AF76" s="4" t="s">
        <v>72</v>
      </c>
      <c r="AG76" s="4" t="s">
        <v>72</v>
      </c>
    </row>
    <row r="77" spans="2:34">
      <c r="B77" s="85">
        <v>4</v>
      </c>
      <c r="C77" s="90" t="str">
        <f>LEFT(EmpGName04)&amp;" " &amp;EmpSName04</f>
        <v>L King</v>
      </c>
      <c r="D77" s="3" t="s">
        <v>72</v>
      </c>
      <c r="E77" s="3" t="s">
        <v>72</v>
      </c>
      <c r="F77" s="3" t="s">
        <v>72</v>
      </c>
      <c r="G77" s="3" t="s">
        <v>72</v>
      </c>
      <c r="H77" s="3" t="s">
        <v>72</v>
      </c>
      <c r="I77" s="3" t="s">
        <v>72</v>
      </c>
      <c r="J77" s="3" t="s">
        <v>72</v>
      </c>
      <c r="K77" s="3" t="s">
        <v>72</v>
      </c>
      <c r="L77" s="3" t="s">
        <v>72</v>
      </c>
      <c r="M77" s="3" t="s">
        <v>72</v>
      </c>
      <c r="N77" s="3" t="s">
        <v>72</v>
      </c>
      <c r="O77" s="3" t="s">
        <v>72</v>
      </c>
      <c r="P77" s="3" t="s">
        <v>72</v>
      </c>
      <c r="Q77" s="3" t="s">
        <v>72</v>
      </c>
      <c r="R77" s="3" t="s">
        <v>72</v>
      </c>
      <c r="S77" s="3" t="s">
        <v>72</v>
      </c>
      <c r="T77" s="3" t="s">
        <v>72</v>
      </c>
      <c r="U77" s="3" t="s">
        <v>72</v>
      </c>
      <c r="V77" s="3" t="s">
        <v>72</v>
      </c>
      <c r="W77" s="3" t="s">
        <v>72</v>
      </c>
      <c r="X77" s="3" t="s">
        <v>72</v>
      </c>
      <c r="Y77" s="3" t="s">
        <v>72</v>
      </c>
      <c r="Z77" s="3" t="s">
        <v>72</v>
      </c>
      <c r="AA77" s="3" t="s">
        <v>72</v>
      </c>
      <c r="AB77" s="3" t="s">
        <v>72</v>
      </c>
      <c r="AC77" s="3" t="s">
        <v>72</v>
      </c>
      <c r="AD77" s="3" t="s">
        <v>72</v>
      </c>
      <c r="AE77" s="3" t="s">
        <v>72</v>
      </c>
      <c r="AF77" s="3" t="s">
        <v>72</v>
      </c>
      <c r="AG77" s="3" t="s">
        <v>72</v>
      </c>
    </row>
    <row r="78" spans="2:34">
      <c r="B78" s="85">
        <v>5</v>
      </c>
      <c r="C78" s="89" t="str">
        <f>LEFT(EmpGName05)&amp;" " &amp;EmpSName05</f>
        <v>D Castle</v>
      </c>
      <c r="D78" s="4" t="s">
        <v>72</v>
      </c>
      <c r="E78" s="4" t="s">
        <v>72</v>
      </c>
      <c r="F78" s="4" t="s">
        <v>72</v>
      </c>
      <c r="G78" s="4" t="s">
        <v>72</v>
      </c>
      <c r="H78" s="4" t="s">
        <v>72</v>
      </c>
      <c r="I78" s="4" t="s">
        <v>72</v>
      </c>
      <c r="J78" s="4" t="s">
        <v>72</v>
      </c>
      <c r="K78" s="4" t="s">
        <v>72</v>
      </c>
      <c r="L78" s="4" t="s">
        <v>72</v>
      </c>
      <c r="M78" s="4" t="s">
        <v>72</v>
      </c>
      <c r="N78" s="4" t="s">
        <v>72</v>
      </c>
      <c r="O78" s="4" t="s">
        <v>72</v>
      </c>
      <c r="P78" s="4" t="s">
        <v>72</v>
      </c>
      <c r="Q78" s="4" t="s">
        <v>72</v>
      </c>
      <c r="R78" s="4" t="s">
        <v>72</v>
      </c>
      <c r="S78" s="4" t="s">
        <v>72</v>
      </c>
      <c r="T78" s="4" t="s">
        <v>72</v>
      </c>
      <c r="U78" s="4" t="s">
        <v>72</v>
      </c>
      <c r="V78" s="4" t="s">
        <v>72</v>
      </c>
      <c r="W78" s="4" t="s">
        <v>72</v>
      </c>
      <c r="X78" s="4" t="s">
        <v>72</v>
      </c>
      <c r="Y78" s="4" t="s">
        <v>72</v>
      </c>
      <c r="Z78" s="4" t="s">
        <v>72</v>
      </c>
      <c r="AA78" s="4" t="s">
        <v>72</v>
      </c>
      <c r="AB78" s="4" t="s">
        <v>72</v>
      </c>
      <c r="AC78" s="4" t="s">
        <v>72</v>
      </c>
      <c r="AD78" s="4" t="s">
        <v>72</v>
      </c>
      <c r="AE78" s="4" t="s">
        <v>72</v>
      </c>
      <c r="AF78" s="4" t="s">
        <v>72</v>
      </c>
      <c r="AG78" s="4" t="s">
        <v>72</v>
      </c>
    </row>
    <row r="79" spans="2:34">
      <c r="B79" s="85">
        <v>6</v>
      </c>
      <c r="C79" s="90" t="str">
        <f>LEFT(EmpGName06)&amp;" " &amp;EmpSName06</f>
        <v>T Sorensen</v>
      </c>
      <c r="D79" s="3" t="s">
        <v>72</v>
      </c>
      <c r="E79" s="3" t="s">
        <v>72</v>
      </c>
      <c r="F79" s="3" t="s">
        <v>72</v>
      </c>
      <c r="G79" s="3" t="s">
        <v>72</v>
      </c>
      <c r="H79" s="3" t="s">
        <v>72</v>
      </c>
      <c r="I79" s="3" t="s">
        <v>72</v>
      </c>
      <c r="J79" s="3" t="s">
        <v>72</v>
      </c>
      <c r="K79" s="3" t="s">
        <v>72</v>
      </c>
      <c r="L79" s="3" t="s">
        <v>72</v>
      </c>
      <c r="M79" s="3" t="s">
        <v>72</v>
      </c>
      <c r="N79" s="3" t="s">
        <v>72</v>
      </c>
      <c r="O79" s="3" t="s">
        <v>72</v>
      </c>
      <c r="P79" s="3" t="s">
        <v>72</v>
      </c>
      <c r="Q79" s="3" t="s">
        <v>72</v>
      </c>
      <c r="R79" s="3" t="s">
        <v>72</v>
      </c>
      <c r="S79" s="3" t="s">
        <v>72</v>
      </c>
      <c r="T79" s="3" t="s">
        <v>72</v>
      </c>
      <c r="U79" s="3" t="s">
        <v>72</v>
      </c>
      <c r="V79" s="3" t="s">
        <v>72</v>
      </c>
      <c r="W79" s="3" t="s">
        <v>72</v>
      </c>
      <c r="X79" s="3" t="s">
        <v>72</v>
      </c>
      <c r="Y79" s="3" t="s">
        <v>72</v>
      </c>
      <c r="Z79" s="3" t="s">
        <v>72</v>
      </c>
      <c r="AA79" s="3" t="s">
        <v>72</v>
      </c>
      <c r="AB79" s="3" t="s">
        <v>72</v>
      </c>
      <c r="AC79" s="3" t="s">
        <v>72</v>
      </c>
      <c r="AD79" s="3" t="s">
        <v>72</v>
      </c>
      <c r="AE79" s="3" t="s">
        <v>72</v>
      </c>
      <c r="AF79" s="3" t="s">
        <v>72</v>
      </c>
      <c r="AG79" s="3" t="s">
        <v>72</v>
      </c>
    </row>
    <row r="80" spans="2:34">
      <c r="B80" s="85">
        <v>7</v>
      </c>
      <c r="C80" s="89" t="str">
        <f>LEFT(EmpGName07)&amp;" " &amp;EmpSName07</f>
        <v>R Fielding</v>
      </c>
      <c r="D80" s="4" t="s">
        <v>72</v>
      </c>
      <c r="E80" s="4" t="s">
        <v>72</v>
      </c>
      <c r="F80" s="4" t="s">
        <v>72</v>
      </c>
      <c r="G80" s="4" t="s">
        <v>72</v>
      </c>
      <c r="H80" s="4" t="s">
        <v>72</v>
      </c>
      <c r="I80" s="4" t="s">
        <v>72</v>
      </c>
      <c r="J80" s="4" t="s">
        <v>72</v>
      </c>
      <c r="K80" s="4" t="s">
        <v>72</v>
      </c>
      <c r="L80" s="4" t="s">
        <v>72</v>
      </c>
      <c r="M80" s="4" t="s">
        <v>72</v>
      </c>
      <c r="N80" s="4" t="s">
        <v>72</v>
      </c>
      <c r="O80" s="4" t="s">
        <v>72</v>
      </c>
      <c r="P80" s="4" t="s">
        <v>72</v>
      </c>
      <c r="Q80" s="4" t="s">
        <v>72</v>
      </c>
      <c r="R80" s="4" t="s">
        <v>72</v>
      </c>
      <c r="S80" s="4" t="s">
        <v>72</v>
      </c>
      <c r="T80" s="4" t="s">
        <v>72</v>
      </c>
      <c r="U80" s="4" t="s">
        <v>72</v>
      </c>
      <c r="V80" s="4" t="s">
        <v>72</v>
      </c>
      <c r="W80" s="4" t="s">
        <v>72</v>
      </c>
      <c r="X80" s="4" t="s">
        <v>72</v>
      </c>
      <c r="Y80" s="4" t="s">
        <v>72</v>
      </c>
      <c r="Z80" s="4" t="s">
        <v>72</v>
      </c>
      <c r="AA80" s="4" t="s">
        <v>72</v>
      </c>
      <c r="AB80" s="4" t="s">
        <v>72</v>
      </c>
      <c r="AC80" s="4" t="s">
        <v>72</v>
      </c>
      <c r="AD80" s="4" t="s">
        <v>72</v>
      </c>
      <c r="AE80" s="4" t="s">
        <v>72</v>
      </c>
      <c r="AF80" s="4" t="s">
        <v>72</v>
      </c>
      <c r="AG80" s="4" t="s">
        <v>72</v>
      </c>
    </row>
    <row r="81" spans="2:34">
      <c r="B81" s="85">
        <v>8</v>
      </c>
      <c r="C81" s="90" t="str">
        <f>LEFT(EmpGName08)&amp;" " &amp;EmpSName08</f>
        <v>F Flannery</v>
      </c>
      <c r="D81" s="3" t="s">
        <v>72</v>
      </c>
      <c r="E81" s="3" t="s">
        <v>72</v>
      </c>
      <c r="F81" s="3" t="s">
        <v>72</v>
      </c>
      <c r="G81" s="3" t="s">
        <v>72</v>
      </c>
      <c r="H81" s="3" t="s">
        <v>72</v>
      </c>
      <c r="I81" s="3" t="s">
        <v>72</v>
      </c>
      <c r="J81" s="3" t="s">
        <v>72</v>
      </c>
      <c r="K81" s="3" t="s">
        <v>72</v>
      </c>
      <c r="L81" s="3" t="s">
        <v>72</v>
      </c>
      <c r="M81" s="3" t="s">
        <v>72</v>
      </c>
      <c r="N81" s="3" t="s">
        <v>72</v>
      </c>
      <c r="O81" s="3" t="s">
        <v>72</v>
      </c>
      <c r="P81" s="3" t="s">
        <v>72</v>
      </c>
      <c r="Q81" s="3" t="s">
        <v>72</v>
      </c>
      <c r="R81" s="3" t="s">
        <v>72</v>
      </c>
      <c r="S81" s="3" t="s">
        <v>72</v>
      </c>
      <c r="T81" s="3" t="s">
        <v>72</v>
      </c>
      <c r="U81" s="3" t="s">
        <v>72</v>
      </c>
      <c r="V81" s="3" t="s">
        <v>72</v>
      </c>
      <c r="W81" s="3" t="s">
        <v>72</v>
      </c>
      <c r="X81" s="3" t="s">
        <v>72</v>
      </c>
      <c r="Y81" s="3" t="s">
        <v>72</v>
      </c>
      <c r="Z81" s="3" t="s">
        <v>72</v>
      </c>
      <c r="AA81" s="3" t="s">
        <v>72</v>
      </c>
      <c r="AB81" s="3" t="s">
        <v>72</v>
      </c>
      <c r="AC81" s="3" t="s">
        <v>72</v>
      </c>
      <c r="AD81" s="3" t="s">
        <v>72</v>
      </c>
      <c r="AE81" s="3" t="s">
        <v>72</v>
      </c>
      <c r="AF81" s="3" t="s">
        <v>72</v>
      </c>
      <c r="AG81" s="3" t="s">
        <v>72</v>
      </c>
    </row>
    <row r="82" spans="2:34">
      <c r="B82" s="85">
        <v>9</v>
      </c>
      <c r="C82" s="89" t="str">
        <f>LEFT(EmpGName09)&amp;" " &amp;EmpSName09</f>
        <v>P Hogan</v>
      </c>
      <c r="D82" s="4" t="s">
        <v>72</v>
      </c>
      <c r="E82" s="4" t="s">
        <v>72</v>
      </c>
      <c r="F82" s="4" t="s">
        <v>72</v>
      </c>
      <c r="G82" s="4" t="s">
        <v>72</v>
      </c>
      <c r="H82" s="4" t="s">
        <v>72</v>
      </c>
      <c r="I82" s="4" t="s">
        <v>72</v>
      </c>
      <c r="J82" s="4" t="s">
        <v>72</v>
      </c>
      <c r="K82" s="4" t="s">
        <v>72</v>
      </c>
      <c r="L82" s="4" t="s">
        <v>72</v>
      </c>
      <c r="M82" s="4" t="s">
        <v>72</v>
      </c>
      <c r="N82" s="4" t="s">
        <v>72</v>
      </c>
      <c r="O82" s="4" t="s">
        <v>72</v>
      </c>
      <c r="P82" s="4" t="s">
        <v>72</v>
      </c>
      <c r="Q82" s="4" t="s">
        <v>72</v>
      </c>
      <c r="R82" s="4" t="s">
        <v>72</v>
      </c>
      <c r="S82" s="4" t="s">
        <v>72</v>
      </c>
      <c r="T82" s="4" t="s">
        <v>72</v>
      </c>
      <c r="U82" s="4" t="s">
        <v>72</v>
      </c>
      <c r="V82" s="4" t="s">
        <v>72</v>
      </c>
      <c r="W82" s="4" t="s">
        <v>72</v>
      </c>
      <c r="X82" s="4" t="s">
        <v>72</v>
      </c>
      <c r="Y82" s="4" t="s">
        <v>72</v>
      </c>
      <c r="Z82" s="4" t="s">
        <v>72</v>
      </c>
      <c r="AA82" s="4" t="s">
        <v>72</v>
      </c>
      <c r="AB82" s="4" t="s">
        <v>72</v>
      </c>
      <c r="AC82" s="4" t="s">
        <v>72</v>
      </c>
      <c r="AD82" s="4" t="s">
        <v>72</v>
      </c>
      <c r="AE82" s="4" t="s">
        <v>72</v>
      </c>
      <c r="AF82" s="4" t="s">
        <v>72</v>
      </c>
      <c r="AG82" s="4" t="s">
        <v>72</v>
      </c>
    </row>
    <row r="83" spans="2:34">
      <c r="B83" s="152">
        <v>10</v>
      </c>
      <c r="C83" s="90" t="str">
        <f>LEFT(EmpGName10)&amp;" " &amp;EmpSName10</f>
        <v>J Stretton</v>
      </c>
      <c r="D83" s="3" t="s">
        <v>72</v>
      </c>
      <c r="E83" s="3" t="s">
        <v>72</v>
      </c>
      <c r="F83" s="3" t="s">
        <v>72</v>
      </c>
      <c r="G83" s="3" t="s">
        <v>72</v>
      </c>
      <c r="H83" s="3" t="s">
        <v>72</v>
      </c>
      <c r="I83" s="3" t="s">
        <v>72</v>
      </c>
      <c r="J83" s="3" t="s">
        <v>72</v>
      </c>
      <c r="K83" s="3" t="s">
        <v>72</v>
      </c>
      <c r="L83" s="3" t="s">
        <v>72</v>
      </c>
      <c r="M83" s="3" t="s">
        <v>72</v>
      </c>
      <c r="N83" s="3" t="s">
        <v>72</v>
      </c>
      <c r="O83" s="3" t="s">
        <v>72</v>
      </c>
      <c r="P83" s="3" t="s">
        <v>72</v>
      </c>
      <c r="Q83" s="3" t="s">
        <v>72</v>
      </c>
      <c r="R83" s="3" t="s">
        <v>72</v>
      </c>
      <c r="S83" s="3" t="s">
        <v>72</v>
      </c>
      <c r="T83" s="3" t="s">
        <v>72</v>
      </c>
      <c r="U83" s="3" t="s">
        <v>72</v>
      </c>
      <c r="V83" s="3" t="s">
        <v>72</v>
      </c>
      <c r="W83" s="3" t="s">
        <v>72</v>
      </c>
      <c r="X83" s="3" t="s">
        <v>72</v>
      </c>
      <c r="Y83" s="3" t="s">
        <v>72</v>
      </c>
      <c r="Z83" s="3" t="s">
        <v>72</v>
      </c>
      <c r="AA83" s="3" t="s">
        <v>72</v>
      </c>
      <c r="AB83" s="3" t="s">
        <v>72</v>
      </c>
      <c r="AC83" s="3" t="s">
        <v>72</v>
      </c>
      <c r="AD83" s="3" t="s">
        <v>72</v>
      </c>
      <c r="AE83" s="3" t="s">
        <v>72</v>
      </c>
      <c r="AF83" s="3" t="s">
        <v>72</v>
      </c>
      <c r="AG83" s="3" t="s">
        <v>72</v>
      </c>
    </row>
    <row r="84" spans="2:34" s="70" customFormat="1">
      <c r="B84" s="152">
        <v>11</v>
      </c>
      <c r="C84" s="89" t="str">
        <f>LEFT(EmpGName11)&amp;" " &amp;EmpSName11</f>
        <v>M Rowe</v>
      </c>
      <c r="D84" s="4" t="s">
        <v>72</v>
      </c>
      <c r="E84" s="4" t="s">
        <v>72</v>
      </c>
      <c r="F84" s="4" t="s">
        <v>72</v>
      </c>
      <c r="G84" s="4" t="s">
        <v>72</v>
      </c>
      <c r="H84" s="4" t="s">
        <v>72</v>
      </c>
      <c r="I84" s="4" t="s">
        <v>72</v>
      </c>
      <c r="J84" s="4" t="s">
        <v>72</v>
      </c>
      <c r="K84" s="4" t="s">
        <v>72</v>
      </c>
      <c r="L84" s="4" t="s">
        <v>72</v>
      </c>
      <c r="M84" s="4" t="s">
        <v>72</v>
      </c>
      <c r="N84" s="4" t="s">
        <v>72</v>
      </c>
      <c r="O84" s="4" t="s">
        <v>72</v>
      </c>
      <c r="P84" s="4" t="s">
        <v>72</v>
      </c>
      <c r="Q84" s="4" t="s">
        <v>72</v>
      </c>
      <c r="R84" s="4" t="s">
        <v>72</v>
      </c>
      <c r="S84" s="4" t="s">
        <v>72</v>
      </c>
      <c r="T84" s="4" t="s">
        <v>72</v>
      </c>
      <c r="U84" s="4" t="s">
        <v>72</v>
      </c>
      <c r="V84" s="4" t="s">
        <v>72</v>
      </c>
      <c r="W84" s="4" t="s">
        <v>72</v>
      </c>
      <c r="X84" s="4" t="s">
        <v>72</v>
      </c>
      <c r="Y84" s="4" t="s">
        <v>72</v>
      </c>
      <c r="Z84" s="4" t="s">
        <v>72</v>
      </c>
      <c r="AA84" s="4" t="s">
        <v>72</v>
      </c>
      <c r="AB84" s="4" t="s">
        <v>72</v>
      </c>
      <c r="AC84" s="4" t="s">
        <v>72</v>
      </c>
      <c r="AD84" s="4" t="s">
        <v>72</v>
      </c>
      <c r="AE84" s="4" t="s">
        <v>72</v>
      </c>
      <c r="AF84" s="4" t="s">
        <v>72</v>
      </c>
      <c r="AG84" s="4" t="s">
        <v>72</v>
      </c>
      <c r="AH84"/>
    </row>
    <row r="85" spans="2:34" s="70" customFormat="1" hidden="1">
      <c r="B85" s="152">
        <v>12</v>
      </c>
      <c r="C85" s="90" t="str">
        <f>LEFT(EmpGName12)&amp;" " &amp;EmpSName12</f>
        <v xml:space="preserve"> </v>
      </c>
      <c r="D85" s="3" t="s">
        <v>72</v>
      </c>
      <c r="E85" s="3" t="s">
        <v>72</v>
      </c>
      <c r="F85" s="3" t="s">
        <v>72</v>
      </c>
      <c r="G85" s="3" t="s">
        <v>72</v>
      </c>
      <c r="H85" s="3" t="s">
        <v>72</v>
      </c>
      <c r="I85" s="3" t="s">
        <v>72</v>
      </c>
      <c r="J85" s="3" t="s">
        <v>72</v>
      </c>
      <c r="K85" s="3" t="s">
        <v>72</v>
      </c>
      <c r="L85" s="3" t="s">
        <v>72</v>
      </c>
      <c r="M85" s="3" t="s">
        <v>72</v>
      </c>
      <c r="N85" s="3" t="s">
        <v>72</v>
      </c>
      <c r="O85" s="3" t="s">
        <v>72</v>
      </c>
      <c r="P85" s="3" t="s">
        <v>72</v>
      </c>
      <c r="Q85" s="3" t="s">
        <v>72</v>
      </c>
      <c r="R85" s="3" t="s">
        <v>72</v>
      </c>
      <c r="S85" s="3" t="s">
        <v>72</v>
      </c>
      <c r="T85" s="3" t="s">
        <v>72</v>
      </c>
      <c r="U85" s="3" t="s">
        <v>72</v>
      </c>
      <c r="V85" s="3" t="s">
        <v>72</v>
      </c>
      <c r="W85" s="3" t="s">
        <v>72</v>
      </c>
      <c r="X85" s="3" t="s">
        <v>72</v>
      </c>
      <c r="Y85" s="3" t="s">
        <v>72</v>
      </c>
      <c r="Z85" s="3" t="s">
        <v>72</v>
      </c>
      <c r="AA85" s="3" t="s">
        <v>72</v>
      </c>
      <c r="AB85" s="3" t="s">
        <v>72</v>
      </c>
      <c r="AC85" s="3" t="s">
        <v>72</v>
      </c>
      <c r="AD85" s="3" t="s">
        <v>72</v>
      </c>
      <c r="AE85" s="3" t="s">
        <v>72</v>
      </c>
      <c r="AF85" s="3" t="s">
        <v>72</v>
      </c>
      <c r="AG85" s="3" t="s">
        <v>72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72</v>
      </c>
      <c r="E89" s="4" t="s">
        <v>72</v>
      </c>
      <c r="F89" s="4" t="s">
        <v>72</v>
      </c>
      <c r="G89" s="4" t="s">
        <v>72</v>
      </c>
      <c r="H89" s="4" t="s">
        <v>72</v>
      </c>
      <c r="I89" s="4" t="s">
        <v>72</v>
      </c>
      <c r="J89" s="4" t="s">
        <v>72</v>
      </c>
      <c r="K89" s="4" t="s">
        <v>72</v>
      </c>
      <c r="L89" s="4" t="s">
        <v>72</v>
      </c>
      <c r="M89" s="4" t="s">
        <v>72</v>
      </c>
      <c r="N89" s="4" t="s">
        <v>72</v>
      </c>
      <c r="O89" s="4" t="s">
        <v>72</v>
      </c>
      <c r="P89" s="4" t="s">
        <v>72</v>
      </c>
      <c r="Q89" s="4" t="s">
        <v>72</v>
      </c>
      <c r="R89" s="4" t="s">
        <v>72</v>
      </c>
      <c r="S89" s="4" t="s">
        <v>72</v>
      </c>
      <c r="T89" s="4" t="s">
        <v>72</v>
      </c>
      <c r="U89" s="4" t="s">
        <v>72</v>
      </c>
      <c r="V89" s="4" t="s">
        <v>72</v>
      </c>
      <c r="W89" s="4" t="s">
        <v>72</v>
      </c>
      <c r="X89" s="4" t="s">
        <v>72</v>
      </c>
      <c r="Y89" s="4" t="s">
        <v>72</v>
      </c>
      <c r="Z89" s="4" t="s">
        <v>72</v>
      </c>
      <c r="AA89" s="4" t="s">
        <v>72</v>
      </c>
      <c r="AB89" s="4" t="s">
        <v>72</v>
      </c>
      <c r="AC89" s="4" t="s">
        <v>72</v>
      </c>
      <c r="AD89" s="4" t="s">
        <v>72</v>
      </c>
      <c r="AE89" s="4" t="s">
        <v>72</v>
      </c>
      <c r="AF89" s="4" t="s">
        <v>72</v>
      </c>
      <c r="AG89" s="4" t="s">
        <v>72</v>
      </c>
      <c r="AH89" s="4" t="s">
        <v>72</v>
      </c>
    </row>
    <row r="90" spans="2:34">
      <c r="B90" s="85">
        <v>2</v>
      </c>
      <c r="C90" s="90" t="str">
        <f>LEFT(EmpGName02)&amp;" " &amp;EmpSName02</f>
        <v>K Stone</v>
      </c>
      <c r="D90" s="3" t="s">
        <v>72</v>
      </c>
      <c r="E90" s="3" t="s">
        <v>72</v>
      </c>
      <c r="F90" s="3" t="s">
        <v>72</v>
      </c>
      <c r="G90" s="3" t="s">
        <v>72</v>
      </c>
      <c r="H90" s="3" t="s">
        <v>72</v>
      </c>
      <c r="I90" s="3" t="s">
        <v>72</v>
      </c>
      <c r="J90" s="3" t="s">
        <v>72</v>
      </c>
      <c r="K90" s="3" t="s">
        <v>72</v>
      </c>
      <c r="L90" s="3" t="s">
        <v>72</v>
      </c>
      <c r="M90" s="3" t="s">
        <v>72</v>
      </c>
      <c r="N90" s="3" t="s">
        <v>72</v>
      </c>
      <c r="O90" s="3" t="s">
        <v>72</v>
      </c>
      <c r="P90" s="3" t="s">
        <v>72</v>
      </c>
      <c r="Q90" s="3" t="s">
        <v>72</v>
      </c>
      <c r="R90" s="3" t="s">
        <v>72</v>
      </c>
      <c r="S90" s="3" t="s">
        <v>72</v>
      </c>
      <c r="T90" s="3" t="s">
        <v>72</v>
      </c>
      <c r="U90" s="3" t="s">
        <v>72</v>
      </c>
      <c r="V90" s="3" t="s">
        <v>72</v>
      </c>
      <c r="W90" s="3" t="s">
        <v>72</v>
      </c>
      <c r="X90" s="3" t="s">
        <v>72</v>
      </c>
      <c r="Y90" s="3" t="s">
        <v>72</v>
      </c>
      <c r="Z90" s="3" t="s">
        <v>72</v>
      </c>
      <c r="AA90" s="3" t="s">
        <v>72</v>
      </c>
      <c r="AB90" s="3" t="s">
        <v>72</v>
      </c>
      <c r="AC90" s="3" t="s">
        <v>72</v>
      </c>
      <c r="AD90" s="3" t="s">
        <v>72</v>
      </c>
      <c r="AE90" s="3" t="s">
        <v>72</v>
      </c>
      <c r="AF90" s="3" t="s">
        <v>72</v>
      </c>
      <c r="AG90" s="3" t="s">
        <v>72</v>
      </c>
      <c r="AH90" s="3" t="s">
        <v>72</v>
      </c>
    </row>
    <row r="91" spans="2:34">
      <c r="B91" s="85">
        <v>3</v>
      </c>
      <c r="C91" s="89" t="str">
        <f>LEFT(EmpGName03)&amp;" " &amp;EmpSName03</f>
        <v>I Thelning</v>
      </c>
      <c r="D91" s="4" t="s">
        <v>72</v>
      </c>
      <c r="E91" s="4" t="s">
        <v>72</v>
      </c>
      <c r="F91" s="4" t="s">
        <v>72</v>
      </c>
      <c r="G91" s="4" t="s">
        <v>72</v>
      </c>
      <c r="H91" s="4" t="s">
        <v>72</v>
      </c>
      <c r="I91" s="4" t="s">
        <v>72</v>
      </c>
      <c r="J91" s="4" t="s">
        <v>72</v>
      </c>
      <c r="K91" s="4" t="s">
        <v>72</v>
      </c>
      <c r="L91" s="4" t="s">
        <v>72</v>
      </c>
      <c r="M91" s="4" t="s">
        <v>72</v>
      </c>
      <c r="N91" s="4" t="s">
        <v>72</v>
      </c>
      <c r="O91" s="4" t="s">
        <v>72</v>
      </c>
      <c r="P91" s="4" t="s">
        <v>72</v>
      </c>
      <c r="Q91" s="4" t="s">
        <v>72</v>
      </c>
      <c r="R91" s="4" t="s">
        <v>72</v>
      </c>
      <c r="S91" s="4" t="s">
        <v>72</v>
      </c>
      <c r="T91" s="4" t="s">
        <v>72</v>
      </c>
      <c r="U91" s="4" t="s">
        <v>72</v>
      </c>
      <c r="V91" s="4" t="s">
        <v>72</v>
      </c>
      <c r="W91" s="4" t="s">
        <v>72</v>
      </c>
      <c r="X91" s="4" t="s">
        <v>72</v>
      </c>
      <c r="Y91" s="4" t="s">
        <v>72</v>
      </c>
      <c r="Z91" s="4" t="s">
        <v>72</v>
      </c>
      <c r="AA91" s="4" t="s">
        <v>72</v>
      </c>
      <c r="AB91" s="4" t="s">
        <v>72</v>
      </c>
      <c r="AC91" s="4" t="s">
        <v>72</v>
      </c>
      <c r="AD91" s="4" t="s">
        <v>72</v>
      </c>
      <c r="AE91" s="4" t="s">
        <v>72</v>
      </c>
      <c r="AF91" s="4" t="s">
        <v>72</v>
      </c>
      <c r="AG91" s="4" t="s">
        <v>72</v>
      </c>
      <c r="AH91" s="4" t="s">
        <v>72</v>
      </c>
    </row>
    <row r="92" spans="2:34">
      <c r="B92" s="85">
        <v>4</v>
      </c>
      <c r="C92" s="90" t="str">
        <f>LEFT(EmpGName04)&amp;" " &amp;EmpSName04</f>
        <v>L King</v>
      </c>
      <c r="D92" s="3" t="s">
        <v>72</v>
      </c>
      <c r="E92" s="3" t="s">
        <v>72</v>
      </c>
      <c r="F92" s="3" t="s">
        <v>72</v>
      </c>
      <c r="G92" s="3" t="s">
        <v>72</v>
      </c>
      <c r="H92" s="3" t="s">
        <v>72</v>
      </c>
      <c r="I92" s="3" t="s">
        <v>72</v>
      </c>
      <c r="J92" s="3" t="s">
        <v>72</v>
      </c>
      <c r="K92" s="3" t="s">
        <v>72</v>
      </c>
      <c r="L92" s="3" t="s">
        <v>72</v>
      </c>
      <c r="M92" s="3" t="s">
        <v>72</v>
      </c>
      <c r="N92" s="3" t="s">
        <v>72</v>
      </c>
      <c r="O92" s="3" t="s">
        <v>72</v>
      </c>
      <c r="P92" s="3" t="s">
        <v>72</v>
      </c>
      <c r="Q92" s="3" t="s">
        <v>72</v>
      </c>
      <c r="R92" s="3" t="s">
        <v>72</v>
      </c>
      <c r="S92" s="3" t="s">
        <v>72</v>
      </c>
      <c r="T92" s="3" t="s">
        <v>72</v>
      </c>
      <c r="U92" s="3" t="s">
        <v>72</v>
      </c>
      <c r="V92" s="3" t="s">
        <v>72</v>
      </c>
      <c r="W92" s="3" t="s">
        <v>72</v>
      </c>
      <c r="X92" s="3" t="s">
        <v>72</v>
      </c>
      <c r="Y92" s="3" t="s">
        <v>72</v>
      </c>
      <c r="Z92" s="3" t="s">
        <v>72</v>
      </c>
      <c r="AA92" s="3" t="s">
        <v>72</v>
      </c>
      <c r="AB92" s="3" t="s">
        <v>72</v>
      </c>
      <c r="AC92" s="3" t="s">
        <v>72</v>
      </c>
      <c r="AD92" s="3" t="s">
        <v>72</v>
      </c>
      <c r="AE92" s="3" t="s">
        <v>72</v>
      </c>
      <c r="AF92" s="3" t="s">
        <v>72</v>
      </c>
      <c r="AG92" s="3" t="s">
        <v>72</v>
      </c>
      <c r="AH92" s="3" t="s">
        <v>72</v>
      </c>
    </row>
    <row r="93" spans="2:34">
      <c r="B93" s="85">
        <v>5</v>
      </c>
      <c r="C93" s="89" t="str">
        <f>LEFT(EmpGName05)&amp;" " &amp;EmpSName05</f>
        <v>D Castle</v>
      </c>
      <c r="D93" s="4" t="s">
        <v>72</v>
      </c>
      <c r="E93" s="4" t="s">
        <v>72</v>
      </c>
      <c r="F93" s="4" t="s">
        <v>72</v>
      </c>
      <c r="G93" s="4" t="s">
        <v>72</v>
      </c>
      <c r="H93" s="4" t="s">
        <v>72</v>
      </c>
      <c r="I93" s="4" t="s">
        <v>72</v>
      </c>
      <c r="J93" s="4" t="s">
        <v>72</v>
      </c>
      <c r="K93" s="4" t="s">
        <v>72</v>
      </c>
      <c r="L93" s="4" t="s">
        <v>72</v>
      </c>
      <c r="M93" s="4" t="s">
        <v>72</v>
      </c>
      <c r="N93" s="4" t="s">
        <v>72</v>
      </c>
      <c r="O93" s="4" t="s">
        <v>72</v>
      </c>
      <c r="P93" s="4" t="s">
        <v>72</v>
      </c>
      <c r="Q93" s="4" t="s">
        <v>72</v>
      </c>
      <c r="R93" s="4" t="s">
        <v>72</v>
      </c>
      <c r="S93" s="4" t="s">
        <v>72</v>
      </c>
      <c r="T93" s="4" t="s">
        <v>72</v>
      </c>
      <c r="U93" s="4" t="s">
        <v>72</v>
      </c>
      <c r="V93" s="4" t="s">
        <v>72</v>
      </c>
      <c r="W93" s="4" t="s">
        <v>72</v>
      </c>
      <c r="X93" s="4" t="s">
        <v>72</v>
      </c>
      <c r="Y93" s="4" t="s">
        <v>72</v>
      </c>
      <c r="Z93" s="4" t="s">
        <v>72</v>
      </c>
      <c r="AA93" s="4" t="s">
        <v>72</v>
      </c>
      <c r="AB93" s="4" t="s">
        <v>72</v>
      </c>
      <c r="AC93" s="4" t="s">
        <v>72</v>
      </c>
      <c r="AD93" s="4" t="s">
        <v>72</v>
      </c>
      <c r="AE93" s="4" t="s">
        <v>72</v>
      </c>
      <c r="AF93" s="4" t="s">
        <v>72</v>
      </c>
      <c r="AG93" s="4" t="s">
        <v>72</v>
      </c>
      <c r="AH93" s="4" t="s">
        <v>72</v>
      </c>
    </row>
    <row r="94" spans="2:34">
      <c r="B94" s="85">
        <v>6</v>
      </c>
      <c r="C94" s="90" t="str">
        <f>LEFT(EmpGName06)&amp;" " &amp;EmpSName06</f>
        <v>T Sorensen</v>
      </c>
      <c r="D94" s="3" t="s">
        <v>72</v>
      </c>
      <c r="E94" s="3" t="s">
        <v>72</v>
      </c>
      <c r="F94" s="3" t="s">
        <v>72</v>
      </c>
      <c r="G94" s="3" t="s">
        <v>72</v>
      </c>
      <c r="H94" s="3" t="s">
        <v>72</v>
      </c>
      <c r="I94" s="3" t="s">
        <v>72</v>
      </c>
      <c r="J94" s="3" t="s">
        <v>72</v>
      </c>
      <c r="K94" s="3" t="s">
        <v>72</v>
      </c>
      <c r="L94" s="3" t="s">
        <v>72</v>
      </c>
      <c r="M94" s="3" t="s">
        <v>72</v>
      </c>
      <c r="N94" s="3" t="s">
        <v>72</v>
      </c>
      <c r="O94" s="3" t="s">
        <v>72</v>
      </c>
      <c r="P94" s="3" t="s">
        <v>72</v>
      </c>
      <c r="Q94" s="3" t="s">
        <v>72</v>
      </c>
      <c r="R94" s="3" t="s">
        <v>72</v>
      </c>
      <c r="S94" s="3" t="s">
        <v>72</v>
      </c>
      <c r="T94" s="3" t="s">
        <v>72</v>
      </c>
      <c r="U94" s="3" t="s">
        <v>72</v>
      </c>
      <c r="V94" s="3" t="s">
        <v>72</v>
      </c>
      <c r="W94" s="3" t="s">
        <v>72</v>
      </c>
      <c r="X94" s="3" t="s">
        <v>72</v>
      </c>
      <c r="Y94" s="3" t="s">
        <v>72</v>
      </c>
      <c r="Z94" s="3" t="s">
        <v>72</v>
      </c>
      <c r="AA94" s="3" t="s">
        <v>72</v>
      </c>
      <c r="AB94" s="3" t="s">
        <v>72</v>
      </c>
      <c r="AC94" s="3" t="s">
        <v>72</v>
      </c>
      <c r="AD94" s="3" t="s">
        <v>72</v>
      </c>
      <c r="AE94" s="3" t="s">
        <v>72</v>
      </c>
      <c r="AF94" s="3" t="s">
        <v>72</v>
      </c>
      <c r="AG94" s="3" t="s">
        <v>72</v>
      </c>
      <c r="AH94" s="3" t="s">
        <v>72</v>
      </c>
    </row>
    <row r="95" spans="2:34">
      <c r="B95" s="85">
        <v>7</v>
      </c>
      <c r="C95" s="89" t="str">
        <f>LEFT(EmpGName07)&amp;" " &amp;EmpSName07</f>
        <v>R Fielding</v>
      </c>
      <c r="D95" s="4" t="s">
        <v>72</v>
      </c>
      <c r="E95" s="4" t="s">
        <v>72</v>
      </c>
      <c r="F95" s="4" t="s">
        <v>72</v>
      </c>
      <c r="G95" s="4" t="s">
        <v>72</v>
      </c>
      <c r="H95" s="4" t="s">
        <v>72</v>
      </c>
      <c r="I95" s="4" t="s">
        <v>72</v>
      </c>
      <c r="J95" s="4" t="s">
        <v>72</v>
      </c>
      <c r="K95" s="4" t="s">
        <v>72</v>
      </c>
      <c r="L95" s="4" t="s">
        <v>72</v>
      </c>
      <c r="M95" s="4" t="s">
        <v>72</v>
      </c>
      <c r="N95" s="4" t="s">
        <v>72</v>
      </c>
      <c r="O95" s="4" t="s">
        <v>72</v>
      </c>
      <c r="P95" s="4" t="s">
        <v>72</v>
      </c>
      <c r="Q95" s="4" t="s">
        <v>72</v>
      </c>
      <c r="R95" s="4" t="s">
        <v>72</v>
      </c>
      <c r="S95" s="4" t="s">
        <v>72</v>
      </c>
      <c r="T95" s="4" t="s">
        <v>72</v>
      </c>
      <c r="U95" s="4" t="s">
        <v>72</v>
      </c>
      <c r="V95" s="4" t="s">
        <v>72</v>
      </c>
      <c r="W95" s="4" t="s">
        <v>72</v>
      </c>
      <c r="X95" s="4" t="s">
        <v>72</v>
      </c>
      <c r="Y95" s="4" t="s">
        <v>72</v>
      </c>
      <c r="Z95" s="4" t="s">
        <v>72</v>
      </c>
      <c r="AA95" s="4" t="s">
        <v>72</v>
      </c>
      <c r="AB95" s="4" t="s">
        <v>72</v>
      </c>
      <c r="AC95" s="4" t="s">
        <v>72</v>
      </c>
      <c r="AD95" s="4" t="s">
        <v>72</v>
      </c>
      <c r="AE95" s="4" t="s">
        <v>72</v>
      </c>
      <c r="AF95" s="4" t="s">
        <v>72</v>
      </c>
      <c r="AG95" s="4" t="s">
        <v>72</v>
      </c>
      <c r="AH95" s="4" t="s">
        <v>72</v>
      </c>
    </row>
    <row r="96" spans="2:34">
      <c r="B96" s="85">
        <v>8</v>
      </c>
      <c r="C96" s="90" t="str">
        <f>LEFT(EmpGName08)&amp;" " &amp;EmpSName08</f>
        <v>F Flannery</v>
      </c>
      <c r="D96" s="3" t="s">
        <v>72</v>
      </c>
      <c r="E96" s="3" t="s">
        <v>72</v>
      </c>
      <c r="F96" s="3" t="s">
        <v>72</v>
      </c>
      <c r="G96" s="3" t="s">
        <v>72</v>
      </c>
      <c r="H96" s="3" t="s">
        <v>72</v>
      </c>
      <c r="I96" s="3" t="s">
        <v>72</v>
      </c>
      <c r="J96" s="3" t="s">
        <v>72</v>
      </c>
      <c r="K96" s="3" t="s">
        <v>72</v>
      </c>
      <c r="L96" s="3" t="s">
        <v>72</v>
      </c>
      <c r="M96" s="3" t="s">
        <v>72</v>
      </c>
      <c r="N96" s="3" t="s">
        <v>72</v>
      </c>
      <c r="O96" s="3" t="s">
        <v>72</v>
      </c>
      <c r="P96" s="3" t="s">
        <v>72</v>
      </c>
      <c r="Q96" s="3" t="s">
        <v>72</v>
      </c>
      <c r="R96" s="3" t="s">
        <v>72</v>
      </c>
      <c r="S96" s="3" t="s">
        <v>72</v>
      </c>
      <c r="T96" s="3" t="s">
        <v>72</v>
      </c>
      <c r="U96" s="3" t="s">
        <v>72</v>
      </c>
      <c r="V96" s="3" t="s">
        <v>72</v>
      </c>
      <c r="W96" s="3" t="s">
        <v>72</v>
      </c>
      <c r="X96" s="3" t="s">
        <v>72</v>
      </c>
      <c r="Y96" s="3" t="s">
        <v>72</v>
      </c>
      <c r="Z96" s="3" t="s">
        <v>72</v>
      </c>
      <c r="AA96" s="3" t="s">
        <v>72</v>
      </c>
      <c r="AB96" s="3" t="s">
        <v>72</v>
      </c>
      <c r="AC96" s="3" t="s">
        <v>72</v>
      </c>
      <c r="AD96" s="3" t="s">
        <v>72</v>
      </c>
      <c r="AE96" s="3" t="s">
        <v>72</v>
      </c>
      <c r="AF96" s="3" t="s">
        <v>72</v>
      </c>
      <c r="AG96" s="3" t="s">
        <v>72</v>
      </c>
      <c r="AH96" s="3" t="s">
        <v>72</v>
      </c>
    </row>
    <row r="97" spans="2:34">
      <c r="B97" s="85">
        <v>9</v>
      </c>
      <c r="C97" s="89" t="str">
        <f>LEFT(EmpGName09)&amp;" " &amp;EmpSName09</f>
        <v>P Hogan</v>
      </c>
      <c r="D97" s="4" t="s">
        <v>72</v>
      </c>
      <c r="E97" s="4" t="s">
        <v>72</v>
      </c>
      <c r="F97" s="4" t="s">
        <v>72</v>
      </c>
      <c r="G97" s="4" t="s">
        <v>72</v>
      </c>
      <c r="H97" s="4" t="s">
        <v>72</v>
      </c>
      <c r="I97" s="4" t="s">
        <v>72</v>
      </c>
      <c r="J97" s="4" t="s">
        <v>72</v>
      </c>
      <c r="K97" s="4" t="s">
        <v>72</v>
      </c>
      <c r="L97" s="4" t="s">
        <v>72</v>
      </c>
      <c r="M97" s="4" t="s">
        <v>72</v>
      </c>
      <c r="N97" s="4" t="s">
        <v>72</v>
      </c>
      <c r="O97" s="4" t="s">
        <v>72</v>
      </c>
      <c r="P97" s="4" t="s">
        <v>72</v>
      </c>
      <c r="Q97" s="4" t="s">
        <v>72</v>
      </c>
      <c r="R97" s="4" t="s">
        <v>72</v>
      </c>
      <c r="S97" s="4" t="s">
        <v>72</v>
      </c>
      <c r="T97" s="4" t="s">
        <v>72</v>
      </c>
      <c r="U97" s="4" t="s">
        <v>72</v>
      </c>
      <c r="V97" s="4" t="s">
        <v>72</v>
      </c>
      <c r="W97" s="4" t="s">
        <v>72</v>
      </c>
      <c r="X97" s="4" t="s">
        <v>72</v>
      </c>
      <c r="Y97" s="4" t="s">
        <v>72</v>
      </c>
      <c r="Z97" s="4" t="s">
        <v>72</v>
      </c>
      <c r="AA97" s="4" t="s">
        <v>72</v>
      </c>
      <c r="AB97" s="4" t="s">
        <v>72</v>
      </c>
      <c r="AC97" s="4" t="s">
        <v>72</v>
      </c>
      <c r="AD97" s="4" t="s">
        <v>72</v>
      </c>
      <c r="AE97" s="4" t="s">
        <v>72</v>
      </c>
      <c r="AF97" s="4" t="s">
        <v>72</v>
      </c>
      <c r="AG97" s="4" t="s">
        <v>72</v>
      </c>
      <c r="AH97" s="4" t="s">
        <v>72</v>
      </c>
    </row>
    <row r="98" spans="2:34">
      <c r="B98" s="152">
        <v>10</v>
      </c>
      <c r="C98" s="90" t="str">
        <f>LEFT(EmpGName10)&amp;" " &amp;EmpSName10</f>
        <v>J Stretton</v>
      </c>
      <c r="D98" s="3" t="s">
        <v>72</v>
      </c>
      <c r="E98" s="3" t="s">
        <v>72</v>
      </c>
      <c r="F98" s="3" t="s">
        <v>72</v>
      </c>
      <c r="G98" s="3" t="s">
        <v>72</v>
      </c>
      <c r="H98" s="3" t="s">
        <v>72</v>
      </c>
      <c r="I98" s="3" t="s">
        <v>72</v>
      </c>
      <c r="J98" s="3" t="s">
        <v>72</v>
      </c>
      <c r="K98" s="3" t="s">
        <v>72</v>
      </c>
      <c r="L98" s="3" t="s">
        <v>72</v>
      </c>
      <c r="M98" s="3" t="s">
        <v>72</v>
      </c>
      <c r="N98" s="3" t="s">
        <v>72</v>
      </c>
      <c r="O98" s="3" t="s">
        <v>72</v>
      </c>
      <c r="P98" s="3" t="s">
        <v>72</v>
      </c>
      <c r="Q98" s="3" t="s">
        <v>72</v>
      </c>
      <c r="R98" s="3" t="s">
        <v>72</v>
      </c>
      <c r="S98" s="3" t="s">
        <v>72</v>
      </c>
      <c r="T98" s="3" t="s">
        <v>72</v>
      </c>
      <c r="U98" s="3" t="s">
        <v>72</v>
      </c>
      <c r="V98" s="3" t="s">
        <v>72</v>
      </c>
      <c r="W98" s="3" t="s">
        <v>72</v>
      </c>
      <c r="X98" s="3" t="s">
        <v>72</v>
      </c>
      <c r="Y98" s="3" t="s">
        <v>72</v>
      </c>
      <c r="Z98" s="3" t="s">
        <v>72</v>
      </c>
      <c r="AA98" s="3" t="s">
        <v>72</v>
      </c>
      <c r="AB98" s="3" t="s">
        <v>72</v>
      </c>
      <c r="AC98" s="3" t="s">
        <v>72</v>
      </c>
      <c r="AD98" s="3" t="s">
        <v>72</v>
      </c>
      <c r="AE98" s="3" t="s">
        <v>72</v>
      </c>
      <c r="AF98" s="3" t="s">
        <v>72</v>
      </c>
      <c r="AG98" s="3" t="s">
        <v>72</v>
      </c>
      <c r="AH98" s="3" t="s">
        <v>72</v>
      </c>
    </row>
    <row r="99" spans="2:34" s="70" customFormat="1">
      <c r="B99" s="152">
        <v>11</v>
      </c>
      <c r="C99" s="89" t="str">
        <f>LEFT(EmpGName11)&amp;" " &amp;EmpSName11</f>
        <v>M Rowe</v>
      </c>
      <c r="D99" s="4" t="s">
        <v>72</v>
      </c>
      <c r="E99" s="4" t="s">
        <v>72</v>
      </c>
      <c r="F99" s="4" t="s">
        <v>72</v>
      </c>
      <c r="G99" s="4" t="s">
        <v>72</v>
      </c>
      <c r="H99" s="4" t="s">
        <v>72</v>
      </c>
      <c r="I99" s="4" t="s">
        <v>72</v>
      </c>
      <c r="J99" s="4" t="s">
        <v>72</v>
      </c>
      <c r="K99" s="4" t="s">
        <v>72</v>
      </c>
      <c r="L99" s="4" t="s">
        <v>72</v>
      </c>
      <c r="M99" s="4" t="s">
        <v>72</v>
      </c>
      <c r="N99" s="4" t="s">
        <v>72</v>
      </c>
      <c r="O99" s="4" t="s">
        <v>72</v>
      </c>
      <c r="P99" s="4" t="s">
        <v>72</v>
      </c>
      <c r="Q99" s="4" t="s">
        <v>72</v>
      </c>
      <c r="R99" s="4" t="s">
        <v>72</v>
      </c>
      <c r="S99" s="4" t="s">
        <v>72</v>
      </c>
      <c r="T99" s="4" t="s">
        <v>72</v>
      </c>
      <c r="U99" s="4" t="s">
        <v>72</v>
      </c>
      <c r="V99" s="4" t="s">
        <v>72</v>
      </c>
      <c r="W99" s="4" t="s">
        <v>72</v>
      </c>
      <c r="X99" s="4" t="s">
        <v>72</v>
      </c>
      <c r="Y99" s="4" t="s">
        <v>72</v>
      </c>
      <c r="Z99" s="4" t="s">
        <v>72</v>
      </c>
      <c r="AA99" s="4" t="s">
        <v>72</v>
      </c>
      <c r="AB99" s="4" t="s">
        <v>72</v>
      </c>
      <c r="AC99" s="4" t="s">
        <v>72</v>
      </c>
      <c r="AD99" s="4" t="s">
        <v>72</v>
      </c>
      <c r="AE99" s="4" t="s">
        <v>72</v>
      </c>
      <c r="AF99" s="4" t="s">
        <v>72</v>
      </c>
      <c r="AG99" s="4" t="s">
        <v>72</v>
      </c>
      <c r="AH99" s="4" t="s">
        <v>72</v>
      </c>
    </row>
    <row r="100" spans="2:34" s="70" customFormat="1" hidden="1">
      <c r="B100" s="152">
        <v>12</v>
      </c>
      <c r="C100" s="90" t="str">
        <f>LEFT(EmpGName12)&amp;" " &amp;EmpSName12</f>
        <v xml:space="preserve"> </v>
      </c>
      <c r="D100" s="3" t="s">
        <v>72</v>
      </c>
      <c r="E100" s="3" t="s">
        <v>72</v>
      </c>
      <c r="F100" s="3" t="s">
        <v>72</v>
      </c>
      <c r="G100" s="3" t="s">
        <v>72</v>
      </c>
      <c r="H100" s="3" t="s">
        <v>72</v>
      </c>
      <c r="I100" s="3" t="s">
        <v>72</v>
      </c>
      <c r="J100" s="3" t="s">
        <v>72</v>
      </c>
      <c r="K100" s="3" t="s">
        <v>72</v>
      </c>
      <c r="L100" s="3" t="s">
        <v>72</v>
      </c>
      <c r="M100" s="3" t="s">
        <v>72</v>
      </c>
      <c r="N100" s="3" t="s">
        <v>72</v>
      </c>
      <c r="O100" s="3" t="s">
        <v>72</v>
      </c>
      <c r="P100" s="3" t="s">
        <v>72</v>
      </c>
      <c r="Q100" s="3" t="s">
        <v>72</v>
      </c>
      <c r="R100" s="3" t="s">
        <v>72</v>
      </c>
      <c r="S100" s="3" t="s">
        <v>72</v>
      </c>
      <c r="T100" s="3" t="s">
        <v>72</v>
      </c>
      <c r="U100" s="3" t="s">
        <v>72</v>
      </c>
      <c r="V100" s="3" t="s">
        <v>72</v>
      </c>
      <c r="W100" s="3" t="s">
        <v>72</v>
      </c>
      <c r="X100" s="3" t="s">
        <v>72</v>
      </c>
      <c r="Y100" s="3" t="s">
        <v>72</v>
      </c>
      <c r="Z100" s="3" t="s">
        <v>72</v>
      </c>
      <c r="AA100" s="3" t="s">
        <v>72</v>
      </c>
      <c r="AB100" s="3" t="s">
        <v>72</v>
      </c>
      <c r="AC100" s="3" t="s">
        <v>72</v>
      </c>
      <c r="AD100" s="3" t="s">
        <v>72</v>
      </c>
      <c r="AE100" s="3" t="s">
        <v>72</v>
      </c>
      <c r="AF100" s="3" t="s">
        <v>72</v>
      </c>
      <c r="AG100" s="3" t="s">
        <v>72</v>
      </c>
      <c r="AH100" s="3" t="s">
        <v>72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72</v>
      </c>
      <c r="E104" s="82" t="s">
        <v>72</v>
      </c>
      <c r="F104" s="4" t="s">
        <v>72</v>
      </c>
      <c r="G104" s="4" t="s">
        <v>72</v>
      </c>
      <c r="H104" s="4" t="s">
        <v>72</v>
      </c>
      <c r="I104" s="4" t="s">
        <v>72</v>
      </c>
      <c r="J104" s="4" t="s">
        <v>72</v>
      </c>
      <c r="K104" s="4" t="s">
        <v>72</v>
      </c>
      <c r="L104" s="4" t="s">
        <v>72</v>
      </c>
      <c r="M104" s="4" t="s">
        <v>72</v>
      </c>
      <c r="N104" s="4" t="s">
        <v>72</v>
      </c>
      <c r="O104" s="4" t="s">
        <v>72</v>
      </c>
      <c r="P104" s="4" t="s">
        <v>72</v>
      </c>
      <c r="Q104" s="4" t="s">
        <v>72</v>
      </c>
      <c r="R104" s="4" t="s">
        <v>72</v>
      </c>
      <c r="S104" s="4" t="s">
        <v>72</v>
      </c>
      <c r="T104" s="4" t="s">
        <v>72</v>
      </c>
      <c r="U104" s="4" t="s">
        <v>72</v>
      </c>
      <c r="V104" s="4" t="s">
        <v>72</v>
      </c>
      <c r="W104" s="4" t="s">
        <v>72</v>
      </c>
      <c r="X104" s="4" t="s">
        <v>72</v>
      </c>
      <c r="Y104" s="4" t="s">
        <v>72</v>
      </c>
      <c r="Z104" s="4" t="s">
        <v>72</v>
      </c>
      <c r="AA104" s="4" t="s">
        <v>72</v>
      </c>
      <c r="AB104" s="4" t="s">
        <v>72</v>
      </c>
      <c r="AC104" s="4" t="s">
        <v>72</v>
      </c>
      <c r="AD104" s="4" t="s">
        <v>72</v>
      </c>
      <c r="AE104" s="4" t="s">
        <v>72</v>
      </c>
      <c r="AF104" s="4" t="s">
        <v>72</v>
      </c>
      <c r="AG104" s="4" t="s">
        <v>72</v>
      </c>
      <c r="AH104" s="4" t="s">
        <v>72</v>
      </c>
    </row>
    <row r="105" spans="2:34">
      <c r="B105" s="83">
        <v>2</v>
      </c>
      <c r="C105" s="90" t="str">
        <f>LEFT(EmpGName02)&amp;" " &amp;EmpSName02</f>
        <v>K Stone</v>
      </c>
      <c r="D105" s="3" t="s">
        <v>72</v>
      </c>
      <c r="E105" s="3" t="s">
        <v>72</v>
      </c>
      <c r="F105" s="3" t="s">
        <v>72</v>
      </c>
      <c r="G105" s="3" t="s">
        <v>72</v>
      </c>
      <c r="H105" s="3" t="s">
        <v>72</v>
      </c>
      <c r="I105" s="3" t="s">
        <v>72</v>
      </c>
      <c r="J105" s="3" t="s">
        <v>72</v>
      </c>
      <c r="K105" s="3" t="s">
        <v>72</v>
      </c>
      <c r="L105" s="3" t="s">
        <v>72</v>
      </c>
      <c r="M105" s="3" t="s">
        <v>72</v>
      </c>
      <c r="N105" s="3" t="s">
        <v>72</v>
      </c>
      <c r="O105" s="3" t="s">
        <v>72</v>
      </c>
      <c r="P105" s="3" t="s">
        <v>72</v>
      </c>
      <c r="Q105" s="3" t="s">
        <v>72</v>
      </c>
      <c r="R105" s="3" t="s">
        <v>72</v>
      </c>
      <c r="S105" s="3" t="s">
        <v>72</v>
      </c>
      <c r="T105" s="3" t="s">
        <v>72</v>
      </c>
      <c r="U105" s="3" t="s">
        <v>72</v>
      </c>
      <c r="V105" s="3" t="s">
        <v>72</v>
      </c>
      <c r="W105" s="3" t="s">
        <v>72</v>
      </c>
      <c r="X105" s="3" t="s">
        <v>72</v>
      </c>
      <c r="Y105" s="3" t="s">
        <v>72</v>
      </c>
      <c r="Z105" s="3" t="s">
        <v>72</v>
      </c>
      <c r="AA105" s="3" t="s">
        <v>72</v>
      </c>
      <c r="AB105" s="3" t="s">
        <v>72</v>
      </c>
      <c r="AC105" s="3" t="s">
        <v>72</v>
      </c>
      <c r="AD105" s="3" t="s">
        <v>72</v>
      </c>
      <c r="AE105" s="3" t="s">
        <v>72</v>
      </c>
      <c r="AF105" s="3" t="s">
        <v>72</v>
      </c>
      <c r="AG105" s="3" t="s">
        <v>72</v>
      </c>
      <c r="AH105" s="3" t="s">
        <v>72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72</v>
      </c>
      <c r="E106" s="4" t="s">
        <v>72</v>
      </c>
      <c r="F106" s="4" t="s">
        <v>72</v>
      </c>
      <c r="G106" s="4" t="s">
        <v>72</v>
      </c>
      <c r="H106" s="4" t="s">
        <v>72</v>
      </c>
      <c r="I106" s="4" t="s">
        <v>72</v>
      </c>
      <c r="J106" s="4" t="s">
        <v>72</v>
      </c>
      <c r="K106" s="4" t="s">
        <v>72</v>
      </c>
      <c r="L106" s="4" t="s">
        <v>72</v>
      </c>
      <c r="M106" s="4" t="s">
        <v>72</v>
      </c>
      <c r="N106" s="4" t="s">
        <v>72</v>
      </c>
      <c r="O106" s="4" t="s">
        <v>72</v>
      </c>
      <c r="P106" s="4" t="s">
        <v>72</v>
      </c>
      <c r="Q106" s="4" t="s">
        <v>72</v>
      </c>
      <c r="R106" s="4" t="s">
        <v>72</v>
      </c>
      <c r="S106" s="4" t="s">
        <v>72</v>
      </c>
      <c r="T106" s="4" t="s">
        <v>72</v>
      </c>
      <c r="U106" s="4" t="s">
        <v>72</v>
      </c>
      <c r="V106" s="4" t="s">
        <v>72</v>
      </c>
      <c r="W106" s="4" t="s">
        <v>72</v>
      </c>
      <c r="X106" s="4" t="s">
        <v>72</v>
      </c>
      <c r="Y106" s="4" t="s">
        <v>72</v>
      </c>
      <c r="Z106" s="4" t="s">
        <v>72</v>
      </c>
      <c r="AA106" s="4" t="s">
        <v>72</v>
      </c>
      <c r="AB106" s="4" t="s">
        <v>72</v>
      </c>
      <c r="AC106" s="4" t="s">
        <v>72</v>
      </c>
      <c r="AD106" s="4" t="s">
        <v>72</v>
      </c>
      <c r="AE106" s="4" t="s">
        <v>72</v>
      </c>
      <c r="AF106" s="4" t="s">
        <v>72</v>
      </c>
      <c r="AG106" s="4" t="s">
        <v>72</v>
      </c>
      <c r="AH106" s="4" t="s">
        <v>72</v>
      </c>
    </row>
    <row r="107" spans="2:34">
      <c r="B107" s="83">
        <v>4</v>
      </c>
      <c r="C107" s="90" t="str">
        <f>LEFT(EmpGName04)&amp;" " &amp;EmpSName04</f>
        <v>L King</v>
      </c>
      <c r="D107" s="3" t="s">
        <v>72</v>
      </c>
      <c r="E107" s="3" t="s">
        <v>72</v>
      </c>
      <c r="F107" s="3" t="s">
        <v>72</v>
      </c>
      <c r="G107" s="3" t="s">
        <v>72</v>
      </c>
      <c r="H107" s="3" t="s">
        <v>72</v>
      </c>
      <c r="I107" s="3" t="s">
        <v>72</v>
      </c>
      <c r="J107" s="3" t="s">
        <v>72</v>
      </c>
      <c r="K107" s="3" t="s">
        <v>72</v>
      </c>
      <c r="L107" s="3" t="s">
        <v>72</v>
      </c>
      <c r="M107" s="3" t="s">
        <v>72</v>
      </c>
      <c r="N107" s="3" t="s">
        <v>72</v>
      </c>
      <c r="O107" s="3" t="s">
        <v>72</v>
      </c>
      <c r="P107" s="3" t="s">
        <v>72</v>
      </c>
      <c r="Q107" s="3" t="s">
        <v>72</v>
      </c>
      <c r="R107" s="3" t="s">
        <v>72</v>
      </c>
      <c r="S107" s="3" t="s">
        <v>72</v>
      </c>
      <c r="T107" s="3" t="s">
        <v>72</v>
      </c>
      <c r="U107" s="3" t="s">
        <v>72</v>
      </c>
      <c r="V107" s="3" t="s">
        <v>72</v>
      </c>
      <c r="W107" s="3" t="s">
        <v>72</v>
      </c>
      <c r="X107" s="3" t="s">
        <v>72</v>
      </c>
      <c r="Y107" s="3" t="s">
        <v>72</v>
      </c>
      <c r="Z107" s="3" t="s">
        <v>72</v>
      </c>
      <c r="AA107" s="3" t="s">
        <v>72</v>
      </c>
      <c r="AB107" s="3" t="s">
        <v>72</v>
      </c>
      <c r="AC107" s="3" t="s">
        <v>72</v>
      </c>
      <c r="AD107" s="3" t="s">
        <v>72</v>
      </c>
      <c r="AE107" s="3" t="s">
        <v>72</v>
      </c>
      <c r="AF107" s="3" t="s">
        <v>72</v>
      </c>
      <c r="AG107" s="3" t="s">
        <v>72</v>
      </c>
      <c r="AH107" s="3" t="s">
        <v>72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72</v>
      </c>
      <c r="E108" s="4" t="s">
        <v>72</v>
      </c>
      <c r="F108" s="4" t="s">
        <v>72</v>
      </c>
      <c r="G108" s="4" t="s">
        <v>72</v>
      </c>
      <c r="H108" s="4" t="s">
        <v>72</v>
      </c>
      <c r="I108" s="4" t="s">
        <v>72</v>
      </c>
      <c r="J108" s="4" t="s">
        <v>72</v>
      </c>
      <c r="K108" s="4" t="s">
        <v>72</v>
      </c>
      <c r="L108" s="4" t="s">
        <v>72</v>
      </c>
      <c r="M108" s="4" t="s">
        <v>72</v>
      </c>
      <c r="N108" s="4" t="s">
        <v>72</v>
      </c>
      <c r="O108" s="4" t="s">
        <v>72</v>
      </c>
      <c r="P108" s="4" t="s">
        <v>72</v>
      </c>
      <c r="Q108" s="4" t="s">
        <v>72</v>
      </c>
      <c r="R108" s="4" t="s">
        <v>72</v>
      </c>
      <c r="S108" s="4" t="s">
        <v>72</v>
      </c>
      <c r="T108" s="4" t="s">
        <v>72</v>
      </c>
      <c r="U108" s="4" t="s">
        <v>72</v>
      </c>
      <c r="V108" s="4" t="s">
        <v>72</v>
      </c>
      <c r="W108" s="4" t="s">
        <v>72</v>
      </c>
      <c r="X108" s="4" t="s">
        <v>72</v>
      </c>
      <c r="Y108" s="4" t="s">
        <v>72</v>
      </c>
      <c r="Z108" s="4" t="s">
        <v>72</v>
      </c>
      <c r="AA108" s="4" t="s">
        <v>72</v>
      </c>
      <c r="AB108" s="4" t="s">
        <v>72</v>
      </c>
      <c r="AC108" s="4" t="s">
        <v>72</v>
      </c>
      <c r="AD108" s="4" t="s">
        <v>72</v>
      </c>
      <c r="AE108" s="4" t="s">
        <v>72</v>
      </c>
      <c r="AF108" s="4" t="s">
        <v>72</v>
      </c>
      <c r="AG108" s="4" t="s">
        <v>72</v>
      </c>
      <c r="AH108" s="4" t="s">
        <v>72</v>
      </c>
    </row>
    <row r="109" spans="2:34">
      <c r="B109" s="83">
        <v>6</v>
      </c>
      <c r="C109" s="90" t="str">
        <f>LEFT(EmpGName06)&amp;" " &amp;EmpSName06</f>
        <v>T Sorensen</v>
      </c>
      <c r="D109" s="3" t="s">
        <v>72</v>
      </c>
      <c r="E109" s="3" t="s">
        <v>72</v>
      </c>
      <c r="F109" s="3" t="s">
        <v>72</v>
      </c>
      <c r="G109" s="3" t="s">
        <v>72</v>
      </c>
      <c r="H109" s="3" t="s">
        <v>72</v>
      </c>
      <c r="I109" s="3" t="s">
        <v>72</v>
      </c>
      <c r="J109" s="3" t="s">
        <v>72</v>
      </c>
      <c r="K109" s="3" t="s">
        <v>72</v>
      </c>
      <c r="L109" s="3" t="s">
        <v>72</v>
      </c>
      <c r="M109" s="3" t="s">
        <v>72</v>
      </c>
      <c r="N109" s="3" t="s">
        <v>72</v>
      </c>
      <c r="O109" s="3" t="s">
        <v>72</v>
      </c>
      <c r="P109" s="3" t="s">
        <v>72</v>
      </c>
      <c r="Q109" s="3" t="s">
        <v>72</v>
      </c>
      <c r="R109" s="3" t="s">
        <v>72</v>
      </c>
      <c r="S109" s="3" t="s">
        <v>72</v>
      </c>
      <c r="T109" s="3" t="s">
        <v>72</v>
      </c>
      <c r="U109" s="3" t="s">
        <v>72</v>
      </c>
      <c r="V109" s="3" t="s">
        <v>72</v>
      </c>
      <c r="W109" s="3" t="s">
        <v>72</v>
      </c>
      <c r="X109" s="3" t="s">
        <v>72</v>
      </c>
      <c r="Y109" s="3" t="s">
        <v>72</v>
      </c>
      <c r="Z109" s="3" t="s">
        <v>72</v>
      </c>
      <c r="AA109" s="3" t="s">
        <v>72</v>
      </c>
      <c r="AB109" s="3" t="s">
        <v>72</v>
      </c>
      <c r="AC109" s="3" t="s">
        <v>72</v>
      </c>
      <c r="AD109" s="3" t="s">
        <v>72</v>
      </c>
      <c r="AE109" s="3" t="s">
        <v>72</v>
      </c>
      <c r="AF109" s="3" t="s">
        <v>72</v>
      </c>
      <c r="AG109" s="3" t="s">
        <v>72</v>
      </c>
      <c r="AH109" s="3" t="s">
        <v>72</v>
      </c>
    </row>
    <row r="110" spans="2:34">
      <c r="B110" s="83">
        <v>7</v>
      </c>
      <c r="C110" s="89" t="str">
        <f>LEFT(EmpGName07)&amp;" " &amp;EmpSName07</f>
        <v>R Fielding</v>
      </c>
      <c r="D110" s="4" t="s">
        <v>72</v>
      </c>
      <c r="E110" s="4" t="s">
        <v>72</v>
      </c>
      <c r="F110" s="4" t="s">
        <v>72</v>
      </c>
      <c r="G110" s="4" t="s">
        <v>72</v>
      </c>
      <c r="H110" s="4" t="s">
        <v>72</v>
      </c>
      <c r="I110" s="4" t="s">
        <v>72</v>
      </c>
      <c r="J110" s="4" t="s">
        <v>72</v>
      </c>
      <c r="K110" s="4" t="s">
        <v>72</v>
      </c>
      <c r="L110" s="4" t="s">
        <v>72</v>
      </c>
      <c r="M110" s="4" t="s">
        <v>72</v>
      </c>
      <c r="N110" s="4" t="s">
        <v>72</v>
      </c>
      <c r="O110" s="4" t="s">
        <v>72</v>
      </c>
      <c r="P110" s="4" t="s">
        <v>72</v>
      </c>
      <c r="Q110" s="4" t="s">
        <v>72</v>
      </c>
      <c r="R110" s="4" t="s">
        <v>72</v>
      </c>
      <c r="S110" s="4" t="s">
        <v>72</v>
      </c>
      <c r="T110" s="4" t="s">
        <v>72</v>
      </c>
      <c r="U110" s="4" t="s">
        <v>72</v>
      </c>
      <c r="V110" s="4" t="s">
        <v>72</v>
      </c>
      <c r="W110" s="4" t="s">
        <v>72</v>
      </c>
      <c r="X110" s="4" t="s">
        <v>72</v>
      </c>
      <c r="Y110" s="4" t="s">
        <v>72</v>
      </c>
      <c r="Z110" s="4" t="s">
        <v>72</v>
      </c>
      <c r="AA110" s="4" t="s">
        <v>72</v>
      </c>
      <c r="AB110" s="4" t="s">
        <v>72</v>
      </c>
      <c r="AC110" s="4" t="s">
        <v>72</v>
      </c>
      <c r="AD110" s="4" t="s">
        <v>72</v>
      </c>
      <c r="AE110" s="4" t="s">
        <v>72</v>
      </c>
      <c r="AF110" s="4" t="s">
        <v>72</v>
      </c>
      <c r="AG110" s="4" t="s">
        <v>72</v>
      </c>
      <c r="AH110" s="4" t="s">
        <v>72</v>
      </c>
    </row>
    <row r="111" spans="2:34">
      <c r="B111" s="83">
        <v>8</v>
      </c>
      <c r="C111" s="90" t="str">
        <f>LEFT(EmpGName08)&amp;" " &amp;EmpSName08</f>
        <v>F Flannery</v>
      </c>
      <c r="D111" s="3" t="s">
        <v>72</v>
      </c>
      <c r="E111" s="3" t="s">
        <v>72</v>
      </c>
      <c r="F111" s="3" t="s">
        <v>72</v>
      </c>
      <c r="G111" s="3" t="s">
        <v>72</v>
      </c>
      <c r="H111" s="3" t="s">
        <v>72</v>
      </c>
      <c r="I111" s="3" t="s">
        <v>72</v>
      </c>
      <c r="J111" s="3" t="s">
        <v>72</v>
      </c>
      <c r="K111" s="3" t="s">
        <v>72</v>
      </c>
      <c r="L111" s="3" t="s">
        <v>72</v>
      </c>
      <c r="M111" s="3" t="s">
        <v>72</v>
      </c>
      <c r="N111" s="3" t="s">
        <v>72</v>
      </c>
      <c r="O111" s="3" t="s">
        <v>72</v>
      </c>
      <c r="P111" s="3" t="s">
        <v>72</v>
      </c>
      <c r="Q111" s="3" t="s">
        <v>72</v>
      </c>
      <c r="R111" s="3" t="s">
        <v>72</v>
      </c>
      <c r="S111" s="3" t="s">
        <v>72</v>
      </c>
      <c r="T111" s="3" t="s">
        <v>72</v>
      </c>
      <c r="U111" s="3" t="s">
        <v>72</v>
      </c>
      <c r="V111" s="3" t="s">
        <v>72</v>
      </c>
      <c r="W111" s="3" t="s">
        <v>72</v>
      </c>
      <c r="X111" s="3" t="s">
        <v>72</v>
      </c>
      <c r="Y111" s="3" t="s">
        <v>72</v>
      </c>
      <c r="Z111" s="3" t="s">
        <v>72</v>
      </c>
      <c r="AA111" s="3" t="s">
        <v>72</v>
      </c>
      <c r="AB111" s="3" t="s">
        <v>72</v>
      </c>
      <c r="AC111" s="3" t="s">
        <v>72</v>
      </c>
      <c r="AD111" s="3" t="s">
        <v>72</v>
      </c>
      <c r="AE111" s="3" t="s">
        <v>72</v>
      </c>
      <c r="AF111" s="3" t="s">
        <v>72</v>
      </c>
      <c r="AG111" s="3" t="s">
        <v>72</v>
      </c>
      <c r="AH111" s="3" t="s">
        <v>72</v>
      </c>
    </row>
    <row r="112" spans="2:34">
      <c r="B112" s="83">
        <v>9</v>
      </c>
      <c r="C112" s="89" t="str">
        <f>LEFT(EmpGName09)&amp;" " &amp;EmpSName09</f>
        <v>P Hogan</v>
      </c>
      <c r="D112" s="4" t="s">
        <v>72</v>
      </c>
      <c r="E112" s="4" t="s">
        <v>72</v>
      </c>
      <c r="F112" s="4" t="s">
        <v>72</v>
      </c>
      <c r="G112" s="4" t="s">
        <v>72</v>
      </c>
      <c r="H112" s="4" t="s">
        <v>72</v>
      </c>
      <c r="I112" s="4" t="s">
        <v>72</v>
      </c>
      <c r="J112" s="4" t="s">
        <v>72</v>
      </c>
      <c r="K112" s="4" t="s">
        <v>72</v>
      </c>
      <c r="L112" s="4" t="s">
        <v>72</v>
      </c>
      <c r="M112" s="4" t="s">
        <v>72</v>
      </c>
      <c r="N112" s="4" t="s">
        <v>72</v>
      </c>
      <c r="O112" s="4" t="s">
        <v>72</v>
      </c>
      <c r="P112" s="4" t="s">
        <v>72</v>
      </c>
      <c r="Q112" s="4" t="s">
        <v>72</v>
      </c>
      <c r="R112" s="4" t="s">
        <v>72</v>
      </c>
      <c r="S112" s="4" t="s">
        <v>72</v>
      </c>
      <c r="T112" s="4" t="s">
        <v>72</v>
      </c>
      <c r="U112" s="4" t="s">
        <v>72</v>
      </c>
      <c r="V112" s="4" t="s">
        <v>72</v>
      </c>
      <c r="W112" s="4" t="s">
        <v>72</v>
      </c>
      <c r="X112" s="4" t="s">
        <v>72</v>
      </c>
      <c r="Y112" s="4" t="s">
        <v>72</v>
      </c>
      <c r="Z112" s="4" t="s">
        <v>72</v>
      </c>
      <c r="AA112" s="4" t="s">
        <v>72</v>
      </c>
      <c r="AB112" s="4" t="s">
        <v>72</v>
      </c>
      <c r="AC112" s="4" t="s">
        <v>72</v>
      </c>
      <c r="AD112" s="4" t="s">
        <v>72</v>
      </c>
      <c r="AE112" s="4" t="s">
        <v>72</v>
      </c>
      <c r="AF112" s="4" t="s">
        <v>72</v>
      </c>
      <c r="AG112" s="4" t="s">
        <v>72</v>
      </c>
      <c r="AH112" s="4" t="s">
        <v>72</v>
      </c>
    </row>
    <row r="113" spans="2:34">
      <c r="B113" s="153">
        <v>10</v>
      </c>
      <c r="C113" s="91" t="str">
        <f>LEFT(EmpGName10)&amp;" " &amp;EmpSName10</f>
        <v>J Stretton</v>
      </c>
      <c r="D113" s="68" t="s">
        <v>72</v>
      </c>
      <c r="E113" s="68" t="s">
        <v>72</v>
      </c>
      <c r="F113" s="68" t="s">
        <v>72</v>
      </c>
      <c r="G113" s="68" t="s">
        <v>72</v>
      </c>
      <c r="H113" s="68" t="s">
        <v>72</v>
      </c>
      <c r="I113" s="68" t="s">
        <v>72</v>
      </c>
      <c r="J113" s="68" t="s">
        <v>72</v>
      </c>
      <c r="K113" s="68" t="s">
        <v>72</v>
      </c>
      <c r="L113" s="68" t="s">
        <v>72</v>
      </c>
      <c r="M113" s="68" t="s">
        <v>72</v>
      </c>
      <c r="N113" s="68" t="s">
        <v>72</v>
      </c>
      <c r="O113" s="68" t="s">
        <v>72</v>
      </c>
      <c r="P113" s="68" t="s">
        <v>72</v>
      </c>
      <c r="Q113" s="68" t="s">
        <v>72</v>
      </c>
      <c r="R113" s="68" t="s">
        <v>72</v>
      </c>
      <c r="S113" s="68" t="s">
        <v>72</v>
      </c>
      <c r="T113" s="68" t="s">
        <v>72</v>
      </c>
      <c r="U113" s="68" t="s">
        <v>72</v>
      </c>
      <c r="V113" s="68" t="s">
        <v>72</v>
      </c>
      <c r="W113" s="68" t="s">
        <v>72</v>
      </c>
      <c r="X113" s="68" t="s">
        <v>72</v>
      </c>
      <c r="Y113" s="68" t="s">
        <v>72</v>
      </c>
      <c r="Z113" s="68" t="s">
        <v>72</v>
      </c>
      <c r="AA113" s="68" t="s">
        <v>72</v>
      </c>
      <c r="AB113" s="68" t="s">
        <v>72</v>
      </c>
      <c r="AC113" s="68" t="s">
        <v>72</v>
      </c>
      <c r="AD113" s="68" t="s">
        <v>72</v>
      </c>
      <c r="AE113" s="68" t="s">
        <v>72</v>
      </c>
      <c r="AF113" s="68" t="s">
        <v>72</v>
      </c>
      <c r="AG113" s="68" t="s">
        <v>72</v>
      </c>
      <c r="AH113" s="68" t="s">
        <v>72</v>
      </c>
    </row>
    <row r="114" spans="2:34">
      <c r="B114" s="153">
        <v>11</v>
      </c>
      <c r="C114" s="89" t="str">
        <f>LEFT(EmpGName11)&amp;" " &amp;EmpSName11</f>
        <v>M Rowe</v>
      </c>
      <c r="D114" s="4" t="s">
        <v>72</v>
      </c>
      <c r="E114" s="4" t="s">
        <v>72</v>
      </c>
      <c r="F114" s="4" t="s">
        <v>72</v>
      </c>
      <c r="G114" s="4" t="s">
        <v>72</v>
      </c>
      <c r="H114" s="4" t="s">
        <v>72</v>
      </c>
      <c r="I114" s="4" t="s">
        <v>72</v>
      </c>
      <c r="J114" s="4" t="s">
        <v>72</v>
      </c>
      <c r="K114" s="4" t="s">
        <v>72</v>
      </c>
      <c r="L114" s="4" t="s">
        <v>72</v>
      </c>
      <c r="M114" s="4" t="s">
        <v>72</v>
      </c>
      <c r="N114" s="4" t="s">
        <v>72</v>
      </c>
      <c r="O114" s="4" t="s">
        <v>72</v>
      </c>
      <c r="P114" s="4" t="s">
        <v>72</v>
      </c>
      <c r="Q114" s="4" t="s">
        <v>72</v>
      </c>
      <c r="R114" s="4" t="s">
        <v>72</v>
      </c>
      <c r="S114" s="4" t="s">
        <v>72</v>
      </c>
      <c r="T114" s="4" t="s">
        <v>72</v>
      </c>
      <c r="U114" s="4" t="s">
        <v>72</v>
      </c>
      <c r="V114" s="4" t="s">
        <v>72</v>
      </c>
      <c r="W114" s="4" t="s">
        <v>72</v>
      </c>
      <c r="X114" s="4" t="s">
        <v>72</v>
      </c>
      <c r="Y114" s="4" t="s">
        <v>72</v>
      </c>
      <c r="Z114" s="4" t="s">
        <v>72</v>
      </c>
      <c r="AA114" s="4" t="s">
        <v>72</v>
      </c>
      <c r="AB114" s="4" t="s">
        <v>72</v>
      </c>
      <c r="AC114" s="4" t="s">
        <v>72</v>
      </c>
      <c r="AD114" s="4" t="s">
        <v>72</v>
      </c>
      <c r="AE114" s="4" t="s">
        <v>72</v>
      </c>
      <c r="AF114" s="4" t="s">
        <v>72</v>
      </c>
      <c r="AG114" s="4" t="s">
        <v>72</v>
      </c>
      <c r="AH114" s="4" t="s">
        <v>72</v>
      </c>
    </row>
    <row r="115" spans="2:34" hidden="1">
      <c r="B115" s="153">
        <v>12</v>
      </c>
      <c r="C115" s="91" t="str">
        <f>LEFT(EmpGName12)&amp;" " &amp;EmpSName12</f>
        <v xml:space="preserve"> </v>
      </c>
      <c r="D115" s="68" t="s">
        <v>72</v>
      </c>
      <c r="E115" s="68" t="s">
        <v>72</v>
      </c>
      <c r="F115" s="68" t="s">
        <v>72</v>
      </c>
      <c r="G115" s="68" t="s">
        <v>72</v>
      </c>
      <c r="H115" s="68" t="s">
        <v>72</v>
      </c>
      <c r="I115" s="68" t="s">
        <v>72</v>
      </c>
      <c r="J115" s="68" t="s">
        <v>72</v>
      </c>
      <c r="K115" s="68" t="s">
        <v>72</v>
      </c>
      <c r="L115" s="68" t="s">
        <v>72</v>
      </c>
      <c r="M115" s="68" t="s">
        <v>72</v>
      </c>
      <c r="N115" s="68" t="s">
        <v>72</v>
      </c>
      <c r="O115" s="68" t="s">
        <v>72</v>
      </c>
      <c r="P115" s="68" t="s">
        <v>72</v>
      </c>
      <c r="Q115" s="68" t="s">
        <v>72</v>
      </c>
      <c r="R115" s="68" t="s">
        <v>72</v>
      </c>
      <c r="S115" s="68" t="s">
        <v>72</v>
      </c>
      <c r="T115" s="68" t="s">
        <v>72</v>
      </c>
      <c r="U115" s="68" t="s">
        <v>72</v>
      </c>
      <c r="V115" s="68" t="s">
        <v>72</v>
      </c>
      <c r="W115" s="68" t="s">
        <v>72</v>
      </c>
      <c r="X115" s="68" t="s">
        <v>72</v>
      </c>
      <c r="Y115" s="68" t="s">
        <v>72</v>
      </c>
      <c r="Z115" s="68" t="s">
        <v>72</v>
      </c>
      <c r="AA115" s="68" t="s">
        <v>72</v>
      </c>
      <c r="AB115" s="68" t="s">
        <v>72</v>
      </c>
      <c r="AC115" s="68" t="s">
        <v>72</v>
      </c>
      <c r="AD115" s="68" t="s">
        <v>72</v>
      </c>
      <c r="AE115" s="68" t="s">
        <v>72</v>
      </c>
      <c r="AF115" s="68" t="s">
        <v>72</v>
      </c>
      <c r="AG115" s="68" t="s">
        <v>72</v>
      </c>
      <c r="AH115" s="68" t="s">
        <v>72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72</v>
      </c>
      <c r="E119" s="82" t="s">
        <v>72</v>
      </c>
      <c r="F119" s="4" t="s">
        <v>72</v>
      </c>
      <c r="G119" s="4" t="s">
        <v>72</v>
      </c>
      <c r="H119" s="4" t="s">
        <v>72</v>
      </c>
      <c r="I119" s="4" t="s">
        <v>72</v>
      </c>
      <c r="J119" s="4" t="s">
        <v>72</v>
      </c>
      <c r="K119" s="4" t="s">
        <v>72</v>
      </c>
      <c r="L119" s="4" t="s">
        <v>72</v>
      </c>
      <c r="M119" s="4" t="s">
        <v>72</v>
      </c>
      <c r="N119" s="4" t="s">
        <v>72</v>
      </c>
      <c r="O119" s="4" t="s">
        <v>72</v>
      </c>
      <c r="P119" s="4" t="s">
        <v>72</v>
      </c>
      <c r="Q119" s="4" t="s">
        <v>72</v>
      </c>
      <c r="R119" s="4" t="s">
        <v>72</v>
      </c>
      <c r="S119" s="4" t="s">
        <v>72</v>
      </c>
      <c r="T119" s="4" t="s">
        <v>72</v>
      </c>
      <c r="U119" s="4" t="s">
        <v>72</v>
      </c>
      <c r="V119" s="4" t="s">
        <v>72</v>
      </c>
      <c r="W119" s="4" t="s">
        <v>72</v>
      </c>
      <c r="X119" s="4" t="s">
        <v>72</v>
      </c>
      <c r="Y119" s="4" t="s">
        <v>72</v>
      </c>
      <c r="Z119" s="4" t="s">
        <v>72</v>
      </c>
      <c r="AA119" s="4" t="s">
        <v>72</v>
      </c>
      <c r="AB119" s="4" t="s">
        <v>72</v>
      </c>
      <c r="AC119" s="4" t="s">
        <v>72</v>
      </c>
      <c r="AD119" s="4" t="s">
        <v>72</v>
      </c>
      <c r="AE119" s="96" t="s">
        <v>72</v>
      </c>
      <c r="AF119" s="145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72</v>
      </c>
      <c r="E120" s="3" t="s">
        <v>72</v>
      </c>
      <c r="F120" s="3" t="s">
        <v>72</v>
      </c>
      <c r="G120" s="3" t="s">
        <v>72</v>
      </c>
      <c r="H120" s="3" t="s">
        <v>72</v>
      </c>
      <c r="I120" s="3" t="s">
        <v>72</v>
      </c>
      <c r="J120" s="3" t="s">
        <v>72</v>
      </c>
      <c r="K120" s="3" t="s">
        <v>72</v>
      </c>
      <c r="L120" s="3" t="s">
        <v>72</v>
      </c>
      <c r="M120" s="3" t="s">
        <v>72</v>
      </c>
      <c r="N120" s="3" t="s">
        <v>72</v>
      </c>
      <c r="O120" s="3" t="s">
        <v>72</v>
      </c>
      <c r="P120" s="3" t="s">
        <v>72</v>
      </c>
      <c r="Q120" s="3" t="s">
        <v>72</v>
      </c>
      <c r="R120" s="3" t="s">
        <v>72</v>
      </c>
      <c r="S120" s="3" t="s">
        <v>72</v>
      </c>
      <c r="T120" s="3" t="s">
        <v>72</v>
      </c>
      <c r="U120" s="3" t="s">
        <v>72</v>
      </c>
      <c r="V120" s="3" t="s">
        <v>72</v>
      </c>
      <c r="W120" s="3" t="s">
        <v>72</v>
      </c>
      <c r="X120" s="3" t="s">
        <v>72</v>
      </c>
      <c r="Y120" s="3" t="s">
        <v>72</v>
      </c>
      <c r="Z120" s="3" t="s">
        <v>72</v>
      </c>
      <c r="AA120" s="3" t="s">
        <v>72</v>
      </c>
      <c r="AB120" s="3" t="s">
        <v>72</v>
      </c>
      <c r="AC120" s="3" t="s">
        <v>72</v>
      </c>
      <c r="AD120" s="3" t="s">
        <v>72</v>
      </c>
      <c r="AE120" s="97" t="s">
        <v>72</v>
      </c>
      <c r="AF120" s="145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72</v>
      </c>
      <c r="E121" s="4" t="s">
        <v>72</v>
      </c>
      <c r="F121" s="4" t="s">
        <v>72</v>
      </c>
      <c r="G121" s="4" t="s">
        <v>72</v>
      </c>
      <c r="H121" s="4" t="s">
        <v>72</v>
      </c>
      <c r="I121" s="4" t="s">
        <v>72</v>
      </c>
      <c r="J121" s="4" t="s">
        <v>72</v>
      </c>
      <c r="K121" s="4" t="s">
        <v>72</v>
      </c>
      <c r="L121" s="4" t="s">
        <v>72</v>
      </c>
      <c r="M121" s="4" t="s">
        <v>72</v>
      </c>
      <c r="N121" s="4" t="s">
        <v>72</v>
      </c>
      <c r="O121" s="4" t="s">
        <v>72</v>
      </c>
      <c r="P121" s="4" t="s">
        <v>72</v>
      </c>
      <c r="Q121" s="4" t="s">
        <v>72</v>
      </c>
      <c r="R121" s="4" t="s">
        <v>72</v>
      </c>
      <c r="S121" s="4" t="s">
        <v>72</v>
      </c>
      <c r="T121" s="4" t="s">
        <v>72</v>
      </c>
      <c r="U121" s="4" t="s">
        <v>72</v>
      </c>
      <c r="V121" s="4" t="s">
        <v>72</v>
      </c>
      <c r="W121" s="4" t="s">
        <v>72</v>
      </c>
      <c r="X121" s="4" t="s">
        <v>72</v>
      </c>
      <c r="Y121" s="4" t="s">
        <v>72</v>
      </c>
      <c r="Z121" s="4" t="s">
        <v>72</v>
      </c>
      <c r="AA121" s="4" t="s">
        <v>72</v>
      </c>
      <c r="AB121" s="4" t="s">
        <v>72</v>
      </c>
      <c r="AC121" s="4" t="s">
        <v>72</v>
      </c>
      <c r="AD121" s="4" t="s">
        <v>72</v>
      </c>
      <c r="AE121" s="96" t="s">
        <v>72</v>
      </c>
      <c r="AF121" s="145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72</v>
      </c>
      <c r="E122" s="3" t="s">
        <v>72</v>
      </c>
      <c r="F122" s="3" t="s">
        <v>72</v>
      </c>
      <c r="G122" s="3" t="s">
        <v>72</v>
      </c>
      <c r="H122" s="3" t="s">
        <v>72</v>
      </c>
      <c r="I122" s="3" t="s">
        <v>72</v>
      </c>
      <c r="J122" s="3" t="s">
        <v>72</v>
      </c>
      <c r="K122" s="3" t="s">
        <v>72</v>
      </c>
      <c r="L122" s="3" t="s">
        <v>72</v>
      </c>
      <c r="M122" s="3" t="s">
        <v>72</v>
      </c>
      <c r="N122" s="3" t="s">
        <v>72</v>
      </c>
      <c r="O122" s="3" t="s">
        <v>72</v>
      </c>
      <c r="P122" s="3" t="s">
        <v>72</v>
      </c>
      <c r="Q122" s="3" t="s">
        <v>72</v>
      </c>
      <c r="R122" s="3" t="s">
        <v>72</v>
      </c>
      <c r="S122" s="3" t="s">
        <v>72</v>
      </c>
      <c r="T122" s="3" t="s">
        <v>72</v>
      </c>
      <c r="U122" s="3" t="s">
        <v>72</v>
      </c>
      <c r="V122" s="3" t="s">
        <v>72</v>
      </c>
      <c r="W122" s="3" t="s">
        <v>72</v>
      </c>
      <c r="X122" s="3" t="s">
        <v>72</v>
      </c>
      <c r="Y122" s="3" t="s">
        <v>72</v>
      </c>
      <c r="Z122" s="3" t="s">
        <v>72</v>
      </c>
      <c r="AA122" s="3" t="s">
        <v>72</v>
      </c>
      <c r="AB122" s="3" t="s">
        <v>72</v>
      </c>
      <c r="AC122" s="3" t="s">
        <v>72</v>
      </c>
      <c r="AD122" s="3" t="s">
        <v>72</v>
      </c>
      <c r="AE122" s="97" t="s">
        <v>72</v>
      </c>
      <c r="AF122" s="145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72</v>
      </c>
      <c r="E123" s="4" t="s">
        <v>72</v>
      </c>
      <c r="F123" s="4" t="s">
        <v>72</v>
      </c>
      <c r="G123" s="4" t="s">
        <v>72</v>
      </c>
      <c r="H123" s="4" t="s">
        <v>72</v>
      </c>
      <c r="I123" s="4" t="s">
        <v>72</v>
      </c>
      <c r="J123" s="4" t="s">
        <v>72</v>
      </c>
      <c r="K123" s="4" t="s">
        <v>72</v>
      </c>
      <c r="L123" s="4" t="s">
        <v>72</v>
      </c>
      <c r="M123" s="4" t="s">
        <v>72</v>
      </c>
      <c r="N123" s="4" t="s">
        <v>72</v>
      </c>
      <c r="O123" s="4" t="s">
        <v>72</v>
      </c>
      <c r="P123" s="4" t="s">
        <v>72</v>
      </c>
      <c r="Q123" s="4" t="s">
        <v>72</v>
      </c>
      <c r="R123" s="4" t="s">
        <v>72</v>
      </c>
      <c r="S123" s="4" t="s">
        <v>72</v>
      </c>
      <c r="T123" s="4" t="s">
        <v>72</v>
      </c>
      <c r="U123" s="4" t="s">
        <v>72</v>
      </c>
      <c r="V123" s="4" t="s">
        <v>72</v>
      </c>
      <c r="W123" s="4" t="s">
        <v>72</v>
      </c>
      <c r="X123" s="4" t="s">
        <v>72</v>
      </c>
      <c r="Y123" s="4" t="s">
        <v>72</v>
      </c>
      <c r="Z123" s="4" t="s">
        <v>72</v>
      </c>
      <c r="AA123" s="4" t="s">
        <v>72</v>
      </c>
      <c r="AB123" s="4" t="s">
        <v>72</v>
      </c>
      <c r="AC123" s="4" t="s">
        <v>72</v>
      </c>
      <c r="AD123" s="4" t="s">
        <v>72</v>
      </c>
      <c r="AE123" s="96" t="s">
        <v>72</v>
      </c>
      <c r="AF123" s="145"/>
      <c r="AG123" s="2"/>
      <c r="AH123" s="2"/>
    </row>
    <row r="124" spans="2:34">
      <c r="B124" s="83">
        <v>6</v>
      </c>
      <c r="C124" s="90" t="str">
        <f>LEFT(EmpGName06)&amp;" " &amp;EmpSName06</f>
        <v>T Sorensen</v>
      </c>
      <c r="D124" s="3" t="s">
        <v>72</v>
      </c>
      <c r="E124" s="3" t="s">
        <v>72</v>
      </c>
      <c r="F124" s="3" t="s">
        <v>72</v>
      </c>
      <c r="G124" s="3" t="s">
        <v>72</v>
      </c>
      <c r="H124" s="3" t="s">
        <v>72</v>
      </c>
      <c r="I124" s="3" t="s">
        <v>72</v>
      </c>
      <c r="J124" s="3" t="s">
        <v>72</v>
      </c>
      <c r="K124" s="3" t="s">
        <v>72</v>
      </c>
      <c r="L124" s="3" t="s">
        <v>72</v>
      </c>
      <c r="M124" s="3" t="s">
        <v>72</v>
      </c>
      <c r="N124" s="3" t="s">
        <v>72</v>
      </c>
      <c r="O124" s="3" t="s">
        <v>72</v>
      </c>
      <c r="P124" s="3" t="s">
        <v>72</v>
      </c>
      <c r="Q124" s="3" t="s">
        <v>72</v>
      </c>
      <c r="R124" s="3" t="s">
        <v>72</v>
      </c>
      <c r="S124" s="3" t="s">
        <v>72</v>
      </c>
      <c r="T124" s="3" t="s">
        <v>72</v>
      </c>
      <c r="U124" s="3" t="s">
        <v>72</v>
      </c>
      <c r="V124" s="3" t="s">
        <v>72</v>
      </c>
      <c r="W124" s="3" t="s">
        <v>72</v>
      </c>
      <c r="X124" s="3" t="s">
        <v>72</v>
      </c>
      <c r="Y124" s="3" t="s">
        <v>72</v>
      </c>
      <c r="Z124" s="3" t="s">
        <v>72</v>
      </c>
      <c r="AA124" s="3" t="s">
        <v>72</v>
      </c>
      <c r="AB124" s="3" t="s">
        <v>72</v>
      </c>
      <c r="AC124" s="3" t="s">
        <v>72</v>
      </c>
      <c r="AD124" s="3" t="s">
        <v>72</v>
      </c>
      <c r="AE124" s="97" t="s">
        <v>72</v>
      </c>
      <c r="AF124" s="145"/>
      <c r="AG124" s="2"/>
      <c r="AH124" s="2"/>
    </row>
    <row r="125" spans="2:34">
      <c r="B125" s="83">
        <v>7</v>
      </c>
      <c r="C125" s="89" t="str">
        <f>LEFT(EmpGName07)&amp;" " &amp;EmpSName07</f>
        <v>R Fielding</v>
      </c>
      <c r="D125" s="4" t="s">
        <v>72</v>
      </c>
      <c r="E125" s="4" t="s">
        <v>72</v>
      </c>
      <c r="F125" s="4" t="s">
        <v>72</v>
      </c>
      <c r="G125" s="4" t="s">
        <v>72</v>
      </c>
      <c r="H125" s="4" t="s">
        <v>72</v>
      </c>
      <c r="I125" s="4" t="s">
        <v>72</v>
      </c>
      <c r="J125" s="4" t="s">
        <v>72</v>
      </c>
      <c r="K125" s="4" t="s">
        <v>72</v>
      </c>
      <c r="L125" s="4" t="s">
        <v>72</v>
      </c>
      <c r="M125" s="4" t="s">
        <v>72</v>
      </c>
      <c r="N125" s="4" t="s">
        <v>72</v>
      </c>
      <c r="O125" s="4" t="s">
        <v>72</v>
      </c>
      <c r="P125" s="4" t="s">
        <v>72</v>
      </c>
      <c r="Q125" s="4" t="s">
        <v>72</v>
      </c>
      <c r="R125" s="4" t="s">
        <v>72</v>
      </c>
      <c r="S125" s="4" t="s">
        <v>72</v>
      </c>
      <c r="T125" s="4" t="s">
        <v>72</v>
      </c>
      <c r="U125" s="4" t="s">
        <v>72</v>
      </c>
      <c r="V125" s="4" t="s">
        <v>72</v>
      </c>
      <c r="W125" s="4" t="s">
        <v>72</v>
      </c>
      <c r="X125" s="4" t="s">
        <v>72</v>
      </c>
      <c r="Y125" s="4" t="s">
        <v>72</v>
      </c>
      <c r="Z125" s="4" t="s">
        <v>72</v>
      </c>
      <c r="AA125" s="4" t="s">
        <v>72</v>
      </c>
      <c r="AB125" s="4" t="s">
        <v>72</v>
      </c>
      <c r="AC125" s="4" t="s">
        <v>72</v>
      </c>
      <c r="AD125" s="4" t="s">
        <v>72</v>
      </c>
      <c r="AE125" s="96" t="s">
        <v>72</v>
      </c>
      <c r="AF125" s="145"/>
      <c r="AG125" s="2"/>
      <c r="AH125" s="2"/>
    </row>
    <row r="126" spans="2:34">
      <c r="B126" s="83">
        <v>8</v>
      </c>
      <c r="C126" s="90" t="str">
        <f>LEFT(EmpGName08)&amp;" " &amp;EmpSName08</f>
        <v>F Flannery</v>
      </c>
      <c r="D126" s="3" t="s">
        <v>72</v>
      </c>
      <c r="E126" s="3" t="s">
        <v>72</v>
      </c>
      <c r="F126" s="3" t="s">
        <v>72</v>
      </c>
      <c r="G126" s="3" t="s">
        <v>72</v>
      </c>
      <c r="H126" s="3" t="s">
        <v>72</v>
      </c>
      <c r="I126" s="3" t="s">
        <v>72</v>
      </c>
      <c r="J126" s="3" t="s">
        <v>72</v>
      </c>
      <c r="K126" s="3" t="s">
        <v>72</v>
      </c>
      <c r="L126" s="3" t="s">
        <v>72</v>
      </c>
      <c r="M126" s="3" t="s">
        <v>72</v>
      </c>
      <c r="N126" s="3" t="s">
        <v>72</v>
      </c>
      <c r="O126" s="3" t="s">
        <v>72</v>
      </c>
      <c r="P126" s="3" t="s">
        <v>72</v>
      </c>
      <c r="Q126" s="3" t="s">
        <v>72</v>
      </c>
      <c r="R126" s="3" t="s">
        <v>72</v>
      </c>
      <c r="S126" s="3" t="s">
        <v>72</v>
      </c>
      <c r="T126" s="3" t="s">
        <v>72</v>
      </c>
      <c r="U126" s="3" t="s">
        <v>72</v>
      </c>
      <c r="V126" s="3" t="s">
        <v>72</v>
      </c>
      <c r="W126" s="3" t="s">
        <v>72</v>
      </c>
      <c r="X126" s="3" t="s">
        <v>72</v>
      </c>
      <c r="Y126" s="3" t="s">
        <v>72</v>
      </c>
      <c r="Z126" s="3" t="s">
        <v>72</v>
      </c>
      <c r="AA126" s="3" t="s">
        <v>72</v>
      </c>
      <c r="AB126" s="3" t="s">
        <v>72</v>
      </c>
      <c r="AC126" s="3" t="s">
        <v>72</v>
      </c>
      <c r="AD126" s="3" t="s">
        <v>72</v>
      </c>
      <c r="AE126" s="97" t="s">
        <v>72</v>
      </c>
      <c r="AF126" s="145"/>
      <c r="AG126" s="2"/>
      <c r="AH126" s="2"/>
    </row>
    <row r="127" spans="2:34">
      <c r="B127" s="83">
        <v>9</v>
      </c>
      <c r="C127" s="89" t="str">
        <f>LEFT(EmpGName09)&amp;" " &amp;EmpSName09</f>
        <v>P Hogan</v>
      </c>
      <c r="D127" s="4" t="s">
        <v>72</v>
      </c>
      <c r="E127" s="4" t="s">
        <v>72</v>
      </c>
      <c r="F127" s="4" t="s">
        <v>72</v>
      </c>
      <c r="G127" s="4" t="s">
        <v>72</v>
      </c>
      <c r="H127" s="4" t="s">
        <v>72</v>
      </c>
      <c r="I127" s="4" t="s">
        <v>72</v>
      </c>
      <c r="J127" s="4" t="s">
        <v>72</v>
      </c>
      <c r="K127" s="4" t="s">
        <v>72</v>
      </c>
      <c r="L127" s="4" t="s">
        <v>72</v>
      </c>
      <c r="M127" s="4" t="s">
        <v>72</v>
      </c>
      <c r="N127" s="4" t="s">
        <v>72</v>
      </c>
      <c r="O127" s="4" t="s">
        <v>72</v>
      </c>
      <c r="P127" s="4" t="s">
        <v>72</v>
      </c>
      <c r="Q127" s="4" t="s">
        <v>72</v>
      </c>
      <c r="R127" s="4" t="s">
        <v>72</v>
      </c>
      <c r="S127" s="4" t="s">
        <v>72</v>
      </c>
      <c r="T127" s="4" t="s">
        <v>72</v>
      </c>
      <c r="U127" s="4" t="s">
        <v>72</v>
      </c>
      <c r="V127" s="4" t="s">
        <v>72</v>
      </c>
      <c r="W127" s="4" t="s">
        <v>72</v>
      </c>
      <c r="X127" s="4" t="s">
        <v>72</v>
      </c>
      <c r="Y127" s="4" t="s">
        <v>72</v>
      </c>
      <c r="Z127" s="4" t="s">
        <v>72</v>
      </c>
      <c r="AA127" s="4" t="s">
        <v>72</v>
      </c>
      <c r="AB127" s="4" t="s">
        <v>72</v>
      </c>
      <c r="AC127" s="4" t="s">
        <v>72</v>
      </c>
      <c r="AD127" s="4" t="s">
        <v>72</v>
      </c>
      <c r="AE127" s="96" t="s">
        <v>72</v>
      </c>
      <c r="AF127" s="145"/>
      <c r="AG127" s="2"/>
      <c r="AH127" s="2"/>
    </row>
    <row r="128" spans="2:34">
      <c r="B128" s="153">
        <v>10</v>
      </c>
      <c r="C128" s="91" t="str">
        <f>LEFT(EmpGName10)&amp;" " &amp;EmpSName10</f>
        <v>J Stretton</v>
      </c>
      <c r="D128" s="68" t="s">
        <v>72</v>
      </c>
      <c r="E128" s="68" t="s">
        <v>72</v>
      </c>
      <c r="F128" s="68" t="s">
        <v>72</v>
      </c>
      <c r="G128" s="68" t="s">
        <v>72</v>
      </c>
      <c r="H128" s="68" t="s">
        <v>72</v>
      </c>
      <c r="I128" s="68" t="s">
        <v>72</v>
      </c>
      <c r="J128" s="68" t="s">
        <v>72</v>
      </c>
      <c r="K128" s="68" t="s">
        <v>72</v>
      </c>
      <c r="L128" s="68" t="s">
        <v>72</v>
      </c>
      <c r="M128" s="68" t="s">
        <v>72</v>
      </c>
      <c r="N128" s="68" t="s">
        <v>72</v>
      </c>
      <c r="O128" s="68" t="s">
        <v>72</v>
      </c>
      <c r="P128" s="68" t="s">
        <v>72</v>
      </c>
      <c r="Q128" s="68" t="s">
        <v>72</v>
      </c>
      <c r="R128" s="68" t="s">
        <v>72</v>
      </c>
      <c r="S128" s="68" t="s">
        <v>72</v>
      </c>
      <c r="T128" s="68" t="s">
        <v>72</v>
      </c>
      <c r="U128" s="68" t="s">
        <v>72</v>
      </c>
      <c r="V128" s="68" t="s">
        <v>72</v>
      </c>
      <c r="W128" s="68" t="s">
        <v>72</v>
      </c>
      <c r="X128" s="68" t="s">
        <v>72</v>
      </c>
      <c r="Y128" s="68" t="s">
        <v>72</v>
      </c>
      <c r="Z128" s="68" t="s">
        <v>72</v>
      </c>
      <c r="AA128" s="68" t="s">
        <v>72</v>
      </c>
      <c r="AB128" s="68" t="s">
        <v>72</v>
      </c>
      <c r="AC128" s="68" t="s">
        <v>72</v>
      </c>
      <c r="AD128" s="68" t="s">
        <v>72</v>
      </c>
      <c r="AE128" s="98" t="s">
        <v>72</v>
      </c>
      <c r="AF128" s="145"/>
      <c r="AG128" s="2"/>
      <c r="AH128" s="2"/>
    </row>
    <row r="129" spans="2:34">
      <c r="B129" s="153">
        <v>11</v>
      </c>
      <c r="C129" s="89" t="str">
        <f>LEFT(EmpGName11)&amp;" " &amp;EmpSName11</f>
        <v>M Rowe</v>
      </c>
      <c r="D129" s="4" t="s">
        <v>72</v>
      </c>
      <c r="E129" s="4" t="s">
        <v>72</v>
      </c>
      <c r="F129" s="4" t="s">
        <v>72</v>
      </c>
      <c r="G129" s="4" t="s">
        <v>72</v>
      </c>
      <c r="H129" s="4" t="s">
        <v>72</v>
      </c>
      <c r="I129" s="4" t="s">
        <v>72</v>
      </c>
      <c r="J129" s="4" t="s">
        <v>72</v>
      </c>
      <c r="K129" s="4" t="s">
        <v>72</v>
      </c>
      <c r="L129" s="4" t="s">
        <v>72</v>
      </c>
      <c r="M129" s="4" t="s">
        <v>72</v>
      </c>
      <c r="N129" s="4" t="s">
        <v>72</v>
      </c>
      <c r="O129" s="4" t="s">
        <v>72</v>
      </c>
      <c r="P129" s="4" t="s">
        <v>72</v>
      </c>
      <c r="Q129" s="4" t="s">
        <v>72</v>
      </c>
      <c r="R129" s="4" t="s">
        <v>72</v>
      </c>
      <c r="S129" s="4" t="s">
        <v>72</v>
      </c>
      <c r="T129" s="4" t="s">
        <v>72</v>
      </c>
      <c r="U129" s="4" t="s">
        <v>72</v>
      </c>
      <c r="V129" s="4" t="s">
        <v>72</v>
      </c>
      <c r="W129" s="4" t="s">
        <v>72</v>
      </c>
      <c r="X129" s="4" t="s">
        <v>72</v>
      </c>
      <c r="Y129" s="4" t="s">
        <v>72</v>
      </c>
      <c r="Z129" s="4" t="s">
        <v>72</v>
      </c>
      <c r="AA129" s="4" t="s">
        <v>72</v>
      </c>
      <c r="AB129" s="4" t="s">
        <v>72</v>
      </c>
      <c r="AC129" s="4" t="s">
        <v>72</v>
      </c>
      <c r="AD129" s="4" t="s">
        <v>72</v>
      </c>
      <c r="AE129" s="96" t="s">
        <v>72</v>
      </c>
      <c r="AF129" s="145"/>
      <c r="AG129" s="2"/>
      <c r="AH129" s="2"/>
    </row>
    <row r="130" spans="2:34" hidden="1">
      <c r="B130" s="153">
        <v>12</v>
      </c>
      <c r="C130" s="91" t="str">
        <f>LEFT(EmpGName12)&amp;" " &amp;EmpSName12</f>
        <v xml:space="preserve"> </v>
      </c>
      <c r="D130" s="68" t="s">
        <v>72</v>
      </c>
      <c r="E130" s="68" t="s">
        <v>72</v>
      </c>
      <c r="F130" s="68" t="s">
        <v>72</v>
      </c>
      <c r="G130" s="68" t="s">
        <v>72</v>
      </c>
      <c r="H130" s="68" t="s">
        <v>72</v>
      </c>
      <c r="I130" s="68" t="s">
        <v>72</v>
      </c>
      <c r="J130" s="68" t="s">
        <v>72</v>
      </c>
      <c r="K130" s="68" t="s">
        <v>72</v>
      </c>
      <c r="L130" s="68" t="s">
        <v>72</v>
      </c>
      <c r="M130" s="68" t="s">
        <v>72</v>
      </c>
      <c r="N130" s="68" t="s">
        <v>72</v>
      </c>
      <c r="O130" s="68" t="s">
        <v>72</v>
      </c>
      <c r="P130" s="68" t="s">
        <v>72</v>
      </c>
      <c r="Q130" s="68" t="s">
        <v>72</v>
      </c>
      <c r="R130" s="68" t="s">
        <v>72</v>
      </c>
      <c r="S130" s="68" t="s">
        <v>72</v>
      </c>
      <c r="T130" s="68" t="s">
        <v>72</v>
      </c>
      <c r="U130" s="68" t="s">
        <v>72</v>
      </c>
      <c r="V130" s="68" t="s">
        <v>72</v>
      </c>
      <c r="W130" s="68" t="s">
        <v>72</v>
      </c>
      <c r="X130" s="68" t="s">
        <v>72</v>
      </c>
      <c r="Y130" s="68" t="s">
        <v>72</v>
      </c>
      <c r="Z130" s="68" t="s">
        <v>72</v>
      </c>
      <c r="AA130" s="68" t="s">
        <v>72</v>
      </c>
      <c r="AB130" s="68" t="s">
        <v>72</v>
      </c>
      <c r="AC130" s="68" t="s">
        <v>72</v>
      </c>
      <c r="AD130" s="68" t="s">
        <v>72</v>
      </c>
      <c r="AE130" s="98" t="s">
        <v>72</v>
      </c>
      <c r="AF130" s="145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72</v>
      </c>
      <c r="E134" s="4" t="s">
        <v>72</v>
      </c>
      <c r="F134" s="82" t="s">
        <v>72</v>
      </c>
      <c r="G134" s="4" t="s">
        <v>72</v>
      </c>
      <c r="H134" s="4" t="s">
        <v>72</v>
      </c>
      <c r="I134" s="4" t="s">
        <v>72</v>
      </c>
      <c r="J134" s="4" t="s">
        <v>72</v>
      </c>
      <c r="K134" s="4" t="s">
        <v>72</v>
      </c>
      <c r="L134" s="4" t="s">
        <v>72</v>
      </c>
      <c r="M134" s="4" t="s">
        <v>72</v>
      </c>
      <c r="N134" s="4" t="s">
        <v>72</v>
      </c>
      <c r="O134" s="4" t="s">
        <v>72</v>
      </c>
      <c r="P134" s="4" t="s">
        <v>72</v>
      </c>
      <c r="Q134" s="4" t="s">
        <v>72</v>
      </c>
      <c r="R134" s="4" t="s">
        <v>72</v>
      </c>
      <c r="S134" s="4" t="s">
        <v>72</v>
      </c>
      <c r="T134" s="4" t="s">
        <v>72</v>
      </c>
      <c r="U134" s="4" t="s">
        <v>72</v>
      </c>
      <c r="V134" s="4" t="s">
        <v>72</v>
      </c>
      <c r="W134" s="4" t="s">
        <v>72</v>
      </c>
      <c r="X134" s="4" t="s">
        <v>72</v>
      </c>
      <c r="Y134" s="4" t="s">
        <v>72</v>
      </c>
      <c r="Z134" s="4" t="s">
        <v>72</v>
      </c>
      <c r="AA134" s="4" t="s">
        <v>72</v>
      </c>
      <c r="AB134" s="4" t="s">
        <v>72</v>
      </c>
      <c r="AC134" s="4" t="s">
        <v>72</v>
      </c>
      <c r="AD134" s="4" t="s">
        <v>72</v>
      </c>
      <c r="AE134" s="4" t="s">
        <v>72</v>
      </c>
      <c r="AF134" s="4" t="s">
        <v>72</v>
      </c>
      <c r="AG134" s="4" t="s">
        <v>72</v>
      </c>
      <c r="AH134" s="4" t="s">
        <v>72</v>
      </c>
    </row>
    <row r="135" spans="2:34">
      <c r="B135" s="83">
        <v>2</v>
      </c>
      <c r="C135" s="90" t="str">
        <f>LEFT(EmpGName02)&amp;" " &amp;EmpSName02</f>
        <v>K Stone</v>
      </c>
      <c r="D135" s="3" t="s">
        <v>72</v>
      </c>
      <c r="E135" s="3" t="s">
        <v>72</v>
      </c>
      <c r="F135" s="3" t="s">
        <v>72</v>
      </c>
      <c r="G135" s="3" t="s">
        <v>72</v>
      </c>
      <c r="H135" s="3" t="s">
        <v>72</v>
      </c>
      <c r="I135" s="3" t="s">
        <v>72</v>
      </c>
      <c r="J135" s="3" t="s">
        <v>72</v>
      </c>
      <c r="K135" s="3" t="s">
        <v>72</v>
      </c>
      <c r="L135" s="3" t="s">
        <v>72</v>
      </c>
      <c r="M135" s="3" t="s">
        <v>72</v>
      </c>
      <c r="N135" s="3" t="s">
        <v>72</v>
      </c>
      <c r="O135" s="3" t="s">
        <v>72</v>
      </c>
      <c r="P135" s="3" t="s">
        <v>72</v>
      </c>
      <c r="Q135" s="3" t="s">
        <v>72</v>
      </c>
      <c r="R135" s="3" t="s">
        <v>72</v>
      </c>
      <c r="S135" s="3" t="s">
        <v>72</v>
      </c>
      <c r="T135" s="3" t="s">
        <v>72</v>
      </c>
      <c r="U135" s="3" t="s">
        <v>72</v>
      </c>
      <c r="V135" s="3" t="s">
        <v>72</v>
      </c>
      <c r="W135" s="3" t="s">
        <v>72</v>
      </c>
      <c r="X135" s="3" t="s">
        <v>72</v>
      </c>
      <c r="Y135" s="3" t="s">
        <v>72</v>
      </c>
      <c r="Z135" s="3" t="s">
        <v>72</v>
      </c>
      <c r="AA135" s="3" t="s">
        <v>72</v>
      </c>
      <c r="AB135" s="3" t="s">
        <v>72</v>
      </c>
      <c r="AC135" s="3" t="s">
        <v>72</v>
      </c>
      <c r="AD135" s="3" t="s">
        <v>72</v>
      </c>
      <c r="AE135" s="3" t="s">
        <v>72</v>
      </c>
      <c r="AF135" s="3" t="s">
        <v>72</v>
      </c>
      <c r="AG135" s="3" t="s">
        <v>72</v>
      </c>
      <c r="AH135" s="3" t="s">
        <v>72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72</v>
      </c>
      <c r="E136" s="4" t="s">
        <v>72</v>
      </c>
      <c r="F136" s="4" t="s">
        <v>72</v>
      </c>
      <c r="G136" s="4" t="s">
        <v>72</v>
      </c>
      <c r="H136" s="4" t="s">
        <v>72</v>
      </c>
      <c r="I136" s="4" t="s">
        <v>72</v>
      </c>
      <c r="J136" s="4" t="s">
        <v>72</v>
      </c>
      <c r="K136" s="4" t="s">
        <v>72</v>
      </c>
      <c r="L136" s="4" t="s">
        <v>72</v>
      </c>
      <c r="M136" s="4" t="s">
        <v>72</v>
      </c>
      <c r="N136" s="4" t="s">
        <v>72</v>
      </c>
      <c r="O136" s="4" t="s">
        <v>72</v>
      </c>
      <c r="P136" s="4" t="s">
        <v>72</v>
      </c>
      <c r="Q136" s="4" t="s">
        <v>72</v>
      </c>
      <c r="R136" s="4" t="s">
        <v>72</v>
      </c>
      <c r="S136" s="4" t="s">
        <v>72</v>
      </c>
      <c r="T136" s="4" t="s">
        <v>72</v>
      </c>
      <c r="U136" s="4" t="s">
        <v>72</v>
      </c>
      <c r="V136" s="4" t="s">
        <v>72</v>
      </c>
      <c r="W136" s="4" t="s">
        <v>72</v>
      </c>
      <c r="X136" s="4" t="s">
        <v>72</v>
      </c>
      <c r="Y136" s="4" t="s">
        <v>72</v>
      </c>
      <c r="Z136" s="4" t="s">
        <v>72</v>
      </c>
      <c r="AA136" s="4" t="s">
        <v>72</v>
      </c>
      <c r="AB136" s="4" t="s">
        <v>72</v>
      </c>
      <c r="AC136" s="4" t="s">
        <v>72</v>
      </c>
      <c r="AD136" s="4" t="s">
        <v>72</v>
      </c>
      <c r="AE136" s="4" t="s">
        <v>72</v>
      </c>
      <c r="AF136" s="4" t="s">
        <v>72</v>
      </c>
      <c r="AG136" s="4" t="s">
        <v>72</v>
      </c>
      <c r="AH136" s="4" t="s">
        <v>72</v>
      </c>
    </row>
    <row r="137" spans="2:34">
      <c r="B137" s="83">
        <v>4</v>
      </c>
      <c r="C137" s="90" t="str">
        <f>LEFT(EmpGName04)&amp;" " &amp;EmpSName04</f>
        <v>L King</v>
      </c>
      <c r="D137" s="3" t="s">
        <v>72</v>
      </c>
      <c r="E137" s="3" t="s">
        <v>72</v>
      </c>
      <c r="F137" s="3" t="s">
        <v>72</v>
      </c>
      <c r="G137" s="3" t="s">
        <v>72</v>
      </c>
      <c r="H137" s="3" t="s">
        <v>72</v>
      </c>
      <c r="I137" s="3" t="s">
        <v>72</v>
      </c>
      <c r="J137" s="3" t="s">
        <v>72</v>
      </c>
      <c r="K137" s="3" t="s">
        <v>72</v>
      </c>
      <c r="L137" s="3" t="s">
        <v>72</v>
      </c>
      <c r="M137" s="3" t="s">
        <v>72</v>
      </c>
      <c r="N137" s="3" t="s">
        <v>72</v>
      </c>
      <c r="O137" s="3" t="s">
        <v>72</v>
      </c>
      <c r="P137" s="3" t="s">
        <v>72</v>
      </c>
      <c r="Q137" s="3" t="s">
        <v>72</v>
      </c>
      <c r="R137" s="3" t="s">
        <v>72</v>
      </c>
      <c r="S137" s="3" t="s">
        <v>72</v>
      </c>
      <c r="T137" s="3" t="s">
        <v>72</v>
      </c>
      <c r="U137" s="3" t="s">
        <v>72</v>
      </c>
      <c r="V137" s="3" t="s">
        <v>72</v>
      </c>
      <c r="W137" s="3" t="s">
        <v>72</v>
      </c>
      <c r="X137" s="3" t="s">
        <v>72</v>
      </c>
      <c r="Y137" s="3" t="s">
        <v>72</v>
      </c>
      <c r="Z137" s="3" t="s">
        <v>72</v>
      </c>
      <c r="AA137" s="3" t="s">
        <v>72</v>
      </c>
      <c r="AB137" s="3" t="s">
        <v>72</v>
      </c>
      <c r="AC137" s="3" t="s">
        <v>72</v>
      </c>
      <c r="AD137" s="3" t="s">
        <v>72</v>
      </c>
      <c r="AE137" s="3" t="s">
        <v>72</v>
      </c>
      <c r="AF137" s="3" t="s">
        <v>72</v>
      </c>
      <c r="AG137" s="3" t="s">
        <v>72</v>
      </c>
      <c r="AH137" s="3" t="s">
        <v>72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72</v>
      </c>
      <c r="E138" s="4" t="s">
        <v>72</v>
      </c>
      <c r="F138" s="4" t="s">
        <v>72</v>
      </c>
      <c r="G138" s="4" t="s">
        <v>72</v>
      </c>
      <c r="H138" s="4" t="s">
        <v>72</v>
      </c>
      <c r="I138" s="4" t="s">
        <v>72</v>
      </c>
      <c r="J138" s="4" t="s">
        <v>72</v>
      </c>
      <c r="K138" s="4" t="s">
        <v>72</v>
      </c>
      <c r="L138" s="4" t="s">
        <v>72</v>
      </c>
      <c r="M138" s="4" t="s">
        <v>72</v>
      </c>
      <c r="N138" s="4" t="s">
        <v>72</v>
      </c>
      <c r="O138" s="4" t="s">
        <v>72</v>
      </c>
      <c r="P138" s="4" t="s">
        <v>72</v>
      </c>
      <c r="Q138" s="4" t="s">
        <v>72</v>
      </c>
      <c r="R138" s="4" t="s">
        <v>72</v>
      </c>
      <c r="S138" s="4" t="s">
        <v>72</v>
      </c>
      <c r="T138" s="4" t="s">
        <v>72</v>
      </c>
      <c r="U138" s="4" t="s">
        <v>72</v>
      </c>
      <c r="V138" s="4" t="s">
        <v>72</v>
      </c>
      <c r="W138" s="4" t="s">
        <v>72</v>
      </c>
      <c r="X138" s="4" t="s">
        <v>72</v>
      </c>
      <c r="Y138" s="4" t="s">
        <v>72</v>
      </c>
      <c r="Z138" s="4" t="s">
        <v>72</v>
      </c>
      <c r="AA138" s="4" t="s">
        <v>72</v>
      </c>
      <c r="AB138" s="4" t="s">
        <v>72</v>
      </c>
      <c r="AC138" s="4" t="s">
        <v>72</v>
      </c>
      <c r="AD138" s="4" t="s">
        <v>72</v>
      </c>
      <c r="AE138" s="4" t="s">
        <v>72</v>
      </c>
      <c r="AF138" s="4" t="s">
        <v>72</v>
      </c>
      <c r="AG138" s="4" t="s">
        <v>72</v>
      </c>
      <c r="AH138" s="4" t="s">
        <v>72</v>
      </c>
    </row>
    <row r="139" spans="2:34">
      <c r="B139" s="83">
        <v>6</v>
      </c>
      <c r="C139" s="90" t="str">
        <f>LEFT(EmpGName06)&amp;" " &amp;EmpSName06</f>
        <v>T Sorensen</v>
      </c>
      <c r="D139" s="3" t="s">
        <v>72</v>
      </c>
      <c r="E139" s="3" t="s">
        <v>72</v>
      </c>
      <c r="F139" s="3" t="s">
        <v>72</v>
      </c>
      <c r="G139" s="3" t="s">
        <v>72</v>
      </c>
      <c r="H139" s="3" t="s">
        <v>72</v>
      </c>
      <c r="I139" s="3" t="s">
        <v>72</v>
      </c>
      <c r="J139" s="3" t="s">
        <v>72</v>
      </c>
      <c r="K139" s="3" t="s">
        <v>72</v>
      </c>
      <c r="L139" s="3" t="s">
        <v>72</v>
      </c>
      <c r="M139" s="3" t="s">
        <v>72</v>
      </c>
      <c r="N139" s="3" t="s">
        <v>72</v>
      </c>
      <c r="O139" s="3" t="s">
        <v>72</v>
      </c>
      <c r="P139" s="3" t="s">
        <v>72</v>
      </c>
      <c r="Q139" s="3" t="s">
        <v>72</v>
      </c>
      <c r="R139" s="3" t="s">
        <v>72</v>
      </c>
      <c r="S139" s="3" t="s">
        <v>72</v>
      </c>
      <c r="T139" s="3" t="s">
        <v>72</v>
      </c>
      <c r="U139" s="3" t="s">
        <v>72</v>
      </c>
      <c r="V139" s="3" t="s">
        <v>72</v>
      </c>
      <c r="W139" s="3" t="s">
        <v>72</v>
      </c>
      <c r="X139" s="3" t="s">
        <v>72</v>
      </c>
      <c r="Y139" s="3" t="s">
        <v>72</v>
      </c>
      <c r="Z139" s="3" t="s">
        <v>72</v>
      </c>
      <c r="AA139" s="3" t="s">
        <v>72</v>
      </c>
      <c r="AB139" s="3" t="s">
        <v>72</v>
      </c>
      <c r="AC139" s="3" t="s">
        <v>72</v>
      </c>
      <c r="AD139" s="3" t="s">
        <v>72</v>
      </c>
      <c r="AE139" s="3" t="s">
        <v>72</v>
      </c>
      <c r="AF139" s="3" t="s">
        <v>72</v>
      </c>
      <c r="AG139" s="3" t="s">
        <v>72</v>
      </c>
      <c r="AH139" s="3" t="s">
        <v>72</v>
      </c>
    </row>
    <row r="140" spans="2:34">
      <c r="B140" s="83">
        <v>7</v>
      </c>
      <c r="C140" s="89" t="str">
        <f>LEFT(EmpGName07)&amp;" " &amp;EmpSName07</f>
        <v>R Fielding</v>
      </c>
      <c r="D140" s="4" t="s">
        <v>72</v>
      </c>
      <c r="E140" s="4" t="s">
        <v>72</v>
      </c>
      <c r="F140" s="4" t="s">
        <v>72</v>
      </c>
      <c r="G140" s="4" t="s">
        <v>72</v>
      </c>
      <c r="H140" s="4" t="s">
        <v>72</v>
      </c>
      <c r="I140" s="4" t="s">
        <v>72</v>
      </c>
      <c r="J140" s="4" t="s">
        <v>72</v>
      </c>
      <c r="K140" s="4" t="s">
        <v>72</v>
      </c>
      <c r="L140" s="4" t="s">
        <v>72</v>
      </c>
      <c r="M140" s="4" t="s">
        <v>72</v>
      </c>
      <c r="N140" s="4" t="s">
        <v>72</v>
      </c>
      <c r="O140" s="4" t="s">
        <v>72</v>
      </c>
      <c r="P140" s="4" t="s">
        <v>72</v>
      </c>
      <c r="Q140" s="4" t="s">
        <v>72</v>
      </c>
      <c r="R140" s="4" t="s">
        <v>72</v>
      </c>
      <c r="S140" s="4" t="s">
        <v>72</v>
      </c>
      <c r="T140" s="4" t="s">
        <v>72</v>
      </c>
      <c r="U140" s="4" t="s">
        <v>72</v>
      </c>
      <c r="V140" s="4" t="s">
        <v>72</v>
      </c>
      <c r="W140" s="4" t="s">
        <v>72</v>
      </c>
      <c r="X140" s="4" t="s">
        <v>72</v>
      </c>
      <c r="Y140" s="4" t="s">
        <v>72</v>
      </c>
      <c r="Z140" s="4" t="s">
        <v>72</v>
      </c>
      <c r="AA140" s="4" t="s">
        <v>72</v>
      </c>
      <c r="AB140" s="4" t="s">
        <v>72</v>
      </c>
      <c r="AC140" s="4" t="s">
        <v>72</v>
      </c>
      <c r="AD140" s="4" t="s">
        <v>72</v>
      </c>
      <c r="AE140" s="4" t="s">
        <v>72</v>
      </c>
      <c r="AF140" s="4" t="s">
        <v>72</v>
      </c>
      <c r="AG140" s="4" t="s">
        <v>72</v>
      </c>
      <c r="AH140" s="4" t="s">
        <v>72</v>
      </c>
    </row>
    <row r="141" spans="2:34">
      <c r="B141" s="83">
        <v>8</v>
      </c>
      <c r="C141" s="90" t="str">
        <f>LEFT(EmpGName08)&amp;" " &amp;EmpSName08</f>
        <v>F Flannery</v>
      </c>
      <c r="D141" s="3" t="s">
        <v>72</v>
      </c>
      <c r="E141" s="3" t="s">
        <v>72</v>
      </c>
      <c r="F141" s="3" t="s">
        <v>72</v>
      </c>
      <c r="G141" s="3" t="s">
        <v>72</v>
      </c>
      <c r="H141" s="3" t="s">
        <v>72</v>
      </c>
      <c r="I141" s="3" t="s">
        <v>72</v>
      </c>
      <c r="J141" s="3" t="s">
        <v>72</v>
      </c>
      <c r="K141" s="3" t="s">
        <v>72</v>
      </c>
      <c r="L141" s="3" t="s">
        <v>72</v>
      </c>
      <c r="M141" s="3" t="s">
        <v>72</v>
      </c>
      <c r="N141" s="3" t="s">
        <v>72</v>
      </c>
      <c r="O141" s="3" t="s">
        <v>72</v>
      </c>
      <c r="P141" s="3" t="s">
        <v>72</v>
      </c>
      <c r="Q141" s="3" t="s">
        <v>72</v>
      </c>
      <c r="R141" s="3" t="s">
        <v>72</v>
      </c>
      <c r="S141" s="3" t="s">
        <v>72</v>
      </c>
      <c r="T141" s="3" t="s">
        <v>72</v>
      </c>
      <c r="U141" s="3" t="s">
        <v>72</v>
      </c>
      <c r="V141" s="3" t="s">
        <v>72</v>
      </c>
      <c r="W141" s="3" t="s">
        <v>72</v>
      </c>
      <c r="X141" s="3" t="s">
        <v>72</v>
      </c>
      <c r="Y141" s="3" t="s">
        <v>72</v>
      </c>
      <c r="Z141" s="3" t="s">
        <v>72</v>
      </c>
      <c r="AA141" s="3" t="s">
        <v>72</v>
      </c>
      <c r="AB141" s="3" t="s">
        <v>72</v>
      </c>
      <c r="AC141" s="3" t="s">
        <v>72</v>
      </c>
      <c r="AD141" s="3" t="s">
        <v>72</v>
      </c>
      <c r="AE141" s="3" t="s">
        <v>72</v>
      </c>
      <c r="AF141" s="3" t="s">
        <v>72</v>
      </c>
      <c r="AG141" s="3" t="s">
        <v>72</v>
      </c>
      <c r="AH141" s="3" t="s">
        <v>72</v>
      </c>
    </row>
    <row r="142" spans="2:34">
      <c r="B142" s="83">
        <v>9</v>
      </c>
      <c r="C142" s="89" t="str">
        <f>LEFT(EmpGName09)&amp;" " &amp;EmpSName09</f>
        <v>P Hogan</v>
      </c>
      <c r="D142" s="4" t="s">
        <v>72</v>
      </c>
      <c r="E142" s="4" t="s">
        <v>72</v>
      </c>
      <c r="F142" s="4" t="s">
        <v>72</v>
      </c>
      <c r="G142" s="4" t="s">
        <v>72</v>
      </c>
      <c r="H142" s="4" t="s">
        <v>72</v>
      </c>
      <c r="I142" s="4" t="s">
        <v>72</v>
      </c>
      <c r="J142" s="4" t="s">
        <v>72</v>
      </c>
      <c r="K142" s="4" t="s">
        <v>72</v>
      </c>
      <c r="L142" s="4" t="s">
        <v>72</v>
      </c>
      <c r="M142" s="4" t="s">
        <v>72</v>
      </c>
      <c r="N142" s="4" t="s">
        <v>72</v>
      </c>
      <c r="O142" s="4" t="s">
        <v>72</v>
      </c>
      <c r="P142" s="4" t="s">
        <v>72</v>
      </c>
      <c r="Q142" s="4" t="s">
        <v>72</v>
      </c>
      <c r="R142" s="4" t="s">
        <v>72</v>
      </c>
      <c r="S142" s="4" t="s">
        <v>72</v>
      </c>
      <c r="T142" s="4" t="s">
        <v>72</v>
      </c>
      <c r="U142" s="4" t="s">
        <v>72</v>
      </c>
      <c r="V142" s="4" t="s">
        <v>72</v>
      </c>
      <c r="W142" s="4" t="s">
        <v>72</v>
      </c>
      <c r="X142" s="4" t="s">
        <v>72</v>
      </c>
      <c r="Y142" s="4" t="s">
        <v>72</v>
      </c>
      <c r="Z142" s="4" t="s">
        <v>72</v>
      </c>
      <c r="AA142" s="4" t="s">
        <v>72</v>
      </c>
      <c r="AB142" s="4" t="s">
        <v>72</v>
      </c>
      <c r="AC142" s="4" t="s">
        <v>72</v>
      </c>
      <c r="AD142" s="4" t="s">
        <v>72</v>
      </c>
      <c r="AE142" s="4" t="s">
        <v>72</v>
      </c>
      <c r="AF142" s="4" t="s">
        <v>72</v>
      </c>
      <c r="AG142" s="4" t="s">
        <v>72</v>
      </c>
      <c r="AH142" s="4" t="s">
        <v>72</v>
      </c>
    </row>
    <row r="143" spans="2:34">
      <c r="B143" s="153">
        <v>10</v>
      </c>
      <c r="C143" s="91" t="str">
        <f>LEFT(EmpGName10)&amp;" " &amp;EmpSName10</f>
        <v>J Stretton</v>
      </c>
      <c r="D143" s="68" t="s">
        <v>72</v>
      </c>
      <c r="E143" s="68" t="s">
        <v>72</v>
      </c>
      <c r="F143" s="68" t="s">
        <v>72</v>
      </c>
      <c r="G143" s="68" t="s">
        <v>72</v>
      </c>
      <c r="H143" s="68" t="s">
        <v>72</v>
      </c>
      <c r="I143" s="68" t="s">
        <v>72</v>
      </c>
      <c r="J143" s="68" t="s">
        <v>72</v>
      </c>
      <c r="K143" s="68" t="s">
        <v>72</v>
      </c>
      <c r="L143" s="68" t="s">
        <v>72</v>
      </c>
      <c r="M143" s="68" t="s">
        <v>72</v>
      </c>
      <c r="N143" s="68" t="s">
        <v>72</v>
      </c>
      <c r="O143" s="68" t="s">
        <v>72</v>
      </c>
      <c r="P143" s="68" t="s">
        <v>72</v>
      </c>
      <c r="Q143" s="68" t="s">
        <v>72</v>
      </c>
      <c r="R143" s="68" t="s">
        <v>72</v>
      </c>
      <c r="S143" s="68" t="s">
        <v>72</v>
      </c>
      <c r="T143" s="68" t="s">
        <v>72</v>
      </c>
      <c r="U143" s="68" t="s">
        <v>72</v>
      </c>
      <c r="V143" s="68" t="s">
        <v>72</v>
      </c>
      <c r="W143" s="68" t="s">
        <v>72</v>
      </c>
      <c r="X143" s="68" t="s">
        <v>72</v>
      </c>
      <c r="Y143" s="68" t="s">
        <v>72</v>
      </c>
      <c r="Z143" s="68" t="s">
        <v>72</v>
      </c>
      <c r="AA143" s="68" t="s">
        <v>72</v>
      </c>
      <c r="AB143" s="68" t="s">
        <v>72</v>
      </c>
      <c r="AC143" s="68" t="s">
        <v>72</v>
      </c>
      <c r="AD143" s="68" t="s">
        <v>72</v>
      </c>
      <c r="AE143" s="68" t="s">
        <v>72</v>
      </c>
      <c r="AF143" s="68" t="s">
        <v>72</v>
      </c>
      <c r="AG143" s="68" t="s">
        <v>72</v>
      </c>
      <c r="AH143" s="68" t="s">
        <v>72</v>
      </c>
    </row>
    <row r="144" spans="2:34">
      <c r="B144" s="153">
        <v>11</v>
      </c>
      <c r="C144" s="89" t="str">
        <f>LEFT(EmpGName11)&amp;" " &amp;EmpSName11</f>
        <v>M Rowe</v>
      </c>
      <c r="D144" s="4" t="s">
        <v>72</v>
      </c>
      <c r="E144" s="4" t="s">
        <v>72</v>
      </c>
      <c r="F144" s="4" t="s">
        <v>72</v>
      </c>
      <c r="G144" s="4" t="s">
        <v>72</v>
      </c>
      <c r="H144" s="4" t="s">
        <v>72</v>
      </c>
      <c r="I144" s="4" t="s">
        <v>72</v>
      </c>
      <c r="J144" s="4" t="s">
        <v>72</v>
      </c>
      <c r="K144" s="4" t="s">
        <v>72</v>
      </c>
      <c r="L144" s="4" t="s">
        <v>72</v>
      </c>
      <c r="M144" s="4" t="s">
        <v>72</v>
      </c>
      <c r="N144" s="4" t="s">
        <v>72</v>
      </c>
      <c r="O144" s="4" t="s">
        <v>72</v>
      </c>
      <c r="P144" s="4" t="s">
        <v>72</v>
      </c>
      <c r="Q144" s="4" t="s">
        <v>72</v>
      </c>
      <c r="R144" s="4" t="s">
        <v>72</v>
      </c>
      <c r="S144" s="4" t="s">
        <v>72</v>
      </c>
      <c r="T144" s="4" t="s">
        <v>72</v>
      </c>
      <c r="U144" s="4" t="s">
        <v>72</v>
      </c>
      <c r="V144" s="4" t="s">
        <v>72</v>
      </c>
      <c r="W144" s="4" t="s">
        <v>72</v>
      </c>
      <c r="X144" s="4" t="s">
        <v>72</v>
      </c>
      <c r="Y144" s="4" t="s">
        <v>72</v>
      </c>
      <c r="Z144" s="4" t="s">
        <v>72</v>
      </c>
      <c r="AA144" s="4" t="s">
        <v>72</v>
      </c>
      <c r="AB144" s="4" t="s">
        <v>72</v>
      </c>
      <c r="AC144" s="4" t="s">
        <v>72</v>
      </c>
      <c r="AD144" s="4" t="s">
        <v>72</v>
      </c>
      <c r="AE144" s="4" t="s">
        <v>72</v>
      </c>
      <c r="AF144" s="4" t="s">
        <v>72</v>
      </c>
      <c r="AG144" s="4" t="s">
        <v>72</v>
      </c>
      <c r="AH144" s="4" t="s">
        <v>72</v>
      </c>
    </row>
    <row r="145" spans="2:34" hidden="1">
      <c r="B145" s="153">
        <v>12</v>
      </c>
      <c r="C145" s="91" t="str">
        <f>LEFT(EmpGName12)&amp;" " &amp;EmpSName12</f>
        <v xml:space="preserve"> </v>
      </c>
      <c r="D145" s="68" t="s">
        <v>72</v>
      </c>
      <c r="E145" s="68" t="s">
        <v>72</v>
      </c>
      <c r="F145" s="68" t="s">
        <v>72</v>
      </c>
      <c r="G145" s="68" t="s">
        <v>72</v>
      </c>
      <c r="H145" s="68" t="s">
        <v>72</v>
      </c>
      <c r="I145" s="68" t="s">
        <v>72</v>
      </c>
      <c r="J145" s="68" t="s">
        <v>72</v>
      </c>
      <c r="K145" s="68" t="s">
        <v>72</v>
      </c>
      <c r="L145" s="68" t="s">
        <v>72</v>
      </c>
      <c r="M145" s="68" t="s">
        <v>72</v>
      </c>
      <c r="N145" s="68" t="s">
        <v>72</v>
      </c>
      <c r="O145" s="68" t="s">
        <v>72</v>
      </c>
      <c r="P145" s="68" t="s">
        <v>72</v>
      </c>
      <c r="Q145" s="68" t="s">
        <v>72</v>
      </c>
      <c r="R145" s="68" t="s">
        <v>72</v>
      </c>
      <c r="S145" s="68" t="s">
        <v>72</v>
      </c>
      <c r="T145" s="68" t="s">
        <v>72</v>
      </c>
      <c r="U145" s="68" t="s">
        <v>72</v>
      </c>
      <c r="V145" s="68" t="s">
        <v>72</v>
      </c>
      <c r="W145" s="68" t="s">
        <v>72</v>
      </c>
      <c r="X145" s="68" t="s">
        <v>72</v>
      </c>
      <c r="Y145" s="68" t="s">
        <v>72</v>
      </c>
      <c r="Z145" s="68" t="s">
        <v>72</v>
      </c>
      <c r="AA145" s="68" t="s">
        <v>72</v>
      </c>
      <c r="AB145" s="68" t="s">
        <v>72</v>
      </c>
      <c r="AC145" s="68" t="s">
        <v>72</v>
      </c>
      <c r="AD145" s="68" t="s">
        <v>72</v>
      </c>
      <c r="AE145" s="68" t="s">
        <v>72</v>
      </c>
      <c r="AF145" s="68" t="s">
        <v>72</v>
      </c>
      <c r="AG145" s="68" t="s">
        <v>72</v>
      </c>
      <c r="AH145" s="68" t="s">
        <v>72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72</v>
      </c>
      <c r="E149" s="4" t="s">
        <v>72</v>
      </c>
      <c r="F149" s="4" t="s">
        <v>72</v>
      </c>
      <c r="G149" s="4" t="s">
        <v>72</v>
      </c>
      <c r="H149" s="4" t="s">
        <v>72</v>
      </c>
      <c r="I149" s="4" t="s">
        <v>72</v>
      </c>
      <c r="J149" s="4" t="s">
        <v>72</v>
      </c>
      <c r="K149" s="4" t="s">
        <v>72</v>
      </c>
      <c r="L149" s="4" t="s">
        <v>72</v>
      </c>
      <c r="M149" s="4" t="s">
        <v>72</v>
      </c>
      <c r="N149" s="4" t="s">
        <v>72</v>
      </c>
      <c r="O149" s="4" t="s">
        <v>72</v>
      </c>
      <c r="P149" s="4" t="s">
        <v>72</v>
      </c>
      <c r="Q149" s="4" t="s">
        <v>72</v>
      </c>
      <c r="R149" s="4" t="s">
        <v>72</v>
      </c>
      <c r="S149" s="4" t="s">
        <v>72</v>
      </c>
      <c r="T149" s="4" t="s">
        <v>72</v>
      </c>
      <c r="U149" s="4" t="s">
        <v>72</v>
      </c>
      <c r="V149" s="4" t="s">
        <v>72</v>
      </c>
      <c r="W149" s="4" t="s">
        <v>72</v>
      </c>
      <c r="X149" s="4" t="s">
        <v>72</v>
      </c>
      <c r="Y149" s="4" t="s">
        <v>72</v>
      </c>
      <c r="Z149" s="4" t="s">
        <v>72</v>
      </c>
      <c r="AA149" s="4" t="s">
        <v>72</v>
      </c>
      <c r="AB149" s="4" t="s">
        <v>72</v>
      </c>
      <c r="AC149" s="4" t="s">
        <v>72</v>
      </c>
      <c r="AD149" s="4" t="s">
        <v>72</v>
      </c>
      <c r="AE149" s="4" t="s">
        <v>72</v>
      </c>
      <c r="AF149" s="4" t="s">
        <v>72</v>
      </c>
      <c r="AG149" s="4" t="s">
        <v>72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72</v>
      </c>
      <c r="E150" s="3" t="s">
        <v>72</v>
      </c>
      <c r="F150" s="3" t="s">
        <v>72</v>
      </c>
      <c r="G150" s="3" t="s">
        <v>72</v>
      </c>
      <c r="H150" s="3" t="s">
        <v>72</v>
      </c>
      <c r="I150" s="3" t="s">
        <v>72</v>
      </c>
      <c r="J150" s="3" t="s">
        <v>72</v>
      </c>
      <c r="K150" s="3" t="s">
        <v>72</v>
      </c>
      <c r="L150" s="3" t="s">
        <v>72</v>
      </c>
      <c r="M150" s="3" t="s">
        <v>72</v>
      </c>
      <c r="N150" s="3" t="s">
        <v>72</v>
      </c>
      <c r="O150" s="3" t="s">
        <v>72</v>
      </c>
      <c r="P150" s="3" t="s">
        <v>72</v>
      </c>
      <c r="Q150" s="3" t="s">
        <v>72</v>
      </c>
      <c r="R150" s="3" t="s">
        <v>72</v>
      </c>
      <c r="S150" s="3" t="s">
        <v>72</v>
      </c>
      <c r="T150" s="3" t="s">
        <v>72</v>
      </c>
      <c r="U150" s="3" t="s">
        <v>72</v>
      </c>
      <c r="V150" s="3" t="s">
        <v>72</v>
      </c>
      <c r="W150" s="3" t="s">
        <v>72</v>
      </c>
      <c r="X150" s="3" t="s">
        <v>72</v>
      </c>
      <c r="Y150" s="3" t="s">
        <v>72</v>
      </c>
      <c r="Z150" s="3" t="s">
        <v>72</v>
      </c>
      <c r="AA150" s="3" t="s">
        <v>72</v>
      </c>
      <c r="AB150" s="3" t="s">
        <v>72</v>
      </c>
      <c r="AC150" s="3" t="s">
        <v>72</v>
      </c>
      <c r="AD150" s="3" t="s">
        <v>72</v>
      </c>
      <c r="AE150" s="3" t="s">
        <v>72</v>
      </c>
      <c r="AF150" s="3" t="s">
        <v>72</v>
      </c>
      <c r="AG150" s="3" t="s">
        <v>72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72</v>
      </c>
      <c r="E151" s="4" t="s">
        <v>72</v>
      </c>
      <c r="F151" s="4" t="s">
        <v>72</v>
      </c>
      <c r="G151" s="4" t="s">
        <v>72</v>
      </c>
      <c r="H151" s="4" t="s">
        <v>72</v>
      </c>
      <c r="I151" s="4" t="s">
        <v>72</v>
      </c>
      <c r="J151" s="4" t="s">
        <v>72</v>
      </c>
      <c r="K151" s="4" t="s">
        <v>72</v>
      </c>
      <c r="L151" s="4" t="s">
        <v>72</v>
      </c>
      <c r="M151" s="4" t="s">
        <v>72</v>
      </c>
      <c r="N151" s="4" t="s">
        <v>72</v>
      </c>
      <c r="O151" s="4" t="s">
        <v>72</v>
      </c>
      <c r="P151" s="4" t="s">
        <v>72</v>
      </c>
      <c r="Q151" s="4" t="s">
        <v>72</v>
      </c>
      <c r="R151" s="4" t="s">
        <v>72</v>
      </c>
      <c r="S151" s="4" t="s">
        <v>72</v>
      </c>
      <c r="T151" s="4" t="s">
        <v>72</v>
      </c>
      <c r="U151" s="4" t="s">
        <v>72</v>
      </c>
      <c r="V151" s="4" t="s">
        <v>72</v>
      </c>
      <c r="W151" s="4" t="s">
        <v>72</v>
      </c>
      <c r="X151" s="4" t="s">
        <v>72</v>
      </c>
      <c r="Y151" s="4" t="s">
        <v>72</v>
      </c>
      <c r="Z151" s="4" t="s">
        <v>72</v>
      </c>
      <c r="AA151" s="4" t="s">
        <v>72</v>
      </c>
      <c r="AB151" s="4" t="s">
        <v>72</v>
      </c>
      <c r="AC151" s="4" t="s">
        <v>72</v>
      </c>
      <c r="AD151" s="4" t="s">
        <v>72</v>
      </c>
      <c r="AE151" s="4" t="s">
        <v>72</v>
      </c>
      <c r="AF151" s="4" t="s">
        <v>72</v>
      </c>
      <c r="AG151" s="4" t="s">
        <v>72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72</v>
      </c>
      <c r="E152" s="3" t="s">
        <v>72</v>
      </c>
      <c r="F152" s="3" t="s">
        <v>72</v>
      </c>
      <c r="G152" s="3" t="s">
        <v>72</v>
      </c>
      <c r="H152" s="3" t="s">
        <v>72</v>
      </c>
      <c r="I152" s="3" t="s">
        <v>72</v>
      </c>
      <c r="J152" s="3" t="s">
        <v>72</v>
      </c>
      <c r="K152" s="3" t="s">
        <v>72</v>
      </c>
      <c r="L152" s="3" t="s">
        <v>72</v>
      </c>
      <c r="M152" s="3" t="s">
        <v>72</v>
      </c>
      <c r="N152" s="3" t="s">
        <v>72</v>
      </c>
      <c r="O152" s="3" t="s">
        <v>72</v>
      </c>
      <c r="P152" s="3" t="s">
        <v>72</v>
      </c>
      <c r="Q152" s="3" t="s">
        <v>72</v>
      </c>
      <c r="R152" s="3" t="s">
        <v>72</v>
      </c>
      <c r="S152" s="3" t="s">
        <v>72</v>
      </c>
      <c r="T152" s="3" t="s">
        <v>72</v>
      </c>
      <c r="U152" s="3" t="s">
        <v>72</v>
      </c>
      <c r="V152" s="3" t="s">
        <v>72</v>
      </c>
      <c r="W152" s="3" t="s">
        <v>72</v>
      </c>
      <c r="X152" s="3" t="s">
        <v>72</v>
      </c>
      <c r="Y152" s="3" t="s">
        <v>72</v>
      </c>
      <c r="Z152" s="3" t="s">
        <v>72</v>
      </c>
      <c r="AA152" s="3" t="s">
        <v>72</v>
      </c>
      <c r="AB152" s="3" t="s">
        <v>72</v>
      </c>
      <c r="AC152" s="3" t="s">
        <v>72</v>
      </c>
      <c r="AD152" s="3" t="s">
        <v>72</v>
      </c>
      <c r="AE152" s="3" t="s">
        <v>72</v>
      </c>
      <c r="AF152" s="3" t="s">
        <v>72</v>
      </c>
      <c r="AG152" s="3" t="s">
        <v>72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72</v>
      </c>
      <c r="E153" s="4" t="s">
        <v>72</v>
      </c>
      <c r="F153" s="4" t="s">
        <v>72</v>
      </c>
      <c r="G153" s="4" t="s">
        <v>72</v>
      </c>
      <c r="H153" s="4" t="s">
        <v>72</v>
      </c>
      <c r="I153" s="4" t="s">
        <v>72</v>
      </c>
      <c r="J153" s="4" t="s">
        <v>72</v>
      </c>
      <c r="K153" s="4" t="s">
        <v>72</v>
      </c>
      <c r="L153" s="4" t="s">
        <v>72</v>
      </c>
      <c r="M153" s="4" t="s">
        <v>72</v>
      </c>
      <c r="N153" s="4" t="s">
        <v>72</v>
      </c>
      <c r="O153" s="4" t="s">
        <v>72</v>
      </c>
      <c r="P153" s="4" t="s">
        <v>72</v>
      </c>
      <c r="Q153" s="4" t="s">
        <v>72</v>
      </c>
      <c r="R153" s="4" t="s">
        <v>72</v>
      </c>
      <c r="S153" s="4" t="s">
        <v>72</v>
      </c>
      <c r="T153" s="4" t="s">
        <v>72</v>
      </c>
      <c r="U153" s="4" t="s">
        <v>72</v>
      </c>
      <c r="V153" s="4" t="s">
        <v>72</v>
      </c>
      <c r="W153" s="4" t="s">
        <v>72</v>
      </c>
      <c r="X153" s="4" t="s">
        <v>72</v>
      </c>
      <c r="Y153" s="4" t="s">
        <v>72</v>
      </c>
      <c r="Z153" s="4" t="s">
        <v>72</v>
      </c>
      <c r="AA153" s="4" t="s">
        <v>72</v>
      </c>
      <c r="AB153" s="4" t="s">
        <v>72</v>
      </c>
      <c r="AC153" s="4" t="s">
        <v>72</v>
      </c>
      <c r="AD153" s="4" t="s">
        <v>72</v>
      </c>
      <c r="AE153" s="4" t="s">
        <v>72</v>
      </c>
      <c r="AF153" s="4" t="s">
        <v>72</v>
      </c>
      <c r="AG153" s="4" t="s">
        <v>72</v>
      </c>
      <c r="AH153" s="8"/>
    </row>
    <row r="154" spans="2:34">
      <c r="B154" s="83">
        <v>6</v>
      </c>
      <c r="C154" s="90" t="str">
        <f>LEFT(EmpGName06)&amp;" " &amp;EmpSName06</f>
        <v>T Sorensen</v>
      </c>
      <c r="D154" s="3" t="s">
        <v>72</v>
      </c>
      <c r="E154" s="3" t="s">
        <v>72</v>
      </c>
      <c r="F154" s="3" t="s">
        <v>72</v>
      </c>
      <c r="G154" s="3" t="s">
        <v>72</v>
      </c>
      <c r="H154" s="3" t="s">
        <v>72</v>
      </c>
      <c r="I154" s="3" t="s">
        <v>72</v>
      </c>
      <c r="J154" s="3" t="s">
        <v>72</v>
      </c>
      <c r="K154" s="3" t="s">
        <v>72</v>
      </c>
      <c r="L154" s="3" t="s">
        <v>72</v>
      </c>
      <c r="M154" s="3" t="s">
        <v>72</v>
      </c>
      <c r="N154" s="3" t="s">
        <v>72</v>
      </c>
      <c r="O154" s="3" t="s">
        <v>72</v>
      </c>
      <c r="P154" s="3" t="s">
        <v>72</v>
      </c>
      <c r="Q154" s="3" t="s">
        <v>72</v>
      </c>
      <c r="R154" s="3" t="s">
        <v>72</v>
      </c>
      <c r="S154" s="3" t="s">
        <v>72</v>
      </c>
      <c r="T154" s="3" t="s">
        <v>72</v>
      </c>
      <c r="U154" s="3" t="s">
        <v>72</v>
      </c>
      <c r="V154" s="3" t="s">
        <v>72</v>
      </c>
      <c r="W154" s="3" t="s">
        <v>72</v>
      </c>
      <c r="X154" s="3" t="s">
        <v>72</v>
      </c>
      <c r="Y154" s="3" t="s">
        <v>72</v>
      </c>
      <c r="Z154" s="3" t="s">
        <v>72</v>
      </c>
      <c r="AA154" s="3" t="s">
        <v>72</v>
      </c>
      <c r="AB154" s="3" t="s">
        <v>72</v>
      </c>
      <c r="AC154" s="3" t="s">
        <v>72</v>
      </c>
      <c r="AD154" s="3" t="s">
        <v>72</v>
      </c>
      <c r="AE154" s="3" t="s">
        <v>72</v>
      </c>
      <c r="AF154" s="3" t="s">
        <v>72</v>
      </c>
      <c r="AG154" s="3" t="s">
        <v>72</v>
      </c>
      <c r="AH154" s="8"/>
    </row>
    <row r="155" spans="2:34">
      <c r="B155" s="83">
        <v>7</v>
      </c>
      <c r="C155" s="89" t="str">
        <f>LEFT(EmpGName07)&amp;" " &amp;EmpSName07</f>
        <v>R Fielding</v>
      </c>
      <c r="D155" s="4" t="s">
        <v>72</v>
      </c>
      <c r="E155" s="4" t="s">
        <v>72</v>
      </c>
      <c r="F155" s="4" t="s">
        <v>72</v>
      </c>
      <c r="G155" s="4" t="s">
        <v>72</v>
      </c>
      <c r="H155" s="4" t="s">
        <v>72</v>
      </c>
      <c r="I155" s="4" t="s">
        <v>72</v>
      </c>
      <c r="J155" s="4" t="s">
        <v>72</v>
      </c>
      <c r="K155" s="4" t="s">
        <v>72</v>
      </c>
      <c r="L155" s="4" t="s">
        <v>72</v>
      </c>
      <c r="M155" s="4" t="s">
        <v>72</v>
      </c>
      <c r="N155" s="4" t="s">
        <v>72</v>
      </c>
      <c r="O155" s="4" t="s">
        <v>72</v>
      </c>
      <c r="P155" s="4" t="s">
        <v>72</v>
      </c>
      <c r="Q155" s="4" t="s">
        <v>72</v>
      </c>
      <c r="R155" s="4" t="s">
        <v>72</v>
      </c>
      <c r="S155" s="4" t="s">
        <v>72</v>
      </c>
      <c r="T155" s="4" t="s">
        <v>72</v>
      </c>
      <c r="U155" s="4" t="s">
        <v>72</v>
      </c>
      <c r="V155" s="4" t="s">
        <v>72</v>
      </c>
      <c r="W155" s="4" t="s">
        <v>72</v>
      </c>
      <c r="X155" s="4" t="s">
        <v>72</v>
      </c>
      <c r="Y155" s="4" t="s">
        <v>72</v>
      </c>
      <c r="Z155" s="4" t="s">
        <v>72</v>
      </c>
      <c r="AA155" s="4" t="s">
        <v>72</v>
      </c>
      <c r="AB155" s="4" t="s">
        <v>72</v>
      </c>
      <c r="AC155" s="4" t="s">
        <v>72</v>
      </c>
      <c r="AD155" s="4" t="s">
        <v>72</v>
      </c>
      <c r="AE155" s="4" t="s">
        <v>72</v>
      </c>
      <c r="AF155" s="4" t="s">
        <v>72</v>
      </c>
      <c r="AG155" s="4" t="s">
        <v>72</v>
      </c>
      <c r="AH155" s="8"/>
    </row>
    <row r="156" spans="2:34">
      <c r="B156" s="83">
        <v>8</v>
      </c>
      <c r="C156" s="90" t="str">
        <f>LEFT(EmpGName08)&amp;" " &amp;EmpSName08</f>
        <v>F Flannery</v>
      </c>
      <c r="D156" s="3" t="s">
        <v>72</v>
      </c>
      <c r="E156" s="3" t="s">
        <v>72</v>
      </c>
      <c r="F156" s="3" t="s">
        <v>72</v>
      </c>
      <c r="G156" s="3" t="s">
        <v>72</v>
      </c>
      <c r="H156" s="3" t="s">
        <v>72</v>
      </c>
      <c r="I156" s="3" t="s">
        <v>72</v>
      </c>
      <c r="J156" s="3" t="s">
        <v>72</v>
      </c>
      <c r="K156" s="3" t="s">
        <v>72</v>
      </c>
      <c r="L156" s="3" t="s">
        <v>72</v>
      </c>
      <c r="M156" s="3" t="s">
        <v>72</v>
      </c>
      <c r="N156" s="3" t="s">
        <v>72</v>
      </c>
      <c r="O156" s="3" t="s">
        <v>72</v>
      </c>
      <c r="P156" s="3" t="s">
        <v>72</v>
      </c>
      <c r="Q156" s="3" t="s">
        <v>72</v>
      </c>
      <c r="R156" s="3" t="s">
        <v>72</v>
      </c>
      <c r="S156" s="3" t="s">
        <v>72</v>
      </c>
      <c r="T156" s="3" t="s">
        <v>72</v>
      </c>
      <c r="U156" s="3" t="s">
        <v>72</v>
      </c>
      <c r="V156" s="3" t="s">
        <v>72</v>
      </c>
      <c r="W156" s="3" t="s">
        <v>72</v>
      </c>
      <c r="X156" s="3" t="s">
        <v>72</v>
      </c>
      <c r="Y156" s="3" t="s">
        <v>72</v>
      </c>
      <c r="Z156" s="3" t="s">
        <v>72</v>
      </c>
      <c r="AA156" s="3" t="s">
        <v>72</v>
      </c>
      <c r="AB156" s="3" t="s">
        <v>72</v>
      </c>
      <c r="AC156" s="3" t="s">
        <v>72</v>
      </c>
      <c r="AD156" s="3" t="s">
        <v>72</v>
      </c>
      <c r="AE156" s="3" t="s">
        <v>72</v>
      </c>
      <c r="AF156" s="3" t="s">
        <v>72</v>
      </c>
      <c r="AG156" s="3" t="s">
        <v>72</v>
      </c>
      <c r="AH156" s="8"/>
    </row>
    <row r="157" spans="2:34">
      <c r="B157" s="83">
        <v>9</v>
      </c>
      <c r="C157" s="89" t="str">
        <f>LEFT(EmpGName09)&amp;" " &amp;EmpSName09</f>
        <v>P Hogan</v>
      </c>
      <c r="D157" s="4" t="s">
        <v>72</v>
      </c>
      <c r="E157" s="4" t="s">
        <v>72</v>
      </c>
      <c r="F157" s="4" t="s">
        <v>72</v>
      </c>
      <c r="G157" s="4" t="s">
        <v>72</v>
      </c>
      <c r="H157" s="4" t="s">
        <v>72</v>
      </c>
      <c r="I157" s="4" t="s">
        <v>72</v>
      </c>
      <c r="J157" s="4" t="s">
        <v>72</v>
      </c>
      <c r="K157" s="4" t="s">
        <v>72</v>
      </c>
      <c r="L157" s="4" t="s">
        <v>72</v>
      </c>
      <c r="M157" s="4" t="s">
        <v>72</v>
      </c>
      <c r="N157" s="4" t="s">
        <v>72</v>
      </c>
      <c r="O157" s="4" t="s">
        <v>72</v>
      </c>
      <c r="P157" s="4" t="s">
        <v>72</v>
      </c>
      <c r="Q157" s="4" t="s">
        <v>72</v>
      </c>
      <c r="R157" s="4" t="s">
        <v>72</v>
      </c>
      <c r="S157" s="4" t="s">
        <v>72</v>
      </c>
      <c r="T157" s="4" t="s">
        <v>72</v>
      </c>
      <c r="U157" s="4" t="s">
        <v>72</v>
      </c>
      <c r="V157" s="4" t="s">
        <v>72</v>
      </c>
      <c r="W157" s="4" t="s">
        <v>72</v>
      </c>
      <c r="X157" s="4" t="s">
        <v>72</v>
      </c>
      <c r="Y157" s="4" t="s">
        <v>72</v>
      </c>
      <c r="Z157" s="4" t="s">
        <v>72</v>
      </c>
      <c r="AA157" s="4" t="s">
        <v>72</v>
      </c>
      <c r="AB157" s="4" t="s">
        <v>72</v>
      </c>
      <c r="AC157" s="4" t="s">
        <v>72</v>
      </c>
      <c r="AD157" s="4" t="s">
        <v>72</v>
      </c>
      <c r="AE157" s="4" t="s">
        <v>72</v>
      </c>
      <c r="AF157" s="4" t="s">
        <v>72</v>
      </c>
      <c r="AG157" s="4" t="s">
        <v>72</v>
      </c>
      <c r="AH157" s="8"/>
    </row>
    <row r="158" spans="2:34">
      <c r="B158" s="153">
        <v>10</v>
      </c>
      <c r="C158" s="90" t="str">
        <f>LEFT(EmpGName10)&amp;" " &amp;EmpSName10</f>
        <v>J Stretton</v>
      </c>
      <c r="D158" s="3" t="s">
        <v>72</v>
      </c>
      <c r="E158" s="3" t="s">
        <v>72</v>
      </c>
      <c r="F158" s="3" t="s">
        <v>72</v>
      </c>
      <c r="G158" s="3" t="s">
        <v>72</v>
      </c>
      <c r="H158" s="3" t="s">
        <v>72</v>
      </c>
      <c r="I158" s="3" t="s">
        <v>72</v>
      </c>
      <c r="J158" s="3" t="s">
        <v>72</v>
      </c>
      <c r="K158" s="3" t="s">
        <v>72</v>
      </c>
      <c r="L158" s="3" t="s">
        <v>72</v>
      </c>
      <c r="M158" s="3" t="s">
        <v>72</v>
      </c>
      <c r="N158" s="3" t="s">
        <v>72</v>
      </c>
      <c r="O158" s="3" t="s">
        <v>72</v>
      </c>
      <c r="P158" s="3" t="s">
        <v>72</v>
      </c>
      <c r="Q158" s="3" t="s">
        <v>72</v>
      </c>
      <c r="R158" s="3" t="s">
        <v>72</v>
      </c>
      <c r="S158" s="3" t="s">
        <v>72</v>
      </c>
      <c r="T158" s="3" t="s">
        <v>72</v>
      </c>
      <c r="U158" s="3" t="s">
        <v>72</v>
      </c>
      <c r="V158" s="3" t="s">
        <v>72</v>
      </c>
      <c r="W158" s="3" t="s">
        <v>72</v>
      </c>
      <c r="X158" s="3" t="s">
        <v>72</v>
      </c>
      <c r="Y158" s="3" t="s">
        <v>72</v>
      </c>
      <c r="Z158" s="3" t="s">
        <v>72</v>
      </c>
      <c r="AA158" s="3" t="s">
        <v>72</v>
      </c>
      <c r="AB158" s="3" t="s">
        <v>72</v>
      </c>
      <c r="AC158" s="3" t="s">
        <v>72</v>
      </c>
      <c r="AD158" s="3" t="s">
        <v>72</v>
      </c>
      <c r="AE158" s="3" t="s">
        <v>72</v>
      </c>
      <c r="AF158" s="3" t="s">
        <v>72</v>
      </c>
      <c r="AG158" s="3" t="s">
        <v>72</v>
      </c>
      <c r="AH158" s="74"/>
    </row>
    <row r="159" spans="2:34">
      <c r="B159" s="153">
        <v>11</v>
      </c>
      <c r="C159" s="89" t="str">
        <f>LEFT(EmpGName11)&amp;" " &amp;EmpSName11</f>
        <v>M Rowe</v>
      </c>
      <c r="D159" s="4" t="s">
        <v>72</v>
      </c>
      <c r="E159" s="4" t="s">
        <v>72</v>
      </c>
      <c r="F159" s="4" t="s">
        <v>72</v>
      </c>
      <c r="G159" s="4" t="s">
        <v>72</v>
      </c>
      <c r="H159" s="4" t="s">
        <v>72</v>
      </c>
      <c r="I159" s="4" t="s">
        <v>72</v>
      </c>
      <c r="J159" s="4" t="s">
        <v>72</v>
      </c>
      <c r="K159" s="4" t="s">
        <v>72</v>
      </c>
      <c r="L159" s="4" t="s">
        <v>72</v>
      </c>
      <c r="M159" s="4" t="s">
        <v>72</v>
      </c>
      <c r="N159" s="4" t="s">
        <v>72</v>
      </c>
      <c r="O159" s="4" t="s">
        <v>72</v>
      </c>
      <c r="P159" s="4" t="s">
        <v>72</v>
      </c>
      <c r="Q159" s="4" t="s">
        <v>72</v>
      </c>
      <c r="R159" s="4" t="s">
        <v>72</v>
      </c>
      <c r="S159" s="4" t="s">
        <v>72</v>
      </c>
      <c r="T159" s="4" t="s">
        <v>72</v>
      </c>
      <c r="U159" s="4" t="s">
        <v>72</v>
      </c>
      <c r="V159" s="4" t="s">
        <v>72</v>
      </c>
      <c r="W159" s="4" t="s">
        <v>72</v>
      </c>
      <c r="X159" s="4" t="s">
        <v>72</v>
      </c>
      <c r="Y159" s="4" t="s">
        <v>72</v>
      </c>
      <c r="Z159" s="4" t="s">
        <v>72</v>
      </c>
      <c r="AA159" s="4" t="s">
        <v>72</v>
      </c>
      <c r="AB159" s="4" t="s">
        <v>72</v>
      </c>
      <c r="AC159" s="4" t="s">
        <v>72</v>
      </c>
      <c r="AD159" s="4" t="s">
        <v>72</v>
      </c>
      <c r="AE159" s="4" t="s">
        <v>72</v>
      </c>
      <c r="AF159" s="4" t="s">
        <v>72</v>
      </c>
      <c r="AG159" s="4" t="s">
        <v>72</v>
      </c>
      <c r="AH159" s="74"/>
    </row>
    <row r="160" spans="2:34" hidden="1">
      <c r="B160" s="153">
        <v>12</v>
      </c>
      <c r="C160" s="90" t="str">
        <f>LEFT(EmpGName12)&amp;" " &amp;EmpSName12</f>
        <v xml:space="preserve"> </v>
      </c>
      <c r="D160" s="3" t="s">
        <v>72</v>
      </c>
      <c r="E160" s="3" t="s">
        <v>72</v>
      </c>
      <c r="F160" s="3" t="s">
        <v>72</v>
      </c>
      <c r="G160" s="3" t="s">
        <v>72</v>
      </c>
      <c r="H160" s="3" t="s">
        <v>72</v>
      </c>
      <c r="I160" s="3" t="s">
        <v>72</v>
      </c>
      <c r="J160" s="3" t="s">
        <v>72</v>
      </c>
      <c r="K160" s="3" t="s">
        <v>72</v>
      </c>
      <c r="L160" s="3" t="s">
        <v>72</v>
      </c>
      <c r="M160" s="3" t="s">
        <v>72</v>
      </c>
      <c r="N160" s="3" t="s">
        <v>72</v>
      </c>
      <c r="O160" s="3" t="s">
        <v>72</v>
      </c>
      <c r="P160" s="3" t="s">
        <v>72</v>
      </c>
      <c r="Q160" s="3" t="s">
        <v>72</v>
      </c>
      <c r="R160" s="3" t="s">
        <v>72</v>
      </c>
      <c r="S160" s="3" t="s">
        <v>72</v>
      </c>
      <c r="T160" s="3" t="s">
        <v>72</v>
      </c>
      <c r="U160" s="3" t="s">
        <v>72</v>
      </c>
      <c r="V160" s="3" t="s">
        <v>72</v>
      </c>
      <c r="W160" s="3" t="s">
        <v>72</v>
      </c>
      <c r="X160" s="3" t="s">
        <v>72</v>
      </c>
      <c r="Y160" s="3" t="s">
        <v>72</v>
      </c>
      <c r="Z160" s="3" t="s">
        <v>72</v>
      </c>
      <c r="AA160" s="3" t="s">
        <v>72</v>
      </c>
      <c r="AB160" s="3" t="s">
        <v>72</v>
      </c>
      <c r="AC160" s="3" t="s">
        <v>72</v>
      </c>
      <c r="AD160" s="3" t="s">
        <v>72</v>
      </c>
      <c r="AE160" s="3" t="s">
        <v>72</v>
      </c>
      <c r="AF160" s="3" t="s">
        <v>72</v>
      </c>
      <c r="AG160" s="3" t="s">
        <v>72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72</v>
      </c>
      <c r="E164" s="4" t="s">
        <v>72</v>
      </c>
      <c r="F164" s="4" t="s">
        <v>72</v>
      </c>
      <c r="G164" s="4" t="s">
        <v>72</v>
      </c>
      <c r="H164" s="4" t="s">
        <v>72</v>
      </c>
      <c r="I164" s="4" t="s">
        <v>72</v>
      </c>
      <c r="J164" s="4" t="s">
        <v>72</v>
      </c>
      <c r="K164" s="4" t="s">
        <v>72</v>
      </c>
      <c r="L164" s="4" t="s">
        <v>72</v>
      </c>
      <c r="M164" s="4" t="s">
        <v>72</v>
      </c>
      <c r="N164" s="4" t="s">
        <v>72</v>
      </c>
      <c r="O164" s="4" t="s">
        <v>72</v>
      </c>
      <c r="P164" s="4" t="s">
        <v>72</v>
      </c>
      <c r="Q164" s="4" t="s">
        <v>72</v>
      </c>
      <c r="R164" s="4" t="s">
        <v>72</v>
      </c>
      <c r="S164" s="4" t="s">
        <v>72</v>
      </c>
      <c r="T164" s="4" t="s">
        <v>72</v>
      </c>
      <c r="U164" s="4" t="s">
        <v>72</v>
      </c>
      <c r="V164" s="4" t="s">
        <v>72</v>
      </c>
      <c r="W164" s="4" t="s">
        <v>72</v>
      </c>
      <c r="X164" s="4" t="s">
        <v>72</v>
      </c>
      <c r="Y164" s="4" t="s">
        <v>72</v>
      </c>
      <c r="Z164" s="4" t="s">
        <v>72</v>
      </c>
      <c r="AA164" s="4" t="s">
        <v>72</v>
      </c>
      <c r="AB164" s="4" t="s">
        <v>72</v>
      </c>
      <c r="AC164" s="4" t="s">
        <v>72</v>
      </c>
      <c r="AD164" s="4" t="s">
        <v>72</v>
      </c>
      <c r="AE164" s="4" t="s">
        <v>72</v>
      </c>
      <c r="AF164" s="4" t="s">
        <v>72</v>
      </c>
      <c r="AG164" s="4" t="s">
        <v>72</v>
      </c>
      <c r="AH164" s="4" t="s">
        <v>72</v>
      </c>
    </row>
    <row r="165" spans="2:34">
      <c r="B165" s="85">
        <v>2</v>
      </c>
      <c r="C165" s="90" t="str">
        <f>LEFT(EmpGName02)&amp;" " &amp;EmpSName02</f>
        <v>K Stone</v>
      </c>
      <c r="D165" s="3" t="s">
        <v>72</v>
      </c>
      <c r="E165" s="3" t="s">
        <v>72</v>
      </c>
      <c r="F165" s="3" t="s">
        <v>72</v>
      </c>
      <c r="G165" s="3" t="s">
        <v>72</v>
      </c>
      <c r="H165" s="3" t="s">
        <v>72</v>
      </c>
      <c r="I165" s="3" t="s">
        <v>72</v>
      </c>
      <c r="J165" s="3" t="s">
        <v>72</v>
      </c>
      <c r="K165" s="3" t="s">
        <v>72</v>
      </c>
      <c r="L165" s="3" t="s">
        <v>72</v>
      </c>
      <c r="M165" s="3" t="s">
        <v>72</v>
      </c>
      <c r="N165" s="3" t="s">
        <v>72</v>
      </c>
      <c r="O165" s="3" t="s">
        <v>72</v>
      </c>
      <c r="P165" s="3" t="s">
        <v>72</v>
      </c>
      <c r="Q165" s="3" t="s">
        <v>72</v>
      </c>
      <c r="R165" s="3" t="s">
        <v>72</v>
      </c>
      <c r="S165" s="3" t="s">
        <v>72</v>
      </c>
      <c r="T165" s="3" t="s">
        <v>72</v>
      </c>
      <c r="U165" s="3" t="s">
        <v>72</v>
      </c>
      <c r="V165" s="3" t="s">
        <v>72</v>
      </c>
      <c r="W165" s="3" t="s">
        <v>72</v>
      </c>
      <c r="X165" s="3" t="s">
        <v>72</v>
      </c>
      <c r="Y165" s="3" t="s">
        <v>72</v>
      </c>
      <c r="Z165" s="3" t="s">
        <v>72</v>
      </c>
      <c r="AA165" s="3" t="s">
        <v>72</v>
      </c>
      <c r="AB165" s="3" t="s">
        <v>72</v>
      </c>
      <c r="AC165" s="3" t="s">
        <v>72</v>
      </c>
      <c r="AD165" s="3" t="s">
        <v>72</v>
      </c>
      <c r="AE165" s="3" t="s">
        <v>72</v>
      </c>
      <c r="AF165" s="3" t="s">
        <v>72</v>
      </c>
      <c r="AG165" s="3" t="s">
        <v>72</v>
      </c>
      <c r="AH165" s="3" t="s">
        <v>72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72</v>
      </c>
      <c r="E166" s="4" t="s">
        <v>72</v>
      </c>
      <c r="F166" s="4" t="s">
        <v>72</v>
      </c>
      <c r="G166" s="4" t="s">
        <v>72</v>
      </c>
      <c r="H166" s="4" t="s">
        <v>72</v>
      </c>
      <c r="I166" s="4" t="s">
        <v>72</v>
      </c>
      <c r="J166" s="4" t="s">
        <v>72</v>
      </c>
      <c r="K166" s="4" t="s">
        <v>72</v>
      </c>
      <c r="L166" s="4" t="s">
        <v>72</v>
      </c>
      <c r="M166" s="4" t="s">
        <v>72</v>
      </c>
      <c r="N166" s="4" t="s">
        <v>72</v>
      </c>
      <c r="O166" s="4" t="s">
        <v>72</v>
      </c>
      <c r="P166" s="4" t="s">
        <v>72</v>
      </c>
      <c r="Q166" s="4" t="s">
        <v>72</v>
      </c>
      <c r="R166" s="4" t="s">
        <v>72</v>
      </c>
      <c r="S166" s="4" t="s">
        <v>72</v>
      </c>
      <c r="T166" s="4" t="s">
        <v>72</v>
      </c>
      <c r="U166" s="4" t="s">
        <v>72</v>
      </c>
      <c r="V166" s="4" t="s">
        <v>72</v>
      </c>
      <c r="W166" s="4" t="s">
        <v>72</v>
      </c>
      <c r="X166" s="4" t="s">
        <v>72</v>
      </c>
      <c r="Y166" s="4" t="s">
        <v>72</v>
      </c>
      <c r="Z166" s="4" t="s">
        <v>72</v>
      </c>
      <c r="AA166" s="4" t="s">
        <v>72</v>
      </c>
      <c r="AB166" s="4" t="s">
        <v>72</v>
      </c>
      <c r="AC166" s="4" t="s">
        <v>72</v>
      </c>
      <c r="AD166" s="4" t="s">
        <v>72</v>
      </c>
      <c r="AE166" s="4" t="s">
        <v>72</v>
      </c>
      <c r="AF166" s="4" t="s">
        <v>72</v>
      </c>
      <c r="AG166" s="4" t="s">
        <v>72</v>
      </c>
      <c r="AH166" s="4" t="s">
        <v>72</v>
      </c>
    </row>
    <row r="167" spans="2:34">
      <c r="B167" s="85">
        <v>4</v>
      </c>
      <c r="C167" s="90" t="str">
        <f>LEFT(EmpGName04)&amp;" " &amp;EmpSName04</f>
        <v>L King</v>
      </c>
      <c r="D167" s="3" t="s">
        <v>72</v>
      </c>
      <c r="E167" s="3" t="s">
        <v>72</v>
      </c>
      <c r="F167" s="3" t="s">
        <v>72</v>
      </c>
      <c r="G167" s="3" t="s">
        <v>72</v>
      </c>
      <c r="H167" s="3" t="s">
        <v>72</v>
      </c>
      <c r="I167" s="3" t="s">
        <v>72</v>
      </c>
      <c r="J167" s="3" t="s">
        <v>72</v>
      </c>
      <c r="K167" s="3" t="s">
        <v>72</v>
      </c>
      <c r="L167" s="3" t="s">
        <v>72</v>
      </c>
      <c r="M167" s="3" t="s">
        <v>72</v>
      </c>
      <c r="N167" s="3" t="s">
        <v>72</v>
      </c>
      <c r="O167" s="3" t="s">
        <v>72</v>
      </c>
      <c r="P167" s="3" t="s">
        <v>72</v>
      </c>
      <c r="Q167" s="3" t="s">
        <v>72</v>
      </c>
      <c r="R167" s="3" t="s">
        <v>72</v>
      </c>
      <c r="S167" s="3" t="s">
        <v>72</v>
      </c>
      <c r="T167" s="3" t="s">
        <v>72</v>
      </c>
      <c r="U167" s="3" t="s">
        <v>72</v>
      </c>
      <c r="V167" s="3" t="s">
        <v>72</v>
      </c>
      <c r="W167" s="3" t="s">
        <v>72</v>
      </c>
      <c r="X167" s="3" t="s">
        <v>72</v>
      </c>
      <c r="Y167" s="3" t="s">
        <v>72</v>
      </c>
      <c r="Z167" s="3" t="s">
        <v>72</v>
      </c>
      <c r="AA167" s="3" t="s">
        <v>72</v>
      </c>
      <c r="AB167" s="3" t="s">
        <v>72</v>
      </c>
      <c r="AC167" s="3" t="s">
        <v>72</v>
      </c>
      <c r="AD167" s="3" t="s">
        <v>72</v>
      </c>
      <c r="AE167" s="3" t="s">
        <v>72</v>
      </c>
      <c r="AF167" s="3" t="s">
        <v>72</v>
      </c>
      <c r="AG167" s="3" t="s">
        <v>72</v>
      </c>
      <c r="AH167" s="3" t="s">
        <v>72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72</v>
      </c>
      <c r="E168" s="4" t="s">
        <v>72</v>
      </c>
      <c r="F168" s="4" t="s">
        <v>72</v>
      </c>
      <c r="G168" s="4" t="s">
        <v>72</v>
      </c>
      <c r="H168" s="4" t="s">
        <v>72</v>
      </c>
      <c r="I168" s="4" t="s">
        <v>72</v>
      </c>
      <c r="J168" s="4" t="s">
        <v>72</v>
      </c>
      <c r="K168" s="4" t="s">
        <v>72</v>
      </c>
      <c r="L168" s="4" t="s">
        <v>72</v>
      </c>
      <c r="M168" s="4" t="s">
        <v>72</v>
      </c>
      <c r="N168" s="4" t="s">
        <v>72</v>
      </c>
      <c r="O168" s="4" t="s">
        <v>72</v>
      </c>
      <c r="P168" s="4" t="s">
        <v>72</v>
      </c>
      <c r="Q168" s="4" t="s">
        <v>72</v>
      </c>
      <c r="R168" s="4" t="s">
        <v>72</v>
      </c>
      <c r="S168" s="4" t="s">
        <v>72</v>
      </c>
      <c r="T168" s="4" t="s">
        <v>72</v>
      </c>
      <c r="U168" s="4" t="s">
        <v>72</v>
      </c>
      <c r="V168" s="4" t="s">
        <v>72</v>
      </c>
      <c r="W168" s="4" t="s">
        <v>72</v>
      </c>
      <c r="X168" s="4" t="s">
        <v>72</v>
      </c>
      <c r="Y168" s="4" t="s">
        <v>72</v>
      </c>
      <c r="Z168" s="4" t="s">
        <v>72</v>
      </c>
      <c r="AA168" s="4" t="s">
        <v>72</v>
      </c>
      <c r="AB168" s="4" t="s">
        <v>72</v>
      </c>
      <c r="AC168" s="4" t="s">
        <v>72</v>
      </c>
      <c r="AD168" s="4" t="s">
        <v>72</v>
      </c>
      <c r="AE168" s="4" t="s">
        <v>72</v>
      </c>
      <c r="AF168" s="4" t="s">
        <v>72</v>
      </c>
      <c r="AG168" s="4" t="s">
        <v>72</v>
      </c>
      <c r="AH168" s="4" t="s">
        <v>72</v>
      </c>
    </row>
    <row r="169" spans="2:34">
      <c r="B169" s="85">
        <v>6</v>
      </c>
      <c r="C169" s="90" t="str">
        <f>LEFT(EmpGName06)&amp;" " &amp;EmpSName06</f>
        <v>T Sorensen</v>
      </c>
      <c r="D169" s="3" t="s">
        <v>72</v>
      </c>
      <c r="E169" s="3" t="s">
        <v>72</v>
      </c>
      <c r="F169" s="3" t="s">
        <v>72</v>
      </c>
      <c r="G169" s="3" t="s">
        <v>72</v>
      </c>
      <c r="H169" s="3" t="s">
        <v>72</v>
      </c>
      <c r="I169" s="3" t="s">
        <v>72</v>
      </c>
      <c r="J169" s="3" t="s">
        <v>72</v>
      </c>
      <c r="K169" s="3" t="s">
        <v>72</v>
      </c>
      <c r="L169" s="3" t="s">
        <v>72</v>
      </c>
      <c r="M169" s="3" t="s">
        <v>72</v>
      </c>
      <c r="N169" s="3" t="s">
        <v>72</v>
      </c>
      <c r="O169" s="3" t="s">
        <v>72</v>
      </c>
      <c r="P169" s="3" t="s">
        <v>72</v>
      </c>
      <c r="Q169" s="3" t="s">
        <v>72</v>
      </c>
      <c r="R169" s="3" t="s">
        <v>72</v>
      </c>
      <c r="S169" s="3" t="s">
        <v>72</v>
      </c>
      <c r="T169" s="3" t="s">
        <v>72</v>
      </c>
      <c r="U169" s="3" t="s">
        <v>72</v>
      </c>
      <c r="V169" s="3" t="s">
        <v>72</v>
      </c>
      <c r="W169" s="3" t="s">
        <v>72</v>
      </c>
      <c r="X169" s="3" t="s">
        <v>72</v>
      </c>
      <c r="Y169" s="3" t="s">
        <v>72</v>
      </c>
      <c r="Z169" s="3" t="s">
        <v>72</v>
      </c>
      <c r="AA169" s="3" t="s">
        <v>72</v>
      </c>
      <c r="AB169" s="3" t="s">
        <v>72</v>
      </c>
      <c r="AC169" s="3" t="s">
        <v>72</v>
      </c>
      <c r="AD169" s="3" t="s">
        <v>72</v>
      </c>
      <c r="AE169" s="3" t="s">
        <v>72</v>
      </c>
      <c r="AF169" s="3" t="s">
        <v>72</v>
      </c>
      <c r="AG169" s="3" t="s">
        <v>72</v>
      </c>
      <c r="AH169" s="3" t="s">
        <v>72</v>
      </c>
    </row>
    <row r="170" spans="2:34">
      <c r="B170" s="85">
        <v>7</v>
      </c>
      <c r="C170" s="89" t="str">
        <f>LEFT(EmpGName07)&amp;" " &amp;EmpSName07</f>
        <v>R Fielding</v>
      </c>
      <c r="D170" s="4" t="s">
        <v>72</v>
      </c>
      <c r="E170" s="4" t="s">
        <v>72</v>
      </c>
      <c r="F170" s="4" t="s">
        <v>72</v>
      </c>
      <c r="G170" s="4" t="s">
        <v>72</v>
      </c>
      <c r="H170" s="4" t="s">
        <v>72</v>
      </c>
      <c r="I170" s="4" t="s">
        <v>72</v>
      </c>
      <c r="J170" s="4" t="s">
        <v>72</v>
      </c>
      <c r="K170" s="4" t="s">
        <v>72</v>
      </c>
      <c r="L170" s="4" t="s">
        <v>72</v>
      </c>
      <c r="M170" s="4" t="s">
        <v>72</v>
      </c>
      <c r="N170" s="4" t="s">
        <v>72</v>
      </c>
      <c r="O170" s="4" t="s">
        <v>72</v>
      </c>
      <c r="P170" s="4" t="s">
        <v>72</v>
      </c>
      <c r="Q170" s="4" t="s">
        <v>72</v>
      </c>
      <c r="R170" s="4" t="s">
        <v>72</v>
      </c>
      <c r="S170" s="4" t="s">
        <v>72</v>
      </c>
      <c r="T170" s="4" t="s">
        <v>72</v>
      </c>
      <c r="U170" s="4" t="s">
        <v>72</v>
      </c>
      <c r="V170" s="4" t="s">
        <v>72</v>
      </c>
      <c r="W170" s="4" t="s">
        <v>72</v>
      </c>
      <c r="X170" s="4" t="s">
        <v>72</v>
      </c>
      <c r="Y170" s="4" t="s">
        <v>72</v>
      </c>
      <c r="Z170" s="4" t="s">
        <v>72</v>
      </c>
      <c r="AA170" s="4" t="s">
        <v>72</v>
      </c>
      <c r="AB170" s="4" t="s">
        <v>72</v>
      </c>
      <c r="AC170" s="4" t="s">
        <v>72</v>
      </c>
      <c r="AD170" s="4" t="s">
        <v>72</v>
      </c>
      <c r="AE170" s="4" t="s">
        <v>72</v>
      </c>
      <c r="AF170" s="4" t="s">
        <v>72</v>
      </c>
      <c r="AG170" s="4" t="s">
        <v>72</v>
      </c>
      <c r="AH170" s="4" t="s">
        <v>72</v>
      </c>
    </row>
    <row r="171" spans="2:34">
      <c r="B171" s="85">
        <v>8</v>
      </c>
      <c r="C171" s="90" t="str">
        <f>LEFT(EmpGName08)&amp;" " &amp;EmpSName08</f>
        <v>F Flannery</v>
      </c>
      <c r="D171" s="3" t="s">
        <v>72</v>
      </c>
      <c r="E171" s="3" t="s">
        <v>72</v>
      </c>
      <c r="F171" s="3" t="s">
        <v>72</v>
      </c>
      <c r="G171" s="3" t="s">
        <v>72</v>
      </c>
      <c r="H171" s="3" t="s">
        <v>72</v>
      </c>
      <c r="I171" s="3" t="s">
        <v>72</v>
      </c>
      <c r="J171" s="3" t="s">
        <v>72</v>
      </c>
      <c r="K171" s="3" t="s">
        <v>72</v>
      </c>
      <c r="L171" s="3" t="s">
        <v>72</v>
      </c>
      <c r="M171" s="3" t="s">
        <v>72</v>
      </c>
      <c r="N171" s="3" t="s">
        <v>72</v>
      </c>
      <c r="O171" s="3" t="s">
        <v>72</v>
      </c>
      <c r="P171" s="3" t="s">
        <v>72</v>
      </c>
      <c r="Q171" s="3" t="s">
        <v>72</v>
      </c>
      <c r="R171" s="3" t="s">
        <v>72</v>
      </c>
      <c r="S171" s="3" t="s">
        <v>72</v>
      </c>
      <c r="T171" s="3" t="s">
        <v>72</v>
      </c>
      <c r="U171" s="3" t="s">
        <v>72</v>
      </c>
      <c r="V171" s="3" t="s">
        <v>72</v>
      </c>
      <c r="W171" s="3" t="s">
        <v>72</v>
      </c>
      <c r="X171" s="3" t="s">
        <v>72</v>
      </c>
      <c r="Y171" s="3" t="s">
        <v>72</v>
      </c>
      <c r="Z171" s="3" t="s">
        <v>72</v>
      </c>
      <c r="AA171" s="3" t="s">
        <v>72</v>
      </c>
      <c r="AB171" s="3" t="s">
        <v>72</v>
      </c>
      <c r="AC171" s="3" t="s">
        <v>72</v>
      </c>
      <c r="AD171" s="3" t="s">
        <v>72</v>
      </c>
      <c r="AE171" s="3" t="s">
        <v>72</v>
      </c>
      <c r="AF171" s="3" t="s">
        <v>72</v>
      </c>
      <c r="AG171" s="3" t="s">
        <v>72</v>
      </c>
      <c r="AH171" s="3" t="s">
        <v>72</v>
      </c>
    </row>
    <row r="172" spans="2:34">
      <c r="B172" s="85">
        <v>9</v>
      </c>
      <c r="C172" s="89" t="str">
        <f>LEFT(EmpGName09)&amp;" " &amp;EmpSName09</f>
        <v>P Hogan</v>
      </c>
      <c r="D172" s="4" t="s">
        <v>72</v>
      </c>
      <c r="E172" s="4" t="s">
        <v>72</v>
      </c>
      <c r="F172" s="4" t="s">
        <v>72</v>
      </c>
      <c r="G172" s="4" t="s">
        <v>72</v>
      </c>
      <c r="H172" s="4" t="s">
        <v>72</v>
      </c>
      <c r="I172" s="4" t="s">
        <v>72</v>
      </c>
      <c r="J172" s="4" t="s">
        <v>72</v>
      </c>
      <c r="K172" s="4" t="s">
        <v>72</v>
      </c>
      <c r="L172" s="4" t="s">
        <v>72</v>
      </c>
      <c r="M172" s="4" t="s">
        <v>72</v>
      </c>
      <c r="N172" s="4" t="s">
        <v>72</v>
      </c>
      <c r="O172" s="4" t="s">
        <v>72</v>
      </c>
      <c r="P172" s="4" t="s">
        <v>72</v>
      </c>
      <c r="Q172" s="4" t="s">
        <v>72</v>
      </c>
      <c r="R172" s="4" t="s">
        <v>72</v>
      </c>
      <c r="S172" s="4" t="s">
        <v>72</v>
      </c>
      <c r="T172" s="4" t="s">
        <v>72</v>
      </c>
      <c r="U172" s="4" t="s">
        <v>72</v>
      </c>
      <c r="V172" s="4" t="s">
        <v>72</v>
      </c>
      <c r="W172" s="4" t="s">
        <v>72</v>
      </c>
      <c r="X172" s="4" t="s">
        <v>72</v>
      </c>
      <c r="Y172" s="4" t="s">
        <v>72</v>
      </c>
      <c r="Z172" s="4" t="s">
        <v>72</v>
      </c>
      <c r="AA172" s="4" t="s">
        <v>72</v>
      </c>
      <c r="AB172" s="4" t="s">
        <v>72</v>
      </c>
      <c r="AC172" s="4" t="s">
        <v>72</v>
      </c>
      <c r="AD172" s="4" t="s">
        <v>72</v>
      </c>
      <c r="AE172" s="4" t="s">
        <v>72</v>
      </c>
      <c r="AF172" s="4" t="s">
        <v>72</v>
      </c>
      <c r="AG172" s="4" t="s">
        <v>72</v>
      </c>
      <c r="AH172" s="4" t="s">
        <v>72</v>
      </c>
    </row>
    <row r="173" spans="2:34">
      <c r="B173" s="152">
        <v>10</v>
      </c>
      <c r="C173" s="90" t="str">
        <f>LEFT(EmpGName10)&amp;" " &amp;EmpSName10</f>
        <v>J Stretton</v>
      </c>
      <c r="D173" s="3" t="s">
        <v>72</v>
      </c>
      <c r="E173" s="3" t="s">
        <v>72</v>
      </c>
      <c r="F173" s="3" t="s">
        <v>72</v>
      </c>
      <c r="G173" s="3" t="s">
        <v>72</v>
      </c>
      <c r="H173" s="3" t="s">
        <v>72</v>
      </c>
      <c r="I173" s="3" t="s">
        <v>72</v>
      </c>
      <c r="J173" s="3" t="s">
        <v>72</v>
      </c>
      <c r="K173" s="3" t="s">
        <v>72</v>
      </c>
      <c r="L173" s="3" t="s">
        <v>72</v>
      </c>
      <c r="M173" s="3" t="s">
        <v>72</v>
      </c>
      <c r="N173" s="3" t="s">
        <v>72</v>
      </c>
      <c r="O173" s="3" t="s">
        <v>72</v>
      </c>
      <c r="P173" s="3" t="s">
        <v>72</v>
      </c>
      <c r="Q173" s="3" t="s">
        <v>72</v>
      </c>
      <c r="R173" s="3" t="s">
        <v>72</v>
      </c>
      <c r="S173" s="3" t="s">
        <v>72</v>
      </c>
      <c r="T173" s="3" t="s">
        <v>72</v>
      </c>
      <c r="U173" s="3" t="s">
        <v>72</v>
      </c>
      <c r="V173" s="3" t="s">
        <v>72</v>
      </c>
      <c r="W173" s="3" t="s">
        <v>72</v>
      </c>
      <c r="X173" s="3" t="s">
        <v>72</v>
      </c>
      <c r="Y173" s="3" t="s">
        <v>72</v>
      </c>
      <c r="Z173" s="3" t="s">
        <v>72</v>
      </c>
      <c r="AA173" s="3" t="s">
        <v>72</v>
      </c>
      <c r="AB173" s="3" t="s">
        <v>72</v>
      </c>
      <c r="AC173" s="3" t="s">
        <v>72</v>
      </c>
      <c r="AD173" s="3" t="s">
        <v>72</v>
      </c>
      <c r="AE173" s="3" t="s">
        <v>72</v>
      </c>
      <c r="AF173" s="3" t="s">
        <v>72</v>
      </c>
      <c r="AG173" s="3" t="s">
        <v>72</v>
      </c>
      <c r="AH173" s="3" t="s">
        <v>72</v>
      </c>
    </row>
    <row r="174" spans="2:34">
      <c r="B174" s="152">
        <v>11</v>
      </c>
      <c r="C174" s="89" t="str">
        <f>LEFT(EmpGName11)&amp;" " &amp;EmpSName11</f>
        <v>M Rowe</v>
      </c>
      <c r="D174" s="4" t="s">
        <v>72</v>
      </c>
      <c r="E174" s="4" t="s">
        <v>72</v>
      </c>
      <c r="F174" s="4" t="s">
        <v>72</v>
      </c>
      <c r="G174" s="4" t="s">
        <v>72</v>
      </c>
      <c r="H174" s="4" t="s">
        <v>72</v>
      </c>
      <c r="I174" s="4" t="s">
        <v>72</v>
      </c>
      <c r="J174" s="4" t="s">
        <v>72</v>
      </c>
      <c r="K174" s="4" t="s">
        <v>72</v>
      </c>
      <c r="L174" s="4" t="s">
        <v>72</v>
      </c>
      <c r="M174" s="4" t="s">
        <v>72</v>
      </c>
      <c r="N174" s="4" t="s">
        <v>72</v>
      </c>
      <c r="O174" s="4" t="s">
        <v>72</v>
      </c>
      <c r="P174" s="4" t="s">
        <v>72</v>
      </c>
      <c r="Q174" s="4" t="s">
        <v>72</v>
      </c>
      <c r="R174" s="4" t="s">
        <v>72</v>
      </c>
      <c r="S174" s="4" t="s">
        <v>72</v>
      </c>
      <c r="T174" s="4" t="s">
        <v>72</v>
      </c>
      <c r="U174" s="4" t="s">
        <v>72</v>
      </c>
      <c r="V174" s="4" t="s">
        <v>72</v>
      </c>
      <c r="W174" s="4" t="s">
        <v>72</v>
      </c>
      <c r="X174" s="4" t="s">
        <v>72</v>
      </c>
      <c r="Y174" s="4" t="s">
        <v>72</v>
      </c>
      <c r="Z174" s="4" t="s">
        <v>72</v>
      </c>
      <c r="AA174" s="4" t="s">
        <v>72</v>
      </c>
      <c r="AB174" s="4" t="s">
        <v>72</v>
      </c>
      <c r="AC174" s="4" t="s">
        <v>72</v>
      </c>
      <c r="AD174" s="4" t="s">
        <v>72</v>
      </c>
      <c r="AE174" s="4" t="s">
        <v>72</v>
      </c>
      <c r="AF174" s="4" t="s">
        <v>72</v>
      </c>
      <c r="AG174" s="4" t="s">
        <v>72</v>
      </c>
      <c r="AH174" s="4" t="s">
        <v>72</v>
      </c>
    </row>
    <row r="175" spans="2:34" hidden="1">
      <c r="B175" s="152">
        <v>12</v>
      </c>
      <c r="C175" s="90" t="str">
        <f>LEFT(EmpGName12)&amp;" " &amp;EmpSName12</f>
        <v xml:space="preserve"> </v>
      </c>
      <c r="D175" s="3" t="s">
        <v>72</v>
      </c>
      <c r="E175" s="3" t="s">
        <v>72</v>
      </c>
      <c r="F175" s="3" t="s">
        <v>72</v>
      </c>
      <c r="G175" s="3" t="s">
        <v>72</v>
      </c>
      <c r="H175" s="3" t="s">
        <v>72</v>
      </c>
      <c r="I175" s="3" t="s">
        <v>72</v>
      </c>
      <c r="J175" s="3" t="s">
        <v>72</v>
      </c>
      <c r="K175" s="3" t="s">
        <v>72</v>
      </c>
      <c r="L175" s="3" t="s">
        <v>72</v>
      </c>
      <c r="M175" s="3" t="s">
        <v>72</v>
      </c>
      <c r="N175" s="3" t="s">
        <v>72</v>
      </c>
      <c r="O175" s="3" t="s">
        <v>72</v>
      </c>
      <c r="P175" s="3" t="s">
        <v>72</v>
      </c>
      <c r="Q175" s="3" t="s">
        <v>72</v>
      </c>
      <c r="R175" s="3" t="s">
        <v>72</v>
      </c>
      <c r="S175" s="3" t="s">
        <v>72</v>
      </c>
      <c r="T175" s="3" t="s">
        <v>72</v>
      </c>
      <c r="U175" s="3" t="s">
        <v>72</v>
      </c>
      <c r="V175" s="3" t="s">
        <v>72</v>
      </c>
      <c r="W175" s="3" t="s">
        <v>72</v>
      </c>
      <c r="X175" s="3" t="s">
        <v>72</v>
      </c>
      <c r="Y175" s="3" t="s">
        <v>72</v>
      </c>
      <c r="Z175" s="3" t="s">
        <v>72</v>
      </c>
      <c r="AA175" s="3" t="s">
        <v>72</v>
      </c>
      <c r="AB175" s="3" t="s">
        <v>72</v>
      </c>
      <c r="AC175" s="3" t="s">
        <v>72</v>
      </c>
      <c r="AD175" s="3" t="s">
        <v>72</v>
      </c>
      <c r="AE175" s="3" t="s">
        <v>72</v>
      </c>
      <c r="AF175" s="3" t="s">
        <v>72</v>
      </c>
      <c r="AG175" s="3" t="s">
        <v>72</v>
      </c>
      <c r="AH175" s="3" t="s">
        <v>72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72</v>
      </c>
      <c r="E179" s="4" t="s">
        <v>72</v>
      </c>
      <c r="F179" s="4" t="s">
        <v>72</v>
      </c>
      <c r="G179" s="4" t="s">
        <v>72</v>
      </c>
      <c r="H179" s="4" t="s">
        <v>72</v>
      </c>
      <c r="I179" s="4" t="s">
        <v>72</v>
      </c>
      <c r="J179" s="4" t="s">
        <v>72</v>
      </c>
      <c r="K179" s="4" t="s">
        <v>72</v>
      </c>
      <c r="L179" s="4" t="s">
        <v>72</v>
      </c>
      <c r="M179" s="4" t="s">
        <v>72</v>
      </c>
      <c r="N179" s="4" t="s">
        <v>72</v>
      </c>
      <c r="O179" s="4" t="s">
        <v>72</v>
      </c>
      <c r="P179" s="4" t="s">
        <v>72</v>
      </c>
      <c r="Q179" s="4" t="s">
        <v>72</v>
      </c>
      <c r="R179" s="4" t="s">
        <v>72</v>
      </c>
      <c r="S179" s="4" t="s">
        <v>72</v>
      </c>
      <c r="T179" s="4" t="s">
        <v>72</v>
      </c>
      <c r="U179" s="4" t="s">
        <v>72</v>
      </c>
      <c r="V179" s="4" t="s">
        <v>72</v>
      </c>
      <c r="W179" s="4" t="s">
        <v>72</v>
      </c>
      <c r="X179" s="4" t="s">
        <v>72</v>
      </c>
      <c r="Y179" s="4" t="s">
        <v>72</v>
      </c>
      <c r="Z179" s="4" t="s">
        <v>72</v>
      </c>
      <c r="AA179" s="4" t="s">
        <v>72</v>
      </c>
      <c r="AB179" s="4" t="s">
        <v>72</v>
      </c>
      <c r="AC179" s="4" t="s">
        <v>72</v>
      </c>
      <c r="AD179" s="4" t="s">
        <v>72</v>
      </c>
      <c r="AE179" s="4" t="s">
        <v>72</v>
      </c>
      <c r="AF179" s="4" t="s">
        <v>72</v>
      </c>
      <c r="AG179" s="4" t="s">
        <v>72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72</v>
      </c>
      <c r="E180" s="3" t="s">
        <v>72</v>
      </c>
      <c r="F180" s="3" t="s">
        <v>72</v>
      </c>
      <c r="G180" s="3" t="s">
        <v>72</v>
      </c>
      <c r="H180" s="3" t="s">
        <v>72</v>
      </c>
      <c r="I180" s="3" t="s">
        <v>72</v>
      </c>
      <c r="J180" s="3" t="s">
        <v>72</v>
      </c>
      <c r="K180" s="3" t="s">
        <v>72</v>
      </c>
      <c r="L180" s="3" t="s">
        <v>72</v>
      </c>
      <c r="M180" s="3" t="s">
        <v>72</v>
      </c>
      <c r="N180" s="3" t="s">
        <v>72</v>
      </c>
      <c r="O180" s="3" t="s">
        <v>72</v>
      </c>
      <c r="P180" s="3" t="s">
        <v>72</v>
      </c>
      <c r="Q180" s="3" t="s">
        <v>72</v>
      </c>
      <c r="R180" s="3" t="s">
        <v>72</v>
      </c>
      <c r="S180" s="3" t="s">
        <v>72</v>
      </c>
      <c r="T180" s="3" t="s">
        <v>72</v>
      </c>
      <c r="U180" s="3" t="s">
        <v>72</v>
      </c>
      <c r="V180" s="3" t="s">
        <v>72</v>
      </c>
      <c r="W180" s="3" t="s">
        <v>72</v>
      </c>
      <c r="X180" s="3" t="s">
        <v>72</v>
      </c>
      <c r="Y180" s="3" t="s">
        <v>72</v>
      </c>
      <c r="Z180" s="3" t="s">
        <v>72</v>
      </c>
      <c r="AA180" s="3" t="s">
        <v>72</v>
      </c>
      <c r="AB180" s="3" t="s">
        <v>72</v>
      </c>
      <c r="AC180" s="3" t="s">
        <v>72</v>
      </c>
      <c r="AD180" s="3" t="s">
        <v>72</v>
      </c>
      <c r="AE180" s="3" t="s">
        <v>72</v>
      </c>
      <c r="AF180" s="3" t="s">
        <v>72</v>
      </c>
      <c r="AG180" s="3" t="s">
        <v>72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72</v>
      </c>
      <c r="E181" s="4" t="s">
        <v>72</v>
      </c>
      <c r="F181" s="4" t="s">
        <v>72</v>
      </c>
      <c r="G181" s="4" t="s">
        <v>72</v>
      </c>
      <c r="H181" s="4" t="s">
        <v>72</v>
      </c>
      <c r="I181" s="4" t="s">
        <v>72</v>
      </c>
      <c r="J181" s="4" t="s">
        <v>72</v>
      </c>
      <c r="K181" s="4" t="s">
        <v>72</v>
      </c>
      <c r="L181" s="4" t="s">
        <v>72</v>
      </c>
      <c r="M181" s="4" t="s">
        <v>72</v>
      </c>
      <c r="N181" s="4" t="s">
        <v>72</v>
      </c>
      <c r="O181" s="4" t="s">
        <v>72</v>
      </c>
      <c r="P181" s="4" t="s">
        <v>72</v>
      </c>
      <c r="Q181" s="4" t="s">
        <v>72</v>
      </c>
      <c r="R181" s="4" t="s">
        <v>72</v>
      </c>
      <c r="S181" s="4" t="s">
        <v>72</v>
      </c>
      <c r="T181" s="4" t="s">
        <v>72</v>
      </c>
      <c r="U181" s="4" t="s">
        <v>72</v>
      </c>
      <c r="V181" s="4" t="s">
        <v>72</v>
      </c>
      <c r="W181" s="4" t="s">
        <v>72</v>
      </c>
      <c r="X181" s="4" t="s">
        <v>72</v>
      </c>
      <c r="Y181" s="4" t="s">
        <v>72</v>
      </c>
      <c r="Z181" s="4" t="s">
        <v>72</v>
      </c>
      <c r="AA181" s="4" t="s">
        <v>72</v>
      </c>
      <c r="AB181" s="4" t="s">
        <v>72</v>
      </c>
      <c r="AC181" s="4" t="s">
        <v>72</v>
      </c>
      <c r="AD181" s="4" t="s">
        <v>72</v>
      </c>
      <c r="AE181" s="4" t="s">
        <v>72</v>
      </c>
      <c r="AF181" s="4" t="s">
        <v>72</v>
      </c>
      <c r="AG181" s="4" t="s">
        <v>72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72</v>
      </c>
      <c r="E182" s="3" t="s">
        <v>72</v>
      </c>
      <c r="F182" s="3" t="s">
        <v>72</v>
      </c>
      <c r="G182" s="3" t="s">
        <v>72</v>
      </c>
      <c r="H182" s="3" t="s">
        <v>72</v>
      </c>
      <c r="I182" s="3" t="s">
        <v>72</v>
      </c>
      <c r="J182" s="3" t="s">
        <v>72</v>
      </c>
      <c r="K182" s="3" t="s">
        <v>72</v>
      </c>
      <c r="L182" s="3" t="s">
        <v>72</v>
      </c>
      <c r="M182" s="3" t="s">
        <v>72</v>
      </c>
      <c r="N182" s="3" t="s">
        <v>72</v>
      </c>
      <c r="O182" s="3" t="s">
        <v>72</v>
      </c>
      <c r="P182" s="3" t="s">
        <v>72</v>
      </c>
      <c r="Q182" s="3" t="s">
        <v>72</v>
      </c>
      <c r="R182" s="3" t="s">
        <v>72</v>
      </c>
      <c r="S182" s="3" t="s">
        <v>72</v>
      </c>
      <c r="T182" s="3" t="s">
        <v>72</v>
      </c>
      <c r="U182" s="3" t="s">
        <v>72</v>
      </c>
      <c r="V182" s="3" t="s">
        <v>72</v>
      </c>
      <c r="W182" s="3" t="s">
        <v>72</v>
      </c>
      <c r="X182" s="3" t="s">
        <v>72</v>
      </c>
      <c r="Y182" s="3" t="s">
        <v>72</v>
      </c>
      <c r="Z182" s="3" t="s">
        <v>72</v>
      </c>
      <c r="AA182" s="3" t="s">
        <v>72</v>
      </c>
      <c r="AB182" s="3" t="s">
        <v>72</v>
      </c>
      <c r="AC182" s="3" t="s">
        <v>72</v>
      </c>
      <c r="AD182" s="3" t="s">
        <v>72</v>
      </c>
      <c r="AE182" s="3" t="s">
        <v>72</v>
      </c>
      <c r="AF182" s="3" t="s">
        <v>72</v>
      </c>
      <c r="AG182" s="3" t="s">
        <v>72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72</v>
      </c>
      <c r="E183" s="4" t="s">
        <v>72</v>
      </c>
      <c r="F183" s="4" t="s">
        <v>72</v>
      </c>
      <c r="G183" s="4" t="s">
        <v>72</v>
      </c>
      <c r="H183" s="4" t="s">
        <v>72</v>
      </c>
      <c r="I183" s="4" t="s">
        <v>72</v>
      </c>
      <c r="J183" s="4" t="s">
        <v>72</v>
      </c>
      <c r="K183" s="4" t="s">
        <v>72</v>
      </c>
      <c r="L183" s="4" t="s">
        <v>72</v>
      </c>
      <c r="M183" s="4" t="s">
        <v>72</v>
      </c>
      <c r="N183" s="4" t="s">
        <v>72</v>
      </c>
      <c r="O183" s="4" t="s">
        <v>72</v>
      </c>
      <c r="P183" s="4" t="s">
        <v>72</v>
      </c>
      <c r="Q183" s="4" t="s">
        <v>72</v>
      </c>
      <c r="R183" s="4" t="s">
        <v>72</v>
      </c>
      <c r="S183" s="4" t="s">
        <v>72</v>
      </c>
      <c r="T183" s="4" t="s">
        <v>72</v>
      </c>
      <c r="U183" s="4" t="s">
        <v>72</v>
      </c>
      <c r="V183" s="4" t="s">
        <v>72</v>
      </c>
      <c r="W183" s="4" t="s">
        <v>72</v>
      </c>
      <c r="X183" s="4" t="s">
        <v>72</v>
      </c>
      <c r="Y183" s="4" t="s">
        <v>72</v>
      </c>
      <c r="Z183" s="4" t="s">
        <v>72</v>
      </c>
      <c r="AA183" s="4" t="s">
        <v>72</v>
      </c>
      <c r="AB183" s="4" t="s">
        <v>72</v>
      </c>
      <c r="AC183" s="4" t="s">
        <v>72</v>
      </c>
      <c r="AD183" s="4" t="s">
        <v>72</v>
      </c>
      <c r="AE183" s="4" t="s">
        <v>72</v>
      </c>
      <c r="AF183" s="4" t="s">
        <v>72</v>
      </c>
      <c r="AG183" s="4" t="s">
        <v>72</v>
      </c>
      <c r="AH183" s="8"/>
    </row>
    <row r="184" spans="2:34">
      <c r="B184" s="85">
        <v>6</v>
      </c>
      <c r="C184" s="90" t="str">
        <f>LEFT(EmpGName06)&amp;" " &amp;EmpSName06</f>
        <v>T Sorensen</v>
      </c>
      <c r="D184" s="3" t="s">
        <v>72</v>
      </c>
      <c r="E184" s="3" t="s">
        <v>72</v>
      </c>
      <c r="F184" s="3" t="s">
        <v>72</v>
      </c>
      <c r="G184" s="3" t="s">
        <v>72</v>
      </c>
      <c r="H184" s="3" t="s">
        <v>72</v>
      </c>
      <c r="I184" s="3" t="s">
        <v>72</v>
      </c>
      <c r="J184" s="3" t="s">
        <v>72</v>
      </c>
      <c r="K184" s="3" t="s">
        <v>72</v>
      </c>
      <c r="L184" s="3" t="s">
        <v>72</v>
      </c>
      <c r="M184" s="3" t="s">
        <v>72</v>
      </c>
      <c r="N184" s="3" t="s">
        <v>72</v>
      </c>
      <c r="O184" s="3" t="s">
        <v>72</v>
      </c>
      <c r="P184" s="3" t="s">
        <v>72</v>
      </c>
      <c r="Q184" s="3" t="s">
        <v>72</v>
      </c>
      <c r="R184" s="3" t="s">
        <v>72</v>
      </c>
      <c r="S184" s="3" t="s">
        <v>72</v>
      </c>
      <c r="T184" s="3" t="s">
        <v>72</v>
      </c>
      <c r="U184" s="3" t="s">
        <v>72</v>
      </c>
      <c r="V184" s="3" t="s">
        <v>72</v>
      </c>
      <c r="W184" s="3" t="s">
        <v>72</v>
      </c>
      <c r="X184" s="3" t="s">
        <v>72</v>
      </c>
      <c r="Y184" s="3" t="s">
        <v>72</v>
      </c>
      <c r="Z184" s="3" t="s">
        <v>72</v>
      </c>
      <c r="AA184" s="3" t="s">
        <v>72</v>
      </c>
      <c r="AB184" s="3" t="s">
        <v>72</v>
      </c>
      <c r="AC184" s="3" t="s">
        <v>72</v>
      </c>
      <c r="AD184" s="3" t="s">
        <v>72</v>
      </c>
      <c r="AE184" s="3" t="s">
        <v>72</v>
      </c>
      <c r="AF184" s="3" t="s">
        <v>72</v>
      </c>
      <c r="AG184" s="3" t="s">
        <v>72</v>
      </c>
      <c r="AH184" s="8"/>
    </row>
    <row r="185" spans="2:34">
      <c r="B185" s="85">
        <v>7</v>
      </c>
      <c r="C185" s="89" t="str">
        <f>LEFT(EmpGName07)&amp;" " &amp;EmpSName07</f>
        <v>R Fielding</v>
      </c>
      <c r="D185" s="4" t="s">
        <v>72</v>
      </c>
      <c r="E185" s="4" t="s">
        <v>72</v>
      </c>
      <c r="F185" s="4" t="s">
        <v>72</v>
      </c>
      <c r="G185" s="4" t="s">
        <v>72</v>
      </c>
      <c r="H185" s="4" t="s">
        <v>72</v>
      </c>
      <c r="I185" s="4" t="s">
        <v>72</v>
      </c>
      <c r="J185" s="4" t="s">
        <v>72</v>
      </c>
      <c r="K185" s="4" t="s">
        <v>72</v>
      </c>
      <c r="L185" s="4" t="s">
        <v>72</v>
      </c>
      <c r="M185" s="4" t="s">
        <v>72</v>
      </c>
      <c r="N185" s="4" t="s">
        <v>72</v>
      </c>
      <c r="O185" s="4" t="s">
        <v>72</v>
      </c>
      <c r="P185" s="4" t="s">
        <v>72</v>
      </c>
      <c r="Q185" s="4" t="s">
        <v>72</v>
      </c>
      <c r="R185" s="4" t="s">
        <v>72</v>
      </c>
      <c r="S185" s="4" t="s">
        <v>72</v>
      </c>
      <c r="T185" s="4" t="s">
        <v>72</v>
      </c>
      <c r="U185" s="4" t="s">
        <v>72</v>
      </c>
      <c r="V185" s="4" t="s">
        <v>72</v>
      </c>
      <c r="W185" s="4" t="s">
        <v>72</v>
      </c>
      <c r="X185" s="4" t="s">
        <v>72</v>
      </c>
      <c r="Y185" s="4" t="s">
        <v>72</v>
      </c>
      <c r="Z185" s="4" t="s">
        <v>72</v>
      </c>
      <c r="AA185" s="4" t="s">
        <v>72</v>
      </c>
      <c r="AB185" s="4" t="s">
        <v>72</v>
      </c>
      <c r="AC185" s="4" t="s">
        <v>72</v>
      </c>
      <c r="AD185" s="4" t="s">
        <v>72</v>
      </c>
      <c r="AE185" s="4" t="s">
        <v>72</v>
      </c>
      <c r="AF185" s="4" t="s">
        <v>72</v>
      </c>
      <c r="AG185" s="4" t="s">
        <v>72</v>
      </c>
      <c r="AH185" s="8"/>
    </row>
    <row r="186" spans="2:34">
      <c r="B186" s="85">
        <v>8</v>
      </c>
      <c r="C186" s="90" t="str">
        <f>LEFT(EmpGName08)&amp;" " &amp;EmpSName08</f>
        <v>F Flannery</v>
      </c>
      <c r="D186" s="3" t="s">
        <v>72</v>
      </c>
      <c r="E186" s="3" t="s">
        <v>72</v>
      </c>
      <c r="F186" s="3" t="s">
        <v>72</v>
      </c>
      <c r="G186" s="3" t="s">
        <v>72</v>
      </c>
      <c r="H186" s="3" t="s">
        <v>72</v>
      </c>
      <c r="I186" s="3" t="s">
        <v>72</v>
      </c>
      <c r="J186" s="3" t="s">
        <v>72</v>
      </c>
      <c r="K186" s="3" t="s">
        <v>72</v>
      </c>
      <c r="L186" s="3" t="s">
        <v>72</v>
      </c>
      <c r="M186" s="3" t="s">
        <v>72</v>
      </c>
      <c r="N186" s="3" t="s">
        <v>72</v>
      </c>
      <c r="O186" s="3" t="s">
        <v>72</v>
      </c>
      <c r="P186" s="3" t="s">
        <v>72</v>
      </c>
      <c r="Q186" s="3" t="s">
        <v>72</v>
      </c>
      <c r="R186" s="3" t="s">
        <v>72</v>
      </c>
      <c r="S186" s="3" t="s">
        <v>72</v>
      </c>
      <c r="T186" s="3" t="s">
        <v>72</v>
      </c>
      <c r="U186" s="3" t="s">
        <v>72</v>
      </c>
      <c r="V186" s="3" t="s">
        <v>72</v>
      </c>
      <c r="W186" s="3" t="s">
        <v>72</v>
      </c>
      <c r="X186" s="3" t="s">
        <v>72</v>
      </c>
      <c r="Y186" s="3" t="s">
        <v>72</v>
      </c>
      <c r="Z186" s="3" t="s">
        <v>72</v>
      </c>
      <c r="AA186" s="3" t="s">
        <v>72</v>
      </c>
      <c r="AB186" s="3" t="s">
        <v>72</v>
      </c>
      <c r="AC186" s="3" t="s">
        <v>72</v>
      </c>
      <c r="AD186" s="3" t="s">
        <v>72</v>
      </c>
      <c r="AE186" s="3" t="s">
        <v>72</v>
      </c>
      <c r="AF186" s="3" t="s">
        <v>72</v>
      </c>
      <c r="AG186" s="3" t="s">
        <v>72</v>
      </c>
      <c r="AH186" s="8"/>
    </row>
    <row r="187" spans="2:34">
      <c r="B187" s="85">
        <v>9</v>
      </c>
      <c r="C187" s="89" t="str">
        <f>LEFT(EmpGName09)&amp;" " &amp;EmpSName09</f>
        <v>P Hogan</v>
      </c>
      <c r="D187" s="4" t="s">
        <v>72</v>
      </c>
      <c r="E187" s="4" t="s">
        <v>72</v>
      </c>
      <c r="F187" s="4" t="s">
        <v>72</v>
      </c>
      <c r="G187" s="4" t="s">
        <v>72</v>
      </c>
      <c r="H187" s="4" t="s">
        <v>72</v>
      </c>
      <c r="I187" s="4" t="s">
        <v>72</v>
      </c>
      <c r="J187" s="4" t="s">
        <v>72</v>
      </c>
      <c r="K187" s="4" t="s">
        <v>72</v>
      </c>
      <c r="L187" s="4" t="s">
        <v>72</v>
      </c>
      <c r="M187" s="4" t="s">
        <v>72</v>
      </c>
      <c r="N187" s="4" t="s">
        <v>72</v>
      </c>
      <c r="O187" s="4" t="s">
        <v>72</v>
      </c>
      <c r="P187" s="4" t="s">
        <v>72</v>
      </c>
      <c r="Q187" s="4" t="s">
        <v>72</v>
      </c>
      <c r="R187" s="4" t="s">
        <v>72</v>
      </c>
      <c r="S187" s="4" t="s">
        <v>72</v>
      </c>
      <c r="T187" s="4" t="s">
        <v>72</v>
      </c>
      <c r="U187" s="4" t="s">
        <v>72</v>
      </c>
      <c r="V187" s="4" t="s">
        <v>72</v>
      </c>
      <c r="W187" s="4" t="s">
        <v>72</v>
      </c>
      <c r="X187" s="4" t="s">
        <v>72</v>
      </c>
      <c r="Y187" s="4" t="s">
        <v>72</v>
      </c>
      <c r="Z187" s="4" t="s">
        <v>72</v>
      </c>
      <c r="AA187" s="4" t="s">
        <v>72</v>
      </c>
      <c r="AB187" s="4" t="s">
        <v>72</v>
      </c>
      <c r="AC187" s="4" t="s">
        <v>72</v>
      </c>
      <c r="AD187" s="4" t="s">
        <v>72</v>
      </c>
      <c r="AE187" s="4" t="s">
        <v>72</v>
      </c>
      <c r="AF187" s="4" t="s">
        <v>72</v>
      </c>
      <c r="AG187" s="4" t="s">
        <v>72</v>
      </c>
      <c r="AH187" s="8"/>
    </row>
    <row r="188" spans="2:34">
      <c r="B188" s="152">
        <v>10</v>
      </c>
      <c r="C188" s="90" t="str">
        <f>LEFT(EmpGName10)&amp;" " &amp;EmpSName10</f>
        <v>J Stretton</v>
      </c>
      <c r="D188" s="3" t="s">
        <v>72</v>
      </c>
      <c r="E188" s="3" t="s">
        <v>72</v>
      </c>
      <c r="F188" s="3" t="s">
        <v>72</v>
      </c>
      <c r="G188" s="3" t="s">
        <v>72</v>
      </c>
      <c r="H188" s="3" t="s">
        <v>72</v>
      </c>
      <c r="I188" s="3" t="s">
        <v>72</v>
      </c>
      <c r="J188" s="3" t="s">
        <v>72</v>
      </c>
      <c r="K188" s="3" t="s">
        <v>72</v>
      </c>
      <c r="L188" s="3" t="s">
        <v>72</v>
      </c>
      <c r="M188" s="3" t="s">
        <v>72</v>
      </c>
      <c r="N188" s="3" t="s">
        <v>72</v>
      </c>
      <c r="O188" s="3" t="s">
        <v>72</v>
      </c>
      <c r="P188" s="3" t="s">
        <v>72</v>
      </c>
      <c r="Q188" s="3" t="s">
        <v>72</v>
      </c>
      <c r="R188" s="3" t="s">
        <v>72</v>
      </c>
      <c r="S188" s="3" t="s">
        <v>72</v>
      </c>
      <c r="T188" s="3" t="s">
        <v>72</v>
      </c>
      <c r="U188" s="3" t="s">
        <v>72</v>
      </c>
      <c r="V188" s="3" t="s">
        <v>72</v>
      </c>
      <c r="W188" s="3" t="s">
        <v>72</v>
      </c>
      <c r="X188" s="3" t="s">
        <v>72</v>
      </c>
      <c r="Y188" s="3" t="s">
        <v>72</v>
      </c>
      <c r="Z188" s="3" t="s">
        <v>72</v>
      </c>
      <c r="AA188" s="3" t="s">
        <v>72</v>
      </c>
      <c r="AB188" s="3" t="s">
        <v>72</v>
      </c>
      <c r="AC188" s="3" t="s">
        <v>72</v>
      </c>
      <c r="AD188" s="3" t="s">
        <v>72</v>
      </c>
      <c r="AE188" s="3" t="s">
        <v>72</v>
      </c>
      <c r="AF188" s="3" t="s">
        <v>72</v>
      </c>
      <c r="AG188" s="3" t="s">
        <v>72</v>
      </c>
      <c r="AH188" s="74"/>
    </row>
    <row r="189" spans="2:34">
      <c r="B189" s="152">
        <v>11</v>
      </c>
      <c r="C189" s="89" t="str">
        <f>LEFT(EmpGName11)&amp;" " &amp;EmpSName11</f>
        <v>M Rowe</v>
      </c>
      <c r="D189" s="4" t="s">
        <v>72</v>
      </c>
      <c r="E189" s="4" t="s">
        <v>72</v>
      </c>
      <c r="F189" s="4" t="s">
        <v>72</v>
      </c>
      <c r="G189" s="4" t="s">
        <v>72</v>
      </c>
      <c r="H189" s="4" t="s">
        <v>72</v>
      </c>
      <c r="I189" s="4" t="s">
        <v>72</v>
      </c>
      <c r="J189" s="4" t="s">
        <v>72</v>
      </c>
      <c r="K189" s="4" t="s">
        <v>72</v>
      </c>
      <c r="L189" s="4" t="s">
        <v>72</v>
      </c>
      <c r="M189" s="4" t="s">
        <v>72</v>
      </c>
      <c r="N189" s="4" t="s">
        <v>72</v>
      </c>
      <c r="O189" s="4" t="s">
        <v>72</v>
      </c>
      <c r="P189" s="4" t="s">
        <v>72</v>
      </c>
      <c r="Q189" s="4" t="s">
        <v>72</v>
      </c>
      <c r="R189" s="4" t="s">
        <v>72</v>
      </c>
      <c r="S189" s="4" t="s">
        <v>72</v>
      </c>
      <c r="T189" s="4" t="s">
        <v>72</v>
      </c>
      <c r="U189" s="4" t="s">
        <v>72</v>
      </c>
      <c r="V189" s="4" t="s">
        <v>72</v>
      </c>
      <c r="W189" s="4" t="s">
        <v>72</v>
      </c>
      <c r="X189" s="4" t="s">
        <v>72</v>
      </c>
      <c r="Y189" s="4" t="s">
        <v>72</v>
      </c>
      <c r="Z189" s="4" t="s">
        <v>72</v>
      </c>
      <c r="AA189" s="4" t="s">
        <v>72</v>
      </c>
      <c r="AB189" s="4" t="s">
        <v>72</v>
      </c>
      <c r="AC189" s="4" t="s">
        <v>72</v>
      </c>
      <c r="AD189" s="4" t="s">
        <v>72</v>
      </c>
      <c r="AE189" s="4" t="s">
        <v>72</v>
      </c>
      <c r="AF189" s="4" t="s">
        <v>72</v>
      </c>
      <c r="AG189" s="4" t="s">
        <v>72</v>
      </c>
      <c r="AH189" s="74"/>
    </row>
    <row r="190" spans="2:34" hidden="1">
      <c r="B190" s="152">
        <v>12</v>
      </c>
      <c r="C190" s="90" t="str">
        <f>LEFT(EmpGName12)&amp;" " &amp;EmpSName12</f>
        <v xml:space="preserve"> </v>
      </c>
      <c r="D190" s="3" t="s">
        <v>72</v>
      </c>
      <c r="E190" s="3" t="s">
        <v>72</v>
      </c>
      <c r="F190" s="3" t="s">
        <v>72</v>
      </c>
      <c r="G190" s="3" t="s">
        <v>72</v>
      </c>
      <c r="H190" s="3" t="s">
        <v>72</v>
      </c>
      <c r="I190" s="3" t="s">
        <v>72</v>
      </c>
      <c r="J190" s="3" t="s">
        <v>72</v>
      </c>
      <c r="K190" s="3" t="s">
        <v>72</v>
      </c>
      <c r="L190" s="3" t="s">
        <v>72</v>
      </c>
      <c r="M190" s="3" t="s">
        <v>72</v>
      </c>
      <c r="N190" s="3" t="s">
        <v>72</v>
      </c>
      <c r="O190" s="3" t="s">
        <v>72</v>
      </c>
      <c r="P190" s="3" t="s">
        <v>72</v>
      </c>
      <c r="Q190" s="3" t="s">
        <v>72</v>
      </c>
      <c r="R190" s="3" t="s">
        <v>72</v>
      </c>
      <c r="S190" s="3" t="s">
        <v>72</v>
      </c>
      <c r="T190" s="3" t="s">
        <v>72</v>
      </c>
      <c r="U190" s="3" t="s">
        <v>72</v>
      </c>
      <c r="V190" s="3" t="s">
        <v>72</v>
      </c>
      <c r="W190" s="3" t="s">
        <v>72</v>
      </c>
      <c r="X190" s="3" t="s">
        <v>72</v>
      </c>
      <c r="Y190" s="3" t="s">
        <v>72</v>
      </c>
      <c r="Z190" s="3" t="s">
        <v>72</v>
      </c>
      <c r="AA190" s="3" t="s">
        <v>72</v>
      </c>
      <c r="AB190" s="3" t="s">
        <v>72</v>
      </c>
      <c r="AC190" s="3" t="s">
        <v>72</v>
      </c>
      <c r="AD190" s="3" t="s">
        <v>72</v>
      </c>
      <c r="AE190" s="3" t="s">
        <v>72</v>
      </c>
      <c r="AF190" s="3" t="s">
        <v>72</v>
      </c>
      <c r="AG190" s="3" t="s">
        <v>72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6" priority="3" operator="equal">
      <formula>"AL"</formula>
    </cfRule>
    <cfRule type="cellIs" dxfId="5" priority="4" operator="equal">
      <formula>"NA"</formula>
    </cfRule>
    <cfRule type="cellIs" dxfId="4" priority="5" operator="equal">
      <formula>"SL"</formula>
    </cfRule>
    <cfRule type="cellIs" dxfId="3" priority="7" operator="equal">
      <formula>"RO"</formula>
    </cfRule>
    <cfRule type="cellIs" dxfId="2" priority="8" operator="equal">
      <formula>"H"</formula>
    </cfRule>
  </conditionalFormatting>
  <conditionalFormatting sqref="D12:AH12 D27:AH27 D42:AG42 D57:AH57 D72:AG72 D87:AH87 D102:AH102 D117:AF117 D132:AH132 D147:AG147 D162:AH162 D177:AG177">
    <cfRule type="cellIs" dxfId="1" priority="2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0" priority="1" operator="equal">
      <formula>"."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autoPict="0" r:id="rId6">
            <anchor moveWithCells="1">
              <from>
                <xdr:col>23</xdr:col>
                <xdr:colOff>95250</xdr:colOff>
                <xdr:row>4</xdr:row>
                <xdr:rowOff>352425</xdr:rowOff>
              </from>
              <to>
                <xdr:col>28</xdr:col>
                <xdr:colOff>190500</xdr:colOff>
                <xdr:row>4</xdr:row>
                <xdr:rowOff>542925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28575</xdr:colOff>
                <xdr:row>4</xdr:row>
                <xdr:rowOff>47625</xdr:rowOff>
              </from>
              <to>
                <xdr:col>2</xdr:col>
                <xdr:colOff>800100</xdr:colOff>
                <xdr:row>4</xdr:row>
                <xdr:rowOff>295275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autoPict="0" r:id="rId10">
            <anchor moveWithCells="1">
              <from>
                <xdr:col>13</xdr:col>
                <xdr:colOff>57150</xdr:colOff>
                <xdr:row>4</xdr:row>
                <xdr:rowOff>352425</xdr:rowOff>
              </from>
              <to>
                <xdr:col>18</xdr:col>
                <xdr:colOff>152400</xdr:colOff>
                <xdr:row>4</xdr:row>
                <xdr:rowOff>542925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autoPict="0" r:id="rId12">
            <anchor moveWithCells="1">
              <from>
                <xdr:col>8</xdr:col>
                <xdr:colOff>104775</xdr:colOff>
                <xdr:row>4</xdr:row>
                <xdr:rowOff>352425</xdr:rowOff>
              </from>
              <to>
                <xdr:col>12</xdr:col>
                <xdr:colOff>209550</xdr:colOff>
                <xdr:row>4</xdr:row>
                <xdr:rowOff>542925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95250</xdr:colOff>
                <xdr:row>4</xdr:row>
                <xdr:rowOff>47625</xdr:rowOff>
              </from>
              <to>
                <xdr:col>7</xdr:col>
                <xdr:colOff>123825</xdr:colOff>
                <xdr:row>4</xdr:row>
                <xdr:rowOff>238125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28575</xdr:colOff>
                <xdr:row>4</xdr:row>
                <xdr:rowOff>352425</xdr:rowOff>
              </from>
              <to>
                <xdr:col>3</xdr:col>
                <xdr:colOff>66675</xdr:colOff>
                <xdr:row>4</xdr:row>
                <xdr:rowOff>552450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95250</xdr:colOff>
                <xdr:row>4</xdr:row>
                <xdr:rowOff>352425</xdr:rowOff>
              </from>
              <to>
                <xdr:col>7</xdr:col>
                <xdr:colOff>57150</xdr:colOff>
                <xdr:row>4</xdr:row>
                <xdr:rowOff>542925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autoPict="0" r:id="rId20">
            <anchor moveWithCells="1">
              <from>
                <xdr:col>8</xdr:col>
                <xdr:colOff>104775</xdr:colOff>
                <xdr:row>4</xdr:row>
                <xdr:rowOff>47625</xdr:rowOff>
              </from>
              <to>
                <xdr:col>11</xdr:col>
                <xdr:colOff>152400</xdr:colOff>
                <xdr:row>4</xdr:row>
                <xdr:rowOff>238125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18</xdr:col>
                <xdr:colOff>171450</xdr:colOff>
                <xdr:row>4</xdr:row>
                <xdr:rowOff>47625</xdr:rowOff>
              </from>
              <to>
                <xdr:col>23</xdr:col>
                <xdr:colOff>190500</xdr:colOff>
                <xdr:row>4</xdr:row>
                <xdr:rowOff>238125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13</xdr:col>
                <xdr:colOff>57150</xdr:colOff>
                <xdr:row>4</xdr:row>
                <xdr:rowOff>47625</xdr:rowOff>
              </from>
              <to>
                <xdr:col>16</xdr:col>
                <xdr:colOff>38100</xdr:colOff>
                <xdr:row>4</xdr:row>
                <xdr:rowOff>257175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autoPict="0" r:id="rId26">
            <anchor moveWithCells="1">
              <from>
                <xdr:col>23</xdr:col>
                <xdr:colOff>95250</xdr:colOff>
                <xdr:row>4</xdr:row>
                <xdr:rowOff>47625</xdr:rowOff>
              </from>
              <to>
                <xdr:col>28</xdr:col>
                <xdr:colOff>200025</xdr:colOff>
                <xdr:row>4</xdr:row>
                <xdr:rowOff>228600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18</xdr:col>
                <xdr:colOff>171450</xdr:colOff>
                <xdr:row>4</xdr:row>
                <xdr:rowOff>352425</xdr:rowOff>
              </from>
              <to>
                <xdr:col>23</xdr:col>
                <xdr:colOff>190500</xdr:colOff>
                <xdr:row>4</xdr:row>
                <xdr:rowOff>542925</xdr:rowOff>
              </to>
            </anchor>
          </controlPr>
        </control>
      </mc:Choice>
      <mc:Fallback>
        <control shapeId="1111" r:id="rId27" name="optSpecial"/>
      </mc:Fallback>
    </mc:AlternateContent>
    <mc:AlternateContent xmlns:mc="http://schemas.openxmlformats.org/markup-compatibility/2006">
      <mc:Choice Requires="x14">
        <control shapeId="1115" r:id="rId29" name="OptRosteredOff">
          <controlPr defaultSize="0" disabled="1" autoLine="0" r:id="rId30">
            <anchor moveWithCells="1">
              <from>
                <xdr:col>28</xdr:col>
                <xdr:colOff>200025</xdr:colOff>
                <xdr:row>4</xdr:row>
                <xdr:rowOff>47625</xdr:rowOff>
              </from>
              <to>
                <xdr:col>34</xdr:col>
                <xdr:colOff>95250</xdr:colOff>
                <xdr:row>4</xdr:row>
                <xdr:rowOff>228600</xdr:rowOff>
              </to>
            </anchor>
          </controlPr>
        </control>
      </mc:Choice>
      <mc:Fallback>
        <control shapeId="1115" r:id="rId29" name="OptRosteredOf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B2" sqref="B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0" t="s">
        <v>24</v>
      </c>
      <c r="D3" s="151" t="s">
        <v>55</v>
      </c>
    </row>
    <row r="5" spans="2:9" ht="13.5" thickBot="1"/>
    <row r="6" spans="2:9" ht="15.75" thickBot="1">
      <c r="B6" s="179" t="s">
        <v>0</v>
      </c>
      <c r="C6" s="180"/>
      <c r="D6" s="180"/>
      <c r="E6" s="181"/>
      <c r="G6" s="177" t="s">
        <v>7</v>
      </c>
      <c r="I6" s="177" t="s">
        <v>12</v>
      </c>
    </row>
    <row r="7" spans="2:9" ht="15.75" thickBot="1">
      <c r="B7" s="64"/>
      <c r="C7" s="65" t="s">
        <v>1</v>
      </c>
      <c r="D7" s="65" t="s">
        <v>2</v>
      </c>
      <c r="E7" s="65" t="s">
        <v>3</v>
      </c>
      <c r="G7" s="178"/>
      <c r="I7" s="178"/>
    </row>
    <row r="8" spans="2:9" ht="14.25">
      <c r="B8" s="50" t="s">
        <v>31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83" t="s">
        <v>10</v>
      </c>
    </row>
    <row r="9" spans="2:9" ht="14.25">
      <c r="B9" s="50" t="s">
        <v>32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84" t="s">
        <v>11</v>
      </c>
    </row>
    <row r="10" spans="2:9" ht="14.25">
      <c r="B10" s="50" t="s">
        <v>33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84" t="s">
        <v>9</v>
      </c>
    </row>
    <row r="11" spans="2:9" ht="14.25">
      <c r="B11" s="50" t="s">
        <v>34</v>
      </c>
      <c r="C11" s="58" t="s">
        <v>43</v>
      </c>
      <c r="D11" s="58" t="s">
        <v>42</v>
      </c>
      <c r="E11" s="63" t="str">
        <f>LEFT(EmpGName04)&amp;" " &amp; LEFT(EmpSName04)</f>
        <v>L K</v>
      </c>
      <c r="G11" s="60">
        <v>2019</v>
      </c>
      <c r="I11" s="184" t="s">
        <v>68</v>
      </c>
    </row>
    <row r="12" spans="2:9" ht="14.25">
      <c r="B12" s="50" t="s">
        <v>35</v>
      </c>
      <c r="C12" s="58" t="s">
        <v>45</v>
      </c>
      <c r="D12" s="58" t="s">
        <v>44</v>
      </c>
      <c r="E12" s="63" t="str">
        <f>LEFT(EmpGName05)&amp;" " &amp; LEFT(EmpSName05)</f>
        <v>D C</v>
      </c>
      <c r="G12" s="60">
        <v>2020</v>
      </c>
      <c r="I12" s="184" t="s">
        <v>40</v>
      </c>
    </row>
    <row r="13" spans="2:9" ht="14.25">
      <c r="B13" s="50" t="s">
        <v>36</v>
      </c>
      <c r="C13" s="58" t="s">
        <v>56</v>
      </c>
      <c r="D13" s="58" t="s">
        <v>57</v>
      </c>
      <c r="E13" s="63" t="str">
        <f>LEFT(EmpGName06)&amp;" " &amp; LEFT(EmpSName06)</f>
        <v>T S</v>
      </c>
      <c r="G13" s="60">
        <v>2021</v>
      </c>
      <c r="I13" s="184" t="s">
        <v>41</v>
      </c>
    </row>
    <row r="14" spans="2:9" ht="15" thickBot="1">
      <c r="B14" s="50" t="s">
        <v>37</v>
      </c>
      <c r="C14" s="58" t="s">
        <v>58</v>
      </c>
      <c r="D14" s="58" t="s">
        <v>59</v>
      </c>
      <c r="E14" s="63" t="str">
        <f>LEFT(EmpGName07)&amp;" " &amp; LEFT(EmpSName07)</f>
        <v>R F</v>
      </c>
      <c r="G14" s="61">
        <v>2022</v>
      </c>
      <c r="I14" s="184" t="s">
        <v>46</v>
      </c>
    </row>
    <row r="15" spans="2:9" ht="14.25">
      <c r="B15" s="50" t="s">
        <v>38</v>
      </c>
      <c r="C15" s="58" t="s">
        <v>60</v>
      </c>
      <c r="D15" s="58" t="s">
        <v>61</v>
      </c>
      <c r="E15" s="63" t="str">
        <f>LEFT(EmpGName08)&amp;" " &amp; LEFT(EmpSName08)</f>
        <v>F F</v>
      </c>
      <c r="I15" s="184" t="s">
        <v>47</v>
      </c>
    </row>
    <row r="16" spans="2:9" ht="14.25">
      <c r="B16" s="50" t="s">
        <v>39</v>
      </c>
      <c r="C16" s="58" t="s">
        <v>62</v>
      </c>
      <c r="D16" s="58" t="s">
        <v>63</v>
      </c>
      <c r="E16" s="63" t="str">
        <f>LEFT(EmpGName09)&amp;" " &amp; LEFT(EmpSName09)</f>
        <v>P H</v>
      </c>
      <c r="I16" s="184" t="s">
        <v>52</v>
      </c>
    </row>
    <row r="17" spans="2:9" ht="14.25">
      <c r="B17" s="66" t="s">
        <v>48</v>
      </c>
      <c r="C17" s="58" t="s">
        <v>64</v>
      </c>
      <c r="D17" s="58" t="s">
        <v>65</v>
      </c>
      <c r="E17" s="63" t="str">
        <f>LEFT(EmpGName10)&amp;" " &amp; LEFT(EmpSName10)</f>
        <v>J S</v>
      </c>
      <c r="I17" s="184" t="s">
        <v>72</v>
      </c>
    </row>
    <row r="18" spans="2:9" ht="15" thickBot="1">
      <c r="B18" s="66" t="s">
        <v>49</v>
      </c>
      <c r="C18" s="58" t="s">
        <v>66</v>
      </c>
      <c r="D18" s="58" t="s">
        <v>67</v>
      </c>
      <c r="E18" s="63" t="str">
        <f>LEFT(EmpGName11)&amp;" " &amp; LEFT(EmpSName11)</f>
        <v>M R</v>
      </c>
      <c r="I18" s="185"/>
    </row>
    <row r="19" spans="2:9" ht="15" thickBot="1">
      <c r="B19" s="67" t="s">
        <v>50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53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5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25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25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25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25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25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25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25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25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5" customFormat="1" ht="18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5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25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25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25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25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25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25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25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25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Robin Fielding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>Flim Flam Flannery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topLeftCell="A2" zoomScale="232" zoomScaleNormal="232" workbookViewId="0">
      <selection activeCell="B2" sqref="B2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2" t="str">
        <f>CurYear-1 &amp; "/"&amp;CurYear</f>
        <v>2016/2017</v>
      </c>
      <c r="C3" s="182"/>
      <c r="D3" s="99" t="s">
        <v>9</v>
      </c>
      <c r="E3" s="99" t="s">
        <v>11</v>
      </c>
      <c r="F3" s="99" t="s">
        <v>10</v>
      </c>
      <c r="G3" s="99" t="s">
        <v>29</v>
      </c>
      <c r="H3" s="99" t="s">
        <v>40</v>
      </c>
      <c r="I3" s="99" t="s">
        <v>41</v>
      </c>
      <c r="J3" s="99" t="s">
        <v>46</v>
      </c>
      <c r="K3" s="104" t="s">
        <v>52</v>
      </c>
      <c r="L3" s="99" t="s">
        <v>47</v>
      </c>
      <c r="M3" s="99" t="s">
        <v>30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Troy</v>
      </c>
      <c r="C9" s="101" t="str">
        <f>EmpSName06</f>
        <v>Sorensen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Robin</v>
      </c>
      <c r="C10" s="100" t="str">
        <f>EmpSName07</f>
        <v>Fielding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1">
        <f t="shared" si="0"/>
        <v>0</v>
      </c>
    </row>
    <row r="11" spans="2:13" s="55" customFormat="1">
      <c r="B11" s="101" t="str">
        <f>EmpGName08</f>
        <v>Flim Flam</v>
      </c>
      <c r="C11" s="101" t="str">
        <f>EmpSName08</f>
        <v>Flannery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100" t="str">
        <f>EmpGName09</f>
        <v>Paul</v>
      </c>
      <c r="C12" s="100" t="str">
        <f>EmpSName09</f>
        <v>Hogan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1" t="str">
        <f>EmpSName10</f>
        <v>Stretton</v>
      </c>
      <c r="C13" s="101" t="str">
        <f>EmpGName10</f>
        <v>John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100" t="str">
        <f>EmpSName11</f>
        <v>Rowe</v>
      </c>
      <c r="C14" s="100" t="str">
        <f>EmpGName11</f>
        <v>Margaret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51</v>
      </c>
      <c r="D17" s="102">
        <f>SUM(D4:D15)</f>
        <v>0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2017-02-16T10:30:13Z</cp:lastPrinted>
  <dcterms:created xsi:type="dcterms:W3CDTF">2004-05-12T00:54:34Z</dcterms:created>
  <dcterms:modified xsi:type="dcterms:W3CDTF">2017-02-26T12:26:27Z</dcterms:modified>
</cp:coreProperties>
</file>