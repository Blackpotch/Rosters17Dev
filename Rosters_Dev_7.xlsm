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5d54e2d2b0f54402" Type="http://schemas.microsoft.com/office/2006/relationships/ui/extensibility" Target="customUI/customUI.xml"/><Relationship Id="R33435d87a8cc423d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Stumpers\PIRSA\Rosters17Dev\"/>
    </mc:Choice>
  </mc:AlternateContent>
  <bookViews>
    <workbookView xWindow="0" yWindow="0" windowWidth="2172" windowHeight="396" tabRatio="752"/>
  </bookViews>
  <sheets>
    <sheet name="Roster" sheetId="2" r:id="rId1"/>
    <sheet name="DATA" sheetId="1" r:id="rId2"/>
    <sheet name="Emp1" sheetId="3" r:id="rId3"/>
    <sheet name="Emp2" sheetId="4" r:id="rId4"/>
    <sheet name="Emp3" sheetId="5" r:id="rId5"/>
    <sheet name="Emp4" sheetId="6" r:id="rId6"/>
    <sheet name="Emp5" sheetId="7" r:id="rId7"/>
    <sheet name="Emp6" sheetId="8" r:id="rId8"/>
    <sheet name="Emp7" sheetId="10" r:id="rId9"/>
    <sheet name="Emp8" sheetId="11" r:id="rId10"/>
    <sheet name="Emp9" sheetId="12" r:id="rId11"/>
    <sheet name="Emp10" sheetId="13" r:id="rId12"/>
    <sheet name="Emp11" sheetId="14" r:id="rId13"/>
    <sheet name="Emp12" sheetId="15" r:id="rId14"/>
    <sheet name="Summary" sheetId="9" r:id="rId15"/>
  </sheets>
  <definedNames>
    <definedName name="_29">'Emp6'!$AE$26</definedName>
    <definedName name="_Emp1">Roster!$D$120:$AH$120,Roster!$D$135:$AF$135,Roster!$D$150:$AH$150,Roster!$D$165:$AG$165,Roster!$D$180:$AH$180,Roster!$D$195:$AG$195,Roster!$D$14:$AH$14,Roster!$D$45:$AH$45,Roster!$D$60:$AG$60,Roster!$D$75:$AH$75,Roster!$D$90:$AG$90,Roster!$D$105:$AH$105</definedName>
    <definedName name="AllEmps">Roster!$D$14:$AH$25,Roster!$D$45:$AH$56,Roster!$D$60:$AG$71,Roster!$D$75:$AH$86,Roster!$D$90:$AG$101,Roster!$D$105:$AH$116,Roster!$D$120:$AH$131,Roster!$D$135:$AF$146,Roster!$D$150:$AH$161,Roster!$D$165:$AG$176,Roster!$D$180:$AH$191,Roster!$D$195:$AG$206</definedName>
    <definedName name="April_Heads">Roster!$C$164:$AG$164</definedName>
    <definedName name="August_Heads">Roster!$C$44:$AH$44</definedName>
    <definedName name="AutoEnd">Roster!$A$5</definedName>
    <definedName name="BlockEmps">DATA!$C$8:$E$19</definedName>
    <definedName name="CurYear">Roster!$B$4</definedName>
    <definedName name="D">Roster!$D$120:$AH$131,Roster!$D$135:$AF$146,Roster!$D$150:$AH$161,Roster!$D$165:$AG$176,Roster!$D$180:$AH$191,Roster!$D$195:$AG$206,Roster!$D$14:$AH$25,Roster!$D$45:$AH$56,Roster!$D$60:$AG$71,Roster!$D$75:$AH$86,Roster!$D$90:$AG$101,Roster!$D$105:$AH$116</definedName>
    <definedName name="December_Heads">Roster!$C$104:$AH$104</definedName>
    <definedName name="ee">Roster!$D$14:$AH$25,Roster!$D$45:$AH$56,Roster!$D$60:$AG$71,Roster!$D$75:$AH$86,Roster!$D$90:$AG$101,Roster!$D$105:$AH$116,Roster!$D$120:$AH$131,Roster!$D$135:$AF$146,Roster!$D$150:$AH$161,Roster!$D$165:$AG$176,Roster!$D$180:$AH$191,Roster!$D$195:$AG$206</definedName>
    <definedName name="Emp01Apr">Roster!$D$165:$AG$165</definedName>
    <definedName name="Emp01Aug">Roster!$D$45:$AH$45</definedName>
    <definedName name="Emp01Dec">Roster!$D$105:$AH$105</definedName>
    <definedName name="Emp01Feb">Roster!$D$135:$AF$135</definedName>
    <definedName name="Emp01Jan">Roster!$D$120:$AH$120</definedName>
    <definedName name="Emp01Jul">Roster!$D$14:$AH$14</definedName>
    <definedName name="Emp01Jun">Roster!$D$195:$AG$195</definedName>
    <definedName name="Emp01Mar">Roster!$D$150:$AH$150</definedName>
    <definedName name="Emp01May">Roster!$D$180:$AH$180</definedName>
    <definedName name="Emp01Nov">Roster!$D$90:$AG$90</definedName>
    <definedName name="Emp01Oct">Roster!$D$75:$AH$75</definedName>
    <definedName name="Emp01Sep">Roster!$D$60:$AG$60</definedName>
    <definedName name="Emp01Summary">Summary!$B$4:$C$4</definedName>
    <definedName name="Emp02Apr">Roster!$D$166:$AG$166</definedName>
    <definedName name="Emp02Aug">Roster!$D$46:$AH$46</definedName>
    <definedName name="Emp02Dec">Roster!$D$106:$AH$106</definedName>
    <definedName name="Emp02Feb">Roster!$D$136:$AF$136</definedName>
    <definedName name="Emp02Jan">Roster!$D$121:$AH$121</definedName>
    <definedName name="Emp02Jul">Roster!$D$15:$AH$15</definedName>
    <definedName name="Emp02Jun">Roster!$D$196:$AG$196</definedName>
    <definedName name="Emp02Mar">Roster!$D$151:$AH$151</definedName>
    <definedName name="Emp02May">Roster!$D$181:$AH$181</definedName>
    <definedName name="Emp02Nov">Roster!$D$91:$AG$91</definedName>
    <definedName name="Emp02Oct">Roster!$D$76:$AH$76</definedName>
    <definedName name="Emp02Sep">Roster!$D$61:$AG$61</definedName>
    <definedName name="Emp02Summary">Summary!$B$5:$C$5</definedName>
    <definedName name="Emp03Apr">Roster!$D$167:$AG$167</definedName>
    <definedName name="Emp03Aug">Roster!$D$47:$AH$47</definedName>
    <definedName name="Emp03Dec">Roster!$D$107:$AH$107</definedName>
    <definedName name="Emp03Feb">Roster!$D$137:$AF$137</definedName>
    <definedName name="Emp03Jan">Roster!$D$122:$AH$122</definedName>
    <definedName name="Emp03Jul">Roster!$D$16:$AH$16</definedName>
    <definedName name="Emp03Jun">Roster!$D$197:$AG$197</definedName>
    <definedName name="Emp03Mar">Roster!$D$152:$AH$152</definedName>
    <definedName name="Emp03May">Roster!$D$182:$AH$182</definedName>
    <definedName name="Emp03Nov">Roster!$D$92:$AG$92</definedName>
    <definedName name="Emp03Oct">Roster!$D$77:$AH$77</definedName>
    <definedName name="Emp03Sep">Roster!$D$62:$AG$62</definedName>
    <definedName name="Emp03Summary">Summary!$B$6:$C$6</definedName>
    <definedName name="Emp04Apr">Roster!$D$168:$AG$168</definedName>
    <definedName name="Emp04Aug">Roster!$D$48:$AH$48</definedName>
    <definedName name="Emp04Dec">Roster!$D$108:$AH$108</definedName>
    <definedName name="Emp04Feb">Roster!$D$138:$AF$138</definedName>
    <definedName name="Emp04Jan">Roster!$D$123:$AH$123</definedName>
    <definedName name="Emp04Jul">Roster!$D$17:$AH$17</definedName>
    <definedName name="Emp04Jun">Roster!$D$198:$AG$198</definedName>
    <definedName name="Emp04Mar">Roster!$D$153:$AH$153</definedName>
    <definedName name="Emp04May">Roster!$D$183:$AH$183</definedName>
    <definedName name="Emp04Nov">Roster!$D$93:$AG$93</definedName>
    <definedName name="Emp04Oct">Roster!$D$78:$AH$78</definedName>
    <definedName name="Emp04Sep">Roster!$D$63:$AG$63</definedName>
    <definedName name="Emp04Summary">Summary!$B$7:$C$7</definedName>
    <definedName name="Emp05Apr">Roster!$D$169:$AG$169</definedName>
    <definedName name="Emp05Aug">Roster!$D$49:$AH$49</definedName>
    <definedName name="Emp05Dec">Roster!$D$109:$AH$109</definedName>
    <definedName name="Emp05Feb">Roster!$D$139:$AF$139</definedName>
    <definedName name="Emp05Jan">Roster!$D$124:$AH$124</definedName>
    <definedName name="Emp05Jul">Roster!$D$18:$AH$18</definedName>
    <definedName name="Emp05Jun">Roster!$D$199:$AG$199</definedName>
    <definedName name="Emp05Mar">Roster!$D$154:$AH$154</definedName>
    <definedName name="Emp05May">Roster!$D$184:$AH$184</definedName>
    <definedName name="Emp05Nov">Roster!$D$94:$AG$94</definedName>
    <definedName name="Emp05Oct">Roster!$D$79:$AH$79</definedName>
    <definedName name="Emp05Sep">Roster!$D$64:$AG$64</definedName>
    <definedName name="Emp05Summary">Summary!$B$8:$C$8</definedName>
    <definedName name="Emp06Apr">Roster!$D$170:$AG$170</definedName>
    <definedName name="Emp06Aug">Roster!$D$50:$AH$50</definedName>
    <definedName name="Emp06Dec">Roster!$D$110:$AH$110</definedName>
    <definedName name="Emp06Feb">Roster!$D$140:$AF$140</definedName>
    <definedName name="Emp06Jan">Roster!$D$125:$AH$125</definedName>
    <definedName name="Emp06Jul">Roster!$D$19:$AH$19</definedName>
    <definedName name="Emp06Jun">Roster!$D$200:$AG$200</definedName>
    <definedName name="Emp06Mar">Roster!$D$155:$AH$155</definedName>
    <definedName name="Emp06May">Roster!$D$185:$AH$185</definedName>
    <definedName name="Emp06Nov">Roster!$D$95:$AG$95</definedName>
    <definedName name="Emp06Oct">Roster!$D$80:$AH$80</definedName>
    <definedName name="Emp06Sep">Roster!$D$65:$AG$65</definedName>
    <definedName name="Emp06Summary">Summary!$B$9:$C$9</definedName>
    <definedName name="Emp07Apr">Roster!$D$171:$AG$171</definedName>
    <definedName name="Emp07Aug">Roster!$D$51:$AH$51</definedName>
    <definedName name="Emp07Dec">Roster!$D$111:$AH$111</definedName>
    <definedName name="Emp07Feb">Roster!$D$141:$AF$141</definedName>
    <definedName name="Emp07Jan">Roster!$D$126:$AH$126</definedName>
    <definedName name="Emp07Jul">Roster!$D$20:$AH$20</definedName>
    <definedName name="Emp07Jun">Roster!$D$201:$AG$201</definedName>
    <definedName name="Emp07Mar">Roster!$D$156:$AH$156</definedName>
    <definedName name="Emp07May">Roster!$D$186:$AH$186</definedName>
    <definedName name="Emp07Nov">Roster!$D$96:$AG$96</definedName>
    <definedName name="Emp07Oct">Roster!$D$81:$AH$81</definedName>
    <definedName name="Emp07Sep">Roster!$D$66:$AG$66</definedName>
    <definedName name="Emp07Summary">Summary!$B$10:$C$10</definedName>
    <definedName name="Emp08Apr">Roster!$D$172:$AG$172</definedName>
    <definedName name="Emp08Aug">Roster!$D$52:$AH$52</definedName>
    <definedName name="Emp08Dec">Roster!$D$112:$AH$112</definedName>
    <definedName name="Emp08Feb">Roster!$D$142:$AF$142</definedName>
    <definedName name="Emp08Jan">Roster!$D$127:$AH$127</definedName>
    <definedName name="Emp08Jul">Roster!$D$21:$AH$21</definedName>
    <definedName name="Emp08Jun">Roster!$D$202:$AG$202</definedName>
    <definedName name="Emp08Mar">Roster!$D$157:$AH$157</definedName>
    <definedName name="Emp08May">Roster!$D$187:$AH$187</definedName>
    <definedName name="Emp08Nov">Roster!$D$97:$AG$97</definedName>
    <definedName name="Emp08Oct">Roster!$D$82:$AH$82</definedName>
    <definedName name="Emp08Sep">Roster!$D$67:$AG$67</definedName>
    <definedName name="Emp08Summary">Summary!$B$11:$C$11</definedName>
    <definedName name="Emp09Apr">Roster!$D$173:$AG$173</definedName>
    <definedName name="Emp09Aug">Roster!$D$53:$AH$53</definedName>
    <definedName name="Emp09Dec">Roster!$D$113:$AH$113</definedName>
    <definedName name="Emp09Feb">Roster!$D$143:$AF$143</definedName>
    <definedName name="Emp09Jan">Roster!$D$128:$AH$128</definedName>
    <definedName name="Emp09Jul">Roster!$D$22:$AH$22</definedName>
    <definedName name="Emp09Jun">Roster!$D$203:$AG$203</definedName>
    <definedName name="Emp09Mar">Roster!$D$158:$AH$158</definedName>
    <definedName name="Emp09May">Roster!$D$188:$AH$188</definedName>
    <definedName name="Emp09Nov">Roster!$D$98:$AG$98</definedName>
    <definedName name="Emp09Oct">Roster!$D$83:$AH$83</definedName>
    <definedName name="Emp09Sep">Roster!$D$68:$AG$68</definedName>
    <definedName name="Emp09Summary">Summary!$B$12:$C$12</definedName>
    <definedName name="Emp10Apr">Roster!$D$174:$AG$174</definedName>
    <definedName name="Emp10Aug">Roster!$D$54:$AH$54</definedName>
    <definedName name="Emp10Dec">Roster!$D$114:$AH$114</definedName>
    <definedName name="Emp10Feb">Roster!$D$144:$AF$144</definedName>
    <definedName name="Emp10Jan">Roster!$D$129:$AH$129</definedName>
    <definedName name="Emp10Jul">Roster!$D$23:$AH$23</definedName>
    <definedName name="Emp10Jun">Roster!$D$204:$AG$204</definedName>
    <definedName name="Emp10Mar">Roster!$D$159:$AH$159</definedName>
    <definedName name="Emp10May">Roster!$D$189:$AH$189</definedName>
    <definedName name="Emp10Nov">Roster!$D$99:$AG$99</definedName>
    <definedName name="Emp10Oct">Roster!$D$84:$AH$84</definedName>
    <definedName name="Emp10Sep">Roster!$D$69:$AG$69</definedName>
    <definedName name="Emp10Summary">Summary!$B$13:$C$13</definedName>
    <definedName name="Emp11Apr">Roster!$D$175:$AG$175</definedName>
    <definedName name="Emp11Aug">Roster!$D$55:$AH$55</definedName>
    <definedName name="Emp11Dec">Roster!$D$115:$AH$115</definedName>
    <definedName name="Emp11Feb">Roster!$D$145:$AF$145</definedName>
    <definedName name="Emp11Jan">Roster!$D$130:$AH$130</definedName>
    <definedName name="Emp11Jul">Roster!$D$24:$AH$24</definedName>
    <definedName name="Emp11Jun">Roster!$D$205:$AG$205</definedName>
    <definedName name="Emp11Mar">Roster!$D$160:$AH$160</definedName>
    <definedName name="Emp11May">Roster!$D$190:$AH$190</definedName>
    <definedName name="Emp11Nov">Roster!$D$100:$AG$100</definedName>
    <definedName name="Emp11Oct">Roster!$D$85:$AH$85</definedName>
    <definedName name="Emp11Sep">Roster!$D$70:$AG$70</definedName>
    <definedName name="Emp11Summary">Summary!$B$14:$C$14</definedName>
    <definedName name="Emp12Apr">Roster!$D$176:$AG$176</definedName>
    <definedName name="Emp12Aug">Roster!$D$56:$AH$56</definedName>
    <definedName name="Emp12Dec">Roster!$D$116:$AH$116</definedName>
    <definedName name="Emp12Feb">Roster!$D$146:$AF$146</definedName>
    <definedName name="Emp12Jan">Roster!$D$131:$AH$131</definedName>
    <definedName name="Emp12Jul">Roster!$D$25:$AH$25</definedName>
    <definedName name="Emp12Jun">Roster!$D$206:$AG$206</definedName>
    <definedName name="Emp12Mar">Roster!$D$161:$AH$161</definedName>
    <definedName name="Emp12May">Roster!$D$191:$AH$191</definedName>
    <definedName name="Emp12Nov">Roster!$D$101:$AG$101</definedName>
    <definedName name="Emp12Oct">Roster!$D$86:$AH$86</definedName>
    <definedName name="Emp12Sep">Roster!$D$71:$AG$71</definedName>
    <definedName name="Emp12Summary">Summary!$B$15:$C$15</definedName>
    <definedName name="Emp13Jul">Roster!$D$26:$AH$26</definedName>
    <definedName name="Emp14Jul">Roster!$D$27:$AH$27</definedName>
    <definedName name="Emp15Jul">Roster!$D$28:$AH$28</definedName>
    <definedName name="Emp16Jul">Roster!$D$29:$AH$29</definedName>
    <definedName name="Emp17Jul">Roster!$D$30:$AH$30</definedName>
    <definedName name="Emp18Jul">Roster!$D$31:$AH$31</definedName>
    <definedName name="Emp19Jul">Roster!$D$32:$AH$32</definedName>
    <definedName name="Emp1j" localSheetId="3">'Emp2'!$C$24:$AG$24</definedName>
    <definedName name="Emp1j" localSheetId="4">'Emp3'!$C$24:$AG$24</definedName>
    <definedName name="Emp1j" localSheetId="5">'Emp4'!$C$24:$AG$24</definedName>
    <definedName name="Emp1j" localSheetId="6">'Emp5'!$C$24:$AG$24</definedName>
    <definedName name="Emp1j" localSheetId="7">'Emp6'!$C$24:$AG$24</definedName>
    <definedName name="Emp20Jul">Roster!$D$33:$AH$33</definedName>
    <definedName name="Emp21Jul">Roster!$D$34:$AH$34</definedName>
    <definedName name="Emp22Jul">Roster!$D$35:$AH$35</definedName>
    <definedName name="Emp23Jul">Roster!$D$36:$AH$36</definedName>
    <definedName name="Emp24Jul">Roster!$D$37:$AH$37</definedName>
    <definedName name="Emp25Jul">Roster!$D$38:$AH$38</definedName>
    <definedName name="Emp26Jul">Roster!$D$39:$AH$39</definedName>
    <definedName name="Emp27Jul">Roster!$D$40:$AH$40</definedName>
    <definedName name="Emp28Jul">Roster!$D$41:$AH$41</definedName>
    <definedName name="EmpGName01">DATA!$D$8</definedName>
    <definedName name="EmpGName02">DATA!$D$9</definedName>
    <definedName name="EmpGName03">DATA!$D$10</definedName>
    <definedName name="EmpGName04">DATA!$D$11</definedName>
    <definedName name="EmpGName05">DATA!$D$12</definedName>
    <definedName name="EmpGName06">DATA!$D$13</definedName>
    <definedName name="EmpGName07">DATA!$D$14</definedName>
    <definedName name="EmpGName08">DATA!$D$15</definedName>
    <definedName name="EmpGName09">DATA!$D$16</definedName>
    <definedName name="EmpGName10">DATA!$D$17</definedName>
    <definedName name="EmpGName11">DATA!$D$18</definedName>
    <definedName name="EmpGName12">DATA!$D$19</definedName>
    <definedName name="EmpGName13">DATA!$D$20</definedName>
    <definedName name="EmpGName14">DATA!$D$21</definedName>
    <definedName name="EmpGName15">DATA!$D$22</definedName>
    <definedName name="EmpGName16">DATA!$D$23</definedName>
    <definedName name="EmpGName17">DATA!$D$24</definedName>
    <definedName name="EmpGName18">DATA!$D$25</definedName>
    <definedName name="EmpGName19">DATA!$D$26</definedName>
    <definedName name="EmpGName20">DATA!$D$27</definedName>
    <definedName name="EmpGName21">DATA!$D$28</definedName>
    <definedName name="EmpGName22">DATA!$D$29</definedName>
    <definedName name="EmpGName23">DATA!$D$30</definedName>
    <definedName name="EmpGName24">DATA!$D$31</definedName>
    <definedName name="EmpGName25">DATA!$D$32</definedName>
    <definedName name="EmpGName26">DATA!$D$33</definedName>
    <definedName name="EmpGName27">DATA!$D$34</definedName>
    <definedName name="EmpGName28">DATA!$D$35</definedName>
    <definedName name="EmpsALL">Roster!$D$14:$AH$25,Roster!$D$45:$AH$56,Roster!$D$60:$AG$71,Roster!$D$75:$AH$86,Roster!$D$90:$AG$101,Roster!$D$105:$AH$116,Roster!$D$120:$AH$131,Roster!$D$135:$AF$146,Roster!$D$150:$AH$161,Roster!$D$165:$AG$176,Roster!$D$180:$AH$191,Roster!$D$195:$AG$206</definedName>
    <definedName name="EmpSName01">DATA!$C$8</definedName>
    <definedName name="EmpSName02">DATA!$C$9</definedName>
    <definedName name="EmpSName03">DATA!$C$10</definedName>
    <definedName name="EmpSName04">DATA!$C$11</definedName>
    <definedName name="EmpSName05">DATA!$C$12</definedName>
    <definedName name="EmpSName06">DATA!$C$13</definedName>
    <definedName name="EmpSName07">DATA!$C$14</definedName>
    <definedName name="EmpSName08">DATA!$C$15</definedName>
    <definedName name="EmpSName09">DATA!$C$16</definedName>
    <definedName name="EmpSName10">DATA!$C$17</definedName>
    <definedName name="EmpSName11">DATA!$C$18</definedName>
    <definedName name="EmpSName12">DATA!$C$19</definedName>
    <definedName name="EmpSName13">DATA!$C$20</definedName>
    <definedName name="EmpSName14">DATA!$C$21</definedName>
    <definedName name="EmpSName15">DATA!$C$22</definedName>
    <definedName name="EmpSName16">DATA!$C$23</definedName>
    <definedName name="EmpSName17">DATA!$C$24</definedName>
    <definedName name="EmpSName18">DATA!$C$25</definedName>
    <definedName name="EmpSName19">DATA!$C$26</definedName>
    <definedName name="EmpSName20">DATA!$C$27</definedName>
    <definedName name="EmpSName21">DATA!$C$28</definedName>
    <definedName name="EmpSName22">DATA!$C$29</definedName>
    <definedName name="EmpSName23">DATA!$C$30</definedName>
    <definedName name="EmpSName24">DATA!$C$31</definedName>
    <definedName name="EmpSName25">DATA!$C$32</definedName>
    <definedName name="EmpSName26">DATA!$C$33</definedName>
    <definedName name="EmpSName27">DATA!$C$34</definedName>
    <definedName name="EmpSName28">DATA!$C$35</definedName>
    <definedName name="EmpSNamfe09">DATA!$C$16</definedName>
    <definedName name="FebHead">Roster!$AF$134</definedName>
    <definedName name="FebLast" localSheetId="2">'Emp1'!$AE$26</definedName>
    <definedName name="FebLast" localSheetId="11">'Emp10'!$AE$26</definedName>
    <definedName name="FebLast" localSheetId="12">'Emp11'!$AE$26</definedName>
    <definedName name="FebLast" localSheetId="13">'Emp12'!$AE$26</definedName>
    <definedName name="FebLast" localSheetId="3">'Emp2'!$AE$26</definedName>
    <definedName name="FebLast" localSheetId="4">'Emp3'!$AE$26</definedName>
    <definedName name="FebLast" localSheetId="5">'Emp4'!$AE$26</definedName>
    <definedName name="FebLast" localSheetId="6">'Emp5'!$AE$26</definedName>
    <definedName name="FebLast" localSheetId="7">'Emp6'!$AE$26</definedName>
    <definedName name="FebLast" localSheetId="8">'Emp7'!$AE$26</definedName>
    <definedName name="FebLast" localSheetId="9">'Emp8'!$AE$26</definedName>
    <definedName name="FebLast" localSheetId="10">'Emp9'!$AE$26</definedName>
    <definedName name="February_Heads">Roster!$C$134:$AF$134</definedName>
    <definedName name="FebVal">Roster!$D$135:$AF$140</definedName>
    <definedName name="InitialPeriodEnding">DATA!$K$8</definedName>
    <definedName name="January_Heads">Roster!$C$119:$AH$119</definedName>
    <definedName name="JanVal">Roster!$D$120:$AH$125</definedName>
    <definedName name="July_Heads">Roster!$C$13:$AH$13</definedName>
    <definedName name="June_Heads">Roster!$C$194:$AG$194</definedName>
    <definedName name="LegEnd">Roster!$A$6:$A$10</definedName>
    <definedName name="Location">DATA!$D$3</definedName>
    <definedName name="March_Heads">Roster!$C$149:$AH$149</definedName>
    <definedName name="May_Heads">Roster!$C$179:$AH$179</definedName>
    <definedName name="November_Heads">Roster!$C$89:$AG$89</definedName>
    <definedName name="October_Heads">Roster!$C$74:$AH$74</definedName>
    <definedName name="PeriodsEnding">DATA!$M$8:$M$34</definedName>
    <definedName name="_xlnm.Print_Area" localSheetId="2">'Emp1'!$B$2:$AG$39</definedName>
    <definedName name="_xlnm.Print_Area" localSheetId="11">'Emp10'!$B$2:$AG$39</definedName>
    <definedName name="_xlnm.Print_Area" localSheetId="12">'Emp11'!$B$2:$AG$39</definedName>
    <definedName name="_xlnm.Print_Area" localSheetId="13">'Emp12'!$B$2:$AG$39</definedName>
    <definedName name="_xlnm.Print_Area" localSheetId="3">'Emp2'!$B$2:$AG$39</definedName>
    <definedName name="_xlnm.Print_Area" localSheetId="4">'Emp3'!$B$2:$AG$39</definedName>
    <definedName name="_xlnm.Print_Area" localSheetId="5">'Emp4'!$B$2:$AG$39</definedName>
    <definedName name="_xlnm.Print_Area" localSheetId="6">'Emp5'!$B$2:$AG$39</definedName>
    <definedName name="_xlnm.Print_Area" localSheetId="7">'Emp6'!$B$2:$AG$39</definedName>
    <definedName name="_xlnm.Print_Area" localSheetId="8">'Emp7'!$B$2:$AG$39</definedName>
    <definedName name="_xlnm.Print_Area" localSheetId="9">'Emp8'!$B$2:$AG$39</definedName>
    <definedName name="_xlnm.Print_Area" localSheetId="10">'Emp9'!$B$2:$AG$39</definedName>
    <definedName name="_xlnm.Print_Area" localSheetId="0">Roster!$B$12:$AH$207</definedName>
    <definedName name="September_Heads">Roster!$C$59:$AG$59</definedName>
    <definedName name="Shifts">DATA!$I$8:$I$18</definedName>
    <definedName name="test">Roster!$D$120:$AH$120,Roster!$D$135:$AF$135</definedName>
    <definedName name="Years">DATA!$G$8:$G$14</definedName>
    <definedName name="Z_AD9D0CFE_E6C4_49DD_B2D2_304A3BF30C6C_.wvu.PrintArea" localSheetId="2" hidden="1">'Emp1'!$B$2:$AG$21</definedName>
    <definedName name="Z_AD9D0CFE_E6C4_49DD_B2D2_304A3BF30C6C_.wvu.PrintArea" localSheetId="11" hidden="1">'Emp10'!$B$2:$AG$21</definedName>
    <definedName name="Z_AD9D0CFE_E6C4_49DD_B2D2_304A3BF30C6C_.wvu.PrintArea" localSheetId="12" hidden="1">'Emp11'!$B$2:$AG$21</definedName>
    <definedName name="Z_AD9D0CFE_E6C4_49DD_B2D2_304A3BF30C6C_.wvu.PrintArea" localSheetId="13" hidden="1">'Emp12'!$B$2:$AG$21</definedName>
    <definedName name="Z_AD9D0CFE_E6C4_49DD_B2D2_304A3BF30C6C_.wvu.PrintArea" localSheetId="3" hidden="1">'Emp2'!$B$2:$AG$21</definedName>
    <definedName name="Z_AD9D0CFE_E6C4_49DD_B2D2_304A3BF30C6C_.wvu.PrintArea" localSheetId="4" hidden="1">'Emp3'!$B$2:$AG$21</definedName>
    <definedName name="Z_AD9D0CFE_E6C4_49DD_B2D2_304A3BF30C6C_.wvu.PrintArea" localSheetId="5" hidden="1">'Emp4'!$B$2:$AG$21</definedName>
    <definedName name="Z_AD9D0CFE_E6C4_49DD_B2D2_304A3BF30C6C_.wvu.PrintArea" localSheetId="6" hidden="1">'Emp5'!$B$2:$AG$21</definedName>
    <definedName name="Z_AD9D0CFE_E6C4_49DD_B2D2_304A3BF30C6C_.wvu.PrintArea" localSheetId="7" hidden="1">'Emp6'!$B$2:$AG$21</definedName>
    <definedName name="Z_AD9D0CFE_E6C4_49DD_B2D2_304A3BF30C6C_.wvu.PrintArea" localSheetId="8" hidden="1">'Emp7'!$B$2:$AG$21</definedName>
    <definedName name="Z_AD9D0CFE_E6C4_49DD_B2D2_304A3BF30C6C_.wvu.PrintArea" localSheetId="9" hidden="1">'Emp8'!$B$2:$AG$21</definedName>
    <definedName name="Z_AD9D0CFE_E6C4_49DD_B2D2_304A3BF30C6C_.wvu.PrintArea" localSheetId="10" hidden="1">'Emp9'!$B$2:$AG$21</definedName>
  </definedNames>
  <calcPr calcId="152511"/>
  <customWorkbookViews>
    <customWorkbookView name="Summary" guid="{9CC23DA7-DD7F-416D-ABE1-6A68EF4528AC}" includePrintSettings="0" includeHiddenRowCol="0" maximized="1" windowWidth="1020" windowHeight="606" tabRatio="752" activeSheetId="9" showComments="commIndAndComment"/>
    <customWorkbookView name="Looch - Personal View" guid="{AD9D0CFE-E6C4-49DD-B2D2-304A3BF30C6C}" mergeInterval="0" personalView="1" maximized="1" windowWidth="1020" windowHeight="544" activeSheetId="2"/>
  </customWorkbookViews>
</workbook>
</file>

<file path=xl/calcChain.xml><?xml version="1.0" encoding="utf-8"?>
<calcChain xmlns="http://schemas.openxmlformats.org/spreadsheetml/2006/main">
  <c r="C41" i="2" l="1"/>
  <c r="C40" i="2"/>
  <c r="C39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43" i="2"/>
  <c r="D43" i="2"/>
  <c r="E43" i="2"/>
  <c r="F43" i="2"/>
  <c r="G43" i="2"/>
  <c r="H43" i="2"/>
  <c r="I43" i="2"/>
  <c r="J43" i="2"/>
  <c r="K43" i="2"/>
  <c r="L43" i="2"/>
  <c r="M43" i="2"/>
  <c r="N43" i="2"/>
  <c r="O43" i="2"/>
  <c r="P43" i="2"/>
  <c r="Q43" i="2"/>
  <c r="R43" i="2"/>
  <c r="S43" i="2"/>
  <c r="T43" i="2"/>
  <c r="U43" i="2"/>
  <c r="V43" i="2"/>
  <c r="W43" i="2"/>
  <c r="X43" i="2"/>
  <c r="Y43" i="2"/>
  <c r="Z43" i="2"/>
  <c r="AA43" i="2"/>
  <c r="AB43" i="2"/>
  <c r="AC43" i="2"/>
  <c r="AD43" i="2"/>
  <c r="AE43" i="2"/>
  <c r="AF43" i="2"/>
  <c r="AG43" i="2"/>
  <c r="AH43" i="2"/>
  <c r="C45" i="2"/>
  <c r="C46" i="2"/>
  <c r="C47" i="2"/>
  <c r="C48" i="2"/>
  <c r="C49" i="2"/>
  <c r="C50" i="2"/>
  <c r="C51" i="2"/>
  <c r="C52" i="2"/>
  <c r="C53" i="2"/>
  <c r="C54" i="2"/>
  <c r="C55" i="2"/>
  <c r="C56" i="2"/>
  <c r="C58" i="2"/>
  <c r="D58" i="2"/>
  <c r="E58" i="2"/>
  <c r="F58" i="2"/>
  <c r="G58" i="2"/>
  <c r="H58" i="2"/>
  <c r="I58" i="2"/>
  <c r="J58" i="2"/>
  <c r="K58" i="2"/>
  <c r="L58" i="2"/>
  <c r="M58" i="2"/>
  <c r="N58" i="2"/>
  <c r="O58" i="2"/>
  <c r="P58" i="2"/>
  <c r="Q58" i="2"/>
  <c r="R58" i="2"/>
  <c r="S58" i="2"/>
  <c r="T58" i="2"/>
  <c r="U58" i="2"/>
  <c r="V58" i="2"/>
  <c r="W58" i="2"/>
  <c r="X58" i="2"/>
  <c r="Y58" i="2"/>
  <c r="Z58" i="2"/>
  <c r="AA58" i="2"/>
  <c r="AB58" i="2"/>
  <c r="AC58" i="2"/>
  <c r="AD58" i="2"/>
  <c r="AE58" i="2"/>
  <c r="AF58" i="2"/>
  <c r="AG58" i="2"/>
  <c r="C60" i="2"/>
  <c r="C61" i="2"/>
  <c r="E35" i="1" l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M8" i="1" l="1"/>
  <c r="M9" i="1" s="1"/>
  <c r="M10" i="1" s="1"/>
  <c r="M11" i="1" s="1"/>
  <c r="M12" i="1" s="1"/>
  <c r="M13" i="1" s="1"/>
  <c r="M14" i="1" s="1"/>
  <c r="M15" i="1" s="1"/>
  <c r="M16" i="1" s="1"/>
  <c r="M17" i="1" s="1"/>
  <c r="M18" i="1" s="1"/>
  <c r="M19" i="1" s="1"/>
  <c r="M20" i="1" s="1"/>
  <c r="M21" i="1" s="1"/>
  <c r="M22" i="1" s="1"/>
  <c r="M23" i="1" s="1"/>
  <c r="M24" i="1" s="1"/>
  <c r="M25" i="1" s="1"/>
  <c r="M26" i="1" s="1"/>
  <c r="M27" i="1" s="1"/>
  <c r="M28" i="1" s="1"/>
  <c r="M29" i="1" s="1"/>
  <c r="M30" i="1" s="1"/>
  <c r="M31" i="1" s="1"/>
  <c r="M32" i="1" s="1"/>
  <c r="M33" i="1" s="1"/>
  <c r="M34" i="1" s="1"/>
  <c r="L10" i="9" l="1"/>
  <c r="C112" i="2" l="1"/>
  <c r="G14" i="9"/>
  <c r="G13" i="9"/>
  <c r="G12" i="9"/>
  <c r="G11" i="9"/>
  <c r="G10" i="9"/>
  <c r="G9" i="9"/>
  <c r="G8" i="9"/>
  <c r="G7" i="9"/>
  <c r="G6" i="9"/>
  <c r="G5" i="9"/>
  <c r="G4" i="9"/>
  <c r="C19" i="2" l="1"/>
  <c r="G15" i="9" l="1"/>
  <c r="I18" i="4" l="1"/>
  <c r="AD9" i="3" l="1"/>
  <c r="AE9" i="3"/>
  <c r="E24" i="3" l="1"/>
  <c r="F24" i="3"/>
  <c r="G24" i="3"/>
  <c r="D24" i="3"/>
  <c r="C24" i="3"/>
  <c r="H24" i="3"/>
  <c r="I24" i="3"/>
  <c r="J24" i="3"/>
  <c r="K24" i="3"/>
  <c r="L24" i="3"/>
  <c r="M24" i="3"/>
  <c r="N24" i="3"/>
  <c r="O24" i="3"/>
  <c r="P24" i="3"/>
  <c r="Q24" i="3"/>
  <c r="R24" i="3"/>
  <c r="S24" i="3"/>
  <c r="T24" i="3"/>
  <c r="U24" i="3"/>
  <c r="V24" i="3"/>
  <c r="W24" i="3"/>
  <c r="X24" i="3"/>
  <c r="Y24" i="3"/>
  <c r="Z24" i="3"/>
  <c r="AA24" i="3"/>
  <c r="AB24" i="3"/>
  <c r="AC24" i="3"/>
  <c r="AD24" i="3"/>
  <c r="AE24" i="3"/>
  <c r="AF24" i="3"/>
  <c r="AG24" i="3"/>
  <c r="B24" i="3"/>
  <c r="C27" i="3"/>
  <c r="K15" i="9" l="1"/>
  <c r="K14" i="9"/>
  <c r="K12" i="9"/>
  <c r="K13" i="9"/>
  <c r="K11" i="9"/>
  <c r="K10" i="9"/>
  <c r="K9" i="9"/>
  <c r="K8" i="9"/>
  <c r="K7" i="9"/>
  <c r="K6" i="9"/>
  <c r="K5" i="9"/>
  <c r="K4" i="9"/>
  <c r="B11" i="9"/>
  <c r="C118" i="2"/>
  <c r="D118" i="2"/>
  <c r="E118" i="2"/>
  <c r="F118" i="2"/>
  <c r="G118" i="2"/>
  <c r="H118" i="2"/>
  <c r="I118" i="2"/>
  <c r="J118" i="2"/>
  <c r="K118" i="2"/>
  <c r="L118" i="2"/>
  <c r="M118" i="2"/>
  <c r="N118" i="2"/>
  <c r="O118" i="2"/>
  <c r="P118" i="2"/>
  <c r="Q118" i="2"/>
  <c r="R118" i="2"/>
  <c r="S118" i="2"/>
  <c r="T118" i="2"/>
  <c r="U118" i="2"/>
  <c r="V118" i="2"/>
  <c r="W118" i="2"/>
  <c r="X118" i="2"/>
  <c r="Y118" i="2"/>
  <c r="Z118" i="2"/>
  <c r="AA118" i="2"/>
  <c r="AB118" i="2"/>
  <c r="AC118" i="2"/>
  <c r="AD118" i="2"/>
  <c r="AE118" i="2"/>
  <c r="AF118" i="2"/>
  <c r="AG118" i="2"/>
  <c r="AH118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3" i="2"/>
  <c r="D133" i="2"/>
  <c r="E133" i="2"/>
  <c r="F133" i="2"/>
  <c r="G133" i="2"/>
  <c r="H133" i="2"/>
  <c r="I133" i="2"/>
  <c r="J133" i="2"/>
  <c r="K133" i="2"/>
  <c r="L133" i="2"/>
  <c r="M133" i="2"/>
  <c r="N133" i="2"/>
  <c r="O133" i="2"/>
  <c r="P133" i="2"/>
  <c r="Q133" i="2"/>
  <c r="R133" i="2"/>
  <c r="S133" i="2"/>
  <c r="T133" i="2"/>
  <c r="U133" i="2"/>
  <c r="V133" i="2"/>
  <c r="W133" i="2"/>
  <c r="X133" i="2"/>
  <c r="Y133" i="2"/>
  <c r="Z133" i="2"/>
  <c r="AA133" i="2"/>
  <c r="AB133" i="2"/>
  <c r="AC133" i="2"/>
  <c r="AD133" i="2"/>
  <c r="AE133" i="2"/>
  <c r="AF133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8" i="2"/>
  <c r="D148" i="2"/>
  <c r="E148" i="2"/>
  <c r="F148" i="2"/>
  <c r="G148" i="2"/>
  <c r="H148" i="2"/>
  <c r="I148" i="2"/>
  <c r="J148" i="2"/>
  <c r="K148" i="2"/>
  <c r="L148" i="2"/>
  <c r="M148" i="2"/>
  <c r="N148" i="2"/>
  <c r="O148" i="2"/>
  <c r="P148" i="2"/>
  <c r="Q148" i="2"/>
  <c r="R148" i="2"/>
  <c r="S148" i="2"/>
  <c r="T148" i="2"/>
  <c r="U148" i="2"/>
  <c r="V148" i="2"/>
  <c r="W148" i="2"/>
  <c r="X148" i="2"/>
  <c r="Y148" i="2"/>
  <c r="Z148" i="2"/>
  <c r="AA148" i="2"/>
  <c r="AB148" i="2"/>
  <c r="AC148" i="2"/>
  <c r="AD148" i="2"/>
  <c r="AE148" i="2"/>
  <c r="AF148" i="2"/>
  <c r="AG148" i="2"/>
  <c r="AH148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3" i="2"/>
  <c r="D163" i="2"/>
  <c r="E163" i="2"/>
  <c r="F163" i="2"/>
  <c r="G163" i="2"/>
  <c r="H163" i="2"/>
  <c r="I163" i="2"/>
  <c r="J163" i="2"/>
  <c r="K163" i="2"/>
  <c r="L163" i="2"/>
  <c r="M163" i="2"/>
  <c r="N163" i="2"/>
  <c r="O163" i="2"/>
  <c r="P163" i="2"/>
  <c r="Q163" i="2"/>
  <c r="R163" i="2"/>
  <c r="S163" i="2"/>
  <c r="T163" i="2"/>
  <c r="U163" i="2"/>
  <c r="V163" i="2"/>
  <c r="W163" i="2"/>
  <c r="X163" i="2"/>
  <c r="Y163" i="2"/>
  <c r="Z163" i="2"/>
  <c r="AA163" i="2"/>
  <c r="AB163" i="2"/>
  <c r="AC163" i="2"/>
  <c r="AD163" i="2"/>
  <c r="AE163" i="2"/>
  <c r="AF163" i="2"/>
  <c r="AG163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8" i="2"/>
  <c r="D178" i="2"/>
  <c r="E178" i="2"/>
  <c r="F178" i="2"/>
  <c r="G178" i="2"/>
  <c r="H178" i="2"/>
  <c r="I178" i="2"/>
  <c r="J178" i="2"/>
  <c r="K178" i="2"/>
  <c r="L178" i="2"/>
  <c r="M178" i="2"/>
  <c r="N178" i="2"/>
  <c r="O178" i="2"/>
  <c r="P178" i="2"/>
  <c r="Q178" i="2"/>
  <c r="R178" i="2"/>
  <c r="S178" i="2"/>
  <c r="T178" i="2"/>
  <c r="U178" i="2"/>
  <c r="V178" i="2"/>
  <c r="W178" i="2"/>
  <c r="X178" i="2"/>
  <c r="Y178" i="2"/>
  <c r="Z178" i="2"/>
  <c r="AA178" i="2"/>
  <c r="AB178" i="2"/>
  <c r="AC178" i="2"/>
  <c r="AD178" i="2"/>
  <c r="AE178" i="2"/>
  <c r="AF178" i="2"/>
  <c r="AG178" i="2"/>
  <c r="AH178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3" i="2"/>
  <c r="D193" i="2"/>
  <c r="E193" i="2"/>
  <c r="F193" i="2"/>
  <c r="G193" i="2"/>
  <c r="H193" i="2"/>
  <c r="I193" i="2"/>
  <c r="J193" i="2"/>
  <c r="K193" i="2"/>
  <c r="L193" i="2"/>
  <c r="M193" i="2"/>
  <c r="N193" i="2"/>
  <c r="O193" i="2"/>
  <c r="P193" i="2"/>
  <c r="Q193" i="2"/>
  <c r="R193" i="2"/>
  <c r="S193" i="2"/>
  <c r="T193" i="2"/>
  <c r="U193" i="2"/>
  <c r="V193" i="2"/>
  <c r="W193" i="2"/>
  <c r="X193" i="2"/>
  <c r="Y193" i="2"/>
  <c r="Z193" i="2"/>
  <c r="AA193" i="2"/>
  <c r="AB193" i="2"/>
  <c r="AC193" i="2"/>
  <c r="AD193" i="2"/>
  <c r="AE193" i="2"/>
  <c r="AF193" i="2"/>
  <c r="AG193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L15" i="9"/>
  <c r="L14" i="9"/>
  <c r="L13" i="9"/>
  <c r="J15" i="9"/>
  <c r="J14" i="9"/>
  <c r="J13" i="9"/>
  <c r="I15" i="9"/>
  <c r="I14" i="9"/>
  <c r="I13" i="9"/>
  <c r="H15" i="9"/>
  <c r="H14" i="9"/>
  <c r="H13" i="9"/>
  <c r="F15" i="9"/>
  <c r="F14" i="9"/>
  <c r="F13" i="9"/>
  <c r="E15" i="9"/>
  <c r="E14" i="9"/>
  <c r="E13" i="9"/>
  <c r="D14" i="9"/>
  <c r="D15" i="9"/>
  <c r="D13" i="9"/>
  <c r="C15" i="9"/>
  <c r="C14" i="9"/>
  <c r="C13" i="9"/>
  <c r="B15" i="9"/>
  <c r="B14" i="9"/>
  <c r="B13" i="9"/>
  <c r="C12" i="9"/>
  <c r="AG21" i="15"/>
  <c r="AF21" i="15"/>
  <c r="AE21" i="15"/>
  <c r="AD21" i="15"/>
  <c r="AC21" i="15"/>
  <c r="AB21" i="15"/>
  <c r="AA21" i="15"/>
  <c r="Z21" i="15"/>
  <c r="Y21" i="15"/>
  <c r="X21" i="15"/>
  <c r="W21" i="15"/>
  <c r="V21" i="15"/>
  <c r="U21" i="15"/>
  <c r="T21" i="15"/>
  <c r="S21" i="15"/>
  <c r="R21" i="15"/>
  <c r="Q21" i="15"/>
  <c r="P21" i="15"/>
  <c r="O21" i="15"/>
  <c r="N21" i="15"/>
  <c r="M21" i="15"/>
  <c r="L21" i="15"/>
  <c r="K21" i="15"/>
  <c r="J21" i="15"/>
  <c r="I21" i="15"/>
  <c r="H21" i="15"/>
  <c r="G21" i="15"/>
  <c r="F21" i="15"/>
  <c r="E21" i="15"/>
  <c r="D21" i="15"/>
  <c r="C21" i="15"/>
  <c r="AF18" i="15"/>
  <c r="AE18" i="15"/>
  <c r="AD18" i="15"/>
  <c r="AC18" i="15"/>
  <c r="AB18" i="15"/>
  <c r="AA18" i="15"/>
  <c r="Z18" i="15"/>
  <c r="Y18" i="15"/>
  <c r="X18" i="15"/>
  <c r="W18" i="15"/>
  <c r="V18" i="15"/>
  <c r="U18" i="15"/>
  <c r="T18" i="15"/>
  <c r="S18" i="15"/>
  <c r="R18" i="15"/>
  <c r="Q18" i="15"/>
  <c r="P18" i="15"/>
  <c r="O18" i="15"/>
  <c r="N18" i="15"/>
  <c r="M18" i="15"/>
  <c r="L18" i="15"/>
  <c r="K18" i="15"/>
  <c r="J18" i="15"/>
  <c r="I18" i="15"/>
  <c r="H18" i="15"/>
  <c r="G18" i="15"/>
  <c r="F18" i="15"/>
  <c r="E18" i="15"/>
  <c r="D18" i="15"/>
  <c r="C18" i="15"/>
  <c r="AG15" i="15"/>
  <c r="AF15" i="15"/>
  <c r="AE15" i="15"/>
  <c r="AD15" i="15"/>
  <c r="AC15" i="15"/>
  <c r="AB15" i="15"/>
  <c r="AA15" i="15"/>
  <c r="Z15" i="15"/>
  <c r="Y15" i="15"/>
  <c r="X15" i="15"/>
  <c r="W15" i="15"/>
  <c r="V15" i="15"/>
  <c r="U15" i="15"/>
  <c r="T15" i="15"/>
  <c r="S15" i="15"/>
  <c r="R15" i="15"/>
  <c r="Q15" i="15"/>
  <c r="P15" i="15"/>
  <c r="O15" i="15"/>
  <c r="N15" i="15"/>
  <c r="M15" i="15"/>
  <c r="L15" i="15"/>
  <c r="K15" i="15"/>
  <c r="J15" i="15"/>
  <c r="I15" i="15"/>
  <c r="H15" i="15"/>
  <c r="G15" i="15"/>
  <c r="F15" i="15"/>
  <c r="E15" i="15"/>
  <c r="D15" i="15"/>
  <c r="C15" i="15"/>
  <c r="AF12" i="15"/>
  <c r="AE12" i="15"/>
  <c r="AD12" i="15"/>
  <c r="AC12" i="15"/>
  <c r="AB12" i="15"/>
  <c r="AA12" i="15"/>
  <c r="Z12" i="15"/>
  <c r="Y12" i="15"/>
  <c r="X12" i="15"/>
  <c r="W12" i="15"/>
  <c r="V12" i="15"/>
  <c r="U12" i="15"/>
  <c r="T12" i="15"/>
  <c r="S12" i="15"/>
  <c r="R12" i="15"/>
  <c r="Q12" i="15"/>
  <c r="P12" i="15"/>
  <c r="O12" i="15"/>
  <c r="N12" i="15"/>
  <c r="M12" i="15"/>
  <c r="L12" i="15"/>
  <c r="K12" i="15"/>
  <c r="J12" i="15"/>
  <c r="I12" i="15"/>
  <c r="H12" i="15"/>
  <c r="G12" i="15"/>
  <c r="F12" i="15"/>
  <c r="E12" i="15"/>
  <c r="D12" i="15"/>
  <c r="C12" i="15"/>
  <c r="AG9" i="15"/>
  <c r="AF9" i="15"/>
  <c r="AE9" i="15"/>
  <c r="AD9" i="15"/>
  <c r="AC9" i="15"/>
  <c r="AB9" i="15"/>
  <c r="AA9" i="15"/>
  <c r="Z9" i="15"/>
  <c r="Y9" i="15"/>
  <c r="X9" i="15"/>
  <c r="W9" i="15"/>
  <c r="V9" i="15"/>
  <c r="U9" i="15"/>
  <c r="T9" i="15"/>
  <c r="S9" i="15"/>
  <c r="R9" i="15"/>
  <c r="Q9" i="15"/>
  <c r="P9" i="15"/>
  <c r="O9" i="15"/>
  <c r="N9" i="15"/>
  <c r="M9" i="15"/>
  <c r="L9" i="15"/>
  <c r="K9" i="15"/>
  <c r="J9" i="15"/>
  <c r="I9" i="15"/>
  <c r="H9" i="15"/>
  <c r="G9" i="15"/>
  <c r="F9" i="15"/>
  <c r="E9" i="15"/>
  <c r="D9" i="15"/>
  <c r="C9" i="15"/>
  <c r="AG6" i="15"/>
  <c r="AF6" i="15"/>
  <c r="AE6" i="15"/>
  <c r="AD6" i="15"/>
  <c r="AC6" i="15"/>
  <c r="AB6" i="15"/>
  <c r="AA6" i="15"/>
  <c r="Z6" i="15"/>
  <c r="Y6" i="15"/>
  <c r="X6" i="15"/>
  <c r="W6" i="15"/>
  <c r="V6" i="15"/>
  <c r="U6" i="15"/>
  <c r="T6" i="15"/>
  <c r="S6" i="15"/>
  <c r="R6" i="15"/>
  <c r="Q6" i="15"/>
  <c r="P6" i="15"/>
  <c r="O6" i="15"/>
  <c r="N6" i="15"/>
  <c r="M6" i="15"/>
  <c r="L6" i="15"/>
  <c r="K6" i="15"/>
  <c r="J6" i="15"/>
  <c r="I6" i="15"/>
  <c r="H6" i="15"/>
  <c r="G6" i="15"/>
  <c r="F6" i="15"/>
  <c r="E6" i="15"/>
  <c r="D6" i="15"/>
  <c r="C6" i="15"/>
  <c r="AF39" i="15"/>
  <c r="AE39" i="15"/>
  <c r="AD39" i="15"/>
  <c r="AC39" i="15"/>
  <c r="AB39" i="15"/>
  <c r="AA39" i="15"/>
  <c r="Z39" i="15"/>
  <c r="Y39" i="15"/>
  <c r="X39" i="15"/>
  <c r="W39" i="15"/>
  <c r="V39" i="15"/>
  <c r="U39" i="15"/>
  <c r="T39" i="15"/>
  <c r="S39" i="15"/>
  <c r="R39" i="15"/>
  <c r="Q39" i="15"/>
  <c r="P39" i="15"/>
  <c r="O39" i="15"/>
  <c r="N39" i="15"/>
  <c r="M39" i="15"/>
  <c r="L39" i="15"/>
  <c r="K39" i="15"/>
  <c r="J39" i="15"/>
  <c r="I39" i="15"/>
  <c r="H39" i="15"/>
  <c r="G39" i="15"/>
  <c r="F39" i="15"/>
  <c r="E39" i="15"/>
  <c r="D39" i="15"/>
  <c r="C39" i="15"/>
  <c r="AG36" i="15"/>
  <c r="AF36" i="15"/>
  <c r="AE36" i="15"/>
  <c r="AD36" i="15"/>
  <c r="AC36" i="15"/>
  <c r="AB36" i="15"/>
  <c r="AA36" i="15"/>
  <c r="Z36" i="15"/>
  <c r="Y36" i="15"/>
  <c r="X36" i="15"/>
  <c r="W36" i="15"/>
  <c r="V36" i="15"/>
  <c r="U36" i="15"/>
  <c r="T36" i="15"/>
  <c r="S36" i="15"/>
  <c r="R36" i="15"/>
  <c r="Q36" i="15"/>
  <c r="P36" i="15"/>
  <c r="O36" i="15"/>
  <c r="N36" i="15"/>
  <c r="M36" i="15"/>
  <c r="L36" i="15"/>
  <c r="K36" i="15"/>
  <c r="J36" i="15"/>
  <c r="I36" i="15"/>
  <c r="H36" i="15"/>
  <c r="G36" i="15"/>
  <c r="F36" i="15"/>
  <c r="E36" i="15"/>
  <c r="D36" i="15"/>
  <c r="C36" i="15"/>
  <c r="AF33" i="15"/>
  <c r="AE33" i="15"/>
  <c r="AD33" i="15"/>
  <c r="AC33" i="15"/>
  <c r="AB33" i="15"/>
  <c r="AA33" i="15"/>
  <c r="Z33" i="15"/>
  <c r="Y33" i="15"/>
  <c r="X33" i="15"/>
  <c r="W33" i="15"/>
  <c r="V33" i="15"/>
  <c r="U33" i="15"/>
  <c r="T33" i="15"/>
  <c r="S33" i="15"/>
  <c r="R33" i="15"/>
  <c r="Q33" i="15"/>
  <c r="P33" i="15"/>
  <c r="O33" i="15"/>
  <c r="N33" i="15"/>
  <c r="M33" i="15"/>
  <c r="L33" i="15"/>
  <c r="K33" i="15"/>
  <c r="J33" i="15"/>
  <c r="I33" i="15"/>
  <c r="H33" i="15"/>
  <c r="G33" i="15"/>
  <c r="F33" i="15"/>
  <c r="E33" i="15"/>
  <c r="D33" i="15"/>
  <c r="C33" i="15"/>
  <c r="AG30" i="15"/>
  <c r="AF30" i="15"/>
  <c r="AE30" i="15"/>
  <c r="AD30" i="15"/>
  <c r="AC30" i="15"/>
  <c r="AB30" i="15"/>
  <c r="AA30" i="15"/>
  <c r="Z30" i="15"/>
  <c r="Y30" i="15"/>
  <c r="X30" i="15"/>
  <c r="W30" i="15"/>
  <c r="V30" i="15"/>
  <c r="U30" i="15"/>
  <c r="T30" i="15"/>
  <c r="S30" i="15"/>
  <c r="R30" i="15"/>
  <c r="Q30" i="15"/>
  <c r="P30" i="15"/>
  <c r="O30" i="15"/>
  <c r="N30" i="15"/>
  <c r="M30" i="15"/>
  <c r="L30" i="15"/>
  <c r="K30" i="15"/>
  <c r="J30" i="15"/>
  <c r="I30" i="15"/>
  <c r="H30" i="15"/>
  <c r="G30" i="15"/>
  <c r="F30" i="15"/>
  <c r="E30" i="15"/>
  <c r="D30" i="15"/>
  <c r="C30" i="15"/>
  <c r="AE27" i="15"/>
  <c r="AD27" i="15"/>
  <c r="AC27" i="15"/>
  <c r="AB27" i="15"/>
  <c r="AA27" i="15"/>
  <c r="Z27" i="15"/>
  <c r="Y27" i="15"/>
  <c r="X27" i="15"/>
  <c r="W27" i="15"/>
  <c r="V27" i="15"/>
  <c r="U27" i="15"/>
  <c r="T27" i="15"/>
  <c r="S27" i="15"/>
  <c r="R27" i="15"/>
  <c r="Q27" i="15"/>
  <c r="P27" i="15"/>
  <c r="O27" i="15"/>
  <c r="N27" i="15"/>
  <c r="M27" i="15"/>
  <c r="L27" i="15"/>
  <c r="K27" i="15"/>
  <c r="J27" i="15"/>
  <c r="I27" i="15"/>
  <c r="H27" i="15"/>
  <c r="G27" i="15"/>
  <c r="F27" i="15"/>
  <c r="E27" i="15"/>
  <c r="D27" i="15"/>
  <c r="C27" i="15"/>
  <c r="R3" i="15"/>
  <c r="AG24" i="15"/>
  <c r="AF24" i="15"/>
  <c r="AE24" i="15"/>
  <c r="AD24" i="15"/>
  <c r="AC24" i="15"/>
  <c r="AB24" i="15"/>
  <c r="AA24" i="15"/>
  <c r="Z24" i="15"/>
  <c r="Y24" i="15"/>
  <c r="X24" i="15"/>
  <c r="W24" i="15"/>
  <c r="V24" i="15"/>
  <c r="U24" i="15"/>
  <c r="T24" i="15"/>
  <c r="S24" i="15"/>
  <c r="R24" i="15"/>
  <c r="Q24" i="15"/>
  <c r="P24" i="15"/>
  <c r="O24" i="15"/>
  <c r="N24" i="15"/>
  <c r="M24" i="15"/>
  <c r="L24" i="15"/>
  <c r="K24" i="15"/>
  <c r="J24" i="15"/>
  <c r="I24" i="15"/>
  <c r="H24" i="15"/>
  <c r="G24" i="15"/>
  <c r="F24" i="15"/>
  <c r="E24" i="15"/>
  <c r="D24" i="15"/>
  <c r="C24" i="15"/>
  <c r="AG21" i="14"/>
  <c r="AF21" i="14"/>
  <c r="AE21" i="14"/>
  <c r="AD21" i="14"/>
  <c r="AC21" i="14"/>
  <c r="AB21" i="14"/>
  <c r="AA21" i="14"/>
  <c r="Z21" i="14"/>
  <c r="Y21" i="14"/>
  <c r="X21" i="14"/>
  <c r="W21" i="14"/>
  <c r="V21" i="14"/>
  <c r="U21" i="14"/>
  <c r="T21" i="14"/>
  <c r="S21" i="14"/>
  <c r="R21" i="14"/>
  <c r="Q21" i="14"/>
  <c r="P21" i="14"/>
  <c r="O21" i="14"/>
  <c r="N21" i="14"/>
  <c r="M21" i="14"/>
  <c r="L21" i="14"/>
  <c r="K21" i="14"/>
  <c r="J21" i="14"/>
  <c r="I21" i="14"/>
  <c r="H21" i="14"/>
  <c r="G21" i="14"/>
  <c r="F21" i="14"/>
  <c r="E21" i="14"/>
  <c r="D21" i="14"/>
  <c r="C21" i="14"/>
  <c r="AF18" i="14"/>
  <c r="AE18" i="14"/>
  <c r="AD18" i="14"/>
  <c r="AC18" i="14"/>
  <c r="AB18" i="14"/>
  <c r="AA18" i="14"/>
  <c r="Z18" i="14"/>
  <c r="Y18" i="14"/>
  <c r="X18" i="14"/>
  <c r="W18" i="14"/>
  <c r="V18" i="14"/>
  <c r="U18" i="14"/>
  <c r="T18" i="14"/>
  <c r="S18" i="14"/>
  <c r="R18" i="14"/>
  <c r="Q18" i="14"/>
  <c r="P18" i="14"/>
  <c r="O18" i="14"/>
  <c r="N18" i="14"/>
  <c r="M18" i="14"/>
  <c r="L18" i="14"/>
  <c r="K18" i="14"/>
  <c r="J18" i="14"/>
  <c r="I18" i="14"/>
  <c r="H18" i="14"/>
  <c r="G18" i="14"/>
  <c r="F18" i="14"/>
  <c r="E18" i="14"/>
  <c r="D18" i="14"/>
  <c r="C18" i="14"/>
  <c r="AG15" i="14"/>
  <c r="AF15" i="14"/>
  <c r="AE15" i="14"/>
  <c r="AD15" i="14"/>
  <c r="AC15" i="14"/>
  <c r="AB15" i="14"/>
  <c r="AA15" i="14"/>
  <c r="Z15" i="14"/>
  <c r="Y15" i="14"/>
  <c r="X15" i="14"/>
  <c r="W15" i="14"/>
  <c r="V15" i="14"/>
  <c r="U15" i="14"/>
  <c r="T15" i="14"/>
  <c r="S15" i="14"/>
  <c r="R15" i="14"/>
  <c r="Q15" i="14"/>
  <c r="P15" i="14"/>
  <c r="O15" i="14"/>
  <c r="N15" i="14"/>
  <c r="M15" i="14"/>
  <c r="L15" i="14"/>
  <c r="K15" i="14"/>
  <c r="J15" i="14"/>
  <c r="I15" i="14"/>
  <c r="H15" i="14"/>
  <c r="G15" i="14"/>
  <c r="F15" i="14"/>
  <c r="E15" i="14"/>
  <c r="D15" i="14"/>
  <c r="C15" i="14"/>
  <c r="AF12" i="14"/>
  <c r="AE12" i="14"/>
  <c r="AD12" i="14"/>
  <c r="AC12" i="14"/>
  <c r="AB12" i="14"/>
  <c r="AA12" i="14"/>
  <c r="Z12" i="14"/>
  <c r="Y12" i="14"/>
  <c r="X12" i="14"/>
  <c r="W12" i="14"/>
  <c r="V12" i="14"/>
  <c r="U12" i="14"/>
  <c r="T12" i="14"/>
  <c r="S12" i="14"/>
  <c r="R12" i="14"/>
  <c r="Q12" i="14"/>
  <c r="P12" i="14"/>
  <c r="O12" i="14"/>
  <c r="N12" i="14"/>
  <c r="M12" i="14"/>
  <c r="L12" i="14"/>
  <c r="K12" i="14"/>
  <c r="J12" i="14"/>
  <c r="I12" i="14"/>
  <c r="H12" i="14"/>
  <c r="G12" i="14"/>
  <c r="F12" i="14"/>
  <c r="E12" i="14"/>
  <c r="D12" i="14"/>
  <c r="C12" i="14"/>
  <c r="AG9" i="14"/>
  <c r="AF9" i="14"/>
  <c r="AE9" i="14"/>
  <c r="AD9" i="14"/>
  <c r="AC9" i="14"/>
  <c r="AB9" i="14"/>
  <c r="AA9" i="14"/>
  <c r="Z9" i="14"/>
  <c r="Y9" i="14"/>
  <c r="X9" i="14"/>
  <c r="W9" i="14"/>
  <c r="V9" i="14"/>
  <c r="U9" i="14"/>
  <c r="T9" i="14"/>
  <c r="S9" i="14"/>
  <c r="R9" i="14"/>
  <c r="Q9" i="14"/>
  <c r="P9" i="14"/>
  <c r="O9" i="14"/>
  <c r="N9" i="14"/>
  <c r="M9" i="14"/>
  <c r="L9" i="14"/>
  <c r="K9" i="14"/>
  <c r="J9" i="14"/>
  <c r="I9" i="14"/>
  <c r="H9" i="14"/>
  <c r="G9" i="14"/>
  <c r="F9" i="14"/>
  <c r="E9" i="14"/>
  <c r="D9" i="14"/>
  <c r="C9" i="14"/>
  <c r="AG6" i="14"/>
  <c r="AF6" i="14"/>
  <c r="AE6" i="14"/>
  <c r="AD6" i="14"/>
  <c r="AC6" i="14"/>
  <c r="AB6" i="14"/>
  <c r="AA6" i="14"/>
  <c r="Z6" i="14"/>
  <c r="Y6" i="14"/>
  <c r="X6" i="14"/>
  <c r="W6" i="14"/>
  <c r="V6" i="14"/>
  <c r="U6" i="14"/>
  <c r="T6" i="14"/>
  <c r="S6" i="14"/>
  <c r="R6" i="14"/>
  <c r="Q6" i="14"/>
  <c r="P6" i="14"/>
  <c r="O6" i="14"/>
  <c r="N6" i="14"/>
  <c r="M6" i="14"/>
  <c r="L6" i="14"/>
  <c r="K6" i="14"/>
  <c r="J6" i="14"/>
  <c r="I6" i="14"/>
  <c r="H6" i="14"/>
  <c r="G6" i="14"/>
  <c r="F6" i="14"/>
  <c r="E6" i="14"/>
  <c r="D6" i="14"/>
  <c r="C6" i="14"/>
  <c r="AF39" i="14"/>
  <c r="AE39" i="14"/>
  <c r="AD39" i="14"/>
  <c r="AC39" i="14"/>
  <c r="AB39" i="14"/>
  <c r="AA39" i="14"/>
  <c r="Z39" i="14"/>
  <c r="Y39" i="14"/>
  <c r="X39" i="14"/>
  <c r="W39" i="14"/>
  <c r="V39" i="14"/>
  <c r="U39" i="14"/>
  <c r="T39" i="14"/>
  <c r="S39" i="14"/>
  <c r="R39" i="14"/>
  <c r="Q39" i="14"/>
  <c r="P39" i="14"/>
  <c r="O39" i="14"/>
  <c r="N39" i="14"/>
  <c r="M39" i="14"/>
  <c r="L39" i="14"/>
  <c r="K39" i="14"/>
  <c r="J39" i="14"/>
  <c r="I39" i="14"/>
  <c r="H39" i="14"/>
  <c r="G39" i="14"/>
  <c r="F39" i="14"/>
  <c r="E39" i="14"/>
  <c r="D39" i="14"/>
  <c r="C39" i="14"/>
  <c r="AG36" i="14"/>
  <c r="AF36" i="14"/>
  <c r="AE36" i="14"/>
  <c r="AD36" i="14"/>
  <c r="AC36" i="14"/>
  <c r="AB36" i="14"/>
  <c r="AA36" i="14"/>
  <c r="Z36" i="14"/>
  <c r="Y36" i="14"/>
  <c r="X36" i="14"/>
  <c r="W36" i="14"/>
  <c r="V36" i="14"/>
  <c r="U36" i="14"/>
  <c r="T36" i="14"/>
  <c r="S36" i="14"/>
  <c r="R36" i="14"/>
  <c r="Q36" i="14"/>
  <c r="P36" i="14"/>
  <c r="O36" i="14"/>
  <c r="N36" i="14"/>
  <c r="M36" i="14"/>
  <c r="L36" i="14"/>
  <c r="K36" i="14"/>
  <c r="J36" i="14"/>
  <c r="I36" i="14"/>
  <c r="H36" i="14"/>
  <c r="G36" i="14"/>
  <c r="F36" i="14"/>
  <c r="E36" i="14"/>
  <c r="D36" i="14"/>
  <c r="C36" i="14"/>
  <c r="AF33" i="14"/>
  <c r="AE33" i="14"/>
  <c r="AD33" i="14"/>
  <c r="AC33" i="14"/>
  <c r="AB33" i="14"/>
  <c r="AA33" i="14"/>
  <c r="Z33" i="14"/>
  <c r="Y33" i="14"/>
  <c r="X33" i="14"/>
  <c r="W33" i="14"/>
  <c r="V33" i="14"/>
  <c r="U33" i="14"/>
  <c r="T33" i="14"/>
  <c r="S33" i="14"/>
  <c r="R33" i="14"/>
  <c r="Q33" i="14"/>
  <c r="P33" i="14"/>
  <c r="O33" i="14"/>
  <c r="N33" i="14"/>
  <c r="M33" i="14"/>
  <c r="L33" i="14"/>
  <c r="K33" i="14"/>
  <c r="J33" i="14"/>
  <c r="I33" i="14"/>
  <c r="H33" i="14"/>
  <c r="G33" i="14"/>
  <c r="F33" i="14"/>
  <c r="E33" i="14"/>
  <c r="D33" i="14"/>
  <c r="C33" i="14"/>
  <c r="AG30" i="14"/>
  <c r="AF30" i="14"/>
  <c r="AE30" i="14"/>
  <c r="AD30" i="14"/>
  <c r="AC30" i="14"/>
  <c r="AB30" i="14"/>
  <c r="AA30" i="14"/>
  <c r="Z30" i="14"/>
  <c r="Y30" i="14"/>
  <c r="X30" i="14"/>
  <c r="W30" i="14"/>
  <c r="V30" i="14"/>
  <c r="U30" i="14"/>
  <c r="T30" i="14"/>
  <c r="S30" i="14"/>
  <c r="R30" i="14"/>
  <c r="Q30" i="14"/>
  <c r="P30" i="14"/>
  <c r="O30" i="14"/>
  <c r="N30" i="14"/>
  <c r="M30" i="14"/>
  <c r="L30" i="14"/>
  <c r="K30" i="14"/>
  <c r="J30" i="14"/>
  <c r="I30" i="14"/>
  <c r="H30" i="14"/>
  <c r="G30" i="14"/>
  <c r="F30" i="14"/>
  <c r="E30" i="14"/>
  <c r="D30" i="14"/>
  <c r="C30" i="14"/>
  <c r="AD27" i="14"/>
  <c r="AC27" i="14"/>
  <c r="AB27" i="14"/>
  <c r="AA27" i="14"/>
  <c r="Z27" i="14"/>
  <c r="Y27" i="14"/>
  <c r="X27" i="14"/>
  <c r="W27" i="14"/>
  <c r="V27" i="14"/>
  <c r="U27" i="14"/>
  <c r="T27" i="14"/>
  <c r="S27" i="14"/>
  <c r="R27" i="14"/>
  <c r="Q27" i="14"/>
  <c r="P27" i="14"/>
  <c r="O27" i="14"/>
  <c r="N27" i="14"/>
  <c r="M27" i="14"/>
  <c r="L27" i="14"/>
  <c r="K27" i="14"/>
  <c r="J27" i="14"/>
  <c r="I27" i="14"/>
  <c r="H27" i="14"/>
  <c r="G27" i="14"/>
  <c r="F27" i="14"/>
  <c r="E27" i="14"/>
  <c r="D27" i="14"/>
  <c r="C27" i="14"/>
  <c r="AG24" i="14"/>
  <c r="AF24" i="14"/>
  <c r="AE24" i="14"/>
  <c r="AD24" i="14"/>
  <c r="AC24" i="14"/>
  <c r="AB24" i="14"/>
  <c r="AA24" i="14"/>
  <c r="Z24" i="14"/>
  <c r="Y24" i="14"/>
  <c r="X24" i="14"/>
  <c r="W24" i="14"/>
  <c r="V24" i="14"/>
  <c r="U24" i="14"/>
  <c r="T24" i="14"/>
  <c r="S24" i="14"/>
  <c r="R24" i="14"/>
  <c r="Q24" i="14"/>
  <c r="P24" i="14"/>
  <c r="O24" i="14"/>
  <c r="N24" i="14"/>
  <c r="M24" i="14"/>
  <c r="L24" i="14"/>
  <c r="K24" i="14"/>
  <c r="J24" i="14"/>
  <c r="I24" i="14"/>
  <c r="H24" i="14"/>
  <c r="G24" i="14"/>
  <c r="F24" i="14"/>
  <c r="E24" i="14"/>
  <c r="D24" i="14"/>
  <c r="C24" i="14"/>
  <c r="R3" i="14"/>
  <c r="R3" i="13"/>
  <c r="AG21" i="13"/>
  <c r="AF21" i="13"/>
  <c r="AE21" i="13"/>
  <c r="AD21" i="13"/>
  <c r="AC21" i="13"/>
  <c r="AB21" i="13"/>
  <c r="AA21" i="13"/>
  <c r="Z21" i="13"/>
  <c r="Y21" i="13"/>
  <c r="X21" i="13"/>
  <c r="W21" i="13"/>
  <c r="V21" i="13"/>
  <c r="U21" i="13"/>
  <c r="T21" i="13"/>
  <c r="S21" i="13"/>
  <c r="R21" i="13"/>
  <c r="Q21" i="13"/>
  <c r="P21" i="13"/>
  <c r="O21" i="13"/>
  <c r="N21" i="13"/>
  <c r="M21" i="13"/>
  <c r="L21" i="13"/>
  <c r="K21" i="13"/>
  <c r="J21" i="13"/>
  <c r="I21" i="13"/>
  <c r="H21" i="13"/>
  <c r="G21" i="13"/>
  <c r="F21" i="13"/>
  <c r="E21" i="13"/>
  <c r="D21" i="13"/>
  <c r="C21" i="13"/>
  <c r="AF18" i="13"/>
  <c r="AE18" i="13"/>
  <c r="AD18" i="13"/>
  <c r="AC18" i="13"/>
  <c r="AB18" i="13"/>
  <c r="AA18" i="13"/>
  <c r="Z18" i="13"/>
  <c r="Y18" i="13"/>
  <c r="X18" i="13"/>
  <c r="W18" i="13"/>
  <c r="V18" i="13"/>
  <c r="U18" i="13"/>
  <c r="T18" i="13"/>
  <c r="S18" i="13"/>
  <c r="R18" i="13"/>
  <c r="Q18" i="13"/>
  <c r="P18" i="13"/>
  <c r="O18" i="13"/>
  <c r="N18" i="13"/>
  <c r="M18" i="13"/>
  <c r="L18" i="13"/>
  <c r="K18" i="13"/>
  <c r="J18" i="13"/>
  <c r="I18" i="13"/>
  <c r="H18" i="13"/>
  <c r="G18" i="13"/>
  <c r="F18" i="13"/>
  <c r="E18" i="13"/>
  <c r="D18" i="13"/>
  <c r="C18" i="13"/>
  <c r="AG15" i="13"/>
  <c r="AF15" i="13"/>
  <c r="AE15" i="13"/>
  <c r="AD15" i="13"/>
  <c r="AC15" i="13"/>
  <c r="AB15" i="13"/>
  <c r="AA15" i="13"/>
  <c r="Z15" i="13"/>
  <c r="Y15" i="13"/>
  <c r="X15" i="13"/>
  <c r="W15" i="13"/>
  <c r="V15" i="13"/>
  <c r="U15" i="13"/>
  <c r="T15" i="13"/>
  <c r="S15" i="13"/>
  <c r="R15" i="13"/>
  <c r="Q15" i="13"/>
  <c r="P15" i="13"/>
  <c r="O15" i="13"/>
  <c r="N15" i="13"/>
  <c r="M15" i="13"/>
  <c r="L15" i="13"/>
  <c r="K15" i="13"/>
  <c r="J15" i="13"/>
  <c r="I15" i="13"/>
  <c r="H15" i="13"/>
  <c r="G15" i="13"/>
  <c r="F15" i="13"/>
  <c r="E15" i="13"/>
  <c r="D15" i="13"/>
  <c r="C15" i="13"/>
  <c r="AF12" i="13"/>
  <c r="AE12" i="13"/>
  <c r="AD12" i="13"/>
  <c r="AC12" i="13"/>
  <c r="AB12" i="13"/>
  <c r="AA12" i="13"/>
  <c r="Z12" i="13"/>
  <c r="Y12" i="13"/>
  <c r="X12" i="13"/>
  <c r="W12" i="13"/>
  <c r="V12" i="13"/>
  <c r="U12" i="13"/>
  <c r="T12" i="13"/>
  <c r="S12" i="13"/>
  <c r="R12" i="13"/>
  <c r="Q12" i="13"/>
  <c r="P12" i="13"/>
  <c r="O12" i="13"/>
  <c r="N12" i="13"/>
  <c r="M12" i="13"/>
  <c r="L12" i="13"/>
  <c r="K12" i="13"/>
  <c r="J12" i="13"/>
  <c r="I12" i="13"/>
  <c r="H12" i="13"/>
  <c r="G12" i="13"/>
  <c r="F12" i="13"/>
  <c r="E12" i="13"/>
  <c r="D12" i="13"/>
  <c r="C12" i="13"/>
  <c r="AG9" i="13"/>
  <c r="AF9" i="13"/>
  <c r="AE9" i="13"/>
  <c r="AD9" i="13"/>
  <c r="AC9" i="13"/>
  <c r="AB9" i="13"/>
  <c r="AA9" i="13"/>
  <c r="Z9" i="13"/>
  <c r="Y9" i="13"/>
  <c r="X9" i="13"/>
  <c r="W9" i="13"/>
  <c r="V9" i="13"/>
  <c r="U9" i="13"/>
  <c r="T9" i="13"/>
  <c r="S9" i="13"/>
  <c r="R9" i="13"/>
  <c r="Q9" i="13"/>
  <c r="P9" i="13"/>
  <c r="O9" i="13"/>
  <c r="N9" i="13"/>
  <c r="M9" i="13"/>
  <c r="L9" i="13"/>
  <c r="K9" i="13"/>
  <c r="J9" i="13"/>
  <c r="I9" i="13"/>
  <c r="H9" i="13"/>
  <c r="G9" i="13"/>
  <c r="F9" i="13"/>
  <c r="E9" i="13"/>
  <c r="D9" i="13"/>
  <c r="C9" i="13"/>
  <c r="AG6" i="13"/>
  <c r="AF6" i="13"/>
  <c r="AE6" i="13"/>
  <c r="AD6" i="13"/>
  <c r="AC6" i="13"/>
  <c r="AB6" i="13"/>
  <c r="AA6" i="13"/>
  <c r="Z6" i="13"/>
  <c r="Y6" i="13"/>
  <c r="X6" i="13"/>
  <c r="W6" i="13"/>
  <c r="V6" i="13"/>
  <c r="U6" i="13"/>
  <c r="T6" i="13"/>
  <c r="S6" i="13"/>
  <c r="R6" i="13"/>
  <c r="Q6" i="13"/>
  <c r="P6" i="13"/>
  <c r="O6" i="13"/>
  <c r="N6" i="13"/>
  <c r="M6" i="13"/>
  <c r="L6" i="13"/>
  <c r="K6" i="13"/>
  <c r="J6" i="13"/>
  <c r="I6" i="13"/>
  <c r="H6" i="13"/>
  <c r="G6" i="13"/>
  <c r="F6" i="13"/>
  <c r="E6" i="13"/>
  <c r="D6" i="13"/>
  <c r="C6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F39" i="13"/>
  <c r="E39" i="13"/>
  <c r="D39" i="13"/>
  <c r="C39" i="13"/>
  <c r="AG36" i="13"/>
  <c r="AF36" i="13"/>
  <c r="AE36" i="13"/>
  <c r="AD36" i="13"/>
  <c r="AC36" i="13"/>
  <c r="AB36" i="13"/>
  <c r="AA36" i="13"/>
  <c r="Z36" i="13"/>
  <c r="Y36" i="13"/>
  <c r="X36" i="13"/>
  <c r="W36" i="13"/>
  <c r="V36" i="13"/>
  <c r="U36" i="13"/>
  <c r="T36" i="13"/>
  <c r="S36" i="13"/>
  <c r="R36" i="13"/>
  <c r="Q36" i="13"/>
  <c r="P36" i="13"/>
  <c r="O36" i="13"/>
  <c r="N36" i="13"/>
  <c r="M36" i="13"/>
  <c r="L36" i="13"/>
  <c r="K36" i="13"/>
  <c r="J36" i="13"/>
  <c r="I36" i="13"/>
  <c r="H36" i="13"/>
  <c r="G36" i="13"/>
  <c r="F36" i="13"/>
  <c r="E36" i="13"/>
  <c r="D36" i="13"/>
  <c r="C36" i="13"/>
  <c r="AF33" i="13"/>
  <c r="AE33" i="13"/>
  <c r="AD33" i="13"/>
  <c r="AC33" i="13"/>
  <c r="AB33" i="13"/>
  <c r="AA33" i="13"/>
  <c r="Z33" i="13"/>
  <c r="Y33" i="13"/>
  <c r="X33" i="13"/>
  <c r="W33" i="13"/>
  <c r="V33" i="13"/>
  <c r="U33" i="13"/>
  <c r="T33" i="13"/>
  <c r="S33" i="13"/>
  <c r="R33" i="13"/>
  <c r="Q33" i="13"/>
  <c r="P33" i="13"/>
  <c r="O33" i="13"/>
  <c r="N33" i="13"/>
  <c r="M33" i="13"/>
  <c r="L33" i="13"/>
  <c r="K33" i="13"/>
  <c r="J33" i="13"/>
  <c r="I33" i="13"/>
  <c r="H33" i="13"/>
  <c r="G33" i="13"/>
  <c r="F33" i="13"/>
  <c r="E33" i="13"/>
  <c r="D33" i="13"/>
  <c r="C33" i="13"/>
  <c r="AG30" i="13"/>
  <c r="AF30" i="13"/>
  <c r="AE30" i="13"/>
  <c r="AD30" i="13"/>
  <c r="AC30" i="13"/>
  <c r="AB30" i="13"/>
  <c r="AA30" i="13"/>
  <c r="Z30" i="13"/>
  <c r="Y30" i="13"/>
  <c r="X30" i="13"/>
  <c r="W30" i="13"/>
  <c r="V30" i="13"/>
  <c r="U30" i="13"/>
  <c r="T30" i="13"/>
  <c r="S30" i="13"/>
  <c r="R30" i="13"/>
  <c r="Q30" i="13"/>
  <c r="P30" i="13"/>
  <c r="O30" i="13"/>
  <c r="N30" i="13"/>
  <c r="M30" i="13"/>
  <c r="L30" i="13"/>
  <c r="K30" i="13"/>
  <c r="J30" i="13"/>
  <c r="I30" i="13"/>
  <c r="H30" i="13"/>
  <c r="G30" i="13"/>
  <c r="F30" i="13"/>
  <c r="E30" i="13"/>
  <c r="D30" i="13"/>
  <c r="C30" i="13"/>
  <c r="E27" i="13"/>
  <c r="AD27" i="13"/>
  <c r="AC27" i="13"/>
  <c r="AB27" i="13"/>
  <c r="AA27" i="13"/>
  <c r="Z27" i="13"/>
  <c r="Y27" i="13"/>
  <c r="X27" i="13"/>
  <c r="W27" i="13"/>
  <c r="V27" i="13"/>
  <c r="U27" i="13"/>
  <c r="T27" i="13"/>
  <c r="S27" i="13"/>
  <c r="R27" i="13"/>
  <c r="Q27" i="13"/>
  <c r="P27" i="13"/>
  <c r="O27" i="13"/>
  <c r="N27" i="13"/>
  <c r="M27" i="13"/>
  <c r="L27" i="13"/>
  <c r="K27" i="13"/>
  <c r="J27" i="13"/>
  <c r="I27" i="13"/>
  <c r="H27" i="13"/>
  <c r="G27" i="13"/>
  <c r="F27" i="13"/>
  <c r="D27" i="13"/>
  <c r="C27" i="13"/>
  <c r="D24" i="13"/>
  <c r="E24" i="13"/>
  <c r="F24" i="13"/>
  <c r="G24" i="13"/>
  <c r="H24" i="13"/>
  <c r="I24" i="13"/>
  <c r="J24" i="13"/>
  <c r="K24" i="13"/>
  <c r="L24" i="13"/>
  <c r="M24" i="13"/>
  <c r="N24" i="13"/>
  <c r="O24" i="13"/>
  <c r="P24" i="13"/>
  <c r="Q24" i="13"/>
  <c r="R24" i="13"/>
  <c r="S24" i="13"/>
  <c r="T24" i="13"/>
  <c r="U24" i="13"/>
  <c r="V24" i="13"/>
  <c r="W24" i="13"/>
  <c r="X24" i="13"/>
  <c r="Y24" i="13"/>
  <c r="Z24" i="13"/>
  <c r="AA24" i="13"/>
  <c r="AB24" i="13"/>
  <c r="AC24" i="13"/>
  <c r="AD24" i="13"/>
  <c r="AE24" i="13"/>
  <c r="AF24" i="13"/>
  <c r="AG24" i="13"/>
  <c r="C24" i="13"/>
  <c r="B21" i="15"/>
  <c r="B20" i="15"/>
  <c r="AB19" i="15" s="1"/>
  <c r="B18" i="15"/>
  <c r="B17" i="15"/>
  <c r="AF16" i="15" s="1"/>
  <c r="B15" i="15"/>
  <c r="B14" i="15"/>
  <c r="AG13" i="15" s="1"/>
  <c r="B12" i="15"/>
  <c r="B11" i="15"/>
  <c r="AE10" i="15" s="1"/>
  <c r="B9" i="15"/>
  <c r="B8" i="15"/>
  <c r="AE7" i="15" s="1"/>
  <c r="B6" i="15"/>
  <c r="B5" i="15"/>
  <c r="AE4" i="15" s="1"/>
  <c r="B39" i="15"/>
  <c r="B38" i="15"/>
  <c r="AC37" i="15" s="1"/>
  <c r="B36" i="15"/>
  <c r="B35" i="15"/>
  <c r="AC34" i="15" s="1"/>
  <c r="B33" i="15"/>
  <c r="B32" i="15"/>
  <c r="AA31" i="15" s="1"/>
  <c r="B30" i="15"/>
  <c r="B29" i="15"/>
  <c r="AC28" i="15" s="1"/>
  <c r="B27" i="15"/>
  <c r="B26" i="15"/>
  <c r="AE25" i="15" s="1"/>
  <c r="B24" i="15"/>
  <c r="B23" i="15"/>
  <c r="AE22" i="15" s="1"/>
  <c r="R2" i="15"/>
  <c r="I2" i="15"/>
  <c r="B21" i="14"/>
  <c r="B20" i="14"/>
  <c r="AG19" i="14" s="1"/>
  <c r="B18" i="14"/>
  <c r="B17" i="14"/>
  <c r="Z16" i="14" s="1"/>
  <c r="B15" i="14"/>
  <c r="B14" i="14"/>
  <c r="AF13" i="14" s="1"/>
  <c r="B12" i="14"/>
  <c r="B11" i="14"/>
  <c r="AF10" i="14" s="1"/>
  <c r="B9" i="14"/>
  <c r="B8" i="14"/>
  <c r="AF7" i="14" s="1"/>
  <c r="B6" i="14"/>
  <c r="B5" i="14"/>
  <c r="AF4" i="14" s="1"/>
  <c r="B39" i="14"/>
  <c r="B38" i="14"/>
  <c r="AC37" i="14" s="1"/>
  <c r="B36" i="14"/>
  <c r="B35" i="14"/>
  <c r="AC34" i="14" s="1"/>
  <c r="B33" i="14"/>
  <c r="B32" i="14"/>
  <c r="AA31" i="14" s="1"/>
  <c r="B30" i="14"/>
  <c r="B29" i="14"/>
  <c r="AG28" i="14" s="1"/>
  <c r="AE27" i="14"/>
  <c r="B27" i="14"/>
  <c r="B26" i="14"/>
  <c r="AD25" i="14" s="1"/>
  <c r="B24" i="14"/>
  <c r="B23" i="14"/>
  <c r="AF22" i="14" s="1"/>
  <c r="R2" i="14"/>
  <c r="I2" i="14"/>
  <c r="B21" i="13"/>
  <c r="B20" i="13"/>
  <c r="AA19" i="13" s="1"/>
  <c r="B18" i="13"/>
  <c r="B17" i="13"/>
  <c r="Z16" i="13" s="1"/>
  <c r="B15" i="13"/>
  <c r="B14" i="13"/>
  <c r="AC13" i="13" s="1"/>
  <c r="B12" i="13"/>
  <c r="B11" i="13"/>
  <c r="AF10" i="13" s="1"/>
  <c r="B9" i="13"/>
  <c r="B8" i="13"/>
  <c r="AF7" i="13" s="1"/>
  <c r="B6" i="13"/>
  <c r="B5" i="13"/>
  <c r="AF4" i="13" s="1"/>
  <c r="B39" i="13"/>
  <c r="B38" i="13"/>
  <c r="AD37" i="13" s="1"/>
  <c r="B36" i="13"/>
  <c r="B35" i="13"/>
  <c r="AC34" i="13" s="1"/>
  <c r="B33" i="13"/>
  <c r="B32" i="13"/>
  <c r="AA31" i="13" s="1"/>
  <c r="B30" i="13"/>
  <c r="B29" i="13"/>
  <c r="AA28" i="13" s="1"/>
  <c r="AE27" i="13"/>
  <c r="B27" i="13"/>
  <c r="B26" i="13"/>
  <c r="Y25" i="13" s="1"/>
  <c r="B24" i="13"/>
  <c r="B23" i="13"/>
  <c r="AF22" i="13" s="1"/>
  <c r="R2" i="13"/>
  <c r="I2" i="13"/>
  <c r="C116" i="2"/>
  <c r="C115" i="2"/>
  <c r="C114" i="2"/>
  <c r="C101" i="2"/>
  <c r="C100" i="2"/>
  <c r="C99" i="2"/>
  <c r="C86" i="2"/>
  <c r="C85" i="2"/>
  <c r="C84" i="2"/>
  <c r="C71" i="2"/>
  <c r="C70" i="2"/>
  <c r="C69" i="2"/>
  <c r="C25" i="2"/>
  <c r="C24" i="2"/>
  <c r="C23" i="2"/>
  <c r="E19" i="1"/>
  <c r="E18" i="1"/>
  <c r="E17" i="1"/>
  <c r="E12" i="3"/>
  <c r="D12" i="3"/>
  <c r="F12" i="4"/>
  <c r="E12" i="4"/>
  <c r="L12" i="9"/>
  <c r="L11" i="9"/>
  <c r="L9" i="9"/>
  <c r="L8" i="9"/>
  <c r="L7" i="9"/>
  <c r="L6" i="9"/>
  <c r="L5" i="9"/>
  <c r="L4" i="9"/>
  <c r="J12" i="9"/>
  <c r="J11" i="9"/>
  <c r="J10" i="9"/>
  <c r="J9" i="9"/>
  <c r="J8" i="9"/>
  <c r="J7" i="9"/>
  <c r="J6" i="9"/>
  <c r="J5" i="9"/>
  <c r="J4" i="9"/>
  <c r="H4" i="9"/>
  <c r="K17" i="9" l="1"/>
  <c r="J17" i="9"/>
  <c r="L17" i="9"/>
  <c r="Y31" i="14"/>
  <c r="L25" i="15"/>
  <c r="P19" i="15"/>
  <c r="J19" i="15"/>
  <c r="L10" i="14"/>
  <c r="J28" i="15"/>
  <c r="R19" i="15"/>
  <c r="N19" i="15"/>
  <c r="I31" i="14"/>
  <c r="G19" i="15"/>
  <c r="E19" i="15"/>
  <c r="AD16" i="13"/>
  <c r="AE22" i="14"/>
  <c r="Q19" i="15"/>
  <c r="O22" i="14"/>
  <c r="R28" i="14"/>
  <c r="AG19" i="15"/>
  <c r="AA37" i="15"/>
  <c r="I19" i="15"/>
  <c r="Z19" i="15"/>
  <c r="H19" i="15"/>
  <c r="X19" i="15"/>
  <c r="S19" i="15"/>
  <c r="E22" i="14"/>
  <c r="O13" i="15"/>
  <c r="T25" i="14"/>
  <c r="G13" i="15"/>
  <c r="D19" i="15"/>
  <c r="L19" i="15"/>
  <c r="V19" i="15"/>
  <c r="D13" i="15"/>
  <c r="C19" i="15"/>
  <c r="K19" i="15"/>
  <c r="T19" i="15"/>
  <c r="M10" i="13"/>
  <c r="R19" i="13"/>
  <c r="R22" i="14"/>
  <c r="C28" i="14"/>
  <c r="AE19" i="15"/>
  <c r="G22" i="14"/>
  <c r="U7" i="14"/>
  <c r="N16" i="14"/>
  <c r="L7" i="15"/>
  <c r="S13" i="15"/>
  <c r="F19" i="15"/>
  <c r="O19" i="15"/>
  <c r="Y19" i="15"/>
  <c r="I16" i="13"/>
  <c r="U28" i="14"/>
  <c r="O10" i="14"/>
  <c r="H7" i="15"/>
  <c r="AC19" i="15"/>
  <c r="AA19" i="15"/>
  <c r="L22" i="14"/>
  <c r="G25" i="14"/>
  <c r="O28" i="14"/>
  <c r="O31" i="14"/>
  <c r="D10" i="14"/>
  <c r="AG34" i="15"/>
  <c r="AF7" i="15"/>
  <c r="M13" i="15"/>
  <c r="G28" i="14"/>
  <c r="K34" i="15"/>
  <c r="T7" i="15"/>
  <c r="AF16" i="13"/>
  <c r="F28" i="14"/>
  <c r="J37" i="14"/>
  <c r="P25" i="15"/>
  <c r="I34" i="15"/>
  <c r="R7" i="15"/>
  <c r="F13" i="15"/>
  <c r="W19" i="15"/>
  <c r="AF19" i="15"/>
  <c r="V25" i="13"/>
  <c r="L10" i="13"/>
  <c r="Q16" i="13"/>
  <c r="AC22" i="14"/>
  <c r="AE28" i="14"/>
  <c r="J7" i="14"/>
  <c r="AC10" i="14"/>
  <c r="X19" i="14"/>
  <c r="E25" i="15"/>
  <c r="S37" i="15"/>
  <c r="K7" i="15"/>
  <c r="Z13" i="15"/>
  <c r="N16" i="13"/>
  <c r="T22" i="14"/>
  <c r="W28" i="14"/>
  <c r="C7" i="14"/>
  <c r="U10" i="14"/>
  <c r="C25" i="15"/>
  <c r="K37" i="15"/>
  <c r="I7" i="15"/>
  <c r="U13" i="15"/>
  <c r="M19" i="15"/>
  <c r="U19" i="15"/>
  <c r="AD19" i="15"/>
  <c r="M13" i="9"/>
  <c r="M15" i="9"/>
  <c r="M14" i="9"/>
  <c r="D22" i="14"/>
  <c r="Z22" i="14"/>
  <c r="N28" i="14"/>
  <c r="AD28" i="14"/>
  <c r="AB4" i="14"/>
  <c r="C10" i="14"/>
  <c r="S10" i="14"/>
  <c r="V13" i="14"/>
  <c r="O19" i="14"/>
  <c r="X22" i="15"/>
  <c r="I28" i="15"/>
  <c r="AG28" i="15"/>
  <c r="Y34" i="15"/>
  <c r="AC7" i="15"/>
  <c r="O22" i="13"/>
  <c r="U22" i="14"/>
  <c r="M28" i="14"/>
  <c r="AC28" i="14"/>
  <c r="AF31" i="14"/>
  <c r="C4" i="14"/>
  <c r="R10" i="14"/>
  <c r="I13" i="14"/>
  <c r="F19" i="14"/>
  <c r="L22" i="15"/>
  <c r="AB25" i="15"/>
  <c r="H28" i="15"/>
  <c r="AF28" i="15"/>
  <c r="R34" i="15"/>
  <c r="X7" i="15"/>
  <c r="K28" i="14"/>
  <c r="AA28" i="14"/>
  <c r="Q10" i="14"/>
  <c r="S25" i="15"/>
  <c r="Z28" i="15"/>
  <c r="Q34" i="15"/>
  <c r="L4" i="15"/>
  <c r="U7" i="15"/>
  <c r="X28" i="15"/>
  <c r="R28" i="15"/>
  <c r="U25" i="13"/>
  <c r="X19" i="13"/>
  <c r="E28" i="14"/>
  <c r="S28" i="14"/>
  <c r="I10" i="14"/>
  <c r="AB10" i="14"/>
  <c r="M16" i="14"/>
  <c r="Q28" i="15"/>
  <c r="Q31" i="15"/>
  <c r="M10" i="15"/>
  <c r="P25" i="13"/>
  <c r="W19" i="13"/>
  <c r="E10" i="14"/>
  <c r="AA10" i="14"/>
  <c r="P28" i="15"/>
  <c r="I31" i="15"/>
  <c r="D22" i="13"/>
  <c r="U22" i="13"/>
  <c r="R22" i="13"/>
  <c r="W16" i="13"/>
  <c r="J22" i="14"/>
  <c r="AB22" i="14"/>
  <c r="U25" i="14"/>
  <c r="P31" i="14"/>
  <c r="J19" i="14"/>
  <c r="S19" i="14"/>
  <c r="AB19" i="14"/>
  <c r="M25" i="15"/>
  <c r="O34" i="15"/>
  <c r="AE34" i="15"/>
  <c r="Y37" i="15"/>
  <c r="T4" i="15"/>
  <c r="J7" i="15"/>
  <c r="AB7" i="15"/>
  <c r="E13" i="15"/>
  <c r="R13" i="15"/>
  <c r="AD13" i="15"/>
  <c r="H19" i="14"/>
  <c r="R19" i="14"/>
  <c r="AA19" i="14"/>
  <c r="AA34" i="15"/>
  <c r="S4" i="15"/>
  <c r="AC13" i="15"/>
  <c r="J22" i="13"/>
  <c r="AE22" i="13"/>
  <c r="H25" i="14"/>
  <c r="AE4" i="14"/>
  <c r="AA7" i="14"/>
  <c r="G19" i="14"/>
  <c r="P19" i="14"/>
  <c r="Z19" i="14"/>
  <c r="J34" i="15"/>
  <c r="Z34" i="15"/>
  <c r="Q37" i="15"/>
  <c r="R4" i="15"/>
  <c r="C13" i="15"/>
  <c r="N13" i="15"/>
  <c r="AA13" i="15"/>
  <c r="G22" i="13"/>
  <c r="AD22" i="13"/>
  <c r="F22" i="13"/>
  <c r="AC22" i="13"/>
  <c r="L34" i="13"/>
  <c r="F16" i="13"/>
  <c r="C22" i="14"/>
  <c r="S22" i="14"/>
  <c r="G4" i="14"/>
  <c r="O7" i="14"/>
  <c r="G10" i="14"/>
  <c r="Y10" i="14"/>
  <c r="E19" i="14"/>
  <c r="N19" i="14"/>
  <c r="W19" i="14"/>
  <c r="AF19" i="14"/>
  <c r="AA25" i="15"/>
  <c r="Y28" i="15"/>
  <c r="G34" i="15"/>
  <c r="W34" i="15"/>
  <c r="I37" i="15"/>
  <c r="J4" i="15"/>
  <c r="AF4" i="15"/>
  <c r="S7" i="15"/>
  <c r="K10" i="15"/>
  <c r="L13" i="15"/>
  <c r="W13" i="15"/>
  <c r="W16" i="15"/>
  <c r="E22" i="13"/>
  <c r="V22" i="13"/>
  <c r="K34" i="13"/>
  <c r="E4" i="14"/>
  <c r="M7" i="14"/>
  <c r="D19" i="14"/>
  <c r="M19" i="14"/>
  <c r="V19" i="14"/>
  <c r="AE19" i="14"/>
  <c r="Y25" i="15"/>
  <c r="C34" i="15"/>
  <c r="S34" i="15"/>
  <c r="C37" i="15"/>
  <c r="I4" i="15"/>
  <c r="AC4" i="15"/>
  <c r="K13" i="15"/>
  <c r="V13" i="15"/>
  <c r="N16" i="15"/>
  <c r="C19" i="14"/>
  <c r="L19" i="14"/>
  <c r="U19" i="14"/>
  <c r="AD19" i="14"/>
  <c r="H4" i="15"/>
  <c r="AB4" i="15"/>
  <c r="E16" i="15"/>
  <c r="T22" i="13"/>
  <c r="G4" i="13"/>
  <c r="K19" i="14"/>
  <c r="T19" i="14"/>
  <c r="AC19" i="14"/>
  <c r="X4" i="15"/>
  <c r="R10" i="13"/>
  <c r="N13" i="13"/>
  <c r="M25" i="14"/>
  <c r="Y25" i="14"/>
  <c r="O4" i="14"/>
  <c r="N13" i="14"/>
  <c r="Z13" i="14"/>
  <c r="D16" i="14"/>
  <c r="V16" i="14"/>
  <c r="E22" i="15"/>
  <c r="Q22" i="15"/>
  <c r="AA22" i="15"/>
  <c r="D28" i="15"/>
  <c r="L28" i="15"/>
  <c r="T28" i="15"/>
  <c r="AB28" i="15"/>
  <c r="U10" i="15"/>
  <c r="I16" i="15"/>
  <c r="R16" i="15"/>
  <c r="AA16" i="15"/>
  <c r="X25" i="13"/>
  <c r="O10" i="13"/>
  <c r="F13" i="13"/>
  <c r="Z19" i="13"/>
  <c r="L25" i="14"/>
  <c r="X25" i="14"/>
  <c r="C37" i="14"/>
  <c r="J4" i="14"/>
  <c r="Z7" i="14"/>
  <c r="M13" i="14"/>
  <c r="Y13" i="14"/>
  <c r="C16" i="14"/>
  <c r="U16" i="14"/>
  <c r="D22" i="15"/>
  <c r="P22" i="15"/>
  <c r="Z22" i="15"/>
  <c r="D25" i="15"/>
  <c r="Q25" i="15"/>
  <c r="AC25" i="15"/>
  <c r="C28" i="15"/>
  <c r="K28" i="15"/>
  <c r="S28" i="15"/>
  <c r="AA28" i="15"/>
  <c r="K4" i="15"/>
  <c r="U4" i="15"/>
  <c r="AG4" i="15"/>
  <c r="AG7" i="15"/>
  <c r="S10" i="15"/>
  <c r="G16" i="15"/>
  <c r="Q16" i="15"/>
  <c r="Z16" i="15"/>
  <c r="N10" i="13"/>
  <c r="E13" i="13"/>
  <c r="K25" i="14"/>
  <c r="W25" i="14"/>
  <c r="J13" i="14"/>
  <c r="W13" i="14"/>
  <c r="O16" i="14"/>
  <c r="C22" i="15"/>
  <c r="M22" i="15"/>
  <c r="Y22" i="15"/>
  <c r="Q10" i="15"/>
  <c r="F16" i="15"/>
  <c r="O16" i="15"/>
  <c r="Y16" i="15"/>
  <c r="J34" i="14"/>
  <c r="AG13" i="14"/>
  <c r="K22" i="15"/>
  <c r="AG22" i="15"/>
  <c r="D16" i="15"/>
  <c r="M16" i="15"/>
  <c r="V16" i="15"/>
  <c r="AE16" i="15"/>
  <c r="N22" i="13"/>
  <c r="AB22" i="13"/>
  <c r="H25" i="13"/>
  <c r="H37" i="13"/>
  <c r="D10" i="13"/>
  <c r="AC10" i="13"/>
  <c r="Y13" i="13"/>
  <c r="V16" i="13"/>
  <c r="J19" i="13"/>
  <c r="M22" i="14"/>
  <c r="AA22" i="14"/>
  <c r="E25" i="14"/>
  <c r="Q25" i="14"/>
  <c r="AE25" i="14"/>
  <c r="J28" i="14"/>
  <c r="V28" i="14"/>
  <c r="G31" i="14"/>
  <c r="I34" i="14"/>
  <c r="U4" i="14"/>
  <c r="L7" i="14"/>
  <c r="M10" i="14"/>
  <c r="Z10" i="14"/>
  <c r="F13" i="14"/>
  <c r="R13" i="14"/>
  <c r="AE13" i="14"/>
  <c r="K16" i="14"/>
  <c r="AC16" i="14"/>
  <c r="J22" i="15"/>
  <c r="T22" i="15"/>
  <c r="AF22" i="15"/>
  <c r="K25" i="15"/>
  <c r="X25" i="15"/>
  <c r="G28" i="15"/>
  <c r="O28" i="15"/>
  <c r="W28" i="15"/>
  <c r="AE28" i="15"/>
  <c r="E4" i="15"/>
  <c r="Q4" i="15"/>
  <c r="AA4" i="15"/>
  <c r="E7" i="15"/>
  <c r="Q7" i="15"/>
  <c r="AA7" i="15"/>
  <c r="I10" i="15"/>
  <c r="AC10" i="15"/>
  <c r="C16" i="15"/>
  <c r="L16" i="15"/>
  <c r="U16" i="15"/>
  <c r="AD16" i="15"/>
  <c r="U22" i="15"/>
  <c r="M22" i="13"/>
  <c r="Z22" i="13"/>
  <c r="F25" i="13"/>
  <c r="Z10" i="13"/>
  <c r="X13" i="13"/>
  <c r="H19" i="13"/>
  <c r="D25" i="14"/>
  <c r="P25" i="14"/>
  <c r="AC25" i="14"/>
  <c r="T4" i="14"/>
  <c r="E13" i="14"/>
  <c r="Q13" i="14"/>
  <c r="AB13" i="14"/>
  <c r="I16" i="14"/>
  <c r="AB16" i="14"/>
  <c r="I22" i="15"/>
  <c r="S22" i="15"/>
  <c r="AC22" i="15"/>
  <c r="I25" i="15"/>
  <c r="U25" i="15"/>
  <c r="F28" i="15"/>
  <c r="N28" i="15"/>
  <c r="V28" i="15"/>
  <c r="AD28" i="15"/>
  <c r="D4" i="15"/>
  <c r="P4" i="15"/>
  <c r="Z4" i="15"/>
  <c r="D7" i="15"/>
  <c r="P7" i="15"/>
  <c r="Z7" i="15"/>
  <c r="E10" i="15"/>
  <c r="AA10" i="15"/>
  <c r="K16" i="15"/>
  <c r="T16" i="15"/>
  <c r="AC16" i="15"/>
  <c r="G13" i="14"/>
  <c r="S13" i="14"/>
  <c r="L22" i="13"/>
  <c r="W22" i="13"/>
  <c r="E25" i="13"/>
  <c r="V10" i="13"/>
  <c r="P13" i="13"/>
  <c r="P16" i="13"/>
  <c r="G19" i="13"/>
  <c r="K22" i="14"/>
  <c r="W22" i="14"/>
  <c r="C25" i="14"/>
  <c r="O25" i="14"/>
  <c r="Z25" i="14"/>
  <c r="Q37" i="14"/>
  <c r="S4" i="14"/>
  <c r="G7" i="14"/>
  <c r="AB7" i="14"/>
  <c r="K10" i="14"/>
  <c r="W10" i="14"/>
  <c r="D13" i="14"/>
  <c r="O13" i="14"/>
  <c r="AA13" i="14"/>
  <c r="E16" i="14"/>
  <c r="Y16" i="14"/>
  <c r="H22" i="15"/>
  <c r="R22" i="15"/>
  <c r="AB22" i="15"/>
  <c r="H25" i="15"/>
  <c r="T25" i="15"/>
  <c r="E28" i="15"/>
  <c r="M28" i="15"/>
  <c r="U28" i="15"/>
  <c r="Y31" i="15"/>
  <c r="C4" i="15"/>
  <c r="M4" i="15"/>
  <c r="Y4" i="15"/>
  <c r="C7" i="15"/>
  <c r="M7" i="15"/>
  <c r="Y7" i="15"/>
  <c r="C10" i="15"/>
  <c r="Y10" i="15"/>
  <c r="J13" i="15"/>
  <c r="T13" i="15"/>
  <c r="AE13" i="15"/>
  <c r="J16" i="15"/>
  <c r="S16" i="15"/>
  <c r="AB16" i="15"/>
  <c r="K13" i="13"/>
  <c r="AD13" i="13"/>
  <c r="P19" i="13"/>
  <c r="Z28" i="14"/>
  <c r="L25" i="13"/>
  <c r="AB25" i="13"/>
  <c r="R34" i="13"/>
  <c r="I37" i="13"/>
  <c r="N4" i="13"/>
  <c r="G7" i="13"/>
  <c r="E10" i="13"/>
  <c r="W10" i="13"/>
  <c r="H13" i="13"/>
  <c r="Q13" i="13"/>
  <c r="Z13" i="13"/>
  <c r="G16" i="13"/>
  <c r="X16" i="13"/>
  <c r="N19" i="13"/>
  <c r="AD19" i="13"/>
  <c r="I25" i="14"/>
  <c r="R25" i="14"/>
  <c r="AA25" i="14"/>
  <c r="H28" i="14"/>
  <c r="P28" i="14"/>
  <c r="X28" i="14"/>
  <c r="AF28" i="14"/>
  <c r="Q31" i="14"/>
  <c r="R34" i="14"/>
  <c r="R37" i="14"/>
  <c r="K4" i="14"/>
  <c r="W4" i="14"/>
  <c r="D7" i="14"/>
  <c r="R7" i="14"/>
  <c r="AC7" i="14"/>
  <c r="J10" i="14"/>
  <c r="T10" i="14"/>
  <c r="AE10" i="14"/>
  <c r="K13" i="14"/>
  <c r="T13" i="14"/>
  <c r="AC13" i="14"/>
  <c r="F16" i="14"/>
  <c r="Q16" i="14"/>
  <c r="AD16" i="14"/>
  <c r="I19" i="14"/>
  <c r="Q19" i="14"/>
  <c r="Y19" i="14"/>
  <c r="F22" i="15"/>
  <c r="N22" i="15"/>
  <c r="V22" i="15"/>
  <c r="AD22" i="15"/>
  <c r="F25" i="15"/>
  <c r="N25" i="15"/>
  <c r="V25" i="15"/>
  <c r="AD25" i="15"/>
  <c r="J31" i="15"/>
  <c r="R31" i="15"/>
  <c r="Z31" i="15"/>
  <c r="D34" i="15"/>
  <c r="L34" i="15"/>
  <c r="T34" i="15"/>
  <c r="AB34" i="15"/>
  <c r="D37" i="15"/>
  <c r="L37" i="15"/>
  <c r="T37" i="15"/>
  <c r="AB37" i="15"/>
  <c r="F4" i="15"/>
  <c r="N4" i="15"/>
  <c r="V4" i="15"/>
  <c r="AD4" i="15"/>
  <c r="F7" i="15"/>
  <c r="N7" i="15"/>
  <c r="V7" i="15"/>
  <c r="AD7" i="15"/>
  <c r="F10" i="15"/>
  <c r="N10" i="15"/>
  <c r="V10" i="15"/>
  <c r="AD10" i="15"/>
  <c r="H13" i="15"/>
  <c r="P13" i="15"/>
  <c r="X13" i="15"/>
  <c r="AF13" i="15"/>
  <c r="H16" i="15"/>
  <c r="P16" i="15"/>
  <c r="X16" i="15"/>
  <c r="K37" i="14"/>
  <c r="H31" i="15"/>
  <c r="P31" i="15"/>
  <c r="X31" i="15"/>
  <c r="AF31" i="15"/>
  <c r="J37" i="15"/>
  <c r="R37" i="15"/>
  <c r="Z37" i="15"/>
  <c r="D10" i="15"/>
  <c r="L10" i="15"/>
  <c r="T10" i="15"/>
  <c r="AB10" i="15"/>
  <c r="J34" i="13"/>
  <c r="AB34" i="13"/>
  <c r="W7" i="13"/>
  <c r="G31" i="15"/>
  <c r="O31" i="15"/>
  <c r="W31" i="15"/>
  <c r="AE31" i="15"/>
  <c r="D13" i="13"/>
  <c r="M13" i="13"/>
  <c r="V13" i="13"/>
  <c r="AG13" i="13"/>
  <c r="D25" i="13"/>
  <c r="T25" i="13"/>
  <c r="D34" i="13"/>
  <c r="AA34" i="13"/>
  <c r="Y37" i="13"/>
  <c r="AB4" i="13"/>
  <c r="V7" i="13"/>
  <c r="C13" i="13"/>
  <c r="L13" i="13"/>
  <c r="U13" i="13"/>
  <c r="AE13" i="13"/>
  <c r="F19" i="13"/>
  <c r="V19" i="13"/>
  <c r="D28" i="14"/>
  <c r="L28" i="14"/>
  <c r="T28" i="14"/>
  <c r="AB28" i="14"/>
  <c r="H31" i="14"/>
  <c r="AE31" i="14"/>
  <c r="I37" i="14"/>
  <c r="D4" i="14"/>
  <c r="R4" i="14"/>
  <c r="AC4" i="14"/>
  <c r="K7" i="14"/>
  <c r="W7" i="14"/>
  <c r="L16" i="14"/>
  <c r="W16" i="14"/>
  <c r="J25" i="15"/>
  <c r="R25" i="15"/>
  <c r="Z25" i="15"/>
  <c r="F31" i="15"/>
  <c r="N31" i="15"/>
  <c r="V31" i="15"/>
  <c r="AD31" i="15"/>
  <c r="H34" i="15"/>
  <c r="P34" i="15"/>
  <c r="X34" i="15"/>
  <c r="AF34" i="15"/>
  <c r="H37" i="15"/>
  <c r="P37" i="15"/>
  <c r="X37" i="15"/>
  <c r="AF37" i="15"/>
  <c r="J10" i="15"/>
  <c r="R10" i="15"/>
  <c r="Z10" i="15"/>
  <c r="AB13" i="15"/>
  <c r="E4" i="13"/>
  <c r="AD4" i="13"/>
  <c r="D4" i="13"/>
  <c r="C34" i="13"/>
  <c r="E31" i="15"/>
  <c r="M31" i="15"/>
  <c r="U31" i="15"/>
  <c r="AC31" i="15"/>
  <c r="G37" i="15"/>
  <c r="O37" i="15"/>
  <c r="W37" i="15"/>
  <c r="AE37" i="15"/>
  <c r="Z34" i="13"/>
  <c r="X37" i="13"/>
  <c r="U4" i="13"/>
  <c r="U7" i="13"/>
  <c r="N25" i="13"/>
  <c r="AD25" i="13"/>
  <c r="J13" i="13"/>
  <c r="S13" i="13"/>
  <c r="AB13" i="13"/>
  <c r="AF19" i="13"/>
  <c r="M4" i="14"/>
  <c r="T7" i="14"/>
  <c r="D31" i="15"/>
  <c r="L31" i="15"/>
  <c r="T31" i="15"/>
  <c r="AB31" i="15"/>
  <c r="F34" i="15"/>
  <c r="N34" i="15"/>
  <c r="V34" i="15"/>
  <c r="AD34" i="15"/>
  <c r="F37" i="15"/>
  <c r="N37" i="15"/>
  <c r="V37" i="15"/>
  <c r="AD37" i="15"/>
  <c r="H10" i="15"/>
  <c r="P10" i="15"/>
  <c r="X10" i="15"/>
  <c r="AF10" i="15"/>
  <c r="AC4" i="13"/>
  <c r="T13" i="13"/>
  <c r="T34" i="13"/>
  <c r="Q37" i="13"/>
  <c r="R4" i="13"/>
  <c r="L7" i="13"/>
  <c r="X31" i="14"/>
  <c r="Z37" i="14"/>
  <c r="AA4" i="14"/>
  <c r="M25" i="13"/>
  <c r="AC25" i="13"/>
  <c r="S34" i="13"/>
  <c r="P37" i="13"/>
  <c r="O4" i="13"/>
  <c r="J7" i="13"/>
  <c r="G10" i="13"/>
  <c r="Y10" i="13"/>
  <c r="I13" i="13"/>
  <c r="R13" i="13"/>
  <c r="AA13" i="13"/>
  <c r="H16" i="13"/>
  <c r="Y16" i="13"/>
  <c r="O19" i="13"/>
  <c r="AE19" i="13"/>
  <c r="J25" i="14"/>
  <c r="S25" i="14"/>
  <c r="AB25" i="14"/>
  <c r="I28" i="14"/>
  <c r="Q28" i="14"/>
  <c r="Y28" i="14"/>
  <c r="W31" i="14"/>
  <c r="Z34" i="14"/>
  <c r="Y37" i="14"/>
  <c r="L4" i="14"/>
  <c r="Z4" i="14"/>
  <c r="E7" i="14"/>
  <c r="S7" i="14"/>
  <c r="AE7" i="14"/>
  <c r="C13" i="14"/>
  <c r="L13" i="14"/>
  <c r="U13" i="14"/>
  <c r="AD13" i="14"/>
  <c r="G16" i="14"/>
  <c r="T16" i="14"/>
  <c r="AE16" i="14"/>
  <c r="G22" i="15"/>
  <c r="O22" i="15"/>
  <c r="W22" i="15"/>
  <c r="G25" i="15"/>
  <c r="O25" i="15"/>
  <c r="W25" i="15"/>
  <c r="C31" i="15"/>
  <c r="K31" i="15"/>
  <c r="S31" i="15"/>
  <c r="E34" i="15"/>
  <c r="M34" i="15"/>
  <c r="U34" i="15"/>
  <c r="E37" i="15"/>
  <c r="M37" i="15"/>
  <c r="U37" i="15"/>
  <c r="G4" i="15"/>
  <c r="O4" i="15"/>
  <c r="W4" i="15"/>
  <c r="G7" i="15"/>
  <c r="O7" i="15"/>
  <c r="W7" i="15"/>
  <c r="G10" i="15"/>
  <c r="O10" i="15"/>
  <c r="W10" i="15"/>
  <c r="I13" i="15"/>
  <c r="Q13" i="15"/>
  <c r="Y13" i="15"/>
  <c r="J28" i="13"/>
  <c r="J31" i="13"/>
  <c r="N7" i="13"/>
  <c r="AB7" i="13"/>
  <c r="G25" i="13"/>
  <c r="O25" i="13"/>
  <c r="W25" i="13"/>
  <c r="AE25" i="13"/>
  <c r="I28" i="13"/>
  <c r="I31" i="13"/>
  <c r="J37" i="13"/>
  <c r="R37" i="13"/>
  <c r="Z37" i="13"/>
  <c r="F4" i="13"/>
  <c r="T4" i="13"/>
  <c r="AE4" i="13"/>
  <c r="M7" i="13"/>
  <c r="Z7" i="13"/>
  <c r="F10" i="13"/>
  <c r="Q10" i="13"/>
  <c r="AB10" i="13"/>
  <c r="G13" i="13"/>
  <c r="O13" i="13"/>
  <c r="W13" i="13"/>
  <c r="AF13" i="13"/>
  <c r="O16" i="13"/>
  <c r="AE16" i="13"/>
  <c r="I19" i="13"/>
  <c r="Q19" i="13"/>
  <c r="Y19" i="13"/>
  <c r="AG19" i="13"/>
  <c r="F22" i="14"/>
  <c r="N22" i="14"/>
  <c r="V22" i="14"/>
  <c r="AD22" i="14"/>
  <c r="F25" i="14"/>
  <c r="N25" i="14"/>
  <c r="V25" i="14"/>
  <c r="J31" i="14"/>
  <c r="R31" i="14"/>
  <c r="Z31" i="14"/>
  <c r="D34" i="14"/>
  <c r="L34" i="14"/>
  <c r="T34" i="14"/>
  <c r="AB34" i="14"/>
  <c r="D37" i="14"/>
  <c r="L37" i="14"/>
  <c r="T37" i="14"/>
  <c r="AB37" i="14"/>
  <c r="F4" i="14"/>
  <c r="N4" i="14"/>
  <c r="V4" i="14"/>
  <c r="AD4" i="14"/>
  <c r="F7" i="14"/>
  <c r="N7" i="14"/>
  <c r="V7" i="14"/>
  <c r="AD7" i="14"/>
  <c r="F10" i="14"/>
  <c r="N10" i="14"/>
  <c r="V10" i="14"/>
  <c r="AD10" i="14"/>
  <c r="H13" i="14"/>
  <c r="P13" i="14"/>
  <c r="X13" i="14"/>
  <c r="H16" i="14"/>
  <c r="P16" i="14"/>
  <c r="X16" i="14"/>
  <c r="AF16" i="14"/>
  <c r="C34" i="14"/>
  <c r="K34" i="14"/>
  <c r="S34" i="14"/>
  <c r="AA34" i="14"/>
  <c r="S37" i="14"/>
  <c r="AA37" i="14"/>
  <c r="G37" i="13"/>
  <c r="O37" i="13"/>
  <c r="W37" i="13"/>
  <c r="AF37" i="13"/>
  <c r="Q34" i="14"/>
  <c r="Y34" i="14"/>
  <c r="AG34" i="14"/>
  <c r="S25" i="13"/>
  <c r="F37" i="13"/>
  <c r="N37" i="13"/>
  <c r="V37" i="13"/>
  <c r="AE37" i="13"/>
  <c r="M4" i="13"/>
  <c r="Z4" i="13"/>
  <c r="F7" i="13"/>
  <c r="T7" i="13"/>
  <c r="AE7" i="13"/>
  <c r="E19" i="13"/>
  <c r="M19" i="13"/>
  <c r="U19" i="13"/>
  <c r="AC19" i="13"/>
  <c r="F31" i="14"/>
  <c r="N31" i="14"/>
  <c r="V31" i="14"/>
  <c r="AD31" i="14"/>
  <c r="H34" i="14"/>
  <c r="P34" i="14"/>
  <c r="X34" i="14"/>
  <c r="AF34" i="14"/>
  <c r="H37" i="14"/>
  <c r="P37" i="14"/>
  <c r="X37" i="14"/>
  <c r="AF37" i="14"/>
  <c r="AG28" i="13"/>
  <c r="Z28" i="13"/>
  <c r="J25" i="13"/>
  <c r="R25" i="13"/>
  <c r="Z25" i="13"/>
  <c r="R28" i="13"/>
  <c r="R31" i="13"/>
  <c r="E37" i="13"/>
  <c r="M37" i="13"/>
  <c r="U37" i="13"/>
  <c r="AC37" i="13"/>
  <c r="L4" i="13"/>
  <c r="W4" i="13"/>
  <c r="E7" i="13"/>
  <c r="R7" i="13"/>
  <c r="AD7" i="13"/>
  <c r="J10" i="13"/>
  <c r="U10" i="13"/>
  <c r="AE10" i="13"/>
  <c r="D19" i="13"/>
  <c r="L19" i="13"/>
  <c r="T19" i="13"/>
  <c r="AB19" i="13"/>
  <c r="I22" i="14"/>
  <c r="Q22" i="14"/>
  <c r="Y22" i="14"/>
  <c r="AG22" i="14"/>
  <c r="E31" i="14"/>
  <c r="M31" i="14"/>
  <c r="U31" i="14"/>
  <c r="AC31" i="14"/>
  <c r="G34" i="14"/>
  <c r="O34" i="14"/>
  <c r="W34" i="14"/>
  <c r="AE34" i="14"/>
  <c r="G37" i="14"/>
  <c r="O37" i="14"/>
  <c r="W37" i="14"/>
  <c r="AE37" i="14"/>
  <c r="I4" i="14"/>
  <c r="Q4" i="14"/>
  <c r="Y4" i="14"/>
  <c r="AG4" i="14"/>
  <c r="I7" i="14"/>
  <c r="Q7" i="14"/>
  <c r="Y7" i="14"/>
  <c r="AG7" i="14"/>
  <c r="S16" i="14"/>
  <c r="AA16" i="14"/>
  <c r="C25" i="13"/>
  <c r="K25" i="13"/>
  <c r="AA25" i="13"/>
  <c r="Y28" i="13"/>
  <c r="Y31" i="13"/>
  <c r="I25" i="13"/>
  <c r="Q25" i="13"/>
  <c r="Q28" i="13"/>
  <c r="Q31" i="13"/>
  <c r="D37" i="13"/>
  <c r="L37" i="13"/>
  <c r="T37" i="13"/>
  <c r="AB37" i="13"/>
  <c r="J4" i="13"/>
  <c r="V4" i="13"/>
  <c r="D7" i="13"/>
  <c r="O7" i="13"/>
  <c r="AC7" i="13"/>
  <c r="I10" i="13"/>
  <c r="T10" i="13"/>
  <c r="AD10" i="13"/>
  <c r="C19" i="13"/>
  <c r="K19" i="13"/>
  <c r="S19" i="13"/>
  <c r="H22" i="14"/>
  <c r="P22" i="14"/>
  <c r="X22" i="14"/>
  <c r="D31" i="14"/>
  <c r="L31" i="14"/>
  <c r="T31" i="14"/>
  <c r="AB31" i="14"/>
  <c r="F34" i="14"/>
  <c r="N34" i="14"/>
  <c r="V34" i="14"/>
  <c r="AD34" i="14"/>
  <c r="F37" i="14"/>
  <c r="N37" i="14"/>
  <c r="V37" i="14"/>
  <c r="AD37" i="14"/>
  <c r="H4" i="14"/>
  <c r="P4" i="14"/>
  <c r="X4" i="14"/>
  <c r="H7" i="14"/>
  <c r="P7" i="14"/>
  <c r="X7" i="14"/>
  <c r="H10" i="14"/>
  <c r="P10" i="14"/>
  <c r="X10" i="14"/>
  <c r="J16" i="14"/>
  <c r="R16" i="14"/>
  <c r="C37" i="13"/>
  <c r="K37" i="13"/>
  <c r="S37" i="13"/>
  <c r="AA37" i="13"/>
  <c r="C31" i="14"/>
  <c r="K31" i="14"/>
  <c r="S31" i="14"/>
  <c r="E34" i="14"/>
  <c r="M34" i="14"/>
  <c r="U34" i="14"/>
  <c r="E37" i="14"/>
  <c r="M37" i="14"/>
  <c r="U37" i="14"/>
  <c r="Z31" i="13"/>
  <c r="H28" i="13"/>
  <c r="P28" i="13"/>
  <c r="X28" i="13"/>
  <c r="AF28" i="13"/>
  <c r="H31" i="13"/>
  <c r="P31" i="13"/>
  <c r="X31" i="13"/>
  <c r="AF31" i="13"/>
  <c r="C22" i="13"/>
  <c r="K22" i="13"/>
  <c r="S22" i="13"/>
  <c r="AA22" i="13"/>
  <c r="G28" i="13"/>
  <c r="O28" i="13"/>
  <c r="W28" i="13"/>
  <c r="AE28" i="13"/>
  <c r="G31" i="13"/>
  <c r="O31" i="13"/>
  <c r="W31" i="13"/>
  <c r="AE31" i="13"/>
  <c r="I34" i="13"/>
  <c r="Q34" i="13"/>
  <c r="Y34" i="13"/>
  <c r="AG34" i="13"/>
  <c r="C4" i="13"/>
  <c r="K4" i="13"/>
  <c r="S4" i="13"/>
  <c r="AA4" i="13"/>
  <c r="C7" i="13"/>
  <c r="K7" i="13"/>
  <c r="S7" i="13"/>
  <c r="AA7" i="13"/>
  <c r="C10" i="13"/>
  <c r="K10" i="13"/>
  <c r="S10" i="13"/>
  <c r="AA10" i="13"/>
  <c r="E16" i="13"/>
  <c r="M16" i="13"/>
  <c r="U16" i="13"/>
  <c r="AC16" i="13"/>
  <c r="F28" i="13"/>
  <c r="N28" i="13"/>
  <c r="V28" i="13"/>
  <c r="AD28" i="13"/>
  <c r="F31" i="13"/>
  <c r="N31" i="13"/>
  <c r="V31" i="13"/>
  <c r="AD31" i="13"/>
  <c r="H34" i="13"/>
  <c r="P34" i="13"/>
  <c r="X34" i="13"/>
  <c r="AF34" i="13"/>
  <c r="D16" i="13"/>
  <c r="L16" i="13"/>
  <c r="T16" i="13"/>
  <c r="AB16" i="13"/>
  <c r="I22" i="13"/>
  <c r="Q22" i="13"/>
  <c r="Y22" i="13"/>
  <c r="AG22" i="13"/>
  <c r="E28" i="13"/>
  <c r="M28" i="13"/>
  <c r="U28" i="13"/>
  <c r="AC28" i="13"/>
  <c r="E31" i="13"/>
  <c r="M31" i="13"/>
  <c r="U31" i="13"/>
  <c r="AC31" i="13"/>
  <c r="G34" i="13"/>
  <c r="O34" i="13"/>
  <c r="W34" i="13"/>
  <c r="AE34" i="13"/>
  <c r="I4" i="13"/>
  <c r="Q4" i="13"/>
  <c r="Y4" i="13"/>
  <c r="AG4" i="13"/>
  <c r="I7" i="13"/>
  <c r="Q7" i="13"/>
  <c r="Y7" i="13"/>
  <c r="AG7" i="13"/>
  <c r="C16" i="13"/>
  <c r="K16" i="13"/>
  <c r="S16" i="13"/>
  <c r="AA16" i="13"/>
  <c r="H22" i="13"/>
  <c r="P22" i="13"/>
  <c r="X22" i="13"/>
  <c r="D28" i="13"/>
  <c r="L28" i="13"/>
  <c r="T28" i="13"/>
  <c r="AB28" i="13"/>
  <c r="D31" i="13"/>
  <c r="L31" i="13"/>
  <c r="T31" i="13"/>
  <c r="AB31" i="13"/>
  <c r="F34" i="13"/>
  <c r="N34" i="13"/>
  <c r="V34" i="13"/>
  <c r="AD34" i="13"/>
  <c r="H4" i="13"/>
  <c r="P4" i="13"/>
  <c r="X4" i="13"/>
  <c r="H7" i="13"/>
  <c r="P7" i="13"/>
  <c r="X7" i="13"/>
  <c r="H10" i="13"/>
  <c r="P10" i="13"/>
  <c r="X10" i="13"/>
  <c r="J16" i="13"/>
  <c r="R16" i="13"/>
  <c r="C28" i="13"/>
  <c r="K28" i="13"/>
  <c r="S28" i="13"/>
  <c r="C31" i="13"/>
  <c r="K31" i="13"/>
  <c r="S31" i="13"/>
  <c r="E34" i="13"/>
  <c r="M34" i="13"/>
  <c r="U34" i="13"/>
  <c r="E16" i="1"/>
  <c r="E15" i="1"/>
  <c r="E14" i="1"/>
  <c r="E13" i="1"/>
  <c r="E12" i="1"/>
  <c r="E11" i="1"/>
  <c r="E10" i="1"/>
  <c r="E9" i="1"/>
  <c r="E8" i="1"/>
  <c r="R3" i="3"/>
  <c r="R2" i="3"/>
  <c r="I2" i="3"/>
  <c r="B20" i="3"/>
  <c r="AE19" i="3" s="1"/>
  <c r="B17" i="3"/>
  <c r="AE16" i="3" s="1"/>
  <c r="B14" i="3"/>
  <c r="AF13" i="3" s="1"/>
  <c r="B11" i="3"/>
  <c r="AE10" i="3" s="1"/>
  <c r="B8" i="3"/>
  <c r="AC7" i="3" s="1"/>
  <c r="B5" i="3"/>
  <c r="AB4" i="3" s="1"/>
  <c r="B21" i="3"/>
  <c r="B18" i="3"/>
  <c r="B15" i="3"/>
  <c r="B12" i="3"/>
  <c r="B9" i="3"/>
  <c r="B6" i="3"/>
  <c r="B39" i="3"/>
  <c r="B36" i="3"/>
  <c r="B33" i="3"/>
  <c r="B30" i="3"/>
  <c r="B27" i="3"/>
  <c r="B38" i="3"/>
  <c r="K37" i="3" s="1"/>
  <c r="B35" i="3"/>
  <c r="AG34" i="3" s="1"/>
  <c r="B32" i="3"/>
  <c r="AF31" i="3" s="1"/>
  <c r="B29" i="3"/>
  <c r="AG28" i="3" s="1"/>
  <c r="B23" i="3"/>
  <c r="AF22" i="3" s="1"/>
  <c r="AG21" i="3"/>
  <c r="AF21" i="3"/>
  <c r="AE21" i="3"/>
  <c r="AD21" i="3"/>
  <c r="AC21" i="3"/>
  <c r="AB21" i="3"/>
  <c r="AA21" i="3"/>
  <c r="Z21" i="3"/>
  <c r="Y21" i="3"/>
  <c r="X21" i="3"/>
  <c r="W21" i="3"/>
  <c r="V21" i="3"/>
  <c r="U21" i="3"/>
  <c r="T21" i="3"/>
  <c r="S21" i="3"/>
  <c r="R21" i="3"/>
  <c r="Q21" i="3"/>
  <c r="P21" i="3"/>
  <c r="O21" i="3"/>
  <c r="N21" i="3"/>
  <c r="M21" i="3"/>
  <c r="L21" i="3"/>
  <c r="K21" i="3"/>
  <c r="J21" i="3"/>
  <c r="I21" i="3"/>
  <c r="H21" i="3"/>
  <c r="G21" i="3"/>
  <c r="F21" i="3"/>
  <c r="E21" i="3"/>
  <c r="D21" i="3"/>
  <c r="AF18" i="3"/>
  <c r="AE18" i="3"/>
  <c r="AD18" i="3"/>
  <c r="AC18" i="3"/>
  <c r="AB18" i="3"/>
  <c r="AA18" i="3"/>
  <c r="Z18" i="3"/>
  <c r="Y18" i="3"/>
  <c r="X18" i="3"/>
  <c r="W18" i="3"/>
  <c r="V18" i="3"/>
  <c r="U18" i="3"/>
  <c r="T18" i="3"/>
  <c r="S18" i="3"/>
  <c r="R18" i="3"/>
  <c r="Q18" i="3"/>
  <c r="P18" i="3"/>
  <c r="O18" i="3"/>
  <c r="N18" i="3"/>
  <c r="M18" i="3"/>
  <c r="L18" i="3"/>
  <c r="K18" i="3"/>
  <c r="J18" i="3"/>
  <c r="I18" i="3"/>
  <c r="H18" i="3"/>
  <c r="G18" i="3"/>
  <c r="F18" i="3"/>
  <c r="E18" i="3"/>
  <c r="D18" i="3"/>
  <c r="C21" i="3"/>
  <c r="C18" i="3"/>
  <c r="AG15" i="3"/>
  <c r="AF15" i="3"/>
  <c r="AE15" i="3"/>
  <c r="AD15" i="3"/>
  <c r="AC15" i="3"/>
  <c r="AB15" i="3"/>
  <c r="AA15" i="3"/>
  <c r="Z15" i="3"/>
  <c r="Y15" i="3"/>
  <c r="X15" i="3"/>
  <c r="W15" i="3"/>
  <c r="V15" i="3"/>
  <c r="U15" i="3"/>
  <c r="T15" i="3"/>
  <c r="S15" i="3"/>
  <c r="R15" i="3"/>
  <c r="Q15" i="3"/>
  <c r="P15" i="3"/>
  <c r="O15" i="3"/>
  <c r="N15" i="3"/>
  <c r="M15" i="3"/>
  <c r="L15" i="3"/>
  <c r="K15" i="3"/>
  <c r="J15" i="3"/>
  <c r="I15" i="3"/>
  <c r="H15" i="3"/>
  <c r="G15" i="3"/>
  <c r="F15" i="3"/>
  <c r="E15" i="3"/>
  <c r="D15" i="3"/>
  <c r="C15" i="3"/>
  <c r="AF12" i="3"/>
  <c r="AE12" i="3"/>
  <c r="AD12" i="3"/>
  <c r="AC12" i="3"/>
  <c r="AB12" i="3"/>
  <c r="AA12" i="3"/>
  <c r="Z12" i="3"/>
  <c r="Y12" i="3"/>
  <c r="X12" i="3"/>
  <c r="W12" i="3"/>
  <c r="V12" i="3"/>
  <c r="U12" i="3"/>
  <c r="T12" i="3"/>
  <c r="S12" i="3"/>
  <c r="R12" i="3"/>
  <c r="Q12" i="3"/>
  <c r="P12" i="3"/>
  <c r="O12" i="3"/>
  <c r="N12" i="3"/>
  <c r="M12" i="3"/>
  <c r="L12" i="3"/>
  <c r="K12" i="3"/>
  <c r="J12" i="3"/>
  <c r="I12" i="3"/>
  <c r="H12" i="3"/>
  <c r="G12" i="3"/>
  <c r="F12" i="3"/>
  <c r="C12" i="3"/>
  <c r="AG9" i="3"/>
  <c r="AF9" i="3"/>
  <c r="AC9" i="3"/>
  <c r="AB9" i="3"/>
  <c r="AA9" i="3"/>
  <c r="Z9" i="3"/>
  <c r="Y9" i="3"/>
  <c r="X9" i="3"/>
  <c r="W9" i="3"/>
  <c r="V9" i="3"/>
  <c r="U9" i="3"/>
  <c r="T9" i="3"/>
  <c r="S9" i="3"/>
  <c r="R9" i="3"/>
  <c r="Q9" i="3"/>
  <c r="P9" i="3"/>
  <c r="O9" i="3"/>
  <c r="N9" i="3"/>
  <c r="M9" i="3"/>
  <c r="L9" i="3"/>
  <c r="K9" i="3"/>
  <c r="J9" i="3"/>
  <c r="I9" i="3"/>
  <c r="H9" i="3"/>
  <c r="G9" i="3"/>
  <c r="F9" i="3"/>
  <c r="E9" i="3"/>
  <c r="D9" i="3"/>
  <c r="C9" i="3"/>
  <c r="D6" i="3"/>
  <c r="E6" i="3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AF6" i="3"/>
  <c r="AG6" i="3"/>
  <c r="C6" i="3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T39" i="3"/>
  <c r="U39" i="3"/>
  <c r="V39" i="3"/>
  <c r="W39" i="3"/>
  <c r="X39" i="3"/>
  <c r="Y39" i="3"/>
  <c r="Z39" i="3"/>
  <c r="AA39" i="3"/>
  <c r="AB39" i="3"/>
  <c r="AC39" i="3"/>
  <c r="AD39" i="3"/>
  <c r="AE39" i="3"/>
  <c r="AF39" i="3"/>
  <c r="C39" i="3"/>
  <c r="C36" i="3"/>
  <c r="AG36" i="3"/>
  <c r="AF36" i="3"/>
  <c r="AE36" i="3"/>
  <c r="AD36" i="3"/>
  <c r="AC36" i="3"/>
  <c r="AB36" i="3"/>
  <c r="AA36" i="3"/>
  <c r="Z36" i="3"/>
  <c r="Y36" i="3"/>
  <c r="X36" i="3"/>
  <c r="W36" i="3"/>
  <c r="V36" i="3"/>
  <c r="U36" i="3"/>
  <c r="T36" i="3"/>
  <c r="S36" i="3"/>
  <c r="R36" i="3"/>
  <c r="Q36" i="3"/>
  <c r="P36" i="3"/>
  <c r="O36" i="3"/>
  <c r="N36" i="3"/>
  <c r="M36" i="3"/>
  <c r="L36" i="3"/>
  <c r="K36" i="3"/>
  <c r="J36" i="3"/>
  <c r="I36" i="3"/>
  <c r="H36" i="3"/>
  <c r="G36" i="3"/>
  <c r="F36" i="3"/>
  <c r="E36" i="3"/>
  <c r="D36" i="3"/>
  <c r="AF33" i="3"/>
  <c r="AE33" i="3"/>
  <c r="AD33" i="3"/>
  <c r="AC33" i="3"/>
  <c r="AB33" i="3"/>
  <c r="AA33" i="3"/>
  <c r="Z33" i="3"/>
  <c r="Y33" i="3"/>
  <c r="X33" i="3"/>
  <c r="W33" i="3"/>
  <c r="V33" i="3"/>
  <c r="U33" i="3"/>
  <c r="T33" i="3"/>
  <c r="S33" i="3"/>
  <c r="R33" i="3"/>
  <c r="Q33" i="3"/>
  <c r="P33" i="3"/>
  <c r="O33" i="3"/>
  <c r="N33" i="3"/>
  <c r="M33" i="3"/>
  <c r="L33" i="3"/>
  <c r="K33" i="3"/>
  <c r="J33" i="3"/>
  <c r="I33" i="3"/>
  <c r="H33" i="3"/>
  <c r="G33" i="3"/>
  <c r="F33" i="3"/>
  <c r="E33" i="3"/>
  <c r="D33" i="3"/>
  <c r="C33" i="3"/>
  <c r="D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S30" i="3"/>
  <c r="T30" i="3"/>
  <c r="U30" i="3"/>
  <c r="V30" i="3"/>
  <c r="W30" i="3"/>
  <c r="X30" i="3"/>
  <c r="Y30" i="3"/>
  <c r="Z30" i="3"/>
  <c r="AA30" i="3"/>
  <c r="AB30" i="3"/>
  <c r="AC30" i="3"/>
  <c r="AD30" i="3"/>
  <c r="AE30" i="3"/>
  <c r="AF30" i="3"/>
  <c r="AG30" i="3"/>
  <c r="C30" i="3"/>
  <c r="D27" i="3"/>
  <c r="E27" i="3"/>
  <c r="F27" i="3"/>
  <c r="G27" i="3"/>
  <c r="H27" i="3"/>
  <c r="I27" i="3"/>
  <c r="J27" i="3"/>
  <c r="K27" i="3"/>
  <c r="L27" i="3"/>
  <c r="M27" i="3"/>
  <c r="N27" i="3"/>
  <c r="O27" i="3"/>
  <c r="P27" i="3"/>
  <c r="Q27" i="3"/>
  <c r="R27" i="3"/>
  <c r="S27" i="3"/>
  <c r="T27" i="3"/>
  <c r="U27" i="3"/>
  <c r="V27" i="3"/>
  <c r="W27" i="3"/>
  <c r="X27" i="3"/>
  <c r="Y27" i="3"/>
  <c r="Z27" i="3"/>
  <c r="AA27" i="3"/>
  <c r="AB27" i="3"/>
  <c r="AC27" i="3"/>
  <c r="AD27" i="3"/>
  <c r="AE27" i="3"/>
  <c r="B26" i="3"/>
  <c r="E25" i="3" s="1"/>
  <c r="E18" i="4"/>
  <c r="AG21" i="4"/>
  <c r="AF21" i="4"/>
  <c r="AE21" i="4"/>
  <c r="AD21" i="4"/>
  <c r="AC21" i="4"/>
  <c r="AB21" i="4"/>
  <c r="AA21" i="4"/>
  <c r="Z21" i="4"/>
  <c r="Y21" i="4"/>
  <c r="X21" i="4"/>
  <c r="W21" i="4"/>
  <c r="V21" i="4"/>
  <c r="U21" i="4"/>
  <c r="T21" i="4"/>
  <c r="S21" i="4"/>
  <c r="R21" i="4"/>
  <c r="Q21" i="4"/>
  <c r="P21" i="4"/>
  <c r="O21" i="4"/>
  <c r="N21" i="4"/>
  <c r="M21" i="4"/>
  <c r="L21" i="4"/>
  <c r="K21" i="4"/>
  <c r="J21" i="4"/>
  <c r="I21" i="4"/>
  <c r="H21" i="4"/>
  <c r="G21" i="4"/>
  <c r="F21" i="4"/>
  <c r="E21" i="4"/>
  <c r="D21" i="4"/>
  <c r="C21" i="4"/>
  <c r="AF18" i="4"/>
  <c r="AE18" i="4"/>
  <c r="AD18" i="4"/>
  <c r="AC18" i="4"/>
  <c r="AB18" i="4"/>
  <c r="AA18" i="4"/>
  <c r="Z18" i="4"/>
  <c r="Y18" i="4"/>
  <c r="X18" i="4"/>
  <c r="W18" i="4"/>
  <c r="V18" i="4"/>
  <c r="U18" i="4"/>
  <c r="T18" i="4"/>
  <c r="S18" i="4"/>
  <c r="R18" i="4"/>
  <c r="Q18" i="4"/>
  <c r="P18" i="4"/>
  <c r="O18" i="4"/>
  <c r="N18" i="4"/>
  <c r="M18" i="4"/>
  <c r="L18" i="4"/>
  <c r="K18" i="4"/>
  <c r="J18" i="4"/>
  <c r="H18" i="4"/>
  <c r="G18" i="4"/>
  <c r="F18" i="4"/>
  <c r="D18" i="4"/>
  <c r="C18" i="4"/>
  <c r="AG15" i="4"/>
  <c r="AF15" i="4"/>
  <c r="AE15" i="4"/>
  <c r="AD15" i="4"/>
  <c r="AC15" i="4"/>
  <c r="AB15" i="4"/>
  <c r="AA15" i="4"/>
  <c r="Z15" i="4"/>
  <c r="Y15" i="4"/>
  <c r="X15" i="4"/>
  <c r="W15" i="4"/>
  <c r="V15" i="4"/>
  <c r="U15" i="4"/>
  <c r="T15" i="4"/>
  <c r="S15" i="4"/>
  <c r="R15" i="4"/>
  <c r="Q15" i="4"/>
  <c r="P15" i="4"/>
  <c r="O15" i="4"/>
  <c r="N15" i="4"/>
  <c r="M15" i="4"/>
  <c r="L15" i="4"/>
  <c r="K15" i="4"/>
  <c r="J15" i="4"/>
  <c r="I15" i="4"/>
  <c r="H15" i="4"/>
  <c r="G15" i="4"/>
  <c r="F15" i="4"/>
  <c r="E15" i="4"/>
  <c r="D15" i="4"/>
  <c r="C15" i="4"/>
  <c r="AF12" i="4"/>
  <c r="AE12" i="4"/>
  <c r="AD12" i="4"/>
  <c r="AC12" i="4"/>
  <c r="AB12" i="4"/>
  <c r="AA12" i="4"/>
  <c r="Z12" i="4"/>
  <c r="Y12" i="4"/>
  <c r="X12" i="4"/>
  <c r="W12" i="4"/>
  <c r="V12" i="4"/>
  <c r="U12" i="4"/>
  <c r="T12" i="4"/>
  <c r="S12" i="4"/>
  <c r="R12" i="4"/>
  <c r="Q12" i="4"/>
  <c r="P12" i="4"/>
  <c r="O12" i="4"/>
  <c r="N12" i="4"/>
  <c r="M12" i="4"/>
  <c r="L12" i="4"/>
  <c r="K12" i="4"/>
  <c r="J12" i="4"/>
  <c r="I12" i="4"/>
  <c r="H12" i="4"/>
  <c r="G12" i="4"/>
  <c r="D12" i="4"/>
  <c r="C12" i="4"/>
  <c r="AG9" i="4"/>
  <c r="AF9" i="4"/>
  <c r="AE9" i="4"/>
  <c r="AD9" i="4"/>
  <c r="AC9" i="4"/>
  <c r="AB9" i="4"/>
  <c r="AA9" i="4"/>
  <c r="Z9" i="4"/>
  <c r="Y9" i="4"/>
  <c r="X9" i="4"/>
  <c r="W9" i="4"/>
  <c r="V9" i="4"/>
  <c r="U9" i="4"/>
  <c r="T9" i="4"/>
  <c r="S9" i="4"/>
  <c r="R9" i="4"/>
  <c r="Q9" i="4"/>
  <c r="P9" i="4"/>
  <c r="O9" i="4"/>
  <c r="N9" i="4"/>
  <c r="M9" i="4"/>
  <c r="L9" i="4"/>
  <c r="K9" i="4"/>
  <c r="J9" i="4"/>
  <c r="I9" i="4"/>
  <c r="H9" i="4"/>
  <c r="G9" i="4"/>
  <c r="F9" i="4"/>
  <c r="E9" i="4"/>
  <c r="D9" i="4"/>
  <c r="C9" i="4"/>
  <c r="AG6" i="4"/>
  <c r="AF6" i="4"/>
  <c r="AE6" i="4"/>
  <c r="AD6" i="4"/>
  <c r="AC6" i="4"/>
  <c r="AB6" i="4"/>
  <c r="AA6" i="4"/>
  <c r="Z6" i="4"/>
  <c r="Y6" i="4"/>
  <c r="X6" i="4"/>
  <c r="W6" i="4"/>
  <c r="V6" i="4"/>
  <c r="U6" i="4"/>
  <c r="T6" i="4"/>
  <c r="S6" i="4"/>
  <c r="R6" i="4"/>
  <c r="Q6" i="4"/>
  <c r="P6" i="4"/>
  <c r="O6" i="4"/>
  <c r="N6" i="4"/>
  <c r="M6" i="4"/>
  <c r="L6" i="4"/>
  <c r="K6" i="4"/>
  <c r="J6" i="4"/>
  <c r="I6" i="4"/>
  <c r="H6" i="4"/>
  <c r="G6" i="4"/>
  <c r="F6" i="4"/>
  <c r="E6" i="4"/>
  <c r="D6" i="4"/>
  <c r="C6" i="4"/>
  <c r="AF39" i="4"/>
  <c r="AE39" i="4"/>
  <c r="AD39" i="4"/>
  <c r="AC39" i="4"/>
  <c r="AB39" i="4"/>
  <c r="AA39" i="4"/>
  <c r="Z39" i="4"/>
  <c r="Y39" i="4"/>
  <c r="X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AG36" i="4"/>
  <c r="AF36" i="4"/>
  <c r="AE36" i="4"/>
  <c r="AD36" i="4"/>
  <c r="AC36" i="4"/>
  <c r="AB36" i="4"/>
  <c r="AA36" i="4"/>
  <c r="Z36" i="4"/>
  <c r="Y36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AF33" i="4"/>
  <c r="AE33" i="4"/>
  <c r="AD33" i="4"/>
  <c r="AC33" i="4"/>
  <c r="AB33" i="4"/>
  <c r="AA33" i="4"/>
  <c r="Z33" i="4"/>
  <c r="Y33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AG30" i="4"/>
  <c r="AF30" i="4"/>
  <c r="AE30" i="4"/>
  <c r="AD30" i="4"/>
  <c r="AC30" i="4"/>
  <c r="AB30" i="4"/>
  <c r="AA30" i="4"/>
  <c r="Z30" i="4"/>
  <c r="Y30" i="4"/>
  <c r="X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AE27" i="4"/>
  <c r="AD27" i="4"/>
  <c r="AC27" i="4"/>
  <c r="AB27" i="4"/>
  <c r="AA27" i="4"/>
  <c r="Z27" i="4"/>
  <c r="Y27" i="4"/>
  <c r="X27" i="4"/>
  <c r="W27" i="4"/>
  <c r="V27" i="4"/>
  <c r="U27" i="4"/>
  <c r="T27" i="4"/>
  <c r="S27" i="4"/>
  <c r="R27" i="4"/>
  <c r="Q27" i="4"/>
  <c r="P27" i="4"/>
  <c r="O27" i="4"/>
  <c r="N27" i="4"/>
  <c r="M27" i="4"/>
  <c r="L27" i="4"/>
  <c r="K27" i="4"/>
  <c r="J27" i="4"/>
  <c r="I27" i="4"/>
  <c r="H27" i="4"/>
  <c r="G27" i="4"/>
  <c r="F27" i="4"/>
  <c r="E27" i="4"/>
  <c r="D27" i="4"/>
  <c r="C27" i="4"/>
  <c r="AG24" i="4"/>
  <c r="AF24" i="4"/>
  <c r="AE24" i="4"/>
  <c r="AD24" i="4"/>
  <c r="AC24" i="4"/>
  <c r="AB24" i="4"/>
  <c r="AA24" i="4"/>
  <c r="Z24" i="4"/>
  <c r="Y24" i="4"/>
  <c r="X24" i="4"/>
  <c r="W24" i="4"/>
  <c r="V24" i="4"/>
  <c r="U24" i="4"/>
  <c r="T24" i="4"/>
  <c r="S24" i="4"/>
  <c r="R24" i="4"/>
  <c r="Q24" i="4"/>
  <c r="P24" i="4"/>
  <c r="O24" i="4"/>
  <c r="N24" i="4"/>
  <c r="M24" i="4"/>
  <c r="L24" i="4"/>
  <c r="K24" i="4"/>
  <c r="J24" i="4"/>
  <c r="I24" i="4"/>
  <c r="H24" i="4"/>
  <c r="G24" i="4"/>
  <c r="F24" i="4"/>
  <c r="E24" i="4"/>
  <c r="D24" i="4"/>
  <c r="C24" i="4"/>
  <c r="R3" i="4"/>
  <c r="R2" i="4"/>
  <c r="I2" i="4"/>
  <c r="B20" i="4"/>
  <c r="M19" i="4" s="1"/>
  <c r="B17" i="4"/>
  <c r="AD16" i="4" s="1"/>
  <c r="B14" i="4"/>
  <c r="AG13" i="4" s="1"/>
  <c r="B11" i="4"/>
  <c r="AF10" i="4" s="1"/>
  <c r="B8" i="4"/>
  <c r="AD7" i="4" s="1"/>
  <c r="B5" i="4"/>
  <c r="R4" i="4" s="1"/>
  <c r="B21" i="4"/>
  <c r="B18" i="4"/>
  <c r="B15" i="4"/>
  <c r="B12" i="4"/>
  <c r="B9" i="4"/>
  <c r="B6" i="4"/>
  <c r="B39" i="4"/>
  <c r="B36" i="4"/>
  <c r="B33" i="4"/>
  <c r="B30" i="4"/>
  <c r="B27" i="4"/>
  <c r="B24" i="4"/>
  <c r="B38" i="4"/>
  <c r="Q37" i="4" s="1"/>
  <c r="B35" i="4"/>
  <c r="AD34" i="4" s="1"/>
  <c r="B32" i="4"/>
  <c r="AF31" i="4" s="1"/>
  <c r="B29" i="4"/>
  <c r="AE28" i="4" s="1"/>
  <c r="B23" i="4"/>
  <c r="AE22" i="4" s="1"/>
  <c r="B26" i="4"/>
  <c r="F25" i="4" s="1"/>
  <c r="AG30" i="5"/>
  <c r="AF30" i="5"/>
  <c r="AE30" i="5"/>
  <c r="AD30" i="5"/>
  <c r="AC30" i="5"/>
  <c r="AB30" i="5"/>
  <c r="AA30" i="5"/>
  <c r="Z30" i="5"/>
  <c r="X30" i="5"/>
  <c r="Y30" i="5"/>
  <c r="AG21" i="5"/>
  <c r="AF21" i="5"/>
  <c r="AE21" i="5"/>
  <c r="AD21" i="5"/>
  <c r="AC21" i="5"/>
  <c r="AB21" i="5"/>
  <c r="AA21" i="5"/>
  <c r="Z21" i="5"/>
  <c r="Y21" i="5"/>
  <c r="X21" i="5"/>
  <c r="W21" i="5"/>
  <c r="V21" i="5"/>
  <c r="U21" i="5"/>
  <c r="T21" i="5"/>
  <c r="S21" i="5"/>
  <c r="R21" i="5"/>
  <c r="Q21" i="5"/>
  <c r="P21" i="5"/>
  <c r="O21" i="5"/>
  <c r="N21" i="5"/>
  <c r="M21" i="5"/>
  <c r="L21" i="5"/>
  <c r="K21" i="5"/>
  <c r="J21" i="5"/>
  <c r="I21" i="5"/>
  <c r="H21" i="5"/>
  <c r="G21" i="5"/>
  <c r="F21" i="5"/>
  <c r="E21" i="5"/>
  <c r="D21" i="5"/>
  <c r="C21" i="5"/>
  <c r="AF18" i="5"/>
  <c r="AE18" i="5"/>
  <c r="AD18" i="5"/>
  <c r="AC18" i="5"/>
  <c r="AB18" i="5"/>
  <c r="AA18" i="5"/>
  <c r="Z18" i="5"/>
  <c r="Y18" i="5"/>
  <c r="X18" i="5"/>
  <c r="W18" i="5"/>
  <c r="V18" i="5"/>
  <c r="U18" i="5"/>
  <c r="T18" i="5"/>
  <c r="S18" i="5"/>
  <c r="R18" i="5"/>
  <c r="Q18" i="5"/>
  <c r="P18" i="5"/>
  <c r="O18" i="5"/>
  <c r="N18" i="5"/>
  <c r="M18" i="5"/>
  <c r="L18" i="5"/>
  <c r="K18" i="5"/>
  <c r="J18" i="5"/>
  <c r="I18" i="5"/>
  <c r="H18" i="5"/>
  <c r="G18" i="5"/>
  <c r="F18" i="5"/>
  <c r="E18" i="5"/>
  <c r="D18" i="5"/>
  <c r="C18" i="5"/>
  <c r="AG15" i="5"/>
  <c r="AF15" i="5"/>
  <c r="AE15" i="5"/>
  <c r="AD15" i="5"/>
  <c r="AC15" i="5"/>
  <c r="AB15" i="5"/>
  <c r="AA15" i="5"/>
  <c r="Z15" i="5"/>
  <c r="Y15" i="5"/>
  <c r="X15" i="5"/>
  <c r="W15" i="5"/>
  <c r="V15" i="5"/>
  <c r="U15" i="5"/>
  <c r="T15" i="5"/>
  <c r="S15" i="5"/>
  <c r="R15" i="5"/>
  <c r="Q15" i="5"/>
  <c r="P15" i="5"/>
  <c r="O15" i="5"/>
  <c r="N15" i="5"/>
  <c r="M15" i="5"/>
  <c r="L15" i="5"/>
  <c r="K15" i="5"/>
  <c r="J15" i="5"/>
  <c r="I15" i="5"/>
  <c r="H15" i="5"/>
  <c r="G15" i="5"/>
  <c r="F15" i="5"/>
  <c r="E15" i="5"/>
  <c r="D15" i="5"/>
  <c r="C15" i="5"/>
  <c r="AF12" i="5"/>
  <c r="AE12" i="5"/>
  <c r="AD12" i="5"/>
  <c r="AC12" i="5"/>
  <c r="AB12" i="5"/>
  <c r="AA12" i="5"/>
  <c r="Z12" i="5"/>
  <c r="Y12" i="5"/>
  <c r="X12" i="5"/>
  <c r="W12" i="5"/>
  <c r="V12" i="5"/>
  <c r="U12" i="5"/>
  <c r="T12" i="5"/>
  <c r="S12" i="5"/>
  <c r="R12" i="5"/>
  <c r="Q12" i="5"/>
  <c r="P12" i="5"/>
  <c r="O12" i="5"/>
  <c r="N12" i="5"/>
  <c r="M12" i="5"/>
  <c r="L12" i="5"/>
  <c r="K12" i="5"/>
  <c r="J12" i="5"/>
  <c r="I12" i="5"/>
  <c r="H12" i="5"/>
  <c r="G12" i="5"/>
  <c r="F12" i="5"/>
  <c r="E12" i="5"/>
  <c r="D12" i="5"/>
  <c r="C12" i="5"/>
  <c r="AG9" i="5"/>
  <c r="AF9" i="5"/>
  <c r="AE9" i="5"/>
  <c r="AD9" i="5"/>
  <c r="AC9" i="5"/>
  <c r="AB9" i="5"/>
  <c r="AA9" i="5"/>
  <c r="Z9" i="5"/>
  <c r="Y9" i="5"/>
  <c r="X9" i="5"/>
  <c r="W9" i="5"/>
  <c r="V9" i="5"/>
  <c r="U9" i="5"/>
  <c r="T9" i="5"/>
  <c r="S9" i="5"/>
  <c r="R9" i="5"/>
  <c r="Q9" i="5"/>
  <c r="P9" i="5"/>
  <c r="O9" i="5"/>
  <c r="N9" i="5"/>
  <c r="M9" i="5"/>
  <c r="L9" i="5"/>
  <c r="K9" i="5"/>
  <c r="J9" i="5"/>
  <c r="I9" i="5"/>
  <c r="H9" i="5"/>
  <c r="G9" i="5"/>
  <c r="F9" i="5"/>
  <c r="E9" i="5"/>
  <c r="D9" i="5"/>
  <c r="C9" i="5"/>
  <c r="AG6" i="5"/>
  <c r="AF6" i="5"/>
  <c r="AE6" i="5"/>
  <c r="AD6" i="5"/>
  <c r="AC6" i="5"/>
  <c r="AB6" i="5"/>
  <c r="AA6" i="5"/>
  <c r="Z6" i="5"/>
  <c r="Y6" i="5"/>
  <c r="X6" i="5"/>
  <c r="W6" i="5"/>
  <c r="V6" i="5"/>
  <c r="U6" i="5"/>
  <c r="T6" i="5"/>
  <c r="S6" i="5"/>
  <c r="R6" i="5"/>
  <c r="Q6" i="5"/>
  <c r="P6" i="5"/>
  <c r="O6" i="5"/>
  <c r="N6" i="5"/>
  <c r="M6" i="5"/>
  <c r="L6" i="5"/>
  <c r="K6" i="5"/>
  <c r="J6" i="5"/>
  <c r="I6" i="5"/>
  <c r="H6" i="5"/>
  <c r="G6" i="5"/>
  <c r="F6" i="5"/>
  <c r="E6" i="5"/>
  <c r="D6" i="5"/>
  <c r="C6" i="5"/>
  <c r="AF39" i="5"/>
  <c r="AE39" i="5"/>
  <c r="AD39" i="5"/>
  <c r="AC39" i="5"/>
  <c r="AB39" i="5"/>
  <c r="AA39" i="5"/>
  <c r="Z39" i="5"/>
  <c r="Y39" i="5"/>
  <c r="X39" i="5"/>
  <c r="W39" i="5"/>
  <c r="V39" i="5"/>
  <c r="U39" i="5"/>
  <c r="T39" i="5"/>
  <c r="S39" i="5"/>
  <c r="R39" i="5"/>
  <c r="Q39" i="5"/>
  <c r="P39" i="5"/>
  <c r="O39" i="5"/>
  <c r="N39" i="5"/>
  <c r="M39" i="5"/>
  <c r="L39" i="5"/>
  <c r="K39" i="5"/>
  <c r="J39" i="5"/>
  <c r="I39" i="5"/>
  <c r="H39" i="5"/>
  <c r="G39" i="5"/>
  <c r="F39" i="5"/>
  <c r="E39" i="5"/>
  <c r="D39" i="5"/>
  <c r="C39" i="5"/>
  <c r="AG36" i="5"/>
  <c r="AF36" i="5"/>
  <c r="AE36" i="5"/>
  <c r="AD36" i="5"/>
  <c r="AC36" i="5"/>
  <c r="AB36" i="5"/>
  <c r="AA36" i="5"/>
  <c r="Z36" i="5"/>
  <c r="Y36" i="5"/>
  <c r="X36" i="5"/>
  <c r="W36" i="5"/>
  <c r="V36" i="5"/>
  <c r="U36" i="5"/>
  <c r="T36" i="5"/>
  <c r="S36" i="5"/>
  <c r="R36" i="5"/>
  <c r="Q36" i="5"/>
  <c r="P36" i="5"/>
  <c r="O36" i="5"/>
  <c r="N36" i="5"/>
  <c r="M36" i="5"/>
  <c r="L36" i="5"/>
  <c r="K36" i="5"/>
  <c r="J36" i="5"/>
  <c r="I36" i="5"/>
  <c r="H36" i="5"/>
  <c r="G36" i="5"/>
  <c r="F36" i="5"/>
  <c r="E36" i="5"/>
  <c r="D36" i="5"/>
  <c r="C36" i="5"/>
  <c r="AF33" i="5"/>
  <c r="AE33" i="5"/>
  <c r="AD33" i="5"/>
  <c r="AC33" i="5"/>
  <c r="AB33" i="5"/>
  <c r="AA33" i="5"/>
  <c r="Z33" i="5"/>
  <c r="Y33" i="5"/>
  <c r="X33" i="5"/>
  <c r="W33" i="5"/>
  <c r="V33" i="5"/>
  <c r="U33" i="5"/>
  <c r="T33" i="5"/>
  <c r="S33" i="5"/>
  <c r="R33" i="5"/>
  <c r="Q33" i="5"/>
  <c r="P33" i="5"/>
  <c r="O33" i="5"/>
  <c r="N33" i="5"/>
  <c r="M33" i="5"/>
  <c r="L33" i="5"/>
  <c r="K33" i="5"/>
  <c r="J33" i="5"/>
  <c r="I33" i="5"/>
  <c r="H33" i="5"/>
  <c r="G33" i="5"/>
  <c r="F33" i="5"/>
  <c r="E33" i="5"/>
  <c r="D33" i="5"/>
  <c r="C33" i="5"/>
  <c r="W30" i="5"/>
  <c r="V30" i="5"/>
  <c r="U30" i="5"/>
  <c r="T30" i="5"/>
  <c r="S30" i="5"/>
  <c r="R30" i="5"/>
  <c r="Q30" i="5"/>
  <c r="P30" i="5"/>
  <c r="O30" i="5"/>
  <c r="N30" i="5"/>
  <c r="M30" i="5"/>
  <c r="L30" i="5"/>
  <c r="K30" i="5"/>
  <c r="J30" i="5"/>
  <c r="I30" i="5"/>
  <c r="H30" i="5"/>
  <c r="G30" i="5"/>
  <c r="F30" i="5"/>
  <c r="E30" i="5"/>
  <c r="D30" i="5"/>
  <c r="C30" i="5"/>
  <c r="AE27" i="5"/>
  <c r="AD27" i="5"/>
  <c r="AC27" i="5"/>
  <c r="AB27" i="5"/>
  <c r="AA27" i="5"/>
  <c r="Z27" i="5"/>
  <c r="Y27" i="5"/>
  <c r="X27" i="5"/>
  <c r="W27" i="5"/>
  <c r="V27" i="5"/>
  <c r="U27" i="5"/>
  <c r="T27" i="5"/>
  <c r="S27" i="5"/>
  <c r="R27" i="5"/>
  <c r="Q27" i="5"/>
  <c r="P27" i="5"/>
  <c r="O27" i="5"/>
  <c r="N27" i="5"/>
  <c r="M27" i="5"/>
  <c r="L27" i="5"/>
  <c r="K27" i="5"/>
  <c r="J27" i="5"/>
  <c r="I27" i="5"/>
  <c r="H27" i="5"/>
  <c r="G27" i="5"/>
  <c r="F27" i="5"/>
  <c r="E27" i="5"/>
  <c r="D27" i="5"/>
  <c r="C27" i="5"/>
  <c r="AG24" i="5"/>
  <c r="AF24" i="5"/>
  <c r="AE24" i="5"/>
  <c r="AD24" i="5"/>
  <c r="AC24" i="5"/>
  <c r="AB24" i="5"/>
  <c r="AA24" i="5"/>
  <c r="Z24" i="5"/>
  <c r="Y24" i="5"/>
  <c r="X24" i="5"/>
  <c r="W24" i="5"/>
  <c r="V24" i="5"/>
  <c r="U24" i="5"/>
  <c r="T24" i="5"/>
  <c r="S24" i="5"/>
  <c r="R24" i="5"/>
  <c r="Q24" i="5"/>
  <c r="P24" i="5"/>
  <c r="O24" i="5"/>
  <c r="N24" i="5"/>
  <c r="M24" i="5"/>
  <c r="L24" i="5"/>
  <c r="K24" i="5"/>
  <c r="J24" i="5"/>
  <c r="I24" i="5"/>
  <c r="H24" i="5"/>
  <c r="G24" i="5"/>
  <c r="F24" i="5"/>
  <c r="E24" i="5"/>
  <c r="D24" i="5"/>
  <c r="C24" i="5"/>
  <c r="R3" i="5"/>
  <c r="R2" i="5"/>
  <c r="I2" i="5"/>
  <c r="B20" i="5"/>
  <c r="AD19" i="5" s="1"/>
  <c r="B17" i="5"/>
  <c r="AD16" i="5" s="1"/>
  <c r="B14" i="5"/>
  <c r="W13" i="5" s="1"/>
  <c r="B11" i="5"/>
  <c r="V10" i="5" s="1"/>
  <c r="B8" i="5"/>
  <c r="M7" i="5" s="1"/>
  <c r="B5" i="5"/>
  <c r="S4" i="5" s="1"/>
  <c r="B21" i="5"/>
  <c r="B18" i="5"/>
  <c r="B15" i="5"/>
  <c r="B12" i="5"/>
  <c r="B9" i="5"/>
  <c r="B6" i="5"/>
  <c r="B39" i="5"/>
  <c r="B36" i="5"/>
  <c r="B33" i="5"/>
  <c r="B30" i="5"/>
  <c r="B27" i="5"/>
  <c r="B24" i="5"/>
  <c r="B38" i="5"/>
  <c r="AF37" i="5" s="1"/>
  <c r="B35" i="5"/>
  <c r="X34" i="5" s="1"/>
  <c r="B32" i="5"/>
  <c r="T31" i="5" s="1"/>
  <c r="B29" i="5"/>
  <c r="Z28" i="5" s="1"/>
  <c r="B23" i="5"/>
  <c r="Z22" i="5" s="1"/>
  <c r="B26" i="5"/>
  <c r="J25" i="5" s="1"/>
  <c r="AG30" i="6"/>
  <c r="AF30" i="6"/>
  <c r="AE30" i="6"/>
  <c r="AD30" i="6"/>
  <c r="AC30" i="6"/>
  <c r="AB30" i="6"/>
  <c r="AA30" i="6"/>
  <c r="Z30" i="6"/>
  <c r="X30" i="6"/>
  <c r="Y30" i="6"/>
  <c r="K15" i="6"/>
  <c r="AG21" i="6"/>
  <c r="AF21" i="6"/>
  <c r="AE21" i="6"/>
  <c r="AD21" i="6"/>
  <c r="AC21" i="6"/>
  <c r="AB21" i="6"/>
  <c r="AA21" i="6"/>
  <c r="Z21" i="6"/>
  <c r="Y21" i="6"/>
  <c r="X21" i="6"/>
  <c r="W21" i="6"/>
  <c r="V21" i="6"/>
  <c r="U21" i="6"/>
  <c r="T21" i="6"/>
  <c r="S21" i="6"/>
  <c r="R21" i="6"/>
  <c r="Q21" i="6"/>
  <c r="P21" i="6"/>
  <c r="O21" i="6"/>
  <c r="N21" i="6"/>
  <c r="M21" i="6"/>
  <c r="L21" i="6"/>
  <c r="K21" i="6"/>
  <c r="J21" i="6"/>
  <c r="I21" i="6"/>
  <c r="H21" i="6"/>
  <c r="G21" i="6"/>
  <c r="F21" i="6"/>
  <c r="E21" i="6"/>
  <c r="D21" i="6"/>
  <c r="AF18" i="6"/>
  <c r="AE18" i="6"/>
  <c r="AD18" i="6"/>
  <c r="AC18" i="6"/>
  <c r="AB18" i="6"/>
  <c r="AA18" i="6"/>
  <c r="Z18" i="6"/>
  <c r="Y18" i="6"/>
  <c r="X18" i="6"/>
  <c r="W18" i="6"/>
  <c r="V18" i="6"/>
  <c r="U18" i="6"/>
  <c r="T18" i="6"/>
  <c r="S18" i="6"/>
  <c r="R18" i="6"/>
  <c r="Q18" i="6"/>
  <c r="P18" i="6"/>
  <c r="O18" i="6"/>
  <c r="N18" i="6"/>
  <c r="M18" i="6"/>
  <c r="L18" i="6"/>
  <c r="K18" i="6"/>
  <c r="J18" i="6"/>
  <c r="I18" i="6"/>
  <c r="H18" i="6"/>
  <c r="G18" i="6"/>
  <c r="F18" i="6"/>
  <c r="E18" i="6"/>
  <c r="D18" i="6"/>
  <c r="AG15" i="6"/>
  <c r="AF15" i="6"/>
  <c r="AE15" i="6"/>
  <c r="AD15" i="6"/>
  <c r="AC15" i="6"/>
  <c r="AB15" i="6"/>
  <c r="AA15" i="6"/>
  <c r="Z15" i="6"/>
  <c r="Y15" i="6"/>
  <c r="X15" i="6"/>
  <c r="W15" i="6"/>
  <c r="V15" i="6"/>
  <c r="U15" i="6"/>
  <c r="T15" i="6"/>
  <c r="S15" i="6"/>
  <c r="R15" i="6"/>
  <c r="Q15" i="6"/>
  <c r="P15" i="6"/>
  <c r="O15" i="6"/>
  <c r="N15" i="6"/>
  <c r="M15" i="6"/>
  <c r="L15" i="6"/>
  <c r="J15" i="6"/>
  <c r="I15" i="6"/>
  <c r="H15" i="6"/>
  <c r="G15" i="6"/>
  <c r="F15" i="6"/>
  <c r="E15" i="6"/>
  <c r="D15" i="6"/>
  <c r="AF12" i="6"/>
  <c r="AE12" i="6"/>
  <c r="AD12" i="6"/>
  <c r="AC12" i="6"/>
  <c r="AB12" i="6"/>
  <c r="AA12" i="6"/>
  <c r="Z12" i="6"/>
  <c r="Y12" i="6"/>
  <c r="X12" i="6"/>
  <c r="W12" i="6"/>
  <c r="V12" i="6"/>
  <c r="U12" i="6"/>
  <c r="T12" i="6"/>
  <c r="S12" i="6"/>
  <c r="R12" i="6"/>
  <c r="Q12" i="6"/>
  <c r="P12" i="6"/>
  <c r="O12" i="6"/>
  <c r="N12" i="6"/>
  <c r="M12" i="6"/>
  <c r="L12" i="6"/>
  <c r="K12" i="6"/>
  <c r="J12" i="6"/>
  <c r="I12" i="6"/>
  <c r="H12" i="6"/>
  <c r="G12" i="6"/>
  <c r="F12" i="6"/>
  <c r="E12" i="6"/>
  <c r="D12" i="6"/>
  <c r="AG9" i="6"/>
  <c r="AF9" i="6"/>
  <c r="AE9" i="6"/>
  <c r="AD9" i="6"/>
  <c r="AC9" i="6"/>
  <c r="AB9" i="6"/>
  <c r="AA9" i="6"/>
  <c r="Z9" i="6"/>
  <c r="Y9" i="6"/>
  <c r="X9" i="6"/>
  <c r="W9" i="6"/>
  <c r="V9" i="6"/>
  <c r="U9" i="6"/>
  <c r="T9" i="6"/>
  <c r="S9" i="6"/>
  <c r="R9" i="6"/>
  <c r="Q9" i="6"/>
  <c r="P9" i="6"/>
  <c r="O9" i="6"/>
  <c r="N9" i="6"/>
  <c r="M9" i="6"/>
  <c r="L9" i="6"/>
  <c r="K9" i="6"/>
  <c r="J9" i="6"/>
  <c r="I9" i="6"/>
  <c r="H9" i="6"/>
  <c r="G9" i="6"/>
  <c r="F9" i="6"/>
  <c r="E9" i="6"/>
  <c r="D9" i="6"/>
  <c r="AG6" i="6"/>
  <c r="AF6" i="6"/>
  <c r="AE6" i="6"/>
  <c r="AD6" i="6"/>
  <c r="AC6" i="6"/>
  <c r="AB6" i="6"/>
  <c r="AA6" i="6"/>
  <c r="Z6" i="6"/>
  <c r="Y6" i="6"/>
  <c r="X6" i="6"/>
  <c r="W6" i="6"/>
  <c r="V6" i="6"/>
  <c r="U6" i="6"/>
  <c r="T6" i="6"/>
  <c r="S6" i="6"/>
  <c r="R6" i="6"/>
  <c r="Q6" i="6"/>
  <c r="P6" i="6"/>
  <c r="O6" i="6"/>
  <c r="N6" i="6"/>
  <c r="M6" i="6"/>
  <c r="L6" i="6"/>
  <c r="K6" i="6"/>
  <c r="J6" i="6"/>
  <c r="I6" i="6"/>
  <c r="H6" i="6"/>
  <c r="G6" i="6"/>
  <c r="F6" i="6"/>
  <c r="E6" i="6"/>
  <c r="D6" i="6"/>
  <c r="AF39" i="6"/>
  <c r="AE39" i="6"/>
  <c r="AD39" i="6"/>
  <c r="AC39" i="6"/>
  <c r="AB39" i="6"/>
  <c r="AA39" i="6"/>
  <c r="Z39" i="6"/>
  <c r="Y39" i="6"/>
  <c r="X39" i="6"/>
  <c r="W39" i="6"/>
  <c r="V39" i="6"/>
  <c r="U39" i="6"/>
  <c r="T39" i="6"/>
  <c r="S39" i="6"/>
  <c r="R39" i="6"/>
  <c r="Q39" i="6"/>
  <c r="P39" i="6"/>
  <c r="O39" i="6"/>
  <c r="N39" i="6"/>
  <c r="M39" i="6"/>
  <c r="L39" i="6"/>
  <c r="K39" i="6"/>
  <c r="J39" i="6"/>
  <c r="I39" i="6"/>
  <c r="H39" i="6"/>
  <c r="G39" i="6"/>
  <c r="F39" i="6"/>
  <c r="E39" i="6"/>
  <c r="D39" i="6"/>
  <c r="C21" i="6"/>
  <c r="C18" i="6"/>
  <c r="C15" i="6"/>
  <c r="C12" i="6"/>
  <c r="C9" i="6"/>
  <c r="C6" i="6"/>
  <c r="C39" i="6"/>
  <c r="AG36" i="6"/>
  <c r="AF36" i="6"/>
  <c r="AE36" i="6"/>
  <c r="AD36" i="6"/>
  <c r="AC36" i="6"/>
  <c r="AB36" i="6"/>
  <c r="AA36" i="6"/>
  <c r="Z36" i="6"/>
  <c r="Y36" i="6"/>
  <c r="X36" i="6"/>
  <c r="W36" i="6"/>
  <c r="V36" i="6"/>
  <c r="U36" i="6"/>
  <c r="T36" i="6"/>
  <c r="S36" i="6"/>
  <c r="R36" i="6"/>
  <c r="Q36" i="6"/>
  <c r="P36" i="6"/>
  <c r="O36" i="6"/>
  <c r="N36" i="6"/>
  <c r="M36" i="6"/>
  <c r="L36" i="6"/>
  <c r="K36" i="6"/>
  <c r="J36" i="6"/>
  <c r="I36" i="6"/>
  <c r="H36" i="6"/>
  <c r="G36" i="6"/>
  <c r="F36" i="6"/>
  <c r="E36" i="6"/>
  <c r="D36" i="6"/>
  <c r="AF33" i="6"/>
  <c r="AE33" i="6"/>
  <c r="AD33" i="6"/>
  <c r="AC33" i="6"/>
  <c r="AB33" i="6"/>
  <c r="AA33" i="6"/>
  <c r="Z33" i="6"/>
  <c r="Y33" i="6"/>
  <c r="X33" i="6"/>
  <c r="W33" i="6"/>
  <c r="V33" i="6"/>
  <c r="U33" i="6"/>
  <c r="T33" i="6"/>
  <c r="S33" i="6"/>
  <c r="R33" i="6"/>
  <c r="Q33" i="6"/>
  <c r="P33" i="6"/>
  <c r="O33" i="6"/>
  <c r="N33" i="6"/>
  <c r="M33" i="6"/>
  <c r="L33" i="6"/>
  <c r="K33" i="6"/>
  <c r="J33" i="6"/>
  <c r="I33" i="6"/>
  <c r="H33" i="6"/>
  <c r="G33" i="6"/>
  <c r="F33" i="6"/>
  <c r="E33" i="6"/>
  <c r="D33" i="6"/>
  <c r="W30" i="6"/>
  <c r="V30" i="6"/>
  <c r="U30" i="6"/>
  <c r="T30" i="6"/>
  <c r="S30" i="6"/>
  <c r="R30" i="6"/>
  <c r="Q30" i="6"/>
  <c r="P30" i="6"/>
  <c r="O30" i="6"/>
  <c r="N30" i="6"/>
  <c r="M30" i="6"/>
  <c r="L30" i="6"/>
  <c r="K30" i="6"/>
  <c r="J30" i="6"/>
  <c r="I30" i="6"/>
  <c r="H30" i="6"/>
  <c r="G30" i="6"/>
  <c r="F30" i="6"/>
  <c r="E30" i="6"/>
  <c r="D30" i="6"/>
  <c r="AE27" i="6"/>
  <c r="AD27" i="6"/>
  <c r="AC27" i="6"/>
  <c r="AB27" i="6"/>
  <c r="AA27" i="6"/>
  <c r="Z27" i="6"/>
  <c r="Y27" i="6"/>
  <c r="X27" i="6"/>
  <c r="W27" i="6"/>
  <c r="V27" i="6"/>
  <c r="U27" i="6"/>
  <c r="T27" i="6"/>
  <c r="S27" i="6"/>
  <c r="R27" i="6"/>
  <c r="Q27" i="6"/>
  <c r="P27" i="6"/>
  <c r="O27" i="6"/>
  <c r="N27" i="6"/>
  <c r="M27" i="6"/>
  <c r="L27" i="6"/>
  <c r="K27" i="6"/>
  <c r="J27" i="6"/>
  <c r="I27" i="6"/>
  <c r="H27" i="6"/>
  <c r="G27" i="6"/>
  <c r="F27" i="6"/>
  <c r="E27" i="6"/>
  <c r="D27" i="6"/>
  <c r="AG24" i="6"/>
  <c r="AF24" i="6"/>
  <c r="AE24" i="6"/>
  <c r="AD24" i="6"/>
  <c r="AC24" i="6"/>
  <c r="AB24" i="6"/>
  <c r="AA24" i="6"/>
  <c r="Z24" i="6"/>
  <c r="Y24" i="6"/>
  <c r="X24" i="6"/>
  <c r="W24" i="6"/>
  <c r="V24" i="6"/>
  <c r="U24" i="6"/>
  <c r="T24" i="6"/>
  <c r="S24" i="6"/>
  <c r="R24" i="6"/>
  <c r="Q24" i="6"/>
  <c r="P24" i="6"/>
  <c r="O24" i="6"/>
  <c r="N24" i="6"/>
  <c r="M24" i="6"/>
  <c r="L24" i="6"/>
  <c r="K24" i="6"/>
  <c r="J24" i="6"/>
  <c r="I24" i="6"/>
  <c r="H24" i="6"/>
  <c r="G24" i="6"/>
  <c r="F24" i="6"/>
  <c r="E24" i="6"/>
  <c r="D24" i="6"/>
  <c r="C36" i="6"/>
  <c r="C33" i="6"/>
  <c r="C30" i="6"/>
  <c r="C27" i="6"/>
  <c r="C24" i="6"/>
  <c r="R3" i="6"/>
  <c r="R2" i="6"/>
  <c r="I2" i="6"/>
  <c r="B20" i="6"/>
  <c r="W19" i="6" s="1"/>
  <c r="B17" i="6"/>
  <c r="V16" i="6" s="1"/>
  <c r="B14" i="6"/>
  <c r="AC13" i="6" s="1"/>
  <c r="B11" i="6"/>
  <c r="V10" i="6" s="1"/>
  <c r="B8" i="6"/>
  <c r="AF7" i="6" s="1"/>
  <c r="B5" i="6"/>
  <c r="X4" i="6" s="1"/>
  <c r="B21" i="6"/>
  <c r="B18" i="6"/>
  <c r="B15" i="6"/>
  <c r="B12" i="6"/>
  <c r="B9" i="6"/>
  <c r="B6" i="6"/>
  <c r="B39" i="6"/>
  <c r="B36" i="6"/>
  <c r="B33" i="6"/>
  <c r="B30" i="6"/>
  <c r="B27" i="6"/>
  <c r="B24" i="6"/>
  <c r="B38" i="6"/>
  <c r="AF37" i="6" s="1"/>
  <c r="B35" i="6"/>
  <c r="AD34" i="6" s="1"/>
  <c r="B32" i="6"/>
  <c r="AA31" i="6" s="1"/>
  <c r="B29" i="6"/>
  <c r="R28" i="6" s="1"/>
  <c r="B23" i="6"/>
  <c r="AD22" i="6" s="1"/>
  <c r="B26" i="6"/>
  <c r="J25" i="6" s="1"/>
  <c r="P27" i="7"/>
  <c r="R3" i="7"/>
  <c r="AG21" i="7"/>
  <c r="AF21" i="7"/>
  <c r="AE21" i="7"/>
  <c r="AD21" i="7"/>
  <c r="AC21" i="7"/>
  <c r="AB21" i="7"/>
  <c r="AA21" i="7"/>
  <c r="Z21" i="7"/>
  <c r="Y21" i="7"/>
  <c r="X21" i="7"/>
  <c r="W21" i="7"/>
  <c r="V21" i="7"/>
  <c r="U21" i="7"/>
  <c r="T21" i="7"/>
  <c r="S21" i="7"/>
  <c r="R21" i="7"/>
  <c r="Q21" i="7"/>
  <c r="P21" i="7"/>
  <c r="O21" i="7"/>
  <c r="N21" i="7"/>
  <c r="M21" i="7"/>
  <c r="L21" i="7"/>
  <c r="K21" i="7"/>
  <c r="J21" i="7"/>
  <c r="I21" i="7"/>
  <c r="H21" i="7"/>
  <c r="G21" i="7"/>
  <c r="F21" i="7"/>
  <c r="E21" i="7"/>
  <c r="D21" i="7"/>
  <c r="AF18" i="7"/>
  <c r="AE18" i="7"/>
  <c r="AD18" i="7"/>
  <c r="AC18" i="7"/>
  <c r="AB18" i="7"/>
  <c r="AA18" i="7"/>
  <c r="Z18" i="7"/>
  <c r="Y18" i="7"/>
  <c r="X18" i="7"/>
  <c r="W18" i="7"/>
  <c r="V18" i="7"/>
  <c r="U18" i="7"/>
  <c r="T18" i="7"/>
  <c r="S18" i="7"/>
  <c r="R18" i="7"/>
  <c r="Q18" i="7"/>
  <c r="P18" i="7"/>
  <c r="O18" i="7"/>
  <c r="N18" i="7"/>
  <c r="M18" i="7"/>
  <c r="L18" i="7"/>
  <c r="K18" i="7"/>
  <c r="J18" i="7"/>
  <c r="I18" i="7"/>
  <c r="H18" i="7"/>
  <c r="G18" i="7"/>
  <c r="F18" i="7"/>
  <c r="E18" i="7"/>
  <c r="D18" i="7"/>
  <c r="AG15" i="7"/>
  <c r="AF15" i="7"/>
  <c r="AE15" i="7"/>
  <c r="AD15" i="7"/>
  <c r="AC15" i="7"/>
  <c r="AB15" i="7"/>
  <c r="AA15" i="7"/>
  <c r="Z15" i="7"/>
  <c r="Y15" i="7"/>
  <c r="X15" i="7"/>
  <c r="W15" i="7"/>
  <c r="V15" i="7"/>
  <c r="U15" i="7"/>
  <c r="T15" i="7"/>
  <c r="S15" i="7"/>
  <c r="R15" i="7"/>
  <c r="Q15" i="7"/>
  <c r="P15" i="7"/>
  <c r="O15" i="7"/>
  <c r="N15" i="7"/>
  <c r="M15" i="7"/>
  <c r="L15" i="7"/>
  <c r="K15" i="7"/>
  <c r="J15" i="7"/>
  <c r="I15" i="7"/>
  <c r="H15" i="7"/>
  <c r="G15" i="7"/>
  <c r="F15" i="7"/>
  <c r="E15" i="7"/>
  <c r="D15" i="7"/>
  <c r="AF12" i="7"/>
  <c r="AE12" i="7"/>
  <c r="AD12" i="7"/>
  <c r="AC12" i="7"/>
  <c r="AB12" i="7"/>
  <c r="AA12" i="7"/>
  <c r="Z12" i="7"/>
  <c r="Y12" i="7"/>
  <c r="X12" i="7"/>
  <c r="W12" i="7"/>
  <c r="V12" i="7"/>
  <c r="U12" i="7"/>
  <c r="T12" i="7"/>
  <c r="S12" i="7"/>
  <c r="R12" i="7"/>
  <c r="Q12" i="7"/>
  <c r="P12" i="7"/>
  <c r="O12" i="7"/>
  <c r="N12" i="7"/>
  <c r="M12" i="7"/>
  <c r="L12" i="7"/>
  <c r="K12" i="7"/>
  <c r="J12" i="7"/>
  <c r="I12" i="7"/>
  <c r="H12" i="7"/>
  <c r="G12" i="7"/>
  <c r="F12" i="7"/>
  <c r="E12" i="7"/>
  <c r="D12" i="7"/>
  <c r="AG9" i="7"/>
  <c r="AF9" i="7"/>
  <c r="AE9" i="7"/>
  <c r="AD9" i="7"/>
  <c r="AC9" i="7"/>
  <c r="AB9" i="7"/>
  <c r="AA9" i="7"/>
  <c r="Z9" i="7"/>
  <c r="Y9" i="7"/>
  <c r="X9" i="7"/>
  <c r="W9" i="7"/>
  <c r="V9" i="7"/>
  <c r="U9" i="7"/>
  <c r="T9" i="7"/>
  <c r="S9" i="7"/>
  <c r="R9" i="7"/>
  <c r="Q9" i="7"/>
  <c r="P9" i="7"/>
  <c r="O9" i="7"/>
  <c r="N9" i="7"/>
  <c r="M9" i="7"/>
  <c r="L9" i="7"/>
  <c r="K9" i="7"/>
  <c r="J9" i="7"/>
  <c r="I9" i="7"/>
  <c r="H9" i="7"/>
  <c r="G9" i="7"/>
  <c r="F9" i="7"/>
  <c r="E9" i="7"/>
  <c r="D9" i="7"/>
  <c r="AG6" i="7"/>
  <c r="AF6" i="7"/>
  <c r="AE6" i="7"/>
  <c r="AD6" i="7"/>
  <c r="AC6" i="7"/>
  <c r="AB6" i="7"/>
  <c r="AA6" i="7"/>
  <c r="Z6" i="7"/>
  <c r="Y6" i="7"/>
  <c r="X6" i="7"/>
  <c r="W6" i="7"/>
  <c r="V6" i="7"/>
  <c r="U6" i="7"/>
  <c r="T6" i="7"/>
  <c r="S6" i="7"/>
  <c r="R6" i="7"/>
  <c r="Q6" i="7"/>
  <c r="P6" i="7"/>
  <c r="O6" i="7"/>
  <c r="N6" i="7"/>
  <c r="M6" i="7"/>
  <c r="L6" i="7"/>
  <c r="K6" i="7"/>
  <c r="J6" i="7"/>
  <c r="I6" i="7"/>
  <c r="H6" i="7"/>
  <c r="G6" i="7"/>
  <c r="F6" i="7"/>
  <c r="E6" i="7"/>
  <c r="D6" i="7"/>
  <c r="AF39" i="7"/>
  <c r="AE39" i="7"/>
  <c r="AD39" i="7"/>
  <c r="AC39" i="7"/>
  <c r="AB39" i="7"/>
  <c r="AA39" i="7"/>
  <c r="Z39" i="7"/>
  <c r="Y39" i="7"/>
  <c r="X39" i="7"/>
  <c r="W39" i="7"/>
  <c r="V39" i="7"/>
  <c r="U39" i="7"/>
  <c r="T39" i="7"/>
  <c r="S39" i="7"/>
  <c r="R39" i="7"/>
  <c r="Q39" i="7"/>
  <c r="P39" i="7"/>
  <c r="O39" i="7"/>
  <c r="N39" i="7"/>
  <c r="M39" i="7"/>
  <c r="L39" i="7"/>
  <c r="K39" i="7"/>
  <c r="J39" i="7"/>
  <c r="I39" i="7"/>
  <c r="H39" i="7"/>
  <c r="G39" i="7"/>
  <c r="F39" i="7"/>
  <c r="E39" i="7"/>
  <c r="D39" i="7"/>
  <c r="AG36" i="7"/>
  <c r="AF36" i="7"/>
  <c r="AE36" i="7"/>
  <c r="AD36" i="7"/>
  <c r="AC36" i="7"/>
  <c r="AB36" i="7"/>
  <c r="AA36" i="7"/>
  <c r="Z36" i="7"/>
  <c r="Y36" i="7"/>
  <c r="X36" i="7"/>
  <c r="W36" i="7"/>
  <c r="V36" i="7"/>
  <c r="U36" i="7"/>
  <c r="T36" i="7"/>
  <c r="S36" i="7"/>
  <c r="R36" i="7"/>
  <c r="Q36" i="7"/>
  <c r="P36" i="7"/>
  <c r="O36" i="7"/>
  <c r="N36" i="7"/>
  <c r="M36" i="7"/>
  <c r="L36" i="7"/>
  <c r="K36" i="7"/>
  <c r="J36" i="7"/>
  <c r="I36" i="7"/>
  <c r="H36" i="7"/>
  <c r="G36" i="7"/>
  <c r="F36" i="7"/>
  <c r="E36" i="7"/>
  <c r="D36" i="7"/>
  <c r="AF33" i="7"/>
  <c r="AE33" i="7"/>
  <c r="AD33" i="7"/>
  <c r="AC33" i="7"/>
  <c r="AB33" i="7"/>
  <c r="AA33" i="7"/>
  <c r="Z33" i="7"/>
  <c r="Y33" i="7"/>
  <c r="X33" i="7"/>
  <c r="W33" i="7"/>
  <c r="V33" i="7"/>
  <c r="U33" i="7"/>
  <c r="T33" i="7"/>
  <c r="S33" i="7"/>
  <c r="R33" i="7"/>
  <c r="Q33" i="7"/>
  <c r="P33" i="7"/>
  <c r="O33" i="7"/>
  <c r="N33" i="7"/>
  <c r="M33" i="7"/>
  <c r="L33" i="7"/>
  <c r="K33" i="7"/>
  <c r="J33" i="7"/>
  <c r="I33" i="7"/>
  <c r="H33" i="7"/>
  <c r="G33" i="7"/>
  <c r="F33" i="7"/>
  <c r="E33" i="7"/>
  <c r="D33" i="7"/>
  <c r="AG30" i="7"/>
  <c r="AF30" i="7"/>
  <c r="AE30" i="7"/>
  <c r="AD30" i="7"/>
  <c r="AC30" i="7"/>
  <c r="AB30" i="7"/>
  <c r="AA30" i="7"/>
  <c r="Z30" i="7"/>
  <c r="Y30" i="7"/>
  <c r="X30" i="7"/>
  <c r="W30" i="7"/>
  <c r="V30" i="7"/>
  <c r="U30" i="7"/>
  <c r="T30" i="7"/>
  <c r="S30" i="7"/>
  <c r="R30" i="7"/>
  <c r="Q30" i="7"/>
  <c r="P30" i="7"/>
  <c r="O30" i="7"/>
  <c r="N30" i="7"/>
  <c r="M30" i="7"/>
  <c r="L30" i="7"/>
  <c r="K30" i="7"/>
  <c r="J30" i="7"/>
  <c r="I30" i="7"/>
  <c r="H30" i="7"/>
  <c r="G30" i="7"/>
  <c r="F30" i="7"/>
  <c r="E30" i="7"/>
  <c r="D30" i="7"/>
  <c r="AE27" i="7"/>
  <c r="AD27" i="7"/>
  <c r="AC27" i="7"/>
  <c r="AB27" i="7"/>
  <c r="AA27" i="7"/>
  <c r="Z27" i="7"/>
  <c r="Y27" i="7"/>
  <c r="X27" i="7"/>
  <c r="W27" i="7"/>
  <c r="V27" i="7"/>
  <c r="U27" i="7"/>
  <c r="T27" i="7"/>
  <c r="S27" i="7"/>
  <c r="R27" i="7"/>
  <c r="Q27" i="7"/>
  <c r="O27" i="7"/>
  <c r="N27" i="7"/>
  <c r="M27" i="7"/>
  <c r="L27" i="7"/>
  <c r="K27" i="7"/>
  <c r="J27" i="7"/>
  <c r="I27" i="7"/>
  <c r="H27" i="7"/>
  <c r="G27" i="7"/>
  <c r="F27" i="7"/>
  <c r="E27" i="7"/>
  <c r="AG24" i="7"/>
  <c r="AF24" i="7"/>
  <c r="AE24" i="7"/>
  <c r="AD24" i="7"/>
  <c r="AC24" i="7"/>
  <c r="AB24" i="7"/>
  <c r="AA24" i="7"/>
  <c r="Z24" i="7"/>
  <c r="Y24" i="7"/>
  <c r="X24" i="7"/>
  <c r="W24" i="7"/>
  <c r="V24" i="7"/>
  <c r="U24" i="7"/>
  <c r="T24" i="7"/>
  <c r="S24" i="7"/>
  <c r="R24" i="7"/>
  <c r="Q24" i="7"/>
  <c r="P24" i="7"/>
  <c r="O24" i="7"/>
  <c r="N24" i="7"/>
  <c r="M24" i="7"/>
  <c r="L24" i="7"/>
  <c r="K24" i="7"/>
  <c r="J24" i="7"/>
  <c r="I24" i="7"/>
  <c r="H24" i="7"/>
  <c r="G24" i="7"/>
  <c r="F24" i="7"/>
  <c r="E24" i="7"/>
  <c r="D24" i="7"/>
  <c r="C21" i="7"/>
  <c r="C18" i="7"/>
  <c r="C15" i="7"/>
  <c r="C12" i="7"/>
  <c r="C9" i="7"/>
  <c r="C6" i="7"/>
  <c r="C39" i="7"/>
  <c r="C36" i="7"/>
  <c r="C33" i="7"/>
  <c r="C30" i="7"/>
  <c r="C27" i="7"/>
  <c r="C24" i="7"/>
  <c r="R2" i="7"/>
  <c r="I2" i="7"/>
  <c r="B20" i="7"/>
  <c r="AF19" i="7" s="1"/>
  <c r="B17" i="7"/>
  <c r="Y16" i="7" s="1"/>
  <c r="B14" i="7"/>
  <c r="AF13" i="7" s="1"/>
  <c r="B11" i="7"/>
  <c r="AE10" i="7" s="1"/>
  <c r="B8" i="7"/>
  <c r="AG7" i="7" s="1"/>
  <c r="B5" i="7"/>
  <c r="X4" i="7" s="1"/>
  <c r="B21" i="7"/>
  <c r="B18" i="7"/>
  <c r="B15" i="7"/>
  <c r="B12" i="7"/>
  <c r="B9" i="7"/>
  <c r="B6" i="7"/>
  <c r="B39" i="7"/>
  <c r="B36" i="7"/>
  <c r="B33" i="7"/>
  <c r="B30" i="7"/>
  <c r="B27" i="7"/>
  <c r="B24" i="7"/>
  <c r="B38" i="7"/>
  <c r="AF37" i="7" s="1"/>
  <c r="B35" i="7"/>
  <c r="AE34" i="7" s="1"/>
  <c r="B32" i="7"/>
  <c r="AF31" i="7" s="1"/>
  <c r="B29" i="7"/>
  <c r="Y28" i="7" s="1"/>
  <c r="B23" i="7"/>
  <c r="AD22" i="7" s="1"/>
  <c r="B26" i="7"/>
  <c r="J25" i="7" s="1"/>
  <c r="R3" i="8"/>
  <c r="AG21" i="8"/>
  <c r="AF21" i="8"/>
  <c r="AE21" i="8"/>
  <c r="AD21" i="8"/>
  <c r="AC21" i="8"/>
  <c r="AB21" i="8"/>
  <c r="AA21" i="8"/>
  <c r="Z21" i="8"/>
  <c r="Y21" i="8"/>
  <c r="X21" i="8"/>
  <c r="W21" i="8"/>
  <c r="V21" i="8"/>
  <c r="U21" i="8"/>
  <c r="T21" i="8"/>
  <c r="S21" i="8"/>
  <c r="R21" i="8"/>
  <c r="Q21" i="8"/>
  <c r="P21" i="8"/>
  <c r="O21" i="8"/>
  <c r="N21" i="8"/>
  <c r="M21" i="8"/>
  <c r="L21" i="8"/>
  <c r="K21" i="8"/>
  <c r="J21" i="8"/>
  <c r="I21" i="8"/>
  <c r="H21" i="8"/>
  <c r="G21" i="8"/>
  <c r="F21" i="8"/>
  <c r="E21" i="8"/>
  <c r="D21" i="8"/>
  <c r="AF18" i="8"/>
  <c r="AE18" i="8"/>
  <c r="AD18" i="8"/>
  <c r="AC18" i="8"/>
  <c r="AB18" i="8"/>
  <c r="AA18" i="8"/>
  <c r="Z18" i="8"/>
  <c r="Y18" i="8"/>
  <c r="X18" i="8"/>
  <c r="W18" i="8"/>
  <c r="V18" i="8"/>
  <c r="U18" i="8"/>
  <c r="T18" i="8"/>
  <c r="S18" i="8"/>
  <c r="R18" i="8"/>
  <c r="Q18" i="8"/>
  <c r="P18" i="8"/>
  <c r="O18" i="8"/>
  <c r="N18" i="8"/>
  <c r="M18" i="8"/>
  <c r="L18" i="8"/>
  <c r="K18" i="8"/>
  <c r="J18" i="8"/>
  <c r="I18" i="8"/>
  <c r="H18" i="8"/>
  <c r="G18" i="8"/>
  <c r="F18" i="8"/>
  <c r="E18" i="8"/>
  <c r="D18" i="8"/>
  <c r="AG15" i="8"/>
  <c r="AF15" i="8"/>
  <c r="AE15" i="8"/>
  <c r="AD15" i="8"/>
  <c r="AC15" i="8"/>
  <c r="AB15" i="8"/>
  <c r="AA15" i="8"/>
  <c r="Z15" i="8"/>
  <c r="Y15" i="8"/>
  <c r="X15" i="8"/>
  <c r="W15" i="8"/>
  <c r="V15" i="8"/>
  <c r="U15" i="8"/>
  <c r="T15" i="8"/>
  <c r="S15" i="8"/>
  <c r="R15" i="8"/>
  <c r="Q15" i="8"/>
  <c r="P15" i="8"/>
  <c r="O15" i="8"/>
  <c r="N15" i="8"/>
  <c r="M15" i="8"/>
  <c r="L15" i="8"/>
  <c r="K15" i="8"/>
  <c r="J15" i="8"/>
  <c r="I15" i="8"/>
  <c r="H15" i="8"/>
  <c r="G15" i="8"/>
  <c r="F15" i="8"/>
  <c r="E15" i="8"/>
  <c r="D15" i="8"/>
  <c r="AF12" i="8"/>
  <c r="AE12" i="8"/>
  <c r="AD12" i="8"/>
  <c r="AC12" i="8"/>
  <c r="AB12" i="8"/>
  <c r="AA12" i="8"/>
  <c r="Z12" i="8"/>
  <c r="Y12" i="8"/>
  <c r="X12" i="8"/>
  <c r="W12" i="8"/>
  <c r="V12" i="8"/>
  <c r="U12" i="8"/>
  <c r="T12" i="8"/>
  <c r="S12" i="8"/>
  <c r="R12" i="8"/>
  <c r="Q12" i="8"/>
  <c r="P12" i="8"/>
  <c r="O12" i="8"/>
  <c r="N12" i="8"/>
  <c r="M12" i="8"/>
  <c r="L12" i="8"/>
  <c r="K12" i="8"/>
  <c r="J12" i="8"/>
  <c r="I12" i="8"/>
  <c r="H12" i="8"/>
  <c r="G12" i="8"/>
  <c r="F12" i="8"/>
  <c r="E12" i="8"/>
  <c r="D12" i="8"/>
  <c r="AG6" i="8"/>
  <c r="AF6" i="8"/>
  <c r="AE6" i="8"/>
  <c r="AD6" i="8"/>
  <c r="AC6" i="8"/>
  <c r="AB6" i="8"/>
  <c r="AA6" i="8"/>
  <c r="Z6" i="8"/>
  <c r="Y6" i="8"/>
  <c r="X6" i="8"/>
  <c r="W6" i="8"/>
  <c r="V6" i="8"/>
  <c r="U6" i="8"/>
  <c r="T6" i="8"/>
  <c r="S6" i="8"/>
  <c r="R6" i="8"/>
  <c r="Q6" i="8"/>
  <c r="P6" i="8"/>
  <c r="O6" i="8"/>
  <c r="N6" i="8"/>
  <c r="M6" i="8"/>
  <c r="L6" i="8"/>
  <c r="K6" i="8"/>
  <c r="J6" i="8"/>
  <c r="I6" i="8"/>
  <c r="H6" i="8"/>
  <c r="G6" i="8"/>
  <c r="F6" i="8"/>
  <c r="E6" i="8"/>
  <c r="D6" i="8"/>
  <c r="AG9" i="8"/>
  <c r="AF9" i="8"/>
  <c r="AE9" i="8"/>
  <c r="AD9" i="8"/>
  <c r="AC9" i="8"/>
  <c r="AB9" i="8"/>
  <c r="AA9" i="8"/>
  <c r="Z9" i="8"/>
  <c r="Y9" i="8"/>
  <c r="X9" i="8"/>
  <c r="W9" i="8"/>
  <c r="V9" i="8"/>
  <c r="U9" i="8"/>
  <c r="T9" i="8"/>
  <c r="S9" i="8"/>
  <c r="R9" i="8"/>
  <c r="Q9" i="8"/>
  <c r="P9" i="8"/>
  <c r="O9" i="8"/>
  <c r="N9" i="8"/>
  <c r="M9" i="8"/>
  <c r="L9" i="8"/>
  <c r="K9" i="8"/>
  <c r="J9" i="8"/>
  <c r="I9" i="8"/>
  <c r="H9" i="8"/>
  <c r="G9" i="8"/>
  <c r="F9" i="8"/>
  <c r="E9" i="8"/>
  <c r="D9" i="8"/>
  <c r="AF39" i="8"/>
  <c r="AE39" i="8"/>
  <c r="AD39" i="8"/>
  <c r="AC39" i="8"/>
  <c r="AB39" i="8"/>
  <c r="AA39" i="8"/>
  <c r="Z39" i="8"/>
  <c r="Y39" i="8"/>
  <c r="X39" i="8"/>
  <c r="W39" i="8"/>
  <c r="V39" i="8"/>
  <c r="U39" i="8"/>
  <c r="T39" i="8"/>
  <c r="S39" i="8"/>
  <c r="R39" i="8"/>
  <c r="Q39" i="8"/>
  <c r="P39" i="8"/>
  <c r="O39" i="8"/>
  <c r="N39" i="8"/>
  <c r="M39" i="8"/>
  <c r="L39" i="8"/>
  <c r="K39" i="8"/>
  <c r="J39" i="8"/>
  <c r="I39" i="8"/>
  <c r="H39" i="8"/>
  <c r="G39" i="8"/>
  <c r="F39" i="8"/>
  <c r="E39" i="8"/>
  <c r="D39" i="8"/>
  <c r="AG36" i="8"/>
  <c r="AF36" i="8"/>
  <c r="AE36" i="8"/>
  <c r="AD36" i="8"/>
  <c r="AC36" i="8"/>
  <c r="AB36" i="8"/>
  <c r="AA36" i="8"/>
  <c r="Z36" i="8"/>
  <c r="Y36" i="8"/>
  <c r="X36" i="8"/>
  <c r="W36" i="8"/>
  <c r="V36" i="8"/>
  <c r="U36" i="8"/>
  <c r="T36" i="8"/>
  <c r="S36" i="8"/>
  <c r="R36" i="8"/>
  <c r="Q36" i="8"/>
  <c r="P36" i="8"/>
  <c r="O36" i="8"/>
  <c r="N36" i="8"/>
  <c r="M36" i="8"/>
  <c r="L36" i="8"/>
  <c r="K36" i="8"/>
  <c r="J36" i="8"/>
  <c r="I36" i="8"/>
  <c r="H36" i="8"/>
  <c r="G36" i="8"/>
  <c r="F36" i="8"/>
  <c r="E36" i="8"/>
  <c r="D36" i="8"/>
  <c r="AF33" i="8"/>
  <c r="AE33" i="8"/>
  <c r="AD33" i="8"/>
  <c r="AC33" i="8"/>
  <c r="AB33" i="8"/>
  <c r="AA33" i="8"/>
  <c r="Z33" i="8"/>
  <c r="Y33" i="8"/>
  <c r="X33" i="8"/>
  <c r="W33" i="8"/>
  <c r="V33" i="8"/>
  <c r="U33" i="8"/>
  <c r="T33" i="8"/>
  <c r="S33" i="8"/>
  <c r="R33" i="8"/>
  <c r="Q33" i="8"/>
  <c r="P33" i="8"/>
  <c r="O33" i="8"/>
  <c r="N33" i="8"/>
  <c r="M33" i="8"/>
  <c r="L33" i="8"/>
  <c r="K33" i="8"/>
  <c r="J33" i="8"/>
  <c r="I33" i="8"/>
  <c r="H33" i="8"/>
  <c r="G33" i="8"/>
  <c r="F33" i="8"/>
  <c r="E33" i="8"/>
  <c r="D33" i="8"/>
  <c r="AG30" i="8"/>
  <c r="AF30" i="8"/>
  <c r="AE30" i="8"/>
  <c r="AD30" i="8"/>
  <c r="AC30" i="8"/>
  <c r="AB30" i="8"/>
  <c r="AA30" i="8"/>
  <c r="Z30" i="8"/>
  <c r="Y30" i="8"/>
  <c r="X30" i="8"/>
  <c r="W30" i="8"/>
  <c r="V30" i="8"/>
  <c r="U30" i="8"/>
  <c r="T30" i="8"/>
  <c r="S30" i="8"/>
  <c r="R30" i="8"/>
  <c r="Q30" i="8"/>
  <c r="P30" i="8"/>
  <c r="O30" i="8"/>
  <c r="N30" i="8"/>
  <c r="M30" i="8"/>
  <c r="L30" i="8"/>
  <c r="K30" i="8"/>
  <c r="J30" i="8"/>
  <c r="I30" i="8"/>
  <c r="H30" i="8"/>
  <c r="G30" i="8"/>
  <c r="F30" i="8"/>
  <c r="E30" i="8"/>
  <c r="D30" i="8"/>
  <c r="AE27" i="8"/>
  <c r="AD27" i="8"/>
  <c r="AC27" i="8"/>
  <c r="AB27" i="8"/>
  <c r="AA27" i="8"/>
  <c r="Z27" i="8"/>
  <c r="Y27" i="8"/>
  <c r="X27" i="8"/>
  <c r="W27" i="8"/>
  <c r="V27" i="8"/>
  <c r="U27" i="8"/>
  <c r="T27" i="8"/>
  <c r="S27" i="8"/>
  <c r="R27" i="8"/>
  <c r="Q27" i="8"/>
  <c r="P27" i="8"/>
  <c r="O27" i="8"/>
  <c r="N27" i="8"/>
  <c r="M27" i="8"/>
  <c r="L27" i="8"/>
  <c r="K27" i="8"/>
  <c r="J27" i="8"/>
  <c r="I27" i="8"/>
  <c r="H27" i="8"/>
  <c r="G27" i="8"/>
  <c r="F27" i="8"/>
  <c r="E27" i="8"/>
  <c r="D27" i="8"/>
  <c r="AG24" i="8"/>
  <c r="AF24" i="8"/>
  <c r="AE24" i="8"/>
  <c r="AD24" i="8"/>
  <c r="AC24" i="8"/>
  <c r="AB24" i="8"/>
  <c r="AA24" i="8"/>
  <c r="Z24" i="8"/>
  <c r="Y24" i="8"/>
  <c r="X24" i="8"/>
  <c r="W24" i="8"/>
  <c r="V24" i="8"/>
  <c r="U24" i="8"/>
  <c r="T24" i="8"/>
  <c r="S24" i="8"/>
  <c r="R24" i="8"/>
  <c r="Q24" i="8"/>
  <c r="P24" i="8"/>
  <c r="O24" i="8"/>
  <c r="N24" i="8"/>
  <c r="M24" i="8"/>
  <c r="L24" i="8"/>
  <c r="K24" i="8"/>
  <c r="J24" i="8"/>
  <c r="I24" i="8"/>
  <c r="H24" i="8"/>
  <c r="G24" i="8"/>
  <c r="F24" i="8"/>
  <c r="E24" i="8"/>
  <c r="D24" i="8"/>
  <c r="C21" i="8"/>
  <c r="C18" i="8"/>
  <c r="C15" i="8"/>
  <c r="C12" i="8"/>
  <c r="C9" i="8"/>
  <c r="C6" i="8"/>
  <c r="C39" i="8"/>
  <c r="C36" i="8"/>
  <c r="C33" i="8"/>
  <c r="C30" i="8"/>
  <c r="C27" i="8"/>
  <c r="C24" i="8"/>
  <c r="R2" i="8"/>
  <c r="I2" i="8"/>
  <c r="B20" i="8"/>
  <c r="AF19" i="8" s="1"/>
  <c r="B17" i="8"/>
  <c r="AF16" i="8" s="1"/>
  <c r="B14" i="8"/>
  <c r="X13" i="8" s="1"/>
  <c r="B11" i="8"/>
  <c r="AC10" i="8" s="1"/>
  <c r="B8" i="8"/>
  <c r="W7" i="8" s="1"/>
  <c r="B5" i="8"/>
  <c r="AC4" i="8" s="1"/>
  <c r="B21" i="8"/>
  <c r="B18" i="8"/>
  <c r="B15" i="8"/>
  <c r="B12" i="8"/>
  <c r="B9" i="8"/>
  <c r="B6" i="8"/>
  <c r="B39" i="8"/>
  <c r="B36" i="8"/>
  <c r="B33" i="8"/>
  <c r="B30" i="8"/>
  <c r="B27" i="8"/>
  <c r="B24" i="8"/>
  <c r="B38" i="8"/>
  <c r="AF37" i="8" s="1"/>
  <c r="B35" i="8"/>
  <c r="AB34" i="8" s="1"/>
  <c r="B32" i="8"/>
  <c r="AE31" i="8" s="1"/>
  <c r="B29" i="8"/>
  <c r="AD28" i="8" s="1"/>
  <c r="B23" i="8"/>
  <c r="AC22" i="8" s="1"/>
  <c r="B26" i="8"/>
  <c r="F25" i="8" s="1"/>
  <c r="AG30" i="10"/>
  <c r="AF30" i="10"/>
  <c r="AE30" i="10"/>
  <c r="AD30" i="10"/>
  <c r="AC30" i="10"/>
  <c r="AB30" i="10"/>
  <c r="AA30" i="10"/>
  <c r="Z30" i="10"/>
  <c r="Y30" i="10"/>
  <c r="X30" i="10"/>
  <c r="W30" i="10"/>
  <c r="V30" i="10"/>
  <c r="U30" i="10"/>
  <c r="T30" i="10"/>
  <c r="S30" i="10"/>
  <c r="R30" i="10"/>
  <c r="Q30" i="10"/>
  <c r="P30" i="10"/>
  <c r="O30" i="10"/>
  <c r="N30" i="10"/>
  <c r="M30" i="10"/>
  <c r="L30" i="10"/>
  <c r="K30" i="10"/>
  <c r="J30" i="10"/>
  <c r="I30" i="10"/>
  <c r="H30" i="10"/>
  <c r="G30" i="10"/>
  <c r="F30" i="10"/>
  <c r="E30" i="10"/>
  <c r="D30" i="10"/>
  <c r="C30" i="10"/>
  <c r="AG21" i="10"/>
  <c r="AF21" i="10"/>
  <c r="AE21" i="10"/>
  <c r="AD21" i="10"/>
  <c r="AC21" i="10"/>
  <c r="AB21" i="10"/>
  <c r="AA21" i="10"/>
  <c r="Z21" i="10"/>
  <c r="Y21" i="10"/>
  <c r="X21" i="10"/>
  <c r="W21" i="10"/>
  <c r="V21" i="10"/>
  <c r="U21" i="10"/>
  <c r="T21" i="10"/>
  <c r="S21" i="10"/>
  <c r="R21" i="10"/>
  <c r="Q21" i="10"/>
  <c r="P21" i="10"/>
  <c r="O21" i="10"/>
  <c r="N21" i="10"/>
  <c r="M21" i="10"/>
  <c r="L21" i="10"/>
  <c r="K21" i="10"/>
  <c r="J21" i="10"/>
  <c r="I21" i="10"/>
  <c r="H21" i="10"/>
  <c r="G21" i="10"/>
  <c r="F21" i="10"/>
  <c r="E21" i="10"/>
  <c r="D21" i="10"/>
  <c r="C21" i="10"/>
  <c r="AF18" i="10"/>
  <c r="AE18" i="10"/>
  <c r="AD18" i="10"/>
  <c r="AC18" i="10"/>
  <c r="AB18" i="10"/>
  <c r="AA18" i="10"/>
  <c r="Z18" i="10"/>
  <c r="Y18" i="10"/>
  <c r="X18" i="10"/>
  <c r="W18" i="10"/>
  <c r="V18" i="10"/>
  <c r="U18" i="10"/>
  <c r="T18" i="10"/>
  <c r="S18" i="10"/>
  <c r="R18" i="10"/>
  <c r="Q18" i="10"/>
  <c r="P18" i="10"/>
  <c r="O18" i="10"/>
  <c r="N18" i="10"/>
  <c r="M18" i="10"/>
  <c r="L18" i="10"/>
  <c r="K18" i="10"/>
  <c r="J18" i="10"/>
  <c r="I18" i="10"/>
  <c r="H18" i="10"/>
  <c r="G18" i="10"/>
  <c r="F18" i="10"/>
  <c r="E18" i="10"/>
  <c r="D18" i="10"/>
  <c r="C18" i="10"/>
  <c r="AG15" i="10"/>
  <c r="AF15" i="10"/>
  <c r="AE15" i="10"/>
  <c r="AD15" i="10"/>
  <c r="AC15" i="10"/>
  <c r="AB15" i="10"/>
  <c r="AA15" i="10"/>
  <c r="Z15" i="10"/>
  <c r="Y15" i="10"/>
  <c r="X15" i="10"/>
  <c r="W15" i="10"/>
  <c r="V15" i="10"/>
  <c r="U15" i="10"/>
  <c r="T15" i="10"/>
  <c r="S15" i="10"/>
  <c r="R15" i="10"/>
  <c r="Q15" i="10"/>
  <c r="P15" i="10"/>
  <c r="O15" i="10"/>
  <c r="N15" i="10"/>
  <c r="M15" i="10"/>
  <c r="L15" i="10"/>
  <c r="K15" i="10"/>
  <c r="J15" i="10"/>
  <c r="I15" i="10"/>
  <c r="H15" i="10"/>
  <c r="G15" i="10"/>
  <c r="F15" i="10"/>
  <c r="E15" i="10"/>
  <c r="D15" i="10"/>
  <c r="C15" i="10"/>
  <c r="AF12" i="10"/>
  <c r="AE12" i="10"/>
  <c r="AD12" i="10"/>
  <c r="AC12" i="10"/>
  <c r="AB12" i="10"/>
  <c r="AA12" i="10"/>
  <c r="Z12" i="10"/>
  <c r="Y12" i="10"/>
  <c r="X12" i="10"/>
  <c r="W12" i="10"/>
  <c r="V12" i="10"/>
  <c r="U12" i="10"/>
  <c r="T12" i="10"/>
  <c r="S12" i="10"/>
  <c r="R12" i="10"/>
  <c r="Q12" i="10"/>
  <c r="P12" i="10"/>
  <c r="O12" i="10"/>
  <c r="N12" i="10"/>
  <c r="M12" i="10"/>
  <c r="L12" i="10"/>
  <c r="K12" i="10"/>
  <c r="J12" i="10"/>
  <c r="I12" i="10"/>
  <c r="H12" i="10"/>
  <c r="G12" i="10"/>
  <c r="F12" i="10"/>
  <c r="E12" i="10"/>
  <c r="D12" i="10"/>
  <c r="C12" i="10"/>
  <c r="AG9" i="10"/>
  <c r="AF9" i="10"/>
  <c r="AE9" i="10"/>
  <c r="AD9" i="10"/>
  <c r="AC9" i="10"/>
  <c r="AB9" i="10"/>
  <c r="AA9" i="10"/>
  <c r="Z9" i="10"/>
  <c r="Y9" i="10"/>
  <c r="X9" i="10"/>
  <c r="W9" i="10"/>
  <c r="V9" i="10"/>
  <c r="U9" i="10"/>
  <c r="T9" i="10"/>
  <c r="S9" i="10"/>
  <c r="R9" i="10"/>
  <c r="Q9" i="10"/>
  <c r="P9" i="10"/>
  <c r="O9" i="10"/>
  <c r="N9" i="10"/>
  <c r="M9" i="10"/>
  <c r="L9" i="10"/>
  <c r="K9" i="10"/>
  <c r="J9" i="10"/>
  <c r="I9" i="10"/>
  <c r="H9" i="10"/>
  <c r="G9" i="10"/>
  <c r="F9" i="10"/>
  <c r="E9" i="10"/>
  <c r="D9" i="10"/>
  <c r="C9" i="10"/>
  <c r="AG6" i="10"/>
  <c r="AF6" i="10"/>
  <c r="AE6" i="10"/>
  <c r="AD6" i="10"/>
  <c r="AC6" i="10"/>
  <c r="AB6" i="10"/>
  <c r="AA6" i="10"/>
  <c r="Z6" i="10"/>
  <c r="Y6" i="10"/>
  <c r="X6" i="10"/>
  <c r="W6" i="10"/>
  <c r="V6" i="10"/>
  <c r="U6" i="10"/>
  <c r="T6" i="10"/>
  <c r="S6" i="10"/>
  <c r="R6" i="10"/>
  <c r="Q6" i="10"/>
  <c r="P6" i="10"/>
  <c r="O6" i="10"/>
  <c r="N6" i="10"/>
  <c r="M6" i="10"/>
  <c r="L6" i="10"/>
  <c r="K6" i="10"/>
  <c r="J6" i="10"/>
  <c r="I6" i="10"/>
  <c r="H6" i="10"/>
  <c r="G6" i="10"/>
  <c r="F6" i="10"/>
  <c r="E6" i="10"/>
  <c r="D6" i="10"/>
  <c r="C6" i="10"/>
  <c r="AF39" i="10"/>
  <c r="AE39" i="10"/>
  <c r="AD39" i="10"/>
  <c r="AC39" i="10"/>
  <c r="AB39" i="10"/>
  <c r="AA39" i="10"/>
  <c r="Z39" i="10"/>
  <c r="Y39" i="10"/>
  <c r="X39" i="10"/>
  <c r="W39" i="10"/>
  <c r="V39" i="10"/>
  <c r="U39" i="10"/>
  <c r="T39" i="10"/>
  <c r="S39" i="10"/>
  <c r="R39" i="10"/>
  <c r="Q39" i="10"/>
  <c r="P39" i="10"/>
  <c r="O39" i="10"/>
  <c r="N39" i="10"/>
  <c r="M39" i="10"/>
  <c r="L39" i="10"/>
  <c r="K39" i="10"/>
  <c r="J39" i="10"/>
  <c r="I39" i="10"/>
  <c r="H39" i="10"/>
  <c r="G39" i="10"/>
  <c r="F39" i="10"/>
  <c r="E39" i="10"/>
  <c r="D39" i="10"/>
  <c r="C39" i="10"/>
  <c r="AG36" i="10"/>
  <c r="AF36" i="10"/>
  <c r="AE36" i="10"/>
  <c r="AD36" i="10"/>
  <c r="AC36" i="10"/>
  <c r="AB36" i="10"/>
  <c r="AA36" i="10"/>
  <c r="Z36" i="10"/>
  <c r="Y36" i="10"/>
  <c r="X36" i="10"/>
  <c r="W36" i="10"/>
  <c r="V36" i="10"/>
  <c r="U36" i="10"/>
  <c r="T36" i="10"/>
  <c r="S36" i="10"/>
  <c r="R36" i="10"/>
  <c r="Q36" i="10"/>
  <c r="P36" i="10"/>
  <c r="O36" i="10"/>
  <c r="N36" i="10"/>
  <c r="M36" i="10"/>
  <c r="L36" i="10"/>
  <c r="K36" i="10"/>
  <c r="J36" i="10"/>
  <c r="I36" i="10"/>
  <c r="H36" i="10"/>
  <c r="G36" i="10"/>
  <c r="F36" i="10"/>
  <c r="E36" i="10"/>
  <c r="D36" i="10"/>
  <c r="C36" i="10"/>
  <c r="AF33" i="10"/>
  <c r="AE33" i="10"/>
  <c r="AD33" i="10"/>
  <c r="AC33" i="10"/>
  <c r="AB33" i="10"/>
  <c r="AA33" i="10"/>
  <c r="Z33" i="10"/>
  <c r="Y33" i="10"/>
  <c r="X33" i="10"/>
  <c r="W33" i="10"/>
  <c r="V33" i="10"/>
  <c r="U33" i="10"/>
  <c r="T33" i="10"/>
  <c r="S33" i="10"/>
  <c r="R33" i="10"/>
  <c r="Q33" i="10"/>
  <c r="P33" i="10"/>
  <c r="O33" i="10"/>
  <c r="N33" i="10"/>
  <c r="M33" i="10"/>
  <c r="L33" i="10"/>
  <c r="K33" i="10"/>
  <c r="J33" i="10"/>
  <c r="I33" i="10"/>
  <c r="H33" i="10"/>
  <c r="G33" i="10"/>
  <c r="F33" i="10"/>
  <c r="E33" i="10"/>
  <c r="D33" i="10"/>
  <c r="C33" i="10"/>
  <c r="AE27" i="10"/>
  <c r="AD27" i="10"/>
  <c r="AC27" i="10"/>
  <c r="AB27" i="10"/>
  <c r="AA27" i="10"/>
  <c r="Z27" i="10"/>
  <c r="Y27" i="10"/>
  <c r="X27" i="10"/>
  <c r="W27" i="10"/>
  <c r="V27" i="10"/>
  <c r="U27" i="10"/>
  <c r="T27" i="10"/>
  <c r="S27" i="10"/>
  <c r="R27" i="10"/>
  <c r="Q27" i="10"/>
  <c r="P27" i="10"/>
  <c r="O27" i="10"/>
  <c r="N27" i="10"/>
  <c r="M27" i="10"/>
  <c r="L27" i="10"/>
  <c r="K27" i="10"/>
  <c r="J27" i="10"/>
  <c r="I27" i="10"/>
  <c r="H27" i="10"/>
  <c r="G27" i="10"/>
  <c r="F27" i="10"/>
  <c r="E27" i="10"/>
  <c r="D27" i="10"/>
  <c r="C27" i="10"/>
  <c r="AG24" i="10"/>
  <c r="AF24" i="10"/>
  <c r="AE24" i="10"/>
  <c r="AD24" i="10"/>
  <c r="AC24" i="10"/>
  <c r="AB24" i="10"/>
  <c r="AA24" i="10"/>
  <c r="Z24" i="10"/>
  <c r="Y24" i="10"/>
  <c r="X24" i="10"/>
  <c r="W24" i="10"/>
  <c r="V24" i="10"/>
  <c r="U24" i="10"/>
  <c r="T24" i="10"/>
  <c r="S24" i="10"/>
  <c r="R24" i="10"/>
  <c r="Q24" i="10"/>
  <c r="P24" i="10"/>
  <c r="O24" i="10"/>
  <c r="N24" i="10"/>
  <c r="M24" i="10"/>
  <c r="L24" i="10"/>
  <c r="K24" i="10"/>
  <c r="J24" i="10"/>
  <c r="I24" i="10"/>
  <c r="H24" i="10"/>
  <c r="G24" i="10"/>
  <c r="F24" i="10"/>
  <c r="E24" i="10"/>
  <c r="D24" i="10"/>
  <c r="C24" i="10"/>
  <c r="R3" i="10"/>
  <c r="R2" i="10"/>
  <c r="I2" i="10"/>
  <c r="B20" i="10"/>
  <c r="AF19" i="10" s="1"/>
  <c r="B17" i="10"/>
  <c r="AC16" i="10" s="1"/>
  <c r="B14" i="10"/>
  <c r="AD13" i="10" s="1"/>
  <c r="B11" i="10"/>
  <c r="I10" i="10" s="1"/>
  <c r="B8" i="10"/>
  <c r="X7" i="10" s="1"/>
  <c r="B5" i="10"/>
  <c r="AC4" i="10" s="1"/>
  <c r="B21" i="10"/>
  <c r="B18" i="10"/>
  <c r="B15" i="10"/>
  <c r="B12" i="10"/>
  <c r="B9" i="10"/>
  <c r="B6" i="10"/>
  <c r="B39" i="10"/>
  <c r="B36" i="10"/>
  <c r="B33" i="10"/>
  <c r="B30" i="10"/>
  <c r="B27" i="10"/>
  <c r="B24" i="10"/>
  <c r="B38" i="10"/>
  <c r="W37" i="10" s="1"/>
  <c r="B35" i="10"/>
  <c r="AD34" i="10" s="1"/>
  <c r="B32" i="10"/>
  <c r="B29" i="10"/>
  <c r="AB28" i="10" s="1"/>
  <c r="B23" i="10"/>
  <c r="AF22" i="10" s="1"/>
  <c r="B26" i="10"/>
  <c r="D25" i="10" s="1"/>
  <c r="R3" i="11"/>
  <c r="AG21" i="11"/>
  <c r="AF21" i="11"/>
  <c r="AE21" i="11"/>
  <c r="AD21" i="11"/>
  <c r="AC21" i="11"/>
  <c r="AB21" i="11"/>
  <c r="AA21" i="11"/>
  <c r="Z21" i="11"/>
  <c r="Y21" i="11"/>
  <c r="X21" i="11"/>
  <c r="W21" i="11"/>
  <c r="V21" i="11"/>
  <c r="U21" i="11"/>
  <c r="T21" i="11"/>
  <c r="S21" i="11"/>
  <c r="R21" i="11"/>
  <c r="Q21" i="11"/>
  <c r="P21" i="11"/>
  <c r="O21" i="11"/>
  <c r="N21" i="11"/>
  <c r="M21" i="11"/>
  <c r="L21" i="11"/>
  <c r="K21" i="11"/>
  <c r="J21" i="11"/>
  <c r="I21" i="11"/>
  <c r="H21" i="11"/>
  <c r="G21" i="11"/>
  <c r="F21" i="11"/>
  <c r="E21" i="11"/>
  <c r="D21" i="11"/>
  <c r="C21" i="11"/>
  <c r="AF18" i="11"/>
  <c r="AE18" i="11"/>
  <c r="AD18" i="11"/>
  <c r="AC18" i="11"/>
  <c r="AB18" i="11"/>
  <c r="AA18" i="11"/>
  <c r="Z18" i="11"/>
  <c r="Y18" i="11"/>
  <c r="X18" i="11"/>
  <c r="W18" i="11"/>
  <c r="V18" i="11"/>
  <c r="U18" i="11"/>
  <c r="T18" i="11"/>
  <c r="S18" i="11"/>
  <c r="R18" i="11"/>
  <c r="Q18" i="11"/>
  <c r="P18" i="11"/>
  <c r="O18" i="11"/>
  <c r="N18" i="11"/>
  <c r="M18" i="11"/>
  <c r="L18" i="11"/>
  <c r="K18" i="11"/>
  <c r="J18" i="11"/>
  <c r="I18" i="11"/>
  <c r="H18" i="11"/>
  <c r="G18" i="11"/>
  <c r="F18" i="11"/>
  <c r="E18" i="11"/>
  <c r="D18" i="11"/>
  <c r="C18" i="11"/>
  <c r="AG15" i="11"/>
  <c r="AF15" i="11"/>
  <c r="AE15" i="11"/>
  <c r="AD15" i="11"/>
  <c r="AC15" i="11"/>
  <c r="AB15" i="11"/>
  <c r="AA15" i="11"/>
  <c r="Z15" i="11"/>
  <c r="Y15" i="11"/>
  <c r="X15" i="11"/>
  <c r="W15" i="11"/>
  <c r="V15" i="11"/>
  <c r="U15" i="11"/>
  <c r="T15" i="11"/>
  <c r="S15" i="11"/>
  <c r="R15" i="11"/>
  <c r="Q15" i="11"/>
  <c r="P15" i="11"/>
  <c r="O15" i="11"/>
  <c r="N15" i="11"/>
  <c r="M15" i="11"/>
  <c r="L15" i="11"/>
  <c r="K15" i="11"/>
  <c r="J15" i="11"/>
  <c r="I15" i="11"/>
  <c r="H15" i="11"/>
  <c r="G15" i="11"/>
  <c r="F15" i="11"/>
  <c r="E15" i="11"/>
  <c r="D15" i="11"/>
  <c r="C15" i="11"/>
  <c r="AF12" i="11"/>
  <c r="AE12" i="11"/>
  <c r="AD12" i="11"/>
  <c r="AC12" i="11"/>
  <c r="AB12" i="11"/>
  <c r="AA12" i="11"/>
  <c r="Z12" i="11"/>
  <c r="Y12" i="11"/>
  <c r="X12" i="11"/>
  <c r="W12" i="11"/>
  <c r="V12" i="11"/>
  <c r="U12" i="11"/>
  <c r="T12" i="11"/>
  <c r="S12" i="11"/>
  <c r="R12" i="11"/>
  <c r="Q12" i="11"/>
  <c r="P12" i="11"/>
  <c r="O12" i="11"/>
  <c r="N12" i="11"/>
  <c r="M12" i="11"/>
  <c r="L12" i="11"/>
  <c r="K12" i="11"/>
  <c r="J12" i="11"/>
  <c r="I12" i="11"/>
  <c r="H12" i="11"/>
  <c r="G12" i="11"/>
  <c r="F12" i="11"/>
  <c r="E12" i="11"/>
  <c r="D12" i="11"/>
  <c r="C12" i="11"/>
  <c r="AG9" i="11"/>
  <c r="AF9" i="11"/>
  <c r="AE9" i="11"/>
  <c r="AD9" i="11"/>
  <c r="AC9" i="11"/>
  <c r="AB9" i="11"/>
  <c r="AA9" i="11"/>
  <c r="Z9" i="11"/>
  <c r="Y9" i="11"/>
  <c r="X9" i="11"/>
  <c r="W9" i="11"/>
  <c r="V9" i="11"/>
  <c r="U9" i="11"/>
  <c r="T9" i="11"/>
  <c r="S9" i="11"/>
  <c r="R9" i="11"/>
  <c r="Q9" i="11"/>
  <c r="P9" i="11"/>
  <c r="O9" i="11"/>
  <c r="N9" i="11"/>
  <c r="M9" i="11"/>
  <c r="L9" i="11"/>
  <c r="K9" i="11"/>
  <c r="J9" i="11"/>
  <c r="I9" i="11"/>
  <c r="H9" i="11"/>
  <c r="G9" i="11"/>
  <c r="F9" i="11"/>
  <c r="E9" i="11"/>
  <c r="D9" i="11"/>
  <c r="C9" i="11"/>
  <c r="AG6" i="11"/>
  <c r="AF6" i="11"/>
  <c r="AE6" i="11"/>
  <c r="AD6" i="11"/>
  <c r="AC6" i="11"/>
  <c r="AB6" i="11"/>
  <c r="AA6" i="11"/>
  <c r="Z6" i="11"/>
  <c r="Y6" i="11"/>
  <c r="X6" i="11"/>
  <c r="W6" i="11"/>
  <c r="V6" i="11"/>
  <c r="U6" i="11"/>
  <c r="T6" i="11"/>
  <c r="S6" i="11"/>
  <c r="R6" i="11"/>
  <c r="Q6" i="11"/>
  <c r="P6" i="11"/>
  <c r="O6" i="11"/>
  <c r="N6" i="11"/>
  <c r="M6" i="11"/>
  <c r="L6" i="11"/>
  <c r="K6" i="11"/>
  <c r="J6" i="11"/>
  <c r="I6" i="11"/>
  <c r="H6" i="11"/>
  <c r="G6" i="11"/>
  <c r="F6" i="11"/>
  <c r="E6" i="11"/>
  <c r="D6" i="11"/>
  <c r="C6" i="11"/>
  <c r="AF39" i="11"/>
  <c r="AE39" i="11"/>
  <c r="AD39" i="11"/>
  <c r="AC39" i="11"/>
  <c r="AB39" i="11"/>
  <c r="AA39" i="11"/>
  <c r="Z39" i="11"/>
  <c r="Y39" i="11"/>
  <c r="X39" i="11"/>
  <c r="W39" i="11"/>
  <c r="V39" i="11"/>
  <c r="U39" i="11"/>
  <c r="T39" i="11"/>
  <c r="S39" i="11"/>
  <c r="R39" i="11"/>
  <c r="Q39" i="11"/>
  <c r="P39" i="11"/>
  <c r="O39" i="11"/>
  <c r="N39" i="11"/>
  <c r="M39" i="11"/>
  <c r="L39" i="11"/>
  <c r="K39" i="11"/>
  <c r="J39" i="11"/>
  <c r="I39" i="11"/>
  <c r="H39" i="11"/>
  <c r="G39" i="11"/>
  <c r="F39" i="11"/>
  <c r="E39" i="11"/>
  <c r="D39" i="11"/>
  <c r="C39" i="11"/>
  <c r="AG36" i="11"/>
  <c r="AF36" i="11"/>
  <c r="AE36" i="11"/>
  <c r="AD36" i="11"/>
  <c r="AC36" i="11"/>
  <c r="AB36" i="11"/>
  <c r="AA36" i="11"/>
  <c r="Z36" i="11"/>
  <c r="Y36" i="11"/>
  <c r="X36" i="11"/>
  <c r="W36" i="11"/>
  <c r="V36" i="11"/>
  <c r="U36" i="11"/>
  <c r="T36" i="11"/>
  <c r="S36" i="11"/>
  <c r="R36" i="11"/>
  <c r="Q36" i="11"/>
  <c r="P36" i="11"/>
  <c r="O36" i="11"/>
  <c r="N36" i="11"/>
  <c r="M36" i="11"/>
  <c r="L36" i="11"/>
  <c r="K36" i="11"/>
  <c r="J36" i="11"/>
  <c r="I36" i="11"/>
  <c r="H36" i="11"/>
  <c r="G36" i="11"/>
  <c r="F36" i="11"/>
  <c r="E36" i="11"/>
  <c r="D36" i="11"/>
  <c r="C36" i="11"/>
  <c r="AF33" i="11"/>
  <c r="AE33" i="11"/>
  <c r="AD33" i="11"/>
  <c r="AC33" i="11"/>
  <c r="AB33" i="11"/>
  <c r="AA33" i="11"/>
  <c r="Z33" i="11"/>
  <c r="Y33" i="11"/>
  <c r="X33" i="11"/>
  <c r="W33" i="11"/>
  <c r="V33" i="11"/>
  <c r="U33" i="11"/>
  <c r="T33" i="11"/>
  <c r="S33" i="11"/>
  <c r="R33" i="11"/>
  <c r="Q33" i="11"/>
  <c r="P33" i="11"/>
  <c r="O33" i="11"/>
  <c r="N33" i="11"/>
  <c r="M33" i="11"/>
  <c r="L33" i="11"/>
  <c r="K33" i="11"/>
  <c r="J33" i="11"/>
  <c r="I33" i="11"/>
  <c r="H33" i="11"/>
  <c r="G33" i="11"/>
  <c r="F33" i="11"/>
  <c r="E33" i="11"/>
  <c r="D33" i="11"/>
  <c r="C33" i="11"/>
  <c r="AG30" i="11"/>
  <c r="AF30" i="11"/>
  <c r="AE30" i="11"/>
  <c r="AD30" i="11"/>
  <c r="AC30" i="11"/>
  <c r="AB30" i="11"/>
  <c r="AA30" i="11"/>
  <c r="Z30" i="11"/>
  <c r="Y30" i="11"/>
  <c r="X30" i="11"/>
  <c r="W30" i="11"/>
  <c r="V30" i="11"/>
  <c r="U30" i="11"/>
  <c r="T30" i="11"/>
  <c r="S30" i="11"/>
  <c r="R30" i="11"/>
  <c r="Q30" i="11"/>
  <c r="P30" i="11"/>
  <c r="O30" i="11"/>
  <c r="N30" i="11"/>
  <c r="M30" i="11"/>
  <c r="L30" i="11"/>
  <c r="K30" i="11"/>
  <c r="J30" i="11"/>
  <c r="I30" i="11"/>
  <c r="H30" i="11"/>
  <c r="G30" i="11"/>
  <c r="F30" i="11"/>
  <c r="E30" i="11"/>
  <c r="D30" i="11"/>
  <c r="C30" i="11"/>
  <c r="AE27" i="11"/>
  <c r="AD27" i="11"/>
  <c r="AC27" i="11"/>
  <c r="AB27" i="11"/>
  <c r="AA27" i="11"/>
  <c r="Z27" i="11"/>
  <c r="Y27" i="11"/>
  <c r="X27" i="11"/>
  <c r="W27" i="11"/>
  <c r="V27" i="11"/>
  <c r="U27" i="11"/>
  <c r="T27" i="11"/>
  <c r="S27" i="11"/>
  <c r="R27" i="11"/>
  <c r="Q27" i="11"/>
  <c r="P27" i="11"/>
  <c r="O27" i="11"/>
  <c r="N27" i="11"/>
  <c r="M27" i="11"/>
  <c r="L27" i="11"/>
  <c r="K27" i="11"/>
  <c r="J27" i="11"/>
  <c r="I27" i="11"/>
  <c r="H27" i="11"/>
  <c r="G27" i="11"/>
  <c r="F27" i="11"/>
  <c r="E27" i="11"/>
  <c r="D27" i="11"/>
  <c r="C27" i="11"/>
  <c r="AG24" i="11"/>
  <c r="AF24" i="11"/>
  <c r="AE24" i="11"/>
  <c r="AD24" i="11"/>
  <c r="AC24" i="11"/>
  <c r="AB24" i="11"/>
  <c r="AA24" i="11"/>
  <c r="Z24" i="11"/>
  <c r="Y24" i="11"/>
  <c r="X24" i="11"/>
  <c r="W24" i="11"/>
  <c r="V24" i="11"/>
  <c r="U24" i="11"/>
  <c r="T24" i="11"/>
  <c r="S24" i="11"/>
  <c r="R24" i="11"/>
  <c r="Q24" i="11"/>
  <c r="P24" i="11"/>
  <c r="O24" i="11"/>
  <c r="N24" i="11"/>
  <c r="M24" i="11"/>
  <c r="L24" i="11"/>
  <c r="K24" i="11"/>
  <c r="J24" i="11"/>
  <c r="I24" i="11"/>
  <c r="H24" i="11"/>
  <c r="G24" i="11"/>
  <c r="F24" i="11"/>
  <c r="E24" i="11"/>
  <c r="D24" i="11"/>
  <c r="C24" i="11"/>
  <c r="R2" i="11"/>
  <c r="I2" i="11"/>
  <c r="B20" i="11"/>
  <c r="Y19" i="11" s="1"/>
  <c r="B17" i="11"/>
  <c r="AF16" i="11" s="1"/>
  <c r="B14" i="11"/>
  <c r="X13" i="11" s="1"/>
  <c r="B11" i="11"/>
  <c r="O10" i="11" s="1"/>
  <c r="B8" i="11"/>
  <c r="AE7" i="11" s="1"/>
  <c r="B5" i="11"/>
  <c r="AF4" i="11" s="1"/>
  <c r="B21" i="11"/>
  <c r="B18" i="11"/>
  <c r="B15" i="11"/>
  <c r="B12" i="11"/>
  <c r="B9" i="11"/>
  <c r="B6" i="11"/>
  <c r="B39" i="11"/>
  <c r="B36" i="11"/>
  <c r="B33" i="11"/>
  <c r="B30" i="11"/>
  <c r="B27" i="11"/>
  <c r="B24" i="11"/>
  <c r="B38" i="11"/>
  <c r="AC37" i="11" s="1"/>
  <c r="B35" i="11"/>
  <c r="AD34" i="11" s="1"/>
  <c r="B32" i="11"/>
  <c r="AF31" i="11" s="1"/>
  <c r="B29" i="11"/>
  <c r="Z28" i="11" s="1"/>
  <c r="B23" i="11"/>
  <c r="AG22" i="11" s="1"/>
  <c r="B26" i="11"/>
  <c r="F25" i="11" s="1"/>
  <c r="R3" i="12"/>
  <c r="AG21" i="12"/>
  <c r="AF21" i="12"/>
  <c r="AE21" i="12"/>
  <c r="AD21" i="12"/>
  <c r="AC21" i="12"/>
  <c r="AB21" i="12"/>
  <c r="AA21" i="12"/>
  <c r="Z21" i="12"/>
  <c r="Y21" i="12"/>
  <c r="X21" i="12"/>
  <c r="W21" i="12"/>
  <c r="V21" i="12"/>
  <c r="U21" i="12"/>
  <c r="T21" i="12"/>
  <c r="S21" i="12"/>
  <c r="R21" i="12"/>
  <c r="Q21" i="12"/>
  <c r="P21" i="12"/>
  <c r="O21" i="12"/>
  <c r="N21" i="12"/>
  <c r="M21" i="12"/>
  <c r="L21" i="12"/>
  <c r="K21" i="12"/>
  <c r="J21" i="12"/>
  <c r="I21" i="12"/>
  <c r="H21" i="12"/>
  <c r="G21" i="12"/>
  <c r="F21" i="12"/>
  <c r="E21" i="12"/>
  <c r="D21" i="12"/>
  <c r="C21" i="12"/>
  <c r="AF18" i="12"/>
  <c r="AE18" i="12"/>
  <c r="AD18" i="12"/>
  <c r="AC18" i="12"/>
  <c r="AB18" i="12"/>
  <c r="AA18" i="12"/>
  <c r="Z18" i="12"/>
  <c r="Y18" i="12"/>
  <c r="X18" i="12"/>
  <c r="W18" i="12"/>
  <c r="V18" i="12"/>
  <c r="U18" i="12"/>
  <c r="T18" i="12"/>
  <c r="S18" i="12"/>
  <c r="R18" i="12"/>
  <c r="Q18" i="12"/>
  <c r="P18" i="12"/>
  <c r="O18" i="12"/>
  <c r="N18" i="12"/>
  <c r="M18" i="12"/>
  <c r="L18" i="12"/>
  <c r="K18" i="12"/>
  <c r="J18" i="12"/>
  <c r="I18" i="12"/>
  <c r="H18" i="12"/>
  <c r="G18" i="12"/>
  <c r="F18" i="12"/>
  <c r="E18" i="12"/>
  <c r="D18" i="12"/>
  <c r="C18" i="12"/>
  <c r="AG15" i="12"/>
  <c r="AF15" i="12"/>
  <c r="AE15" i="12"/>
  <c r="AD15" i="12"/>
  <c r="AC15" i="12"/>
  <c r="AB15" i="12"/>
  <c r="AA15" i="12"/>
  <c r="Z15" i="12"/>
  <c r="Y15" i="12"/>
  <c r="X15" i="12"/>
  <c r="W15" i="12"/>
  <c r="V15" i="12"/>
  <c r="U15" i="12"/>
  <c r="T15" i="12"/>
  <c r="S15" i="12"/>
  <c r="R15" i="12"/>
  <c r="Q15" i="12"/>
  <c r="P15" i="12"/>
  <c r="O15" i="12"/>
  <c r="N15" i="12"/>
  <c r="M15" i="12"/>
  <c r="L15" i="12"/>
  <c r="K15" i="12"/>
  <c r="J15" i="12"/>
  <c r="I15" i="12"/>
  <c r="H15" i="12"/>
  <c r="G15" i="12"/>
  <c r="F15" i="12"/>
  <c r="E15" i="12"/>
  <c r="D15" i="12"/>
  <c r="C15" i="12"/>
  <c r="AF12" i="12"/>
  <c r="AE12" i="12"/>
  <c r="AD12" i="12"/>
  <c r="AC12" i="12"/>
  <c r="AB12" i="12"/>
  <c r="AA12" i="12"/>
  <c r="Z12" i="12"/>
  <c r="Y12" i="12"/>
  <c r="X12" i="12"/>
  <c r="W12" i="12"/>
  <c r="V12" i="12"/>
  <c r="U12" i="12"/>
  <c r="T12" i="12"/>
  <c r="S12" i="12"/>
  <c r="R12" i="12"/>
  <c r="Q12" i="12"/>
  <c r="P12" i="12"/>
  <c r="O12" i="12"/>
  <c r="N12" i="12"/>
  <c r="M12" i="12"/>
  <c r="L12" i="12"/>
  <c r="K12" i="12"/>
  <c r="J12" i="12"/>
  <c r="I12" i="12"/>
  <c r="H12" i="12"/>
  <c r="G12" i="12"/>
  <c r="F12" i="12"/>
  <c r="E12" i="12"/>
  <c r="D12" i="12"/>
  <c r="C12" i="12"/>
  <c r="D9" i="12"/>
  <c r="E9" i="12"/>
  <c r="F9" i="12"/>
  <c r="G9" i="12"/>
  <c r="H9" i="12"/>
  <c r="I9" i="12"/>
  <c r="J9" i="12"/>
  <c r="K9" i="12"/>
  <c r="L9" i="12"/>
  <c r="M9" i="12"/>
  <c r="N9" i="12"/>
  <c r="O9" i="12"/>
  <c r="P9" i="12"/>
  <c r="Q9" i="12"/>
  <c r="R9" i="12"/>
  <c r="S9" i="12"/>
  <c r="T9" i="12"/>
  <c r="U9" i="12"/>
  <c r="V9" i="12"/>
  <c r="W9" i="12"/>
  <c r="X9" i="12"/>
  <c r="Y9" i="12"/>
  <c r="Z9" i="12"/>
  <c r="AA9" i="12"/>
  <c r="AB9" i="12"/>
  <c r="AC9" i="12"/>
  <c r="AD9" i="12"/>
  <c r="AE9" i="12"/>
  <c r="AF9" i="12"/>
  <c r="AG9" i="12"/>
  <c r="C9" i="12"/>
  <c r="AG6" i="12"/>
  <c r="AF6" i="12"/>
  <c r="AE6" i="12"/>
  <c r="AD6" i="12"/>
  <c r="AC6" i="12"/>
  <c r="AB6" i="12"/>
  <c r="AA6" i="12"/>
  <c r="Z6" i="12"/>
  <c r="Y6" i="12"/>
  <c r="X6" i="12"/>
  <c r="W6" i="12"/>
  <c r="V6" i="12"/>
  <c r="U6" i="12"/>
  <c r="T6" i="12"/>
  <c r="S6" i="12"/>
  <c r="R6" i="12"/>
  <c r="Q6" i="12"/>
  <c r="P6" i="12"/>
  <c r="O6" i="12"/>
  <c r="N6" i="12"/>
  <c r="M6" i="12"/>
  <c r="L6" i="12"/>
  <c r="K6" i="12"/>
  <c r="J6" i="12"/>
  <c r="I6" i="12"/>
  <c r="H6" i="12"/>
  <c r="G6" i="12"/>
  <c r="F6" i="12"/>
  <c r="E6" i="12"/>
  <c r="D6" i="12"/>
  <c r="C6" i="12"/>
  <c r="AF39" i="12"/>
  <c r="AE39" i="12"/>
  <c r="AD39" i="12"/>
  <c r="AC39" i="12"/>
  <c r="AB39" i="12"/>
  <c r="AA39" i="12"/>
  <c r="Z39" i="12"/>
  <c r="Y39" i="12"/>
  <c r="X39" i="12"/>
  <c r="W39" i="12"/>
  <c r="V39" i="12"/>
  <c r="U39" i="12"/>
  <c r="T39" i="12"/>
  <c r="S39" i="12"/>
  <c r="R39" i="12"/>
  <c r="Q39" i="12"/>
  <c r="P39" i="12"/>
  <c r="O39" i="12"/>
  <c r="N39" i="12"/>
  <c r="M39" i="12"/>
  <c r="L39" i="12"/>
  <c r="K39" i="12"/>
  <c r="J39" i="12"/>
  <c r="I39" i="12"/>
  <c r="H39" i="12"/>
  <c r="G39" i="12"/>
  <c r="F39" i="12"/>
  <c r="E39" i="12"/>
  <c r="D39" i="12"/>
  <c r="C39" i="12"/>
  <c r="AG36" i="12"/>
  <c r="AF36" i="12"/>
  <c r="AE36" i="12"/>
  <c r="AD36" i="12"/>
  <c r="AC36" i="12"/>
  <c r="AB36" i="12"/>
  <c r="AA36" i="12"/>
  <c r="Z36" i="12"/>
  <c r="Y36" i="12"/>
  <c r="X36" i="12"/>
  <c r="W36" i="12"/>
  <c r="V36" i="12"/>
  <c r="U36" i="12"/>
  <c r="T36" i="12"/>
  <c r="S36" i="12"/>
  <c r="R36" i="12"/>
  <c r="Q36" i="12"/>
  <c r="P36" i="12"/>
  <c r="O36" i="12"/>
  <c r="N36" i="12"/>
  <c r="M36" i="12"/>
  <c r="L36" i="12"/>
  <c r="K36" i="12"/>
  <c r="J36" i="12"/>
  <c r="I36" i="12"/>
  <c r="H36" i="12"/>
  <c r="G36" i="12"/>
  <c r="F36" i="12"/>
  <c r="E36" i="12"/>
  <c r="D36" i="12"/>
  <c r="C36" i="12"/>
  <c r="AF33" i="12"/>
  <c r="AE33" i="12"/>
  <c r="AD33" i="12"/>
  <c r="AC33" i="12"/>
  <c r="AB33" i="12"/>
  <c r="AA33" i="12"/>
  <c r="Z33" i="12"/>
  <c r="Y33" i="12"/>
  <c r="X33" i="12"/>
  <c r="W33" i="12"/>
  <c r="V33" i="12"/>
  <c r="U33" i="12"/>
  <c r="T33" i="12"/>
  <c r="S33" i="12"/>
  <c r="R33" i="12"/>
  <c r="Q33" i="12"/>
  <c r="P33" i="12"/>
  <c r="O33" i="12"/>
  <c r="N33" i="12"/>
  <c r="M33" i="12"/>
  <c r="L33" i="12"/>
  <c r="K33" i="12"/>
  <c r="J33" i="12"/>
  <c r="I33" i="12"/>
  <c r="H33" i="12"/>
  <c r="G33" i="12"/>
  <c r="F33" i="12"/>
  <c r="E33" i="12"/>
  <c r="D33" i="12"/>
  <c r="C33" i="12"/>
  <c r="AG30" i="12"/>
  <c r="AF30" i="12"/>
  <c r="AE30" i="12"/>
  <c r="AD30" i="12"/>
  <c r="AC30" i="12"/>
  <c r="AB30" i="12"/>
  <c r="AA30" i="12"/>
  <c r="Z30" i="12"/>
  <c r="Y30" i="12"/>
  <c r="X30" i="12"/>
  <c r="W30" i="12"/>
  <c r="V30" i="12"/>
  <c r="U30" i="12"/>
  <c r="T30" i="12"/>
  <c r="S30" i="12"/>
  <c r="R30" i="12"/>
  <c r="Q30" i="12"/>
  <c r="P30" i="12"/>
  <c r="O30" i="12"/>
  <c r="N30" i="12"/>
  <c r="M30" i="12"/>
  <c r="L30" i="12"/>
  <c r="K30" i="12"/>
  <c r="J30" i="12"/>
  <c r="I30" i="12"/>
  <c r="H30" i="12"/>
  <c r="G30" i="12"/>
  <c r="F30" i="12"/>
  <c r="E30" i="12"/>
  <c r="D30" i="12"/>
  <c r="C30" i="12"/>
  <c r="D27" i="12"/>
  <c r="E27" i="12"/>
  <c r="F27" i="12"/>
  <c r="G27" i="12"/>
  <c r="H27" i="12"/>
  <c r="I27" i="12"/>
  <c r="J27" i="12"/>
  <c r="K27" i="12"/>
  <c r="L27" i="12"/>
  <c r="M27" i="12"/>
  <c r="N27" i="12"/>
  <c r="O27" i="12"/>
  <c r="P27" i="12"/>
  <c r="Q27" i="12"/>
  <c r="R27" i="12"/>
  <c r="S27" i="12"/>
  <c r="T27" i="12"/>
  <c r="U27" i="12"/>
  <c r="V27" i="12"/>
  <c r="W27" i="12"/>
  <c r="X27" i="12"/>
  <c r="Y27" i="12"/>
  <c r="Z27" i="12"/>
  <c r="AA27" i="12"/>
  <c r="AB27" i="12"/>
  <c r="AC27" i="12"/>
  <c r="AD27" i="12"/>
  <c r="AE27" i="12"/>
  <c r="C27" i="12"/>
  <c r="AG24" i="12"/>
  <c r="AF24" i="12"/>
  <c r="AE24" i="12"/>
  <c r="AD24" i="12"/>
  <c r="AC24" i="12"/>
  <c r="AB24" i="12"/>
  <c r="AA24" i="12"/>
  <c r="Z24" i="12"/>
  <c r="Y24" i="12"/>
  <c r="X24" i="12"/>
  <c r="W24" i="12"/>
  <c r="V24" i="12"/>
  <c r="U24" i="12"/>
  <c r="T24" i="12"/>
  <c r="S24" i="12"/>
  <c r="R24" i="12"/>
  <c r="Q24" i="12"/>
  <c r="P24" i="12"/>
  <c r="O24" i="12"/>
  <c r="N24" i="12"/>
  <c r="M24" i="12"/>
  <c r="L24" i="12"/>
  <c r="K24" i="12"/>
  <c r="J24" i="12"/>
  <c r="I24" i="12"/>
  <c r="H24" i="12"/>
  <c r="G24" i="12"/>
  <c r="F24" i="12"/>
  <c r="E24" i="12"/>
  <c r="D24" i="12"/>
  <c r="C24" i="12"/>
  <c r="R2" i="12"/>
  <c r="I2" i="12"/>
  <c r="B20" i="12"/>
  <c r="AG19" i="12" s="1"/>
  <c r="B17" i="12"/>
  <c r="W16" i="12" s="1"/>
  <c r="B14" i="12"/>
  <c r="AA13" i="12" s="1"/>
  <c r="B11" i="12"/>
  <c r="Z10" i="12" s="1"/>
  <c r="B8" i="12"/>
  <c r="V7" i="12" s="1"/>
  <c r="B5" i="12"/>
  <c r="AD4" i="12" s="1"/>
  <c r="B21" i="12"/>
  <c r="B18" i="12"/>
  <c r="B15" i="12"/>
  <c r="B12" i="12"/>
  <c r="B9" i="12"/>
  <c r="B6" i="12"/>
  <c r="B39" i="12"/>
  <c r="B36" i="12"/>
  <c r="B33" i="12"/>
  <c r="B30" i="12"/>
  <c r="B27" i="12"/>
  <c r="B24" i="12"/>
  <c r="B38" i="12"/>
  <c r="AC37" i="12" s="1"/>
  <c r="B35" i="12"/>
  <c r="AG34" i="12" s="1"/>
  <c r="B32" i="12"/>
  <c r="AF31" i="12" s="1"/>
  <c r="B29" i="12"/>
  <c r="AG28" i="12" s="1"/>
  <c r="B23" i="12"/>
  <c r="AD22" i="12" s="1"/>
  <c r="B26" i="12"/>
  <c r="C25" i="12" s="1"/>
  <c r="J3" i="2"/>
  <c r="C113" i="2"/>
  <c r="C111" i="2"/>
  <c r="C110" i="2"/>
  <c r="C109" i="2"/>
  <c r="C108" i="2"/>
  <c r="C107" i="2"/>
  <c r="C106" i="2"/>
  <c r="C105" i="2"/>
  <c r="C98" i="2"/>
  <c r="C97" i="2"/>
  <c r="C96" i="2"/>
  <c r="C95" i="2"/>
  <c r="C94" i="2"/>
  <c r="C93" i="2"/>
  <c r="C92" i="2"/>
  <c r="C91" i="2"/>
  <c r="C90" i="2"/>
  <c r="C83" i="2"/>
  <c r="C82" i="2"/>
  <c r="C81" i="2"/>
  <c r="C80" i="2"/>
  <c r="C79" i="2"/>
  <c r="C78" i="2"/>
  <c r="C77" i="2"/>
  <c r="C76" i="2"/>
  <c r="C75" i="2"/>
  <c r="C68" i="2"/>
  <c r="C67" i="2"/>
  <c r="C66" i="2"/>
  <c r="C65" i="2"/>
  <c r="C64" i="2"/>
  <c r="C63" i="2"/>
  <c r="C62" i="2"/>
  <c r="C22" i="2"/>
  <c r="C21" i="2"/>
  <c r="C20" i="2"/>
  <c r="C18" i="2"/>
  <c r="C17" i="2"/>
  <c r="C16" i="2"/>
  <c r="C15" i="2"/>
  <c r="C14" i="2"/>
  <c r="AH103" i="2"/>
  <c r="AG103" i="2"/>
  <c r="AF103" i="2"/>
  <c r="AE103" i="2"/>
  <c r="AD103" i="2"/>
  <c r="AC103" i="2"/>
  <c r="AB103" i="2"/>
  <c r="AA103" i="2"/>
  <c r="Z103" i="2"/>
  <c r="Y103" i="2"/>
  <c r="X103" i="2"/>
  <c r="W103" i="2"/>
  <c r="V103" i="2"/>
  <c r="U103" i="2"/>
  <c r="T103" i="2"/>
  <c r="S103" i="2"/>
  <c r="R103" i="2"/>
  <c r="Q103" i="2"/>
  <c r="P103" i="2"/>
  <c r="O103" i="2"/>
  <c r="N103" i="2"/>
  <c r="M103" i="2"/>
  <c r="L103" i="2"/>
  <c r="K103" i="2"/>
  <c r="J103" i="2"/>
  <c r="I103" i="2"/>
  <c r="H103" i="2"/>
  <c r="G103" i="2"/>
  <c r="F103" i="2"/>
  <c r="E103" i="2"/>
  <c r="D103" i="2"/>
  <c r="AG88" i="2"/>
  <c r="AF88" i="2"/>
  <c r="AE88" i="2"/>
  <c r="AD88" i="2"/>
  <c r="AC88" i="2"/>
  <c r="AB88" i="2"/>
  <c r="AA88" i="2"/>
  <c r="Z88" i="2"/>
  <c r="Y88" i="2"/>
  <c r="X88" i="2"/>
  <c r="W88" i="2"/>
  <c r="V88" i="2"/>
  <c r="U88" i="2"/>
  <c r="T88" i="2"/>
  <c r="S88" i="2"/>
  <c r="R88" i="2"/>
  <c r="Q88" i="2"/>
  <c r="P88" i="2"/>
  <c r="O88" i="2"/>
  <c r="N88" i="2"/>
  <c r="M88" i="2"/>
  <c r="L88" i="2"/>
  <c r="K88" i="2"/>
  <c r="J88" i="2"/>
  <c r="I88" i="2"/>
  <c r="H88" i="2"/>
  <c r="G88" i="2"/>
  <c r="F88" i="2"/>
  <c r="E88" i="2"/>
  <c r="D88" i="2"/>
  <c r="AH73" i="2"/>
  <c r="AG73" i="2"/>
  <c r="AF73" i="2"/>
  <c r="AE73" i="2"/>
  <c r="AD73" i="2"/>
  <c r="AC73" i="2"/>
  <c r="AB73" i="2"/>
  <c r="AA73" i="2"/>
  <c r="Z73" i="2"/>
  <c r="Y73" i="2"/>
  <c r="X73" i="2"/>
  <c r="W73" i="2"/>
  <c r="V73" i="2"/>
  <c r="U73" i="2"/>
  <c r="T73" i="2"/>
  <c r="S73" i="2"/>
  <c r="R73" i="2"/>
  <c r="Q73" i="2"/>
  <c r="P73" i="2"/>
  <c r="O73" i="2"/>
  <c r="N73" i="2"/>
  <c r="M73" i="2"/>
  <c r="L73" i="2"/>
  <c r="K73" i="2"/>
  <c r="J73" i="2"/>
  <c r="I73" i="2"/>
  <c r="H73" i="2"/>
  <c r="G73" i="2"/>
  <c r="F73" i="2"/>
  <c r="E73" i="2"/>
  <c r="D73" i="2"/>
  <c r="AH12" i="2"/>
  <c r="AG12" i="2"/>
  <c r="AF12" i="2"/>
  <c r="AE12" i="2"/>
  <c r="AD12" i="2"/>
  <c r="AC12" i="2"/>
  <c r="AB12" i="2"/>
  <c r="AA12" i="2"/>
  <c r="Z12" i="2"/>
  <c r="Y12" i="2"/>
  <c r="X12" i="2"/>
  <c r="W12" i="2"/>
  <c r="V12" i="2"/>
  <c r="U12" i="2"/>
  <c r="T12" i="2"/>
  <c r="S12" i="2"/>
  <c r="R12" i="2"/>
  <c r="Q12" i="2"/>
  <c r="P12" i="2"/>
  <c r="O12" i="2"/>
  <c r="N12" i="2"/>
  <c r="M12" i="2"/>
  <c r="L12" i="2"/>
  <c r="K12" i="2"/>
  <c r="J12" i="2"/>
  <c r="I12" i="2"/>
  <c r="H12" i="2"/>
  <c r="G12" i="2"/>
  <c r="F12" i="2"/>
  <c r="E12" i="2"/>
  <c r="D12" i="2"/>
  <c r="C103" i="2"/>
  <c r="C88" i="2"/>
  <c r="C73" i="2"/>
  <c r="C12" i="2"/>
  <c r="J1" i="2"/>
  <c r="I12" i="9"/>
  <c r="I11" i="9"/>
  <c r="I10" i="9"/>
  <c r="I9" i="9"/>
  <c r="I8" i="9"/>
  <c r="I7" i="9"/>
  <c r="I6" i="9"/>
  <c r="I5" i="9"/>
  <c r="I4" i="9"/>
  <c r="F5" i="9"/>
  <c r="D12" i="9"/>
  <c r="E12" i="9"/>
  <c r="F12" i="9"/>
  <c r="H12" i="9"/>
  <c r="D11" i="9"/>
  <c r="E11" i="9"/>
  <c r="F11" i="9"/>
  <c r="H11" i="9"/>
  <c r="D10" i="9"/>
  <c r="E10" i="9"/>
  <c r="F10" i="9"/>
  <c r="H10" i="9"/>
  <c r="D9" i="9"/>
  <c r="E9" i="9"/>
  <c r="F9" i="9"/>
  <c r="H9" i="9"/>
  <c r="D8" i="9"/>
  <c r="E8" i="9"/>
  <c r="F8" i="9"/>
  <c r="H8" i="9"/>
  <c r="D7" i="9"/>
  <c r="E7" i="9"/>
  <c r="F7" i="9"/>
  <c r="H7" i="9"/>
  <c r="D6" i="9"/>
  <c r="E6" i="9"/>
  <c r="F6" i="9"/>
  <c r="H6" i="9"/>
  <c r="D5" i="9"/>
  <c r="E5" i="9"/>
  <c r="H5" i="9"/>
  <c r="D4" i="9"/>
  <c r="E4" i="9"/>
  <c r="F4" i="9"/>
  <c r="C11" i="9"/>
  <c r="C10" i="9"/>
  <c r="B10" i="9"/>
  <c r="B12" i="9"/>
  <c r="B3" i="9"/>
  <c r="C9" i="9"/>
  <c r="B9" i="9"/>
  <c r="C8" i="9"/>
  <c r="B8" i="9"/>
  <c r="B7" i="9"/>
  <c r="C7" i="9"/>
  <c r="C6" i="9"/>
  <c r="B6" i="9"/>
  <c r="C5" i="9"/>
  <c r="B5" i="9"/>
  <c r="C4" i="9"/>
  <c r="B4" i="9"/>
  <c r="C7" i="12"/>
  <c r="AA7" i="12"/>
  <c r="K10" i="12"/>
  <c r="Y22" i="10"/>
  <c r="E22" i="10"/>
  <c r="Y28" i="10"/>
  <c r="D4" i="10"/>
  <c r="H25" i="7"/>
  <c r="AC34" i="7"/>
  <c r="L34" i="7"/>
  <c r="N25" i="6"/>
  <c r="T7" i="12"/>
  <c r="P10" i="12"/>
  <c r="G31" i="11"/>
  <c r="J4" i="10"/>
  <c r="AF4" i="10"/>
  <c r="U25" i="7"/>
  <c r="M7" i="12"/>
  <c r="J37" i="8"/>
  <c r="U13" i="8"/>
  <c r="O16" i="7"/>
  <c r="S4" i="10"/>
  <c r="S37" i="8"/>
  <c r="AC25" i="6"/>
  <c r="O25" i="6"/>
  <c r="AC7" i="7"/>
  <c r="AE19" i="7"/>
  <c r="X19" i="7"/>
  <c r="U13" i="5"/>
  <c r="E13" i="5"/>
  <c r="E37" i="4"/>
  <c r="M37" i="4"/>
  <c r="U37" i="4"/>
  <c r="AC37" i="4"/>
  <c r="AE37" i="5"/>
  <c r="O37" i="5"/>
  <c r="C13" i="5"/>
  <c r="X13" i="5"/>
  <c r="F34" i="4"/>
  <c r="N34" i="4"/>
  <c r="V34" i="4"/>
  <c r="F37" i="4"/>
  <c r="N37" i="4"/>
  <c r="V37" i="4"/>
  <c r="AE37" i="4"/>
  <c r="AA37" i="4"/>
  <c r="W37" i="4"/>
  <c r="S37" i="4"/>
  <c r="O37" i="4"/>
  <c r="K37" i="4"/>
  <c r="G37" i="4"/>
  <c r="C37" i="4"/>
  <c r="AF37" i="4"/>
  <c r="AB37" i="4"/>
  <c r="X37" i="4"/>
  <c r="T37" i="4"/>
  <c r="P37" i="4"/>
  <c r="L37" i="4"/>
  <c r="H37" i="4"/>
  <c r="D37" i="4"/>
  <c r="I37" i="5"/>
  <c r="AD37" i="5"/>
  <c r="P13" i="5"/>
  <c r="AE34" i="4"/>
  <c r="AA34" i="4"/>
  <c r="W34" i="4"/>
  <c r="S34" i="4"/>
  <c r="O34" i="4"/>
  <c r="K34" i="4"/>
  <c r="G34" i="4"/>
  <c r="C34" i="4"/>
  <c r="AF34" i="4"/>
  <c r="AB34" i="4"/>
  <c r="X34" i="4"/>
  <c r="T34" i="4"/>
  <c r="P34" i="4"/>
  <c r="L34" i="4"/>
  <c r="H34" i="4"/>
  <c r="D34" i="4"/>
  <c r="J37" i="4"/>
  <c r="R37" i="4"/>
  <c r="Z37" i="4"/>
  <c r="E28" i="3"/>
  <c r="J28" i="3"/>
  <c r="AF34" i="3"/>
  <c r="AE28" i="3"/>
  <c r="S28" i="3"/>
  <c r="O28" i="3"/>
  <c r="C28" i="3"/>
  <c r="S34" i="3"/>
  <c r="N28" i="3"/>
  <c r="T28" i="3"/>
  <c r="U34" i="3"/>
  <c r="G19" i="3"/>
  <c r="U4" i="3" l="1"/>
  <c r="Y4" i="3"/>
  <c r="E22" i="3"/>
  <c r="AD28" i="3"/>
  <c r="I28" i="3"/>
  <c r="G28" i="3"/>
  <c r="W28" i="3"/>
  <c r="M7" i="3"/>
  <c r="U28" i="3"/>
  <c r="U4" i="4"/>
  <c r="F4" i="10"/>
  <c r="E25" i="7"/>
  <c r="T19" i="11"/>
  <c r="P25" i="6"/>
  <c r="M25" i="6"/>
  <c r="AB34" i="7"/>
  <c r="AD25" i="7"/>
  <c r="W19" i="3"/>
  <c r="Y28" i="3"/>
  <c r="D28" i="3"/>
  <c r="K28" i="3"/>
  <c r="AA28" i="3"/>
  <c r="P28" i="3"/>
  <c r="S25" i="3"/>
  <c r="AE25" i="6"/>
  <c r="C37" i="8"/>
  <c r="E13" i="8"/>
  <c r="P31" i="11"/>
  <c r="K13" i="8"/>
  <c r="W31" i="11"/>
  <c r="AA10" i="6"/>
  <c r="M34" i="7"/>
  <c r="O13" i="8"/>
  <c r="AF34" i="11"/>
  <c r="X22" i="6"/>
  <c r="W22" i="6"/>
  <c r="O22" i="7"/>
  <c r="AB22" i="7"/>
  <c r="AE10" i="11"/>
  <c r="P31" i="3"/>
  <c r="V19" i="4"/>
  <c r="AA37" i="12"/>
  <c r="X13" i="12"/>
  <c r="U13" i="12"/>
  <c r="H31" i="3"/>
  <c r="N31" i="4"/>
  <c r="I22" i="6"/>
  <c r="S13" i="6"/>
  <c r="K4" i="8"/>
  <c r="R10" i="11"/>
  <c r="AE22" i="7"/>
  <c r="AE4" i="8"/>
  <c r="P34" i="11"/>
  <c r="E13" i="12"/>
  <c r="K37" i="12"/>
  <c r="F22" i="7"/>
  <c r="AD4" i="8"/>
  <c r="I10" i="11"/>
  <c r="H13" i="12"/>
  <c r="N37" i="12"/>
  <c r="Y22" i="6"/>
  <c r="D4" i="8"/>
  <c r="K7" i="10"/>
  <c r="AC34" i="11"/>
  <c r="P37" i="12"/>
  <c r="J4" i="8"/>
  <c r="I4" i="8"/>
  <c r="W34" i="11"/>
  <c r="S34" i="5"/>
  <c r="H22" i="6"/>
  <c r="G22" i="6"/>
  <c r="T4" i="8"/>
  <c r="AA7" i="10"/>
  <c r="V7" i="10"/>
  <c r="M34" i="11"/>
  <c r="J22" i="6"/>
  <c r="U7" i="10"/>
  <c r="U10" i="11"/>
  <c r="T7" i="10"/>
  <c r="G34" i="11"/>
  <c r="Y7" i="4"/>
  <c r="AD19" i="4"/>
  <c r="D10" i="5"/>
  <c r="R37" i="6"/>
  <c r="L22" i="6"/>
  <c r="AB22" i="6"/>
  <c r="M22" i="6"/>
  <c r="AC22" i="6"/>
  <c r="K22" i="6"/>
  <c r="AA22" i="6"/>
  <c r="H4" i="8"/>
  <c r="X4" i="8"/>
  <c r="O7" i="10"/>
  <c r="AE7" i="10"/>
  <c r="X13" i="6"/>
  <c r="AA4" i="8"/>
  <c r="F4" i="8"/>
  <c r="Q7" i="10"/>
  <c r="F10" i="11"/>
  <c r="V10" i="11"/>
  <c r="Y34" i="11"/>
  <c r="I34" i="11"/>
  <c r="AB37" i="12"/>
  <c r="L37" i="12"/>
  <c r="C22" i="7"/>
  <c r="S22" i="7"/>
  <c r="Z4" i="8"/>
  <c r="E4" i="8"/>
  <c r="P7" i="10"/>
  <c r="P10" i="11"/>
  <c r="AB34" i="11"/>
  <c r="L34" i="11"/>
  <c r="Q13" i="12"/>
  <c r="W37" i="12"/>
  <c r="G37" i="12"/>
  <c r="V22" i="6"/>
  <c r="V22" i="7"/>
  <c r="Y4" i="8"/>
  <c r="C4" i="8"/>
  <c r="N7" i="10"/>
  <c r="Y10" i="11"/>
  <c r="D10" i="11"/>
  <c r="S34" i="11"/>
  <c r="C34" i="11"/>
  <c r="T13" i="12"/>
  <c r="D13" i="12"/>
  <c r="AD37" i="12"/>
  <c r="F37" i="12"/>
  <c r="K31" i="3"/>
  <c r="E10" i="5"/>
  <c r="W7" i="4"/>
  <c r="P19" i="4"/>
  <c r="F34" i="5"/>
  <c r="L37" i="7"/>
  <c r="P22" i="6"/>
  <c r="AF22" i="6"/>
  <c r="Q22" i="6"/>
  <c r="AG22" i="6"/>
  <c r="O22" i="6"/>
  <c r="AE22" i="6"/>
  <c r="L4" i="8"/>
  <c r="AB4" i="8"/>
  <c r="C7" i="10"/>
  <c r="S7" i="10"/>
  <c r="V4" i="8"/>
  <c r="L7" i="10"/>
  <c r="J10" i="11"/>
  <c r="Z10" i="11"/>
  <c r="U34" i="11"/>
  <c r="E34" i="11"/>
  <c r="X37" i="12"/>
  <c r="H37" i="12"/>
  <c r="G22" i="7"/>
  <c r="W22" i="7"/>
  <c r="U4" i="8"/>
  <c r="AF7" i="10"/>
  <c r="J7" i="10"/>
  <c r="K10" i="11"/>
  <c r="X34" i="11"/>
  <c r="H34" i="11"/>
  <c r="AC13" i="12"/>
  <c r="M13" i="12"/>
  <c r="S37" i="12"/>
  <c r="C37" i="12"/>
  <c r="F22" i="6"/>
  <c r="Q22" i="7"/>
  <c r="S4" i="8"/>
  <c r="AD7" i="10"/>
  <c r="I7" i="10"/>
  <c r="T10" i="11"/>
  <c r="AE34" i="11"/>
  <c r="O34" i="11"/>
  <c r="AF13" i="12"/>
  <c r="P13" i="12"/>
  <c r="V37" i="12"/>
  <c r="N31" i="3"/>
  <c r="AC31" i="3"/>
  <c r="AA31" i="3"/>
  <c r="H19" i="4"/>
  <c r="K31" i="4"/>
  <c r="X7" i="4"/>
  <c r="U31" i="4"/>
  <c r="N34" i="5"/>
  <c r="Y37" i="6"/>
  <c r="D22" i="6"/>
  <c r="T22" i="6"/>
  <c r="E22" i="6"/>
  <c r="U22" i="6"/>
  <c r="C22" i="6"/>
  <c r="S22" i="6"/>
  <c r="P4" i="8"/>
  <c r="AF4" i="8"/>
  <c r="G7" i="10"/>
  <c r="W7" i="10"/>
  <c r="K13" i="6"/>
  <c r="Q4" i="8"/>
  <c r="AB7" i="10"/>
  <c r="F7" i="10"/>
  <c r="N10" i="11"/>
  <c r="AD10" i="11"/>
  <c r="Q34" i="11"/>
  <c r="T37" i="12"/>
  <c r="D37" i="12"/>
  <c r="K22" i="7"/>
  <c r="AA22" i="7"/>
  <c r="O4" i="8"/>
  <c r="Z7" i="10"/>
  <c r="E7" i="10"/>
  <c r="AA10" i="11"/>
  <c r="E10" i="11"/>
  <c r="T34" i="11"/>
  <c r="D34" i="11"/>
  <c r="Y13" i="12"/>
  <c r="I13" i="12"/>
  <c r="AE37" i="12"/>
  <c r="O37" i="12"/>
  <c r="W13" i="6"/>
  <c r="L22" i="7"/>
  <c r="N4" i="8"/>
  <c r="Y7" i="10"/>
  <c r="D7" i="10"/>
  <c r="AA34" i="11"/>
  <c r="K34" i="11"/>
  <c r="AB13" i="12"/>
  <c r="L13" i="12"/>
  <c r="R37" i="12"/>
  <c r="L7" i="3"/>
  <c r="AE7" i="3"/>
  <c r="E4" i="12"/>
  <c r="AA4" i="12"/>
  <c r="S25" i="10"/>
  <c r="O25" i="10"/>
  <c r="AE25" i="10"/>
  <c r="K25" i="10"/>
  <c r="AA25" i="10"/>
  <c r="C25" i="10"/>
  <c r="T16" i="6"/>
  <c r="AE16" i="7"/>
  <c r="X16" i="7"/>
  <c r="M16" i="7"/>
  <c r="N16" i="7"/>
  <c r="AB16" i="7"/>
  <c r="AD16" i="7"/>
  <c r="T16" i="7"/>
  <c r="R16" i="7"/>
  <c r="C16" i="7"/>
  <c r="S16" i="7"/>
  <c r="P16" i="7"/>
  <c r="E16" i="7"/>
  <c r="L16" i="7"/>
  <c r="F16" i="7"/>
  <c r="V16" i="7"/>
  <c r="G16" i="7"/>
  <c r="W16" i="7"/>
  <c r="H16" i="7"/>
  <c r="AC16" i="7"/>
  <c r="D16" i="7"/>
  <c r="J16" i="7"/>
  <c r="Z16" i="7"/>
  <c r="K16" i="7"/>
  <c r="AA16" i="7"/>
  <c r="U16" i="7"/>
  <c r="I19" i="6"/>
  <c r="AB16" i="6"/>
  <c r="L28" i="6"/>
  <c r="X16" i="6"/>
  <c r="P16" i="6"/>
  <c r="AF16" i="6"/>
  <c r="AF13" i="5"/>
  <c r="K13" i="5"/>
  <c r="Y37" i="5"/>
  <c r="D37" i="5"/>
  <c r="S13" i="5"/>
  <c r="C37" i="5"/>
  <c r="S37" i="5"/>
  <c r="I13" i="5"/>
  <c r="Y13" i="5"/>
  <c r="AA13" i="5"/>
  <c r="F13" i="5"/>
  <c r="T37" i="5"/>
  <c r="N13" i="5"/>
  <c r="G37" i="5"/>
  <c r="W37" i="5"/>
  <c r="M13" i="5"/>
  <c r="AC13" i="5"/>
  <c r="V13" i="5"/>
  <c r="N37" i="5"/>
  <c r="AD13" i="5"/>
  <c r="H13" i="5"/>
  <c r="K37" i="5"/>
  <c r="AA37" i="5"/>
  <c r="Q13" i="5"/>
  <c r="AG13" i="5"/>
  <c r="T4" i="4"/>
  <c r="R16" i="4"/>
  <c r="AA28" i="4"/>
  <c r="C4" i="4"/>
  <c r="Z4" i="4"/>
  <c r="K28" i="4"/>
  <c r="S4" i="4"/>
  <c r="E4" i="4"/>
  <c r="D4" i="4"/>
  <c r="Q4" i="3"/>
  <c r="AD22" i="3"/>
  <c r="AC4" i="3"/>
  <c r="AG4" i="3"/>
  <c r="E4" i="3"/>
  <c r="I4" i="3"/>
  <c r="AE22" i="3"/>
  <c r="M4" i="3"/>
  <c r="Y22" i="3"/>
  <c r="W22" i="3"/>
  <c r="P22" i="3"/>
  <c r="AA22" i="3"/>
  <c r="Z28" i="3"/>
  <c r="J22" i="3"/>
  <c r="T22" i="3"/>
  <c r="G22" i="3"/>
  <c r="N22" i="3"/>
  <c r="K22" i="3"/>
  <c r="C22" i="3"/>
  <c r="I22" i="3"/>
  <c r="O22" i="3"/>
  <c r="Z22" i="3"/>
  <c r="D22" i="3"/>
  <c r="S22" i="3"/>
  <c r="U22" i="3"/>
  <c r="V37" i="10"/>
  <c r="AB31" i="6"/>
  <c r="C10" i="8"/>
  <c r="N16" i="3"/>
  <c r="L4" i="5"/>
  <c r="S34" i="8"/>
  <c r="C22" i="4"/>
  <c r="L10" i="8"/>
  <c r="X13" i="10"/>
  <c r="U4" i="5"/>
  <c r="AA7" i="6"/>
  <c r="AA37" i="10"/>
  <c r="R37" i="10"/>
  <c r="H10" i="8"/>
  <c r="T13" i="10"/>
  <c r="AA16" i="11"/>
  <c r="Y10" i="8"/>
  <c r="C34" i="8"/>
  <c r="AE4" i="5"/>
  <c r="D4" i="5"/>
  <c r="S7" i="6"/>
  <c r="E7" i="6"/>
  <c r="D7" i="6"/>
  <c r="D31" i="6"/>
  <c r="E7" i="7"/>
  <c r="J37" i="10"/>
  <c r="D10" i="8"/>
  <c r="P13" i="10"/>
  <c r="G16" i="11"/>
  <c r="AA31" i="7"/>
  <c r="AF4" i="5"/>
  <c r="O7" i="6"/>
  <c r="J7" i="6"/>
  <c r="I7" i="6"/>
  <c r="H31" i="6"/>
  <c r="I7" i="7"/>
  <c r="F37" i="10"/>
  <c r="AF10" i="8"/>
  <c r="H13" i="10"/>
  <c r="K31" i="7"/>
  <c r="V16" i="3"/>
  <c r="AB4" i="5"/>
  <c r="K7" i="6"/>
  <c r="P7" i="6"/>
  <c r="N7" i="6"/>
  <c r="L31" i="6"/>
  <c r="M7" i="7"/>
  <c r="AB10" i="8"/>
  <c r="D13" i="10"/>
  <c r="J10" i="8"/>
  <c r="O37" i="10"/>
  <c r="R16" i="3"/>
  <c r="W7" i="6"/>
  <c r="Z16" i="3"/>
  <c r="E4" i="5"/>
  <c r="X4" i="5"/>
  <c r="G7" i="6"/>
  <c r="U7" i="6"/>
  <c r="T7" i="6"/>
  <c r="P31" i="6"/>
  <c r="Q7" i="7"/>
  <c r="X10" i="8"/>
  <c r="O10" i="8"/>
  <c r="F13" i="10"/>
  <c r="E16" i="11"/>
  <c r="I19" i="12"/>
  <c r="Z4" i="5"/>
  <c r="H4" i="5"/>
  <c r="F16" i="3"/>
  <c r="J4" i="5"/>
  <c r="T4" i="5"/>
  <c r="C7" i="6"/>
  <c r="Z7" i="6"/>
  <c r="Y7" i="6"/>
  <c r="T31" i="6"/>
  <c r="U7" i="7"/>
  <c r="T10" i="8"/>
  <c r="E37" i="10"/>
  <c r="U10" i="8"/>
  <c r="AC19" i="12"/>
  <c r="J16" i="3"/>
  <c r="O4" i="5"/>
  <c r="P4" i="5"/>
  <c r="AE7" i="6"/>
  <c r="AD7" i="6"/>
  <c r="X31" i="6"/>
  <c r="Y7" i="7"/>
  <c r="Z37" i="10"/>
  <c r="P10" i="8"/>
  <c r="AF13" i="10"/>
  <c r="U37" i="10"/>
  <c r="O13" i="10"/>
  <c r="M37" i="10"/>
  <c r="O4" i="6"/>
  <c r="E4" i="7"/>
  <c r="AC4" i="7"/>
  <c r="P4" i="6"/>
  <c r="AC25" i="4"/>
  <c r="F28" i="6"/>
  <c r="F17" i="9"/>
  <c r="H17" i="9"/>
  <c r="I17" i="9"/>
  <c r="D17" i="9"/>
  <c r="E17" i="9"/>
  <c r="G17" i="9"/>
  <c r="Y25" i="4"/>
  <c r="I4" i="7"/>
  <c r="AA10" i="10"/>
  <c r="E10" i="10"/>
  <c r="X37" i="8"/>
  <c r="V19" i="11"/>
  <c r="K37" i="11"/>
  <c r="U25" i="4"/>
  <c r="M4" i="7"/>
  <c r="X7" i="8"/>
  <c r="W28" i="7"/>
  <c r="Q28" i="7"/>
  <c r="Q4" i="7"/>
  <c r="J7" i="8"/>
  <c r="T16" i="10"/>
  <c r="N10" i="10"/>
  <c r="Q25" i="4"/>
  <c r="M25" i="4"/>
  <c r="U4" i="7"/>
  <c r="K28" i="6"/>
  <c r="T37" i="8"/>
  <c r="AE25" i="12"/>
  <c r="I25" i="4"/>
  <c r="Y4" i="7"/>
  <c r="M28" i="6"/>
  <c r="J16" i="10"/>
  <c r="O25" i="12"/>
  <c r="P37" i="11"/>
  <c r="AD31" i="8"/>
  <c r="N4" i="6"/>
  <c r="AE13" i="11"/>
  <c r="D19" i="11"/>
  <c r="G31" i="4"/>
  <c r="J31" i="4"/>
  <c r="J10" i="5"/>
  <c r="U7" i="4"/>
  <c r="S7" i="4"/>
  <c r="T7" i="4"/>
  <c r="AF10" i="5"/>
  <c r="I34" i="5"/>
  <c r="O34" i="5"/>
  <c r="V37" i="6"/>
  <c r="E34" i="5"/>
  <c r="AC37" i="6"/>
  <c r="P37" i="7"/>
  <c r="F13" i="6"/>
  <c r="N13" i="6"/>
  <c r="T13" i="6"/>
  <c r="C31" i="4"/>
  <c r="F31" i="4"/>
  <c r="O10" i="5"/>
  <c r="Q7" i="4"/>
  <c r="O7" i="4"/>
  <c r="P7" i="4"/>
  <c r="AB10" i="5"/>
  <c r="D34" i="5"/>
  <c r="K34" i="5"/>
  <c r="H34" i="5"/>
  <c r="Z37" i="6"/>
  <c r="P34" i="5"/>
  <c r="T37" i="7"/>
  <c r="AE13" i="6"/>
  <c r="I13" i="6"/>
  <c r="P13" i="6"/>
  <c r="AE31" i="4"/>
  <c r="U10" i="5"/>
  <c r="M7" i="4"/>
  <c r="K7" i="4"/>
  <c r="L7" i="4"/>
  <c r="G10" i="5"/>
  <c r="X10" i="5"/>
  <c r="AG34" i="5"/>
  <c r="G34" i="5"/>
  <c r="R34" i="5"/>
  <c r="AE37" i="6"/>
  <c r="Z34" i="5"/>
  <c r="E37" i="6"/>
  <c r="X37" i="7"/>
  <c r="Z13" i="6"/>
  <c r="C13" i="6"/>
  <c r="L13" i="6"/>
  <c r="AA31" i="4"/>
  <c r="AD31" i="4"/>
  <c r="Z10" i="5"/>
  <c r="I7" i="4"/>
  <c r="G7" i="4"/>
  <c r="H7" i="4"/>
  <c r="M10" i="5"/>
  <c r="T10" i="5"/>
  <c r="AB34" i="5"/>
  <c r="C34" i="5"/>
  <c r="I37" i="6"/>
  <c r="AB37" i="7"/>
  <c r="U13" i="6"/>
  <c r="AG13" i="6"/>
  <c r="H13" i="6"/>
  <c r="W31" i="4"/>
  <c r="Z31" i="4"/>
  <c r="AE10" i="5"/>
  <c r="E7" i="4"/>
  <c r="C7" i="4"/>
  <c r="D7" i="4"/>
  <c r="R10" i="5"/>
  <c r="P10" i="5"/>
  <c r="V34" i="5"/>
  <c r="AD34" i="5"/>
  <c r="AE34" i="5"/>
  <c r="F37" i="6"/>
  <c r="M37" i="6"/>
  <c r="R13" i="6"/>
  <c r="O13" i="6"/>
  <c r="AA13" i="6"/>
  <c r="D13" i="6"/>
  <c r="G13" i="6"/>
  <c r="F7" i="4"/>
  <c r="S31" i="4"/>
  <c r="V31" i="4"/>
  <c r="AG7" i="4"/>
  <c r="AE7" i="4"/>
  <c r="AF7" i="4"/>
  <c r="E31" i="4"/>
  <c r="W10" i="5"/>
  <c r="J7" i="4"/>
  <c r="L10" i="5"/>
  <c r="Q34" i="5"/>
  <c r="Y34" i="5"/>
  <c r="AA34" i="5"/>
  <c r="J37" i="6"/>
  <c r="Q37" i="6"/>
  <c r="D37" i="7"/>
  <c r="J13" i="6"/>
  <c r="V13" i="6"/>
  <c r="AD13" i="6"/>
  <c r="AF13" i="6"/>
  <c r="V7" i="4"/>
  <c r="O31" i="4"/>
  <c r="R31" i="4"/>
  <c r="AC7" i="4"/>
  <c r="AA7" i="4"/>
  <c r="AB7" i="4"/>
  <c r="N7" i="4"/>
  <c r="M31" i="4"/>
  <c r="AC10" i="5"/>
  <c r="Z7" i="4"/>
  <c r="H10" i="5"/>
  <c r="L34" i="5"/>
  <c r="T34" i="5"/>
  <c r="W34" i="5"/>
  <c r="N37" i="6"/>
  <c r="U37" i="6"/>
  <c r="H37" i="7"/>
  <c r="E13" i="6"/>
  <c r="Q13" i="6"/>
  <c r="Y13" i="6"/>
  <c r="AB13" i="6"/>
  <c r="AC7" i="12"/>
  <c r="E7" i="12"/>
  <c r="AA13" i="10"/>
  <c r="D37" i="10"/>
  <c r="K16" i="11"/>
  <c r="AE16" i="11"/>
  <c r="L7" i="12"/>
  <c r="O31" i="7"/>
  <c r="AE31" i="7"/>
  <c r="S10" i="8"/>
  <c r="G34" i="8"/>
  <c r="W34" i="8"/>
  <c r="J13" i="10"/>
  <c r="H37" i="10"/>
  <c r="I22" i="10"/>
  <c r="AG22" i="10"/>
  <c r="Z16" i="11"/>
  <c r="Y19" i="12"/>
  <c r="E19" i="12"/>
  <c r="S7" i="12"/>
  <c r="K37" i="10"/>
  <c r="Q7" i="12"/>
  <c r="Z10" i="8"/>
  <c r="E10" i="8"/>
  <c r="K13" i="10"/>
  <c r="T37" i="10"/>
  <c r="W16" i="11"/>
  <c r="X7" i="12"/>
  <c r="D7" i="12"/>
  <c r="G31" i="7"/>
  <c r="W31" i="7"/>
  <c r="AD10" i="8"/>
  <c r="I10" i="8"/>
  <c r="O34" i="8"/>
  <c r="AE34" i="8"/>
  <c r="U13" i="10"/>
  <c r="X37" i="10"/>
  <c r="U22" i="10"/>
  <c r="J16" i="11"/>
  <c r="M19" i="12"/>
  <c r="AE7" i="12"/>
  <c r="K7" i="12"/>
  <c r="U7" i="12"/>
  <c r="V13" i="10"/>
  <c r="Y37" i="10"/>
  <c r="O16" i="11"/>
  <c r="AB7" i="12"/>
  <c r="H7" i="12"/>
  <c r="C31" i="7"/>
  <c r="S31" i="7"/>
  <c r="N10" i="8"/>
  <c r="K34" i="8"/>
  <c r="AA34" i="8"/>
  <c r="AE13" i="10"/>
  <c r="AC37" i="10"/>
  <c r="C37" i="10"/>
  <c r="Q22" i="10"/>
  <c r="P16" i="11"/>
  <c r="U19" i="12"/>
  <c r="O7" i="12"/>
  <c r="C4" i="10"/>
  <c r="N37" i="10"/>
  <c r="AD37" i="10"/>
  <c r="L13" i="10"/>
  <c r="AB13" i="10"/>
  <c r="AB4" i="10"/>
  <c r="P37" i="10"/>
  <c r="Y7" i="12"/>
  <c r="I7" i="12"/>
  <c r="D16" i="10"/>
  <c r="Q13" i="10"/>
  <c r="AE37" i="10"/>
  <c r="I37" i="10"/>
  <c r="C16" i="11"/>
  <c r="S16" i="11"/>
  <c r="AF7" i="12"/>
  <c r="P7" i="12"/>
  <c r="T4" i="12"/>
  <c r="Z13" i="10"/>
  <c r="E13" i="10"/>
  <c r="Y4" i="10"/>
  <c r="S37" i="10"/>
  <c r="I28" i="10"/>
  <c r="M22" i="10"/>
  <c r="AC22" i="10"/>
  <c r="W25" i="10"/>
  <c r="G25" i="10"/>
  <c r="U16" i="11"/>
  <c r="Z13" i="11"/>
  <c r="R31" i="11"/>
  <c r="Q19" i="12"/>
  <c r="AA10" i="12"/>
  <c r="W7" i="12"/>
  <c r="G7" i="12"/>
  <c r="M28" i="12"/>
  <c r="G31" i="3"/>
  <c r="W31" i="3"/>
  <c r="I7" i="3"/>
  <c r="Y7" i="3"/>
  <c r="U31" i="3"/>
  <c r="V16" i="4"/>
  <c r="F16" i="4"/>
  <c r="O28" i="4"/>
  <c r="Q4" i="4"/>
  <c r="AG4" i="4"/>
  <c r="O4" i="4"/>
  <c r="AE4" i="4"/>
  <c r="P4" i="4"/>
  <c r="AF4" i="4"/>
  <c r="R31" i="5"/>
  <c r="G31" i="5"/>
  <c r="I34" i="6"/>
  <c r="T25" i="6"/>
  <c r="D25" i="6"/>
  <c r="S25" i="6"/>
  <c r="C25" i="6"/>
  <c r="Q25" i="6"/>
  <c r="O37" i="8"/>
  <c r="AE37" i="8"/>
  <c r="O4" i="10"/>
  <c r="AE4" i="10"/>
  <c r="Q13" i="8"/>
  <c r="AG13" i="8"/>
  <c r="P37" i="8"/>
  <c r="L4" i="10"/>
  <c r="T31" i="11"/>
  <c r="D31" i="11"/>
  <c r="Y25" i="7"/>
  <c r="I25" i="7"/>
  <c r="P13" i="8"/>
  <c r="Y37" i="8"/>
  <c r="D37" i="8"/>
  <c r="P16" i="10"/>
  <c r="AF16" i="10"/>
  <c r="P4" i="10"/>
  <c r="P19" i="11"/>
  <c r="AF19" i="11"/>
  <c r="AA31" i="11"/>
  <c r="K31" i="11"/>
  <c r="T10" i="12"/>
  <c r="D10" i="12"/>
  <c r="X10" i="6"/>
  <c r="H34" i="7"/>
  <c r="X34" i="7"/>
  <c r="I34" i="7"/>
  <c r="Y34" i="7"/>
  <c r="X25" i="7"/>
  <c r="T13" i="8"/>
  <c r="AC37" i="8"/>
  <c r="H37" i="8"/>
  <c r="O16" i="10"/>
  <c r="AD4" i="10"/>
  <c r="I4" i="10"/>
  <c r="E28" i="10"/>
  <c r="U28" i="10"/>
  <c r="AA19" i="11"/>
  <c r="F19" i="11"/>
  <c r="V31" i="11"/>
  <c r="F31" i="11"/>
  <c r="AE10" i="12"/>
  <c r="O10" i="12"/>
  <c r="K25" i="12"/>
  <c r="AA25" i="12"/>
  <c r="AA19" i="3"/>
  <c r="K19" i="3"/>
  <c r="M31" i="3"/>
  <c r="O19" i="3"/>
  <c r="Y31" i="3"/>
  <c r="D31" i="3"/>
  <c r="R31" i="3"/>
  <c r="C31" i="3"/>
  <c r="S31" i="3"/>
  <c r="E7" i="3"/>
  <c r="U7" i="3"/>
  <c r="Z31" i="3"/>
  <c r="E31" i="3"/>
  <c r="Z16" i="4"/>
  <c r="J16" i="4"/>
  <c r="S28" i="4"/>
  <c r="C28" i="4"/>
  <c r="F4" i="4"/>
  <c r="M4" i="4"/>
  <c r="AC4" i="4"/>
  <c r="K4" i="4"/>
  <c r="AA4" i="4"/>
  <c r="L4" i="4"/>
  <c r="AB4" i="4"/>
  <c r="T7" i="5"/>
  <c r="H31" i="5"/>
  <c r="X25" i="6"/>
  <c r="H25" i="6"/>
  <c r="W25" i="6"/>
  <c r="G25" i="6"/>
  <c r="U25" i="6"/>
  <c r="E25" i="6"/>
  <c r="K37" i="8"/>
  <c r="AA37" i="8"/>
  <c r="K4" i="10"/>
  <c r="AA4" i="10"/>
  <c r="M13" i="8"/>
  <c r="AC13" i="8"/>
  <c r="U37" i="8"/>
  <c r="Q4" i="10"/>
  <c r="X31" i="11"/>
  <c r="H31" i="11"/>
  <c r="AC25" i="7"/>
  <c r="M25" i="7"/>
  <c r="V13" i="8"/>
  <c r="AD37" i="8"/>
  <c r="I37" i="8"/>
  <c r="L16" i="10"/>
  <c r="AB16" i="10"/>
  <c r="U4" i="10"/>
  <c r="L19" i="11"/>
  <c r="AB19" i="11"/>
  <c r="AE31" i="11"/>
  <c r="O31" i="11"/>
  <c r="X10" i="12"/>
  <c r="H10" i="12"/>
  <c r="J10" i="6"/>
  <c r="D34" i="7"/>
  <c r="T34" i="7"/>
  <c r="E34" i="7"/>
  <c r="U34" i="7"/>
  <c r="S25" i="7"/>
  <c r="Z13" i="8"/>
  <c r="D13" i="8"/>
  <c r="M37" i="8"/>
  <c r="U16" i="10"/>
  <c r="N4" i="10"/>
  <c r="Q28" i="10"/>
  <c r="AG28" i="10"/>
  <c r="K19" i="11"/>
  <c r="Z31" i="11"/>
  <c r="J31" i="11"/>
  <c r="S10" i="12"/>
  <c r="C10" i="12"/>
  <c r="G25" i="12"/>
  <c r="W25" i="12"/>
  <c r="T31" i="3"/>
  <c r="S19" i="3"/>
  <c r="C19" i="3"/>
  <c r="AD31" i="3"/>
  <c r="I31" i="3"/>
  <c r="X31" i="3"/>
  <c r="O31" i="3"/>
  <c r="AE31" i="3"/>
  <c r="Q7" i="3"/>
  <c r="AG7" i="3"/>
  <c r="J31" i="3"/>
  <c r="N16" i="4"/>
  <c r="W28" i="4"/>
  <c r="G28" i="4"/>
  <c r="V4" i="4"/>
  <c r="E7" i="5"/>
  <c r="I4" i="4"/>
  <c r="Y4" i="4"/>
  <c r="G4" i="4"/>
  <c r="W4" i="4"/>
  <c r="H4" i="4"/>
  <c r="X4" i="4"/>
  <c r="N4" i="4"/>
  <c r="J4" i="4"/>
  <c r="AB25" i="6"/>
  <c r="L25" i="6"/>
  <c r="AA25" i="6"/>
  <c r="K25" i="6"/>
  <c r="Y25" i="6"/>
  <c r="I25" i="6"/>
  <c r="G37" i="8"/>
  <c r="W37" i="8"/>
  <c r="G4" i="10"/>
  <c r="W4" i="10"/>
  <c r="I13" i="8"/>
  <c r="Y13" i="8"/>
  <c r="Z37" i="8"/>
  <c r="E37" i="8"/>
  <c r="V4" i="10"/>
  <c r="AB31" i="11"/>
  <c r="L31" i="11"/>
  <c r="Z25" i="6"/>
  <c r="Q25" i="7"/>
  <c r="AA13" i="8"/>
  <c r="F13" i="8"/>
  <c r="N37" i="8"/>
  <c r="H16" i="10"/>
  <c r="X16" i="10"/>
  <c r="Z4" i="10"/>
  <c r="E4" i="10"/>
  <c r="H19" i="11"/>
  <c r="X19" i="11"/>
  <c r="S31" i="11"/>
  <c r="C31" i="11"/>
  <c r="AB10" i="12"/>
  <c r="L10" i="12"/>
  <c r="AD25" i="6"/>
  <c r="P34" i="7"/>
  <c r="AF34" i="7"/>
  <c r="Q34" i="7"/>
  <c r="AG34" i="7"/>
  <c r="N25" i="7"/>
  <c r="AE13" i="8"/>
  <c r="J13" i="8"/>
  <c r="R37" i="8"/>
  <c r="Z16" i="10"/>
  <c r="E16" i="10"/>
  <c r="T4" i="10"/>
  <c r="M28" i="10"/>
  <c r="AC28" i="10"/>
  <c r="Q19" i="11"/>
  <c r="AD31" i="11"/>
  <c r="N31" i="11"/>
  <c r="W10" i="12"/>
  <c r="G10" i="12"/>
  <c r="S25" i="12"/>
  <c r="L16" i="5"/>
  <c r="O37" i="7"/>
  <c r="Z34" i="3"/>
  <c r="Y34" i="3"/>
  <c r="AB34" i="3"/>
  <c r="W25" i="3"/>
  <c r="G22" i="4"/>
  <c r="AC19" i="4"/>
  <c r="J7" i="5"/>
  <c r="P7" i="5"/>
  <c r="Q19" i="4"/>
  <c r="Y19" i="4"/>
  <c r="L19" i="4"/>
  <c r="C31" i="5"/>
  <c r="N31" i="5"/>
  <c r="Q31" i="5"/>
  <c r="M34" i="6"/>
  <c r="E10" i="6"/>
  <c r="R10" i="6"/>
  <c r="W10" i="6"/>
  <c r="E22" i="12"/>
  <c r="X34" i="3"/>
  <c r="AA25" i="3"/>
  <c r="K22" i="4"/>
  <c r="O7" i="5"/>
  <c r="L7" i="5"/>
  <c r="K19" i="4"/>
  <c r="S19" i="4"/>
  <c r="AE19" i="4"/>
  <c r="AF31" i="5"/>
  <c r="J31" i="5"/>
  <c r="Q34" i="6"/>
  <c r="AD10" i="6"/>
  <c r="M10" i="6"/>
  <c r="S10" i="6"/>
  <c r="F19" i="10"/>
  <c r="I22" i="12"/>
  <c r="AE34" i="3"/>
  <c r="AD34" i="3"/>
  <c r="T34" i="3"/>
  <c r="F34" i="3"/>
  <c r="AE25" i="3"/>
  <c r="O22" i="4"/>
  <c r="U7" i="5"/>
  <c r="R19" i="4"/>
  <c r="H7" i="5"/>
  <c r="G19" i="4"/>
  <c r="N19" i="4"/>
  <c r="Z19" i="4"/>
  <c r="AA31" i="5"/>
  <c r="F31" i="5"/>
  <c r="U34" i="6"/>
  <c r="Y10" i="6"/>
  <c r="H10" i="6"/>
  <c r="O10" i="6"/>
  <c r="U22" i="12"/>
  <c r="P34" i="3"/>
  <c r="K34" i="3"/>
  <c r="C25" i="3"/>
  <c r="S22" i="4"/>
  <c r="Z7" i="5"/>
  <c r="D19" i="4"/>
  <c r="D7" i="5"/>
  <c r="C19" i="4"/>
  <c r="I19" i="4"/>
  <c r="U19" i="4"/>
  <c r="AF19" i="4"/>
  <c r="U31" i="5"/>
  <c r="AC31" i="5"/>
  <c r="D31" i="5"/>
  <c r="Y34" i="6"/>
  <c r="T10" i="6"/>
  <c r="AF10" i="6"/>
  <c r="K10" i="6"/>
  <c r="Y22" i="12"/>
  <c r="E34" i="3"/>
  <c r="C34" i="3"/>
  <c r="L34" i="3"/>
  <c r="Q34" i="3"/>
  <c r="G25" i="3"/>
  <c r="W22" i="4"/>
  <c r="AE7" i="5"/>
  <c r="W19" i="4"/>
  <c r="AF7" i="5"/>
  <c r="E19" i="4"/>
  <c r="O19" i="4"/>
  <c r="AB19" i="4"/>
  <c r="P31" i="5"/>
  <c r="X31" i="5"/>
  <c r="AD31" i="5"/>
  <c r="O31" i="5"/>
  <c r="AC34" i="6"/>
  <c r="N10" i="6"/>
  <c r="Z10" i="6"/>
  <c r="G10" i="6"/>
  <c r="J34" i="3"/>
  <c r="I34" i="3"/>
  <c r="H34" i="3"/>
  <c r="V34" i="3"/>
  <c r="K25" i="3"/>
  <c r="AA22" i="4"/>
  <c r="AB7" i="5"/>
  <c r="AG19" i="4"/>
  <c r="J19" i="4"/>
  <c r="X19" i="4"/>
  <c r="K31" i="5"/>
  <c r="S31" i="5"/>
  <c r="Z31" i="5"/>
  <c r="Y31" i="5"/>
  <c r="AC19" i="10"/>
  <c r="I10" i="6"/>
  <c r="U10" i="6"/>
  <c r="C10" i="6"/>
  <c r="V28" i="4"/>
  <c r="O34" i="3"/>
  <c r="N34" i="3"/>
  <c r="D34" i="3"/>
  <c r="AA34" i="3"/>
  <c r="O25" i="3"/>
  <c r="X7" i="5"/>
  <c r="AA19" i="4"/>
  <c r="F19" i="4"/>
  <c r="T19" i="4"/>
  <c r="E31" i="5"/>
  <c r="M31" i="5"/>
  <c r="V31" i="5"/>
  <c r="E34" i="6"/>
  <c r="D10" i="6"/>
  <c r="P10" i="6"/>
  <c r="AC10" i="6"/>
  <c r="AE10" i="6"/>
  <c r="D28" i="4"/>
  <c r="F13" i="3"/>
  <c r="E19" i="6"/>
  <c r="AB19" i="7"/>
  <c r="C19" i="7"/>
  <c r="T7" i="8"/>
  <c r="F7" i="8"/>
  <c r="W10" i="10"/>
  <c r="AA13" i="11"/>
  <c r="S28" i="7"/>
  <c r="O7" i="8"/>
  <c r="J10" i="10"/>
  <c r="F13" i="11"/>
  <c r="T37" i="11"/>
  <c r="V28" i="7"/>
  <c r="Z31" i="8"/>
  <c r="T10" i="10"/>
  <c r="AF13" i="11"/>
  <c r="O37" i="11"/>
  <c r="D16" i="12"/>
  <c r="Y19" i="7"/>
  <c r="AG19" i="6"/>
  <c r="G19" i="7"/>
  <c r="P7" i="8"/>
  <c r="K7" i="8"/>
  <c r="S10" i="10"/>
  <c r="W13" i="11"/>
  <c r="O28" i="7"/>
  <c r="U7" i="8"/>
  <c r="P10" i="10"/>
  <c r="L13" i="11"/>
  <c r="X37" i="11"/>
  <c r="AB28" i="7"/>
  <c r="C7" i="8"/>
  <c r="V31" i="8"/>
  <c r="Y10" i="10"/>
  <c r="S37" i="11"/>
  <c r="H16" i="12"/>
  <c r="J19" i="7"/>
  <c r="AC19" i="6"/>
  <c r="D19" i="7"/>
  <c r="K19" i="7"/>
  <c r="L7" i="8"/>
  <c r="Q7" i="8"/>
  <c r="O10" i="10"/>
  <c r="S13" i="11"/>
  <c r="K28" i="7"/>
  <c r="Z7" i="8"/>
  <c r="U10" i="10"/>
  <c r="Q13" i="11"/>
  <c r="AB37" i="11"/>
  <c r="I7" i="8"/>
  <c r="R31" i="8"/>
  <c r="AD10" i="10"/>
  <c r="W37" i="11"/>
  <c r="L16" i="12"/>
  <c r="Y19" i="6"/>
  <c r="H19" i="7"/>
  <c r="O19" i="7"/>
  <c r="H7" i="8"/>
  <c r="V7" i="8"/>
  <c r="K10" i="10"/>
  <c r="O13" i="11"/>
  <c r="G28" i="7"/>
  <c r="AE7" i="8"/>
  <c r="Z10" i="10"/>
  <c r="V13" i="11"/>
  <c r="N7" i="8"/>
  <c r="N31" i="8"/>
  <c r="E13" i="11"/>
  <c r="AA37" i="11"/>
  <c r="P16" i="12"/>
  <c r="AB25" i="4"/>
  <c r="U19" i="6"/>
  <c r="L19" i="7"/>
  <c r="S19" i="7"/>
  <c r="D7" i="8"/>
  <c r="AA7" i="8"/>
  <c r="G10" i="10"/>
  <c r="K13" i="11"/>
  <c r="C28" i="7"/>
  <c r="AB13" i="11"/>
  <c r="D37" i="11"/>
  <c r="S7" i="8"/>
  <c r="J31" i="8"/>
  <c r="J13" i="11"/>
  <c r="AE37" i="11"/>
  <c r="T16" i="12"/>
  <c r="X37" i="3"/>
  <c r="Q19" i="6"/>
  <c r="P19" i="7"/>
  <c r="W19" i="7"/>
  <c r="AF7" i="8"/>
  <c r="C10" i="10"/>
  <c r="G13" i="11"/>
  <c r="AE28" i="7"/>
  <c r="H37" i="11"/>
  <c r="F28" i="7"/>
  <c r="Y7" i="8"/>
  <c r="F31" i="8"/>
  <c r="D10" i="10"/>
  <c r="P13" i="11"/>
  <c r="C37" i="11"/>
  <c r="X16" i="12"/>
  <c r="M19" i="6"/>
  <c r="T19" i="7"/>
  <c r="AA19" i="7"/>
  <c r="AB7" i="8"/>
  <c r="AE10" i="10"/>
  <c r="C13" i="11"/>
  <c r="AA28" i="7"/>
  <c r="E7" i="8"/>
  <c r="L37" i="11"/>
  <c r="L28" i="7"/>
  <c r="AD7" i="8"/>
  <c r="U13" i="11"/>
  <c r="G37" i="11"/>
  <c r="AB16" i="12"/>
  <c r="Y28" i="4"/>
  <c r="N13" i="3"/>
  <c r="T37" i="3"/>
  <c r="K4" i="6"/>
  <c r="U4" i="6"/>
  <c r="T4" i="6"/>
  <c r="H28" i="6"/>
  <c r="I28" i="6"/>
  <c r="G28" i="6"/>
  <c r="I4" i="12"/>
  <c r="Y19" i="10"/>
  <c r="X4" i="12"/>
  <c r="V28" i="6"/>
  <c r="K19" i="10"/>
  <c r="AE4" i="12"/>
  <c r="Q28" i="12"/>
  <c r="P37" i="3"/>
  <c r="G4" i="6"/>
  <c r="Z4" i="6"/>
  <c r="Y4" i="6"/>
  <c r="D28" i="6"/>
  <c r="E28" i="6"/>
  <c r="C28" i="6"/>
  <c r="M4" i="12"/>
  <c r="U19" i="10"/>
  <c r="AB4" i="12"/>
  <c r="P19" i="10"/>
  <c r="C4" i="12"/>
  <c r="U28" i="12"/>
  <c r="L28" i="4"/>
  <c r="L37" i="3"/>
  <c r="C4" i="6"/>
  <c r="AD4" i="6"/>
  <c r="AF28" i="6"/>
  <c r="AG28" i="6"/>
  <c r="AE28" i="6"/>
  <c r="Q4" i="12"/>
  <c r="Q19" i="10"/>
  <c r="AF4" i="12"/>
  <c r="V19" i="10"/>
  <c r="G4" i="12"/>
  <c r="Y28" i="12"/>
  <c r="F28" i="4"/>
  <c r="T16" i="4"/>
  <c r="H37" i="3"/>
  <c r="AE4" i="6"/>
  <c r="AB28" i="6"/>
  <c r="AC28" i="6"/>
  <c r="AA28" i="6"/>
  <c r="U4" i="12"/>
  <c r="M19" i="10"/>
  <c r="D4" i="12"/>
  <c r="AA19" i="10"/>
  <c r="K4" i="12"/>
  <c r="AC28" i="12"/>
  <c r="AA4" i="6"/>
  <c r="X28" i="6"/>
  <c r="Y28" i="6"/>
  <c r="W28" i="6"/>
  <c r="Y4" i="12"/>
  <c r="I19" i="10"/>
  <c r="H4" i="12"/>
  <c r="O4" i="12"/>
  <c r="D37" i="3"/>
  <c r="AF37" i="3"/>
  <c r="W4" i="6"/>
  <c r="E4" i="6"/>
  <c r="D4" i="6"/>
  <c r="T28" i="6"/>
  <c r="U28" i="6"/>
  <c r="S28" i="6"/>
  <c r="AC4" i="12"/>
  <c r="E19" i="10"/>
  <c r="L4" i="12"/>
  <c r="S4" i="12"/>
  <c r="E28" i="12"/>
  <c r="F7" i="11"/>
  <c r="AB37" i="3"/>
  <c r="S4" i="6"/>
  <c r="J4" i="6"/>
  <c r="I4" i="6"/>
  <c r="P28" i="6"/>
  <c r="Q28" i="6"/>
  <c r="O28" i="6"/>
  <c r="J28" i="6"/>
  <c r="AG19" i="10"/>
  <c r="P4" i="12"/>
  <c r="W4" i="12"/>
  <c r="I28" i="12"/>
  <c r="E31" i="7"/>
  <c r="N16" i="11"/>
  <c r="R37" i="5"/>
  <c r="AB28" i="4"/>
  <c r="Q28" i="4"/>
  <c r="E16" i="4"/>
  <c r="N28" i="4"/>
  <c r="P22" i="12"/>
  <c r="E31" i="11"/>
  <c r="F37" i="11"/>
  <c r="L7" i="11"/>
  <c r="X16" i="11"/>
  <c r="AC25" i="10"/>
  <c r="G28" i="10"/>
  <c r="R28" i="8"/>
  <c r="T31" i="7"/>
  <c r="R31" i="6"/>
  <c r="E37" i="5"/>
  <c r="I28" i="4"/>
  <c r="T28" i="4"/>
  <c r="AD28" i="4"/>
  <c r="W13" i="3"/>
  <c r="AC25" i="12"/>
  <c r="Q28" i="11"/>
  <c r="T7" i="11"/>
  <c r="H22" i="8"/>
  <c r="AG28" i="4"/>
  <c r="P25" i="12"/>
  <c r="N28" i="12"/>
  <c r="R25" i="11"/>
  <c r="J34" i="11"/>
  <c r="AA7" i="11"/>
  <c r="F16" i="11"/>
  <c r="G22" i="10"/>
  <c r="T22" i="8"/>
  <c r="L37" i="6"/>
  <c r="F4" i="6"/>
  <c r="G16" i="10"/>
  <c r="M22" i="8"/>
  <c r="H28" i="8"/>
  <c r="X28" i="8"/>
  <c r="O31" i="8"/>
  <c r="F34" i="8"/>
  <c r="M7" i="8"/>
  <c r="L16" i="8"/>
  <c r="AB25" i="7"/>
  <c r="M22" i="7"/>
  <c r="L31" i="7"/>
  <c r="Z31" i="7"/>
  <c r="N34" i="7"/>
  <c r="F37" i="7"/>
  <c r="Z37" i="7"/>
  <c r="K10" i="7"/>
  <c r="Q31" i="3"/>
  <c r="I10" i="3"/>
  <c r="F16" i="12"/>
  <c r="N19" i="12"/>
  <c r="V28" i="10"/>
  <c r="S16" i="10"/>
  <c r="R19" i="10"/>
  <c r="V10" i="7"/>
  <c r="L13" i="7"/>
  <c r="Q19" i="7"/>
  <c r="AG19" i="7"/>
  <c r="R25" i="6"/>
  <c r="R22" i="6"/>
  <c r="AD28" i="6"/>
  <c r="F31" i="6"/>
  <c r="Z31" i="6"/>
  <c r="R4" i="6"/>
  <c r="L7" i="6"/>
  <c r="W16" i="5"/>
  <c r="L19" i="5"/>
  <c r="O25" i="4"/>
  <c r="E28" i="4"/>
  <c r="H28" i="4"/>
  <c r="J28" i="4"/>
  <c r="M28" i="4"/>
  <c r="P28" i="4"/>
  <c r="R28" i="4"/>
  <c r="U28" i="4"/>
  <c r="X28" i="4"/>
  <c r="Z28" i="4"/>
  <c r="AC28" i="4"/>
  <c r="AF28" i="4"/>
  <c r="H31" i="4"/>
  <c r="I34" i="4"/>
  <c r="M16" i="4"/>
  <c r="AA16" i="4"/>
  <c r="X25" i="3"/>
  <c r="F31" i="3"/>
  <c r="AB31" i="3"/>
  <c r="G34" i="3"/>
  <c r="U10" i="3"/>
  <c r="V25" i="12"/>
  <c r="H25" i="12"/>
  <c r="G22" i="12"/>
  <c r="X22" i="12"/>
  <c r="C28" i="12"/>
  <c r="X28" i="12"/>
  <c r="R16" i="12"/>
  <c r="C19" i="12"/>
  <c r="X19" i="12"/>
  <c r="U37" i="11"/>
  <c r="F4" i="11"/>
  <c r="I16" i="11"/>
  <c r="T16" i="11"/>
  <c r="AC16" i="11"/>
  <c r="R19" i="11"/>
  <c r="V22" i="10"/>
  <c r="W25" i="8"/>
  <c r="AC7" i="8"/>
  <c r="G10" i="8"/>
  <c r="V16" i="8"/>
  <c r="J19" i="8"/>
  <c r="K37" i="7"/>
  <c r="U37" i="7"/>
  <c r="AC37" i="7"/>
  <c r="F4" i="7"/>
  <c r="R7" i="7"/>
  <c r="E19" i="7"/>
  <c r="M19" i="7"/>
  <c r="U19" i="7"/>
  <c r="Z19" i="7"/>
  <c r="V25" i="6"/>
  <c r="F25" i="6"/>
  <c r="N22" i="6"/>
  <c r="Z22" i="6"/>
  <c r="N28" i="6"/>
  <c r="Z28" i="6"/>
  <c r="E31" i="6"/>
  <c r="K31" i="6"/>
  <c r="U31" i="6"/>
  <c r="AF31" i="6"/>
  <c r="H34" i="6"/>
  <c r="C37" i="6"/>
  <c r="W37" i="6"/>
  <c r="M34" i="5"/>
  <c r="F7" i="5"/>
  <c r="Q10" i="4"/>
  <c r="R13" i="4"/>
  <c r="M19" i="3"/>
  <c r="H19" i="12"/>
  <c r="S19" i="12"/>
  <c r="AD19" i="12"/>
  <c r="Z34" i="11"/>
  <c r="T4" i="11"/>
  <c r="H16" i="11"/>
  <c r="M16" i="11"/>
  <c r="Q16" i="11"/>
  <c r="V16" i="11"/>
  <c r="AB16" i="11"/>
  <c r="AD16" i="11"/>
  <c r="G19" i="11"/>
  <c r="N25" i="10"/>
  <c r="L28" i="10"/>
  <c r="N16" i="10"/>
  <c r="AA16" i="10"/>
  <c r="G19" i="10"/>
  <c r="Z19" i="10"/>
  <c r="N25" i="8"/>
  <c r="G4" i="8"/>
  <c r="V10" i="8"/>
  <c r="N13" i="8"/>
  <c r="U19" i="8"/>
  <c r="W34" i="7"/>
  <c r="T4" i="7"/>
  <c r="G7" i="7"/>
  <c r="Z7" i="7"/>
  <c r="W13" i="7"/>
  <c r="G37" i="6"/>
  <c r="S37" i="6"/>
  <c r="AB37" i="6"/>
  <c r="X7" i="6"/>
  <c r="L37" i="5"/>
  <c r="Z37" i="5"/>
  <c r="K10" i="5"/>
  <c r="L13" i="5"/>
  <c r="I10" i="4"/>
  <c r="Y10" i="4"/>
  <c r="J13" i="4"/>
  <c r="Z13" i="4"/>
  <c r="J13" i="3"/>
  <c r="R13" i="3"/>
  <c r="AA13" i="3"/>
  <c r="X19" i="3"/>
  <c r="M8" i="9"/>
  <c r="M7" i="9"/>
  <c r="M34" i="12"/>
  <c r="E37" i="12"/>
  <c r="F19" i="12"/>
  <c r="K19" i="12"/>
  <c r="P19" i="12"/>
  <c r="V19" i="12"/>
  <c r="AA19" i="12"/>
  <c r="AF19" i="12"/>
  <c r="U31" i="11"/>
  <c r="M37" i="11"/>
  <c r="J7" i="11"/>
  <c r="P7" i="11"/>
  <c r="W7" i="11"/>
  <c r="L22" i="10"/>
  <c r="AB22" i="10"/>
  <c r="AD25" i="8"/>
  <c r="S25" i="8"/>
  <c r="G25" i="8"/>
  <c r="U34" i="8"/>
  <c r="W4" i="8"/>
  <c r="G7" i="8"/>
  <c r="R7" i="8"/>
  <c r="AG7" i="8"/>
  <c r="F16" i="8"/>
  <c r="Q16" i="8"/>
  <c r="AB16" i="8"/>
  <c r="E19" i="8"/>
  <c r="O19" i="8"/>
  <c r="AB19" i="8"/>
  <c r="U22" i="7"/>
  <c r="I31" i="7"/>
  <c r="P31" i="7"/>
  <c r="V31" i="7"/>
  <c r="AD31" i="7"/>
  <c r="G34" i="7"/>
  <c r="R34" i="7"/>
  <c r="AD34" i="7"/>
  <c r="N4" i="7"/>
  <c r="C7" i="7"/>
  <c r="L7" i="7"/>
  <c r="T7" i="7"/>
  <c r="AE7" i="7"/>
  <c r="F10" i="7"/>
  <c r="Q10" i="7"/>
  <c r="AA10" i="7"/>
  <c r="G13" i="7"/>
  <c r="R13" i="7"/>
  <c r="AB13" i="7"/>
  <c r="D37" i="6"/>
  <c r="K37" i="6"/>
  <c r="O37" i="6"/>
  <c r="T37" i="6"/>
  <c r="AA37" i="6"/>
  <c r="Q7" i="6"/>
  <c r="AG7" i="6"/>
  <c r="Q10" i="6"/>
  <c r="R25" i="5"/>
  <c r="R22" i="5"/>
  <c r="R28" i="5"/>
  <c r="AF34" i="5"/>
  <c r="G16" i="5"/>
  <c r="Q16" i="5"/>
  <c r="AB16" i="5"/>
  <c r="D19" i="5"/>
  <c r="W19" i="5"/>
  <c r="V25" i="4"/>
  <c r="G25" i="4"/>
  <c r="R22" i="4"/>
  <c r="E10" i="4"/>
  <c r="M10" i="4"/>
  <c r="U10" i="4"/>
  <c r="AC10" i="4"/>
  <c r="F13" i="4"/>
  <c r="N13" i="4"/>
  <c r="V13" i="4"/>
  <c r="AD13" i="4"/>
  <c r="M25" i="3"/>
  <c r="H22" i="3"/>
  <c r="W4" i="3"/>
  <c r="E10" i="3"/>
  <c r="N10" i="3"/>
  <c r="Y10" i="3"/>
  <c r="H19" i="3"/>
  <c r="R19" i="3"/>
  <c r="AC19" i="3"/>
  <c r="K28" i="12"/>
  <c r="V28" i="12"/>
  <c r="AF28" i="12"/>
  <c r="U37" i="12"/>
  <c r="N4" i="12"/>
  <c r="J7" i="12"/>
  <c r="R10" i="12"/>
  <c r="Q16" i="12"/>
  <c r="AC16" i="12"/>
  <c r="Z25" i="11"/>
  <c r="J25" i="11"/>
  <c r="Q22" i="11"/>
  <c r="M31" i="11"/>
  <c r="AC31" i="11"/>
  <c r="F34" i="11"/>
  <c r="N34" i="11"/>
  <c r="L4" i="11"/>
  <c r="AA4" i="11"/>
  <c r="N13" i="11"/>
  <c r="K22" i="10"/>
  <c r="R22" i="10"/>
  <c r="W22" i="10"/>
  <c r="R34" i="10"/>
  <c r="H4" i="10"/>
  <c r="R7" i="10"/>
  <c r="AE25" i="8"/>
  <c r="AA25" i="8"/>
  <c r="V25" i="8"/>
  <c r="O25" i="8"/>
  <c r="K25" i="8"/>
  <c r="I28" i="8"/>
  <c r="T28" i="8"/>
  <c r="E31" i="8"/>
  <c r="W31" i="8"/>
  <c r="M10" i="8"/>
  <c r="G19" i="8"/>
  <c r="M19" i="8"/>
  <c r="R19" i="8"/>
  <c r="X19" i="8"/>
  <c r="P22" i="7"/>
  <c r="P28" i="7"/>
  <c r="D31" i="7"/>
  <c r="F31" i="7"/>
  <c r="J31" i="7"/>
  <c r="N31" i="7"/>
  <c r="Q31" i="7"/>
  <c r="U31" i="7"/>
  <c r="Y31" i="7"/>
  <c r="AB31" i="7"/>
  <c r="F34" i="7"/>
  <c r="J34" i="7"/>
  <c r="O34" i="7"/>
  <c r="V34" i="7"/>
  <c r="Z34" i="7"/>
  <c r="E37" i="7"/>
  <c r="G37" i="7"/>
  <c r="M37" i="7"/>
  <c r="R37" i="7"/>
  <c r="V37" i="7"/>
  <c r="AA37" i="7"/>
  <c r="D7" i="7"/>
  <c r="J7" i="7"/>
  <c r="N7" i="7"/>
  <c r="S7" i="7"/>
  <c r="X7" i="7"/>
  <c r="AB7" i="7"/>
  <c r="E10" i="7"/>
  <c r="J10" i="7"/>
  <c r="O10" i="7"/>
  <c r="U10" i="7"/>
  <c r="Z10" i="7"/>
  <c r="F13" i="7"/>
  <c r="K13" i="7"/>
  <c r="P13" i="7"/>
  <c r="V13" i="7"/>
  <c r="AA13" i="7"/>
  <c r="N34" i="6"/>
  <c r="H4" i="6"/>
  <c r="AF4" i="6"/>
  <c r="F7" i="6"/>
  <c r="M7" i="6"/>
  <c r="V7" i="6"/>
  <c r="AB7" i="6"/>
  <c r="L10" i="6"/>
  <c r="M13" i="6"/>
  <c r="L16" i="6"/>
  <c r="L19" i="6"/>
  <c r="H37" i="5"/>
  <c r="P37" i="5"/>
  <c r="V37" i="5"/>
  <c r="AC37" i="5"/>
  <c r="F4" i="5"/>
  <c r="H19" i="5"/>
  <c r="R19" i="5"/>
  <c r="AB19" i="5"/>
  <c r="Z25" i="4"/>
  <c r="R25" i="4"/>
  <c r="K25" i="4"/>
  <c r="D25" i="4"/>
  <c r="H22" i="4"/>
  <c r="AB22" i="4"/>
  <c r="Y34" i="4"/>
  <c r="R7" i="4"/>
  <c r="C10" i="4"/>
  <c r="G10" i="4"/>
  <c r="K10" i="4"/>
  <c r="O10" i="4"/>
  <c r="S10" i="4"/>
  <c r="W10" i="4"/>
  <c r="AA10" i="4"/>
  <c r="AE10" i="4"/>
  <c r="D13" i="4"/>
  <c r="H13" i="4"/>
  <c r="L13" i="4"/>
  <c r="P13" i="4"/>
  <c r="T13" i="4"/>
  <c r="X13" i="4"/>
  <c r="AB13" i="4"/>
  <c r="AF13" i="4"/>
  <c r="C16" i="4"/>
  <c r="I16" i="4"/>
  <c r="P16" i="4"/>
  <c r="X16" i="4"/>
  <c r="AE16" i="4"/>
  <c r="V22" i="3"/>
  <c r="AC34" i="3"/>
  <c r="F10" i="3"/>
  <c r="M10" i="3"/>
  <c r="Q10" i="3"/>
  <c r="V10" i="3"/>
  <c r="AC10" i="3"/>
  <c r="C13" i="3"/>
  <c r="G13" i="3"/>
  <c r="K13" i="3"/>
  <c r="O13" i="3"/>
  <c r="S13" i="3"/>
  <c r="Z13" i="3"/>
  <c r="AE13" i="3"/>
  <c r="M16" i="3"/>
  <c r="E19" i="3"/>
  <c r="J19" i="3"/>
  <c r="P19" i="3"/>
  <c r="U19" i="3"/>
  <c r="Z19" i="3"/>
  <c r="AF19" i="3"/>
  <c r="M11" i="9"/>
  <c r="M12" i="9"/>
  <c r="M10" i="9"/>
  <c r="M9" i="9"/>
  <c r="M6" i="9"/>
  <c r="M5" i="9"/>
  <c r="M4" i="9"/>
  <c r="AC22" i="12"/>
  <c r="M22" i="12"/>
  <c r="C22" i="12"/>
  <c r="N22" i="12"/>
  <c r="W22" i="12"/>
  <c r="AF22" i="12"/>
  <c r="H28" i="12"/>
  <c r="S28" i="12"/>
  <c r="AD28" i="12"/>
  <c r="W31" i="12"/>
  <c r="Q37" i="12"/>
  <c r="AF37" i="12"/>
  <c r="F7" i="12"/>
  <c r="Z7" i="12"/>
  <c r="M10" i="12"/>
  <c r="AC10" i="12"/>
  <c r="Z13" i="12"/>
  <c r="M16" i="12"/>
  <c r="AA16" i="12"/>
  <c r="Z22" i="11"/>
  <c r="AD28" i="11"/>
  <c r="Y28" i="11"/>
  <c r="I28" i="11"/>
  <c r="AF37" i="11"/>
  <c r="Z37" i="11"/>
  <c r="N37" i="11"/>
  <c r="E37" i="11"/>
  <c r="J4" i="11"/>
  <c r="P4" i="11"/>
  <c r="W4" i="11"/>
  <c r="AE4" i="11"/>
  <c r="AG7" i="11"/>
  <c r="AD7" i="11"/>
  <c r="X7" i="11"/>
  <c r="S7" i="11"/>
  <c r="N7" i="11"/>
  <c r="H7" i="11"/>
  <c r="C7" i="11"/>
  <c r="AG19" i="11"/>
  <c r="AC19" i="11"/>
  <c r="N19" i="11"/>
  <c r="X25" i="10"/>
  <c r="H25" i="10"/>
  <c r="AD28" i="10"/>
  <c r="AA28" i="10"/>
  <c r="P28" i="10"/>
  <c r="F28" i="10"/>
  <c r="X4" i="10"/>
  <c r="W13" i="10"/>
  <c r="C19" i="10"/>
  <c r="L19" i="10"/>
  <c r="T19" i="10"/>
  <c r="AE19" i="10"/>
  <c r="Y22" i="8"/>
  <c r="N22" i="8"/>
  <c r="D22" i="8"/>
  <c r="I31" i="8"/>
  <c r="T31" i="8"/>
  <c r="AB31" i="8"/>
  <c r="AA10" i="8"/>
  <c r="Q10" i="8"/>
  <c r="F10" i="8"/>
  <c r="D16" i="8"/>
  <c r="I16" i="8"/>
  <c r="N16" i="8"/>
  <c r="T16" i="8"/>
  <c r="Y16" i="8"/>
  <c r="AD16" i="8"/>
  <c r="AE19" i="8"/>
  <c r="AA19" i="8"/>
  <c r="W19" i="8"/>
  <c r="AD19" i="8"/>
  <c r="Y19" i="8"/>
  <c r="T19" i="8"/>
  <c r="P19" i="8"/>
  <c r="L19" i="8"/>
  <c r="H19" i="8"/>
  <c r="D19" i="8"/>
  <c r="AA25" i="11"/>
  <c r="K25" i="11"/>
  <c r="J22" i="11"/>
  <c r="R28" i="11"/>
  <c r="J37" i="11"/>
  <c r="V37" i="11"/>
  <c r="D4" i="11"/>
  <c r="K4" i="11"/>
  <c r="R4" i="11"/>
  <c r="Z4" i="11"/>
  <c r="G7" i="11"/>
  <c r="O7" i="11"/>
  <c r="V7" i="11"/>
  <c r="AB7" i="11"/>
  <c r="AB10" i="11"/>
  <c r="M10" i="11"/>
  <c r="C19" i="11"/>
  <c r="U19" i="11"/>
  <c r="R25" i="10"/>
  <c r="K28" i="10"/>
  <c r="W28" i="10"/>
  <c r="AC31" i="10"/>
  <c r="Q31" i="10"/>
  <c r="AF37" i="10"/>
  <c r="G37" i="10"/>
  <c r="D19" i="10"/>
  <c r="N19" i="10"/>
  <c r="X19" i="10"/>
  <c r="I22" i="8"/>
  <c r="X22" i="8"/>
  <c r="Y28" i="8"/>
  <c r="N28" i="8"/>
  <c r="D28" i="8"/>
  <c r="L31" i="8"/>
  <c r="U31" i="8"/>
  <c r="K10" i="8"/>
  <c r="W10" i="8"/>
  <c r="E16" i="8"/>
  <c r="J16" i="8"/>
  <c r="P16" i="8"/>
  <c r="U16" i="8"/>
  <c r="Z16" i="8"/>
  <c r="F19" i="8"/>
  <c r="K19" i="8"/>
  <c r="Q19" i="8"/>
  <c r="V19" i="8"/>
  <c r="AC19" i="8"/>
  <c r="H22" i="12"/>
  <c r="R22" i="12"/>
  <c r="AB22" i="12"/>
  <c r="I37" i="12"/>
  <c r="Y37" i="12"/>
  <c r="R7" i="12"/>
  <c r="E10" i="12"/>
  <c r="U10" i="12"/>
  <c r="C13" i="12"/>
  <c r="AD22" i="11"/>
  <c r="Y22" i="11"/>
  <c r="I22" i="11"/>
  <c r="AG4" i="11"/>
  <c r="AD4" i="11"/>
  <c r="X4" i="11"/>
  <c r="S4" i="11"/>
  <c r="N4" i="11"/>
  <c r="H4" i="11"/>
  <c r="C4" i="11"/>
  <c r="F25" i="10"/>
  <c r="I25" i="10"/>
  <c r="T25" i="10"/>
  <c r="AD25" i="10"/>
  <c r="AG4" i="10"/>
  <c r="M4" i="10"/>
  <c r="AG13" i="10"/>
  <c r="N13" i="10"/>
  <c r="AD19" i="10"/>
  <c r="W19" i="10"/>
  <c r="O19" i="10"/>
  <c r="H19" i="10"/>
  <c r="AF31" i="8"/>
  <c r="Y31" i="8"/>
  <c r="Q31" i="8"/>
  <c r="K31" i="8"/>
  <c r="D31" i="8"/>
  <c r="AE16" i="8"/>
  <c r="AA16" i="8"/>
  <c r="W16" i="8"/>
  <c r="S16" i="8"/>
  <c r="O16" i="8"/>
  <c r="K16" i="8"/>
  <c r="G16" i="8"/>
  <c r="C16" i="8"/>
  <c r="Z37" i="12"/>
  <c r="J37" i="12"/>
  <c r="Q22" i="12"/>
  <c r="K22" i="12"/>
  <c r="V22" i="12"/>
  <c r="F28" i="12"/>
  <c r="P28" i="12"/>
  <c r="AA28" i="12"/>
  <c r="L31" i="12"/>
  <c r="X34" i="12"/>
  <c r="M37" i="12"/>
  <c r="J10" i="12"/>
  <c r="K13" i="12"/>
  <c r="G16" i="12"/>
  <c r="S25" i="11"/>
  <c r="C25" i="11"/>
  <c r="R22" i="11"/>
  <c r="J28" i="11"/>
  <c r="AG28" i="11"/>
  <c r="AG34" i="11"/>
  <c r="V34" i="11"/>
  <c r="R37" i="11"/>
  <c r="AD37" i="11"/>
  <c r="G4" i="11"/>
  <c r="O4" i="11"/>
  <c r="V4" i="11"/>
  <c r="AB4" i="11"/>
  <c r="D7" i="11"/>
  <c r="K7" i="11"/>
  <c r="R7" i="11"/>
  <c r="Z7" i="11"/>
  <c r="AF7" i="11"/>
  <c r="J19" i="11"/>
  <c r="AE19" i="11"/>
  <c r="Y25" i="10"/>
  <c r="M25" i="10"/>
  <c r="AD22" i="10"/>
  <c r="AA22" i="10"/>
  <c r="P22" i="10"/>
  <c r="F22" i="10"/>
  <c r="R28" i="10"/>
  <c r="AF28" i="10"/>
  <c r="R4" i="10"/>
  <c r="M7" i="10"/>
  <c r="I13" i="10"/>
  <c r="J19" i="10"/>
  <c r="S19" i="10"/>
  <c r="AB19" i="10"/>
  <c r="J25" i="8"/>
  <c r="R25" i="8"/>
  <c r="Z25" i="8"/>
  <c r="R22" i="8"/>
  <c r="AD22" i="8"/>
  <c r="M28" i="8"/>
  <c r="AC28" i="8"/>
  <c r="G31" i="8"/>
  <c r="P31" i="8"/>
  <c r="AA31" i="8"/>
  <c r="R10" i="8"/>
  <c r="AE10" i="8"/>
  <c r="AD13" i="8"/>
  <c r="G13" i="8"/>
  <c r="H16" i="8"/>
  <c r="M16" i="8"/>
  <c r="R16" i="8"/>
  <c r="X16" i="8"/>
  <c r="AC16" i="8"/>
  <c r="C19" i="8"/>
  <c r="I19" i="8"/>
  <c r="N19" i="8"/>
  <c r="S19" i="8"/>
  <c r="Z19" i="8"/>
  <c r="AG19" i="8"/>
  <c r="K25" i="7"/>
  <c r="AD37" i="7"/>
  <c r="Y37" i="7"/>
  <c r="S37" i="7"/>
  <c r="N37" i="7"/>
  <c r="I37" i="7"/>
  <c r="C37" i="7"/>
  <c r="AE37" i="7"/>
  <c r="W37" i="7"/>
  <c r="Q37" i="7"/>
  <c r="J37" i="7"/>
  <c r="AF4" i="7"/>
  <c r="AE4" i="7"/>
  <c r="P4" i="7"/>
  <c r="C4" i="7"/>
  <c r="AF16" i="7"/>
  <c r="C34" i="6"/>
  <c r="X34" i="6"/>
  <c r="AG7" i="5"/>
  <c r="Y7" i="5"/>
  <c r="R7" i="5"/>
  <c r="K7" i="5"/>
  <c r="C7" i="5"/>
  <c r="AD7" i="5"/>
  <c r="W7" i="5"/>
  <c r="Q7" i="5"/>
  <c r="I7" i="5"/>
  <c r="AC7" i="5"/>
  <c r="V7" i="5"/>
  <c r="N7" i="5"/>
  <c r="G7" i="5"/>
  <c r="AB31" i="5"/>
  <c r="L31" i="5"/>
  <c r="AE31" i="5"/>
  <c r="I31" i="5"/>
  <c r="W31" i="5"/>
  <c r="AG34" i="6"/>
  <c r="AA34" i="6"/>
  <c r="P34" i="6"/>
  <c r="F34" i="6"/>
  <c r="AF34" i="6"/>
  <c r="V34" i="6"/>
  <c r="K34" i="6"/>
  <c r="S7" i="5"/>
  <c r="AE13" i="5"/>
  <c r="T13" i="5"/>
  <c r="J13" i="5"/>
  <c r="AB13" i="5"/>
  <c r="R13" i="5"/>
  <c r="G13" i="5"/>
  <c r="Z13" i="5"/>
  <c r="O13" i="5"/>
  <c r="D13" i="5"/>
  <c r="AG22" i="7"/>
  <c r="Z22" i="7"/>
  <c r="H22" i="7"/>
  <c r="AC31" i="7"/>
  <c r="X31" i="7"/>
  <c r="R31" i="7"/>
  <c r="M31" i="7"/>
  <c r="H31" i="7"/>
  <c r="AA34" i="7"/>
  <c r="S34" i="7"/>
  <c r="K34" i="7"/>
  <c r="C34" i="7"/>
  <c r="J4" i="7"/>
  <c r="AA4" i="7"/>
  <c r="S34" i="6"/>
  <c r="AA7" i="5"/>
  <c r="AD10" i="5"/>
  <c r="S10" i="5"/>
  <c r="I10" i="5"/>
  <c r="AA10" i="5"/>
  <c r="Q10" i="5"/>
  <c r="F10" i="5"/>
  <c r="Y10" i="5"/>
  <c r="N10" i="5"/>
  <c r="C10" i="5"/>
  <c r="J34" i="5"/>
  <c r="AC34" i="5"/>
  <c r="C16" i="5"/>
  <c r="H16" i="5"/>
  <c r="M16" i="5"/>
  <c r="S16" i="5"/>
  <c r="X16" i="5"/>
  <c r="AC16" i="5"/>
  <c r="AE25" i="4"/>
  <c r="W25" i="4"/>
  <c r="P25" i="4"/>
  <c r="J25" i="4"/>
  <c r="E25" i="4"/>
  <c r="M22" i="4"/>
  <c r="AG22" i="4"/>
  <c r="AC34" i="4"/>
  <c r="D16" i="4"/>
  <c r="K16" i="4"/>
  <c r="S16" i="4"/>
  <c r="Y16" i="4"/>
  <c r="AF16" i="4"/>
  <c r="V25" i="3"/>
  <c r="L25" i="3"/>
  <c r="L22" i="3"/>
  <c r="AB22" i="3"/>
  <c r="F28" i="3"/>
  <c r="S16" i="3"/>
  <c r="D19" i="3"/>
  <c r="I19" i="3"/>
  <c r="N19" i="3"/>
  <c r="T19" i="3"/>
  <c r="Y19" i="3"/>
  <c r="AD19" i="3"/>
  <c r="D16" i="5"/>
  <c r="I16" i="5"/>
  <c r="O16" i="5"/>
  <c r="T16" i="5"/>
  <c r="Y16" i="5"/>
  <c r="AE16" i="5"/>
  <c r="AC25" i="3"/>
  <c r="R25" i="3"/>
  <c r="H25" i="3"/>
  <c r="Q22" i="3"/>
  <c r="AC22" i="3"/>
  <c r="Q28" i="3"/>
  <c r="C16" i="3"/>
  <c r="X16" i="3"/>
  <c r="M31" i="6"/>
  <c r="U34" i="5"/>
  <c r="E16" i="5"/>
  <c r="K16" i="5"/>
  <c r="P16" i="5"/>
  <c r="U16" i="5"/>
  <c r="AA16" i="5"/>
  <c r="AF16" i="5"/>
  <c r="AA25" i="4"/>
  <c r="T25" i="4"/>
  <c r="L25" i="4"/>
  <c r="D22" i="4"/>
  <c r="V22" i="4"/>
  <c r="Q34" i="4"/>
  <c r="Y37" i="4"/>
  <c r="H16" i="4"/>
  <c r="O16" i="4"/>
  <c r="U16" i="4"/>
  <c r="AC16" i="4"/>
  <c r="AB25" i="3"/>
  <c r="Q25" i="3"/>
  <c r="F25" i="3"/>
  <c r="F22" i="3"/>
  <c r="R22" i="3"/>
  <c r="AG22" i="3"/>
  <c r="AB28" i="3"/>
  <c r="V31" i="3"/>
  <c r="R34" i="3"/>
  <c r="L4" i="3"/>
  <c r="J10" i="3"/>
  <c r="R10" i="3"/>
  <c r="Z10" i="3"/>
  <c r="V13" i="3"/>
  <c r="AD13" i="3"/>
  <c r="H16" i="3"/>
  <c r="AC16" i="3"/>
  <c r="F19" i="3"/>
  <c r="L19" i="3"/>
  <c r="Q19" i="3"/>
  <c r="V19" i="3"/>
  <c r="AB19" i="3"/>
  <c r="AG19" i="3"/>
  <c r="D28" i="12"/>
  <c r="G28" i="12"/>
  <c r="J28" i="12"/>
  <c r="L28" i="12"/>
  <c r="O28" i="12"/>
  <c r="R28" i="12"/>
  <c r="T28" i="12"/>
  <c r="W28" i="12"/>
  <c r="Z28" i="12"/>
  <c r="AB28" i="12"/>
  <c r="AE28" i="12"/>
  <c r="G31" i="12"/>
  <c r="Q31" i="12"/>
  <c r="AB31" i="12"/>
  <c r="H34" i="12"/>
  <c r="R34" i="12"/>
  <c r="AC34" i="12"/>
  <c r="J13" i="12"/>
  <c r="S13" i="12"/>
  <c r="D19" i="12"/>
  <c r="G19" i="12"/>
  <c r="J19" i="12"/>
  <c r="L19" i="12"/>
  <c r="O19" i="12"/>
  <c r="R19" i="12"/>
  <c r="T19" i="12"/>
  <c r="W19" i="12"/>
  <c r="Z19" i="12"/>
  <c r="AB19" i="12"/>
  <c r="AE19" i="12"/>
  <c r="I31" i="11"/>
  <c r="Q31" i="11"/>
  <c r="Y31" i="11"/>
  <c r="E19" i="11"/>
  <c r="I19" i="11"/>
  <c r="M19" i="11"/>
  <c r="O19" i="11"/>
  <c r="S19" i="11"/>
  <c r="W19" i="11"/>
  <c r="Z19" i="11"/>
  <c r="AD19" i="11"/>
  <c r="Q37" i="10"/>
  <c r="AB37" i="10"/>
  <c r="C13" i="10"/>
  <c r="M13" i="10"/>
  <c r="S13" i="10"/>
  <c r="Y13" i="10"/>
  <c r="F16" i="10"/>
  <c r="I16" i="10"/>
  <c r="Q16" i="10"/>
  <c r="W16" i="10"/>
  <c r="P34" i="8"/>
  <c r="AC34" i="8"/>
  <c r="R4" i="8"/>
  <c r="H13" i="8"/>
  <c r="S13" i="8"/>
  <c r="AB13" i="8"/>
  <c r="AE25" i="7"/>
  <c r="R25" i="7"/>
  <c r="E22" i="7"/>
  <c r="I22" i="7"/>
  <c r="N22" i="7"/>
  <c r="T22" i="7"/>
  <c r="X22" i="7"/>
  <c r="AC22" i="7"/>
  <c r="N28" i="7"/>
  <c r="AF28" i="7"/>
  <c r="D4" i="7"/>
  <c r="H4" i="7"/>
  <c r="K4" i="7"/>
  <c r="O4" i="7"/>
  <c r="S4" i="7"/>
  <c r="V4" i="7"/>
  <c r="Z4" i="7"/>
  <c r="AD4" i="7"/>
  <c r="D34" i="6"/>
  <c r="G34" i="6"/>
  <c r="J34" i="6"/>
  <c r="L34" i="6"/>
  <c r="O34" i="6"/>
  <c r="R34" i="6"/>
  <c r="T34" i="6"/>
  <c r="W34" i="6"/>
  <c r="Z34" i="6"/>
  <c r="AB34" i="6"/>
  <c r="AE34" i="6"/>
  <c r="D16" i="6"/>
  <c r="Z25" i="5"/>
  <c r="J22" i="5"/>
  <c r="J28" i="5"/>
  <c r="F37" i="5"/>
  <c r="J37" i="5"/>
  <c r="M37" i="5"/>
  <c r="Q37" i="5"/>
  <c r="U37" i="5"/>
  <c r="X37" i="5"/>
  <c r="AB37" i="5"/>
  <c r="E19" i="5"/>
  <c r="I19" i="5"/>
  <c r="N19" i="5"/>
  <c r="S19" i="5"/>
  <c r="X19" i="5"/>
  <c r="F22" i="4"/>
  <c r="L22" i="4"/>
  <c r="N22" i="4"/>
  <c r="T22" i="4"/>
  <c r="Y22" i="4"/>
  <c r="AC22" i="4"/>
  <c r="T31" i="4"/>
  <c r="E34" i="4"/>
  <c r="M34" i="4"/>
  <c r="R34" i="4"/>
  <c r="Z34" i="4"/>
  <c r="I37" i="4"/>
  <c r="AD37" i="4"/>
  <c r="D10" i="4"/>
  <c r="F10" i="4"/>
  <c r="H10" i="4"/>
  <c r="J10" i="4"/>
  <c r="L10" i="4"/>
  <c r="N10" i="4"/>
  <c r="P10" i="4"/>
  <c r="R10" i="4"/>
  <c r="T10" i="4"/>
  <c r="V10" i="4"/>
  <c r="X10" i="4"/>
  <c r="Z10" i="4"/>
  <c r="AB10" i="4"/>
  <c r="AD10" i="4"/>
  <c r="C13" i="4"/>
  <c r="E13" i="4"/>
  <c r="G13" i="4"/>
  <c r="I13" i="4"/>
  <c r="K13" i="4"/>
  <c r="M13" i="4"/>
  <c r="O13" i="4"/>
  <c r="Q13" i="4"/>
  <c r="S13" i="4"/>
  <c r="U13" i="4"/>
  <c r="W13" i="4"/>
  <c r="Y13" i="4"/>
  <c r="AA13" i="4"/>
  <c r="AC13" i="4"/>
  <c r="AE13" i="4"/>
  <c r="H28" i="3"/>
  <c r="R28" i="3"/>
  <c r="AC28" i="3"/>
  <c r="M34" i="3"/>
  <c r="W34" i="3"/>
  <c r="AD10" i="3"/>
  <c r="X25" i="12"/>
  <c r="Q25" i="12"/>
  <c r="J25" i="12"/>
  <c r="AE22" i="12"/>
  <c r="Z22" i="12"/>
  <c r="T22" i="12"/>
  <c r="O22" i="12"/>
  <c r="J22" i="12"/>
  <c r="D22" i="12"/>
  <c r="E31" i="12"/>
  <c r="K31" i="12"/>
  <c r="P31" i="12"/>
  <c r="U31" i="12"/>
  <c r="AA31" i="12"/>
  <c r="F34" i="12"/>
  <c r="L34" i="12"/>
  <c r="Q34" i="12"/>
  <c r="V34" i="12"/>
  <c r="AB34" i="12"/>
  <c r="J4" i="12"/>
  <c r="AD13" i="12"/>
  <c r="V13" i="12"/>
  <c r="N13" i="12"/>
  <c r="F13" i="12"/>
  <c r="AE13" i="12"/>
  <c r="W13" i="12"/>
  <c r="O13" i="12"/>
  <c r="G13" i="12"/>
  <c r="AD16" i="12"/>
  <c r="Y16" i="12"/>
  <c r="S16" i="12"/>
  <c r="N16" i="12"/>
  <c r="I16" i="12"/>
  <c r="C16" i="12"/>
  <c r="AE16" i="12"/>
  <c r="Z16" i="12"/>
  <c r="U16" i="12"/>
  <c r="O16" i="12"/>
  <c r="J16" i="12"/>
  <c r="E16" i="12"/>
  <c r="AD25" i="11"/>
  <c r="V25" i="11"/>
  <c r="N25" i="11"/>
  <c r="F22" i="11"/>
  <c r="N22" i="11"/>
  <c r="V22" i="11"/>
  <c r="F28" i="11"/>
  <c r="N28" i="11"/>
  <c r="V28" i="11"/>
  <c r="G10" i="11"/>
  <c r="AC13" i="11"/>
  <c r="R13" i="11"/>
  <c r="H13" i="11"/>
  <c r="AD13" i="11"/>
  <c r="T13" i="11"/>
  <c r="I13" i="11"/>
  <c r="M31" i="10"/>
  <c r="N34" i="10"/>
  <c r="AC10" i="10"/>
  <c r="R10" i="10"/>
  <c r="H10" i="10"/>
  <c r="AB10" i="10"/>
  <c r="M10" i="10"/>
  <c r="X10" i="10"/>
  <c r="L10" i="10"/>
  <c r="AF10" i="10"/>
  <c r="Q10" i="10"/>
  <c r="D25" i="12"/>
  <c r="I25" i="12"/>
  <c r="N25" i="12"/>
  <c r="T25" i="12"/>
  <c r="Y25" i="12"/>
  <c r="AD25" i="12"/>
  <c r="AD31" i="12"/>
  <c r="Z31" i="12"/>
  <c r="V31" i="12"/>
  <c r="R31" i="12"/>
  <c r="N31" i="12"/>
  <c r="J31" i="12"/>
  <c r="F31" i="12"/>
  <c r="AE34" i="12"/>
  <c r="AA34" i="12"/>
  <c r="W34" i="12"/>
  <c r="S34" i="12"/>
  <c r="O34" i="12"/>
  <c r="K34" i="12"/>
  <c r="G34" i="12"/>
  <c r="C34" i="12"/>
  <c r="AG4" i="12"/>
  <c r="R4" i="12"/>
  <c r="AC10" i="11"/>
  <c r="S10" i="11"/>
  <c r="H10" i="11"/>
  <c r="AF10" i="11"/>
  <c r="W10" i="11"/>
  <c r="L10" i="11"/>
  <c r="AE31" i="10"/>
  <c r="AA31" i="10"/>
  <c r="W31" i="10"/>
  <c r="S31" i="10"/>
  <c r="O31" i="10"/>
  <c r="K31" i="10"/>
  <c r="G31" i="10"/>
  <c r="C31" i="10"/>
  <c r="AD31" i="10"/>
  <c r="Z31" i="10"/>
  <c r="V31" i="10"/>
  <c r="R31" i="10"/>
  <c r="N31" i="10"/>
  <c r="J31" i="10"/>
  <c r="F31" i="10"/>
  <c r="AF31" i="10"/>
  <c r="AB31" i="10"/>
  <c r="X31" i="10"/>
  <c r="T31" i="10"/>
  <c r="P31" i="10"/>
  <c r="L31" i="10"/>
  <c r="H31" i="10"/>
  <c r="D31" i="10"/>
  <c r="AF34" i="10"/>
  <c r="AB34" i="10"/>
  <c r="X34" i="10"/>
  <c r="T34" i="10"/>
  <c r="P34" i="10"/>
  <c r="L34" i="10"/>
  <c r="H34" i="10"/>
  <c r="D34" i="10"/>
  <c r="AE34" i="10"/>
  <c r="AA34" i="10"/>
  <c r="W34" i="10"/>
  <c r="S34" i="10"/>
  <c r="O34" i="10"/>
  <c r="K34" i="10"/>
  <c r="G34" i="10"/>
  <c r="C34" i="10"/>
  <c r="AG34" i="10"/>
  <c r="AC34" i="10"/>
  <c r="Y34" i="10"/>
  <c r="U34" i="10"/>
  <c r="Q34" i="10"/>
  <c r="M34" i="10"/>
  <c r="I34" i="10"/>
  <c r="E34" i="10"/>
  <c r="AB25" i="12"/>
  <c r="U25" i="12"/>
  <c r="M25" i="12"/>
  <c r="F25" i="12"/>
  <c r="C31" i="12"/>
  <c r="H31" i="12"/>
  <c r="M31" i="12"/>
  <c r="S31" i="12"/>
  <c r="X31" i="12"/>
  <c r="AC31" i="12"/>
  <c r="D34" i="12"/>
  <c r="I34" i="12"/>
  <c r="N34" i="12"/>
  <c r="T34" i="12"/>
  <c r="Y34" i="12"/>
  <c r="AD34" i="12"/>
  <c r="V4" i="12"/>
  <c r="E25" i="11"/>
  <c r="I25" i="11"/>
  <c r="M25" i="11"/>
  <c r="Q25" i="11"/>
  <c r="U25" i="11"/>
  <c r="Y25" i="11"/>
  <c r="AC25" i="11"/>
  <c r="D25" i="11"/>
  <c r="H25" i="11"/>
  <c r="L25" i="11"/>
  <c r="P25" i="11"/>
  <c r="T25" i="11"/>
  <c r="X25" i="11"/>
  <c r="AB25" i="11"/>
  <c r="AE22" i="11"/>
  <c r="AA22" i="11"/>
  <c r="W22" i="11"/>
  <c r="S22" i="11"/>
  <c r="O22" i="11"/>
  <c r="K22" i="11"/>
  <c r="G22" i="11"/>
  <c r="C22" i="11"/>
  <c r="AF22" i="11"/>
  <c r="AB22" i="11"/>
  <c r="X22" i="11"/>
  <c r="T22" i="11"/>
  <c r="P22" i="11"/>
  <c r="L22" i="11"/>
  <c r="H22" i="11"/>
  <c r="D22" i="11"/>
  <c r="AE28" i="11"/>
  <c r="AA28" i="11"/>
  <c r="W28" i="11"/>
  <c r="S28" i="11"/>
  <c r="O28" i="11"/>
  <c r="K28" i="11"/>
  <c r="G28" i="11"/>
  <c r="C28" i="11"/>
  <c r="AF28" i="11"/>
  <c r="AB28" i="11"/>
  <c r="X28" i="11"/>
  <c r="T28" i="11"/>
  <c r="P28" i="11"/>
  <c r="L28" i="11"/>
  <c r="H28" i="11"/>
  <c r="D28" i="11"/>
  <c r="Q10" i="11"/>
  <c r="D13" i="11"/>
  <c r="Y13" i="11"/>
  <c r="E31" i="10"/>
  <c r="U31" i="10"/>
  <c r="F34" i="10"/>
  <c r="V34" i="10"/>
  <c r="F10" i="10"/>
  <c r="Z25" i="12"/>
  <c r="R25" i="12"/>
  <c r="L25" i="12"/>
  <c r="E25" i="12"/>
  <c r="F22" i="12"/>
  <c r="L22" i="12"/>
  <c r="S22" i="12"/>
  <c r="AA22" i="12"/>
  <c r="AG22" i="12"/>
  <c r="D31" i="12"/>
  <c r="I31" i="12"/>
  <c r="O31" i="12"/>
  <c r="T31" i="12"/>
  <c r="Y31" i="12"/>
  <c r="AE31" i="12"/>
  <c r="E34" i="12"/>
  <c r="J34" i="12"/>
  <c r="P34" i="12"/>
  <c r="U34" i="12"/>
  <c r="Z34" i="12"/>
  <c r="AF34" i="12"/>
  <c r="F4" i="12"/>
  <c r="Z4" i="12"/>
  <c r="AD7" i="12"/>
  <c r="N7" i="12"/>
  <c r="AG7" i="12"/>
  <c r="AD10" i="12"/>
  <c r="V10" i="12"/>
  <c r="N10" i="12"/>
  <c r="F10" i="12"/>
  <c r="AF10" i="12"/>
  <c r="Y10" i="12"/>
  <c r="Q10" i="12"/>
  <c r="I10" i="12"/>
  <c r="R13" i="12"/>
  <c r="AG13" i="12"/>
  <c r="K16" i="12"/>
  <c r="V16" i="12"/>
  <c r="AF16" i="12"/>
  <c r="AE25" i="11"/>
  <c r="W25" i="11"/>
  <c r="O25" i="11"/>
  <c r="G25" i="11"/>
  <c r="E22" i="11"/>
  <c r="M22" i="11"/>
  <c r="U22" i="11"/>
  <c r="AC22" i="11"/>
  <c r="E28" i="11"/>
  <c r="M28" i="11"/>
  <c r="U28" i="11"/>
  <c r="AC28" i="11"/>
  <c r="C10" i="11"/>
  <c r="X10" i="11"/>
  <c r="M13" i="11"/>
  <c r="AG13" i="11"/>
  <c r="I31" i="10"/>
  <c r="Y31" i="10"/>
  <c r="J34" i="10"/>
  <c r="Z34" i="10"/>
  <c r="V10" i="10"/>
  <c r="Z25" i="10"/>
  <c r="U25" i="10"/>
  <c r="P25" i="10"/>
  <c r="J25" i="10"/>
  <c r="E25" i="10"/>
  <c r="D22" i="10"/>
  <c r="J22" i="10"/>
  <c r="O22" i="10"/>
  <c r="T22" i="10"/>
  <c r="Z22" i="10"/>
  <c r="AE22" i="10"/>
  <c r="D28" i="10"/>
  <c r="J28" i="10"/>
  <c r="O28" i="10"/>
  <c r="T28" i="10"/>
  <c r="Z28" i="10"/>
  <c r="AE28" i="10"/>
  <c r="AC7" i="10"/>
  <c r="H7" i="10"/>
  <c r="AE16" i="10"/>
  <c r="Y16" i="10"/>
  <c r="R16" i="10"/>
  <c r="K16" i="10"/>
  <c r="C16" i="10"/>
  <c r="M34" i="8"/>
  <c r="F25" i="7"/>
  <c r="L25" i="7"/>
  <c r="T25" i="7"/>
  <c r="AA25" i="7"/>
  <c r="D25" i="7"/>
  <c r="O25" i="7"/>
  <c r="W25" i="7"/>
  <c r="G25" i="7"/>
  <c r="P25" i="7"/>
  <c r="Z25" i="7"/>
  <c r="H28" i="7"/>
  <c r="AB37" i="8"/>
  <c r="F37" i="8"/>
  <c r="V37" i="8"/>
  <c r="Q37" i="8"/>
  <c r="AD34" i="8"/>
  <c r="Y34" i="8"/>
  <c r="T34" i="8"/>
  <c r="N34" i="8"/>
  <c r="I34" i="8"/>
  <c r="D34" i="8"/>
  <c r="AG34" i="8"/>
  <c r="Z34" i="8"/>
  <c r="R34" i="8"/>
  <c r="L34" i="8"/>
  <c r="E34" i="8"/>
  <c r="AF34" i="8"/>
  <c r="X34" i="8"/>
  <c r="Q34" i="8"/>
  <c r="J34" i="8"/>
  <c r="AG28" i="7"/>
  <c r="Z28" i="7"/>
  <c r="T28" i="7"/>
  <c r="M28" i="7"/>
  <c r="E28" i="7"/>
  <c r="AD28" i="7"/>
  <c r="U28" i="7"/>
  <c r="J28" i="7"/>
  <c r="AC28" i="7"/>
  <c r="R28" i="7"/>
  <c r="I28" i="7"/>
  <c r="R34" i="11"/>
  <c r="I37" i="11"/>
  <c r="Q37" i="11"/>
  <c r="Y37" i="11"/>
  <c r="E4" i="11"/>
  <c r="I4" i="11"/>
  <c r="M4" i="11"/>
  <c r="Q4" i="11"/>
  <c r="U4" i="11"/>
  <c r="Y4" i="11"/>
  <c r="AC4" i="11"/>
  <c r="E7" i="11"/>
  <c r="I7" i="11"/>
  <c r="M7" i="11"/>
  <c r="Q7" i="11"/>
  <c r="U7" i="11"/>
  <c r="Y7" i="11"/>
  <c r="AC7" i="11"/>
  <c r="D16" i="11"/>
  <c r="L16" i="11"/>
  <c r="R16" i="11"/>
  <c r="Y16" i="11"/>
  <c r="AB25" i="10"/>
  <c r="V25" i="10"/>
  <c r="Q25" i="10"/>
  <c r="L25" i="10"/>
  <c r="C22" i="10"/>
  <c r="H22" i="10"/>
  <c r="N22" i="10"/>
  <c r="S22" i="10"/>
  <c r="X22" i="10"/>
  <c r="C28" i="10"/>
  <c r="H28" i="10"/>
  <c r="N28" i="10"/>
  <c r="S28" i="10"/>
  <c r="X28" i="10"/>
  <c r="L37" i="10"/>
  <c r="AG7" i="10"/>
  <c r="AC13" i="10"/>
  <c r="R13" i="10"/>
  <c r="G13" i="10"/>
  <c r="M16" i="10"/>
  <c r="V16" i="10"/>
  <c r="AD16" i="10"/>
  <c r="E25" i="8"/>
  <c r="C25" i="8"/>
  <c r="H25" i="8"/>
  <c r="L25" i="8"/>
  <c r="P25" i="8"/>
  <c r="T25" i="8"/>
  <c r="X25" i="8"/>
  <c r="AB25" i="8"/>
  <c r="D25" i="8"/>
  <c r="I25" i="8"/>
  <c r="M25" i="8"/>
  <c r="Q25" i="8"/>
  <c r="U25" i="8"/>
  <c r="Y25" i="8"/>
  <c r="AC25" i="8"/>
  <c r="AE22" i="8"/>
  <c r="AA22" i="8"/>
  <c r="W22" i="8"/>
  <c r="S22" i="8"/>
  <c r="O22" i="8"/>
  <c r="K22" i="8"/>
  <c r="G22" i="8"/>
  <c r="C22" i="8"/>
  <c r="AG22" i="8"/>
  <c r="AB22" i="8"/>
  <c r="V22" i="8"/>
  <c r="Q22" i="8"/>
  <c r="L22" i="8"/>
  <c r="F22" i="8"/>
  <c r="AF22" i="8"/>
  <c r="Z22" i="8"/>
  <c r="U22" i="8"/>
  <c r="P22" i="8"/>
  <c r="J22" i="8"/>
  <c r="E22" i="8"/>
  <c r="AE28" i="8"/>
  <c r="AA28" i="8"/>
  <c r="W28" i="8"/>
  <c r="S28" i="8"/>
  <c r="O28" i="8"/>
  <c r="K28" i="8"/>
  <c r="G28" i="8"/>
  <c r="C28" i="8"/>
  <c r="AG28" i="8"/>
  <c r="AB28" i="8"/>
  <c r="V28" i="8"/>
  <c r="Q28" i="8"/>
  <c r="L28" i="8"/>
  <c r="F28" i="8"/>
  <c r="AF28" i="8"/>
  <c r="Z28" i="8"/>
  <c r="U28" i="8"/>
  <c r="P28" i="8"/>
  <c r="J28" i="8"/>
  <c r="E28" i="8"/>
  <c r="H34" i="8"/>
  <c r="V34" i="8"/>
  <c r="L37" i="8"/>
  <c r="V25" i="7"/>
  <c r="C25" i="7"/>
  <c r="D28" i="7"/>
  <c r="X28" i="7"/>
  <c r="AD16" i="6"/>
  <c r="Y16" i="6"/>
  <c r="S16" i="6"/>
  <c r="N16" i="6"/>
  <c r="J16" i="6"/>
  <c r="F16" i="6"/>
  <c r="AC16" i="6"/>
  <c r="W16" i="6"/>
  <c r="R16" i="6"/>
  <c r="M16" i="6"/>
  <c r="I16" i="6"/>
  <c r="E16" i="6"/>
  <c r="AE19" i="6"/>
  <c r="Z19" i="6"/>
  <c r="T19" i="6"/>
  <c r="O19" i="6"/>
  <c r="J19" i="6"/>
  <c r="D19" i="6"/>
  <c r="AD19" i="6"/>
  <c r="X19" i="6"/>
  <c r="S19" i="6"/>
  <c r="N19" i="6"/>
  <c r="H19" i="6"/>
  <c r="C19" i="6"/>
  <c r="C25" i="5"/>
  <c r="G25" i="5"/>
  <c r="K25" i="5"/>
  <c r="O25" i="5"/>
  <c r="S25" i="5"/>
  <c r="W25" i="5"/>
  <c r="AA25" i="5"/>
  <c r="AE25" i="5"/>
  <c r="D25" i="5"/>
  <c r="H25" i="5"/>
  <c r="L25" i="5"/>
  <c r="P25" i="5"/>
  <c r="T25" i="5"/>
  <c r="X25" i="5"/>
  <c r="AB25" i="5"/>
  <c r="AG22" i="5"/>
  <c r="AC22" i="5"/>
  <c r="Y22" i="5"/>
  <c r="U22" i="5"/>
  <c r="Q22" i="5"/>
  <c r="M22" i="5"/>
  <c r="I22" i="5"/>
  <c r="E22" i="5"/>
  <c r="AF22" i="5"/>
  <c r="AB22" i="5"/>
  <c r="X22" i="5"/>
  <c r="T22" i="5"/>
  <c r="P22" i="5"/>
  <c r="L22" i="5"/>
  <c r="H22" i="5"/>
  <c r="D22" i="5"/>
  <c r="AG28" i="5"/>
  <c r="AC28" i="5"/>
  <c r="Y28" i="5"/>
  <c r="U28" i="5"/>
  <c r="Q28" i="5"/>
  <c r="M28" i="5"/>
  <c r="I28" i="5"/>
  <c r="E28" i="5"/>
  <c r="AF28" i="5"/>
  <c r="AB28" i="5"/>
  <c r="X28" i="5"/>
  <c r="T28" i="5"/>
  <c r="P28" i="5"/>
  <c r="L28" i="5"/>
  <c r="H28" i="5"/>
  <c r="D28" i="5"/>
  <c r="AD4" i="5"/>
  <c r="W4" i="5"/>
  <c r="Q4" i="5"/>
  <c r="I4" i="5"/>
  <c r="AC4" i="5"/>
  <c r="V4" i="5"/>
  <c r="N4" i="5"/>
  <c r="G4" i="5"/>
  <c r="AF10" i="7"/>
  <c r="AB10" i="7"/>
  <c r="X10" i="7"/>
  <c r="T10" i="7"/>
  <c r="P10" i="7"/>
  <c r="L10" i="7"/>
  <c r="H10" i="7"/>
  <c r="D10" i="7"/>
  <c r="AG13" i="7"/>
  <c r="AC13" i="7"/>
  <c r="Y13" i="7"/>
  <c r="U13" i="7"/>
  <c r="Q13" i="7"/>
  <c r="M13" i="7"/>
  <c r="I13" i="7"/>
  <c r="E13" i="7"/>
  <c r="AD31" i="6"/>
  <c r="Y31" i="6"/>
  <c r="S31" i="6"/>
  <c r="N31" i="6"/>
  <c r="I31" i="6"/>
  <c r="C31" i="6"/>
  <c r="AG4" i="6"/>
  <c r="V4" i="6"/>
  <c r="L4" i="6"/>
  <c r="G16" i="6"/>
  <c r="O16" i="6"/>
  <c r="Z16" i="6"/>
  <c r="F19" i="6"/>
  <c r="P19" i="6"/>
  <c r="AA19" i="6"/>
  <c r="Y25" i="5"/>
  <c r="Q25" i="5"/>
  <c r="I25" i="5"/>
  <c r="C22" i="5"/>
  <c r="K22" i="5"/>
  <c r="S22" i="5"/>
  <c r="AA22" i="5"/>
  <c r="C28" i="5"/>
  <c r="K28" i="5"/>
  <c r="S28" i="5"/>
  <c r="AA28" i="5"/>
  <c r="K4" i="5"/>
  <c r="Y4" i="5"/>
  <c r="AC31" i="8"/>
  <c r="X31" i="8"/>
  <c r="S31" i="8"/>
  <c r="M31" i="8"/>
  <c r="H31" i="8"/>
  <c r="C31" i="8"/>
  <c r="AG4" i="8"/>
  <c r="M4" i="8"/>
  <c r="C13" i="8"/>
  <c r="R13" i="8"/>
  <c r="AF7" i="7"/>
  <c r="AA7" i="7"/>
  <c r="V7" i="7"/>
  <c r="P7" i="7"/>
  <c r="K7" i="7"/>
  <c r="F7" i="7"/>
  <c r="G10" i="7"/>
  <c r="M10" i="7"/>
  <c r="R10" i="7"/>
  <c r="W10" i="7"/>
  <c r="AC10" i="7"/>
  <c r="C13" i="7"/>
  <c r="H13" i="7"/>
  <c r="N13" i="7"/>
  <c r="S13" i="7"/>
  <c r="X13" i="7"/>
  <c r="AD13" i="7"/>
  <c r="I16" i="7"/>
  <c r="AD19" i="7"/>
  <c r="V19" i="7"/>
  <c r="N19" i="7"/>
  <c r="F19" i="7"/>
  <c r="G31" i="6"/>
  <c r="O31" i="6"/>
  <c r="V31" i="6"/>
  <c r="AC31" i="6"/>
  <c r="M4" i="6"/>
  <c r="AB4" i="6"/>
  <c r="H16" i="6"/>
  <c r="Q16" i="6"/>
  <c r="AA16" i="6"/>
  <c r="G19" i="6"/>
  <c r="R19" i="6"/>
  <c r="AB19" i="6"/>
  <c r="AD25" i="5"/>
  <c r="V25" i="5"/>
  <c r="N25" i="5"/>
  <c r="F25" i="5"/>
  <c r="F22" i="5"/>
  <c r="N22" i="5"/>
  <c r="V22" i="5"/>
  <c r="AD22" i="5"/>
  <c r="F28" i="5"/>
  <c r="N28" i="5"/>
  <c r="V28" i="5"/>
  <c r="AD28" i="5"/>
  <c r="M4" i="5"/>
  <c r="AA4" i="5"/>
  <c r="AF13" i="8"/>
  <c r="W13" i="8"/>
  <c r="L13" i="8"/>
  <c r="AF22" i="7"/>
  <c r="Y22" i="7"/>
  <c r="R22" i="7"/>
  <c r="J22" i="7"/>
  <c r="D22" i="7"/>
  <c r="AG4" i="7"/>
  <c r="AB4" i="7"/>
  <c r="W4" i="7"/>
  <c r="R4" i="7"/>
  <c r="L4" i="7"/>
  <c r="G4" i="7"/>
  <c r="H7" i="7"/>
  <c r="O7" i="7"/>
  <c r="W7" i="7"/>
  <c r="AD7" i="7"/>
  <c r="C10" i="7"/>
  <c r="I10" i="7"/>
  <c r="N10" i="7"/>
  <c r="S10" i="7"/>
  <c r="Y10" i="7"/>
  <c r="AD10" i="7"/>
  <c r="D13" i="7"/>
  <c r="J13" i="7"/>
  <c r="O13" i="7"/>
  <c r="T13" i="7"/>
  <c r="Z13" i="7"/>
  <c r="AE13" i="7"/>
  <c r="Q16" i="7"/>
  <c r="I19" i="7"/>
  <c r="R19" i="7"/>
  <c r="AC19" i="7"/>
  <c r="J31" i="6"/>
  <c r="Q31" i="6"/>
  <c r="W31" i="6"/>
  <c r="AE31" i="6"/>
  <c r="AD37" i="6"/>
  <c r="X37" i="6"/>
  <c r="P37" i="6"/>
  <c r="H37" i="6"/>
  <c r="Q4" i="6"/>
  <c r="AC4" i="6"/>
  <c r="AC7" i="6"/>
  <c r="R7" i="6"/>
  <c r="H7" i="6"/>
  <c r="AB10" i="6"/>
  <c r="F10" i="6"/>
  <c r="C16" i="6"/>
  <c r="K16" i="6"/>
  <c r="U16" i="6"/>
  <c r="AE16" i="6"/>
  <c r="K19" i="6"/>
  <c r="V19" i="6"/>
  <c r="AF19" i="6"/>
  <c r="AC25" i="5"/>
  <c r="U25" i="5"/>
  <c r="M25" i="5"/>
  <c r="E25" i="5"/>
  <c r="G22" i="5"/>
  <c r="O22" i="5"/>
  <c r="W22" i="5"/>
  <c r="AE22" i="5"/>
  <c r="G28" i="5"/>
  <c r="O28" i="5"/>
  <c r="W28" i="5"/>
  <c r="AE28" i="5"/>
  <c r="C4" i="5"/>
  <c r="R4" i="5"/>
  <c r="AG4" i="5"/>
  <c r="AG19" i="5"/>
  <c r="AC19" i="5"/>
  <c r="Y19" i="5"/>
  <c r="U19" i="5"/>
  <c r="Q19" i="5"/>
  <c r="M19" i="5"/>
  <c r="D31" i="4"/>
  <c r="Q31" i="4"/>
  <c r="AD4" i="4"/>
  <c r="AC37" i="3"/>
  <c r="W37" i="3"/>
  <c r="R37" i="3"/>
  <c r="M37" i="3"/>
  <c r="G37" i="3"/>
  <c r="AE37" i="3"/>
  <c r="Z37" i="3"/>
  <c r="U37" i="3"/>
  <c r="O37" i="3"/>
  <c r="J37" i="3"/>
  <c r="E37" i="3"/>
  <c r="AD37" i="3"/>
  <c r="Y37" i="3"/>
  <c r="S37" i="3"/>
  <c r="N37" i="3"/>
  <c r="I37" i="3"/>
  <c r="C37" i="3"/>
  <c r="AD7" i="3"/>
  <c r="X7" i="3"/>
  <c r="S7" i="3"/>
  <c r="N7" i="3"/>
  <c r="H7" i="3"/>
  <c r="C7" i="3"/>
  <c r="AF7" i="3"/>
  <c r="AA7" i="3"/>
  <c r="V7" i="3"/>
  <c r="P7" i="3"/>
  <c r="K7" i="3"/>
  <c r="F7" i="3"/>
  <c r="Z7" i="3"/>
  <c r="T7" i="3"/>
  <c r="O7" i="3"/>
  <c r="J7" i="3"/>
  <c r="D7" i="3"/>
  <c r="AC31" i="4"/>
  <c r="X31" i="4"/>
  <c r="L31" i="4"/>
  <c r="Q37" i="3"/>
  <c r="G4" i="3"/>
  <c r="R7" i="3"/>
  <c r="F19" i="5"/>
  <c r="J19" i="5"/>
  <c r="O19" i="5"/>
  <c r="T19" i="5"/>
  <c r="Z19" i="5"/>
  <c r="AE19" i="5"/>
  <c r="AF22" i="4"/>
  <c r="Z22" i="4"/>
  <c r="U22" i="4"/>
  <c r="P22" i="4"/>
  <c r="J22" i="4"/>
  <c r="E22" i="4"/>
  <c r="I31" i="4"/>
  <c r="Y31" i="4"/>
  <c r="V37" i="3"/>
  <c r="AD4" i="3"/>
  <c r="X4" i="3"/>
  <c r="S4" i="3"/>
  <c r="N4" i="3"/>
  <c r="H4" i="3"/>
  <c r="C4" i="3"/>
  <c r="AF4" i="3"/>
  <c r="AA4" i="3"/>
  <c r="V4" i="3"/>
  <c r="P4" i="3"/>
  <c r="K4" i="3"/>
  <c r="F4" i="3"/>
  <c r="AE4" i="3"/>
  <c r="Z4" i="3"/>
  <c r="T4" i="3"/>
  <c r="O4" i="3"/>
  <c r="J4" i="3"/>
  <c r="D4" i="3"/>
  <c r="W7" i="3"/>
  <c r="F16" i="5"/>
  <c r="J16" i="5"/>
  <c r="N16" i="5"/>
  <c r="R16" i="5"/>
  <c r="V16" i="5"/>
  <c r="Z16" i="5"/>
  <c r="C19" i="5"/>
  <c r="G19" i="5"/>
  <c r="K19" i="5"/>
  <c r="P19" i="5"/>
  <c r="V19" i="5"/>
  <c r="AA19" i="5"/>
  <c r="AF19" i="5"/>
  <c r="C25" i="4"/>
  <c r="H25" i="4"/>
  <c r="N25" i="4"/>
  <c r="S25" i="4"/>
  <c r="X25" i="4"/>
  <c r="AD25" i="4"/>
  <c r="I22" i="4"/>
  <c r="Q22" i="4"/>
  <c r="X22" i="4"/>
  <c r="AD22" i="4"/>
  <c r="P31" i="4"/>
  <c r="AB31" i="4"/>
  <c r="AG34" i="4"/>
  <c r="U34" i="4"/>
  <c r="J34" i="4"/>
  <c r="F37" i="3"/>
  <c r="AA37" i="3"/>
  <c r="R4" i="3"/>
  <c r="G7" i="3"/>
  <c r="AB7" i="3"/>
  <c r="AD25" i="3"/>
  <c r="Y25" i="3"/>
  <c r="T25" i="3"/>
  <c r="N25" i="3"/>
  <c r="I25" i="3"/>
  <c r="D25" i="3"/>
  <c r="M28" i="3"/>
  <c r="X28" i="3"/>
  <c r="AF28" i="3"/>
  <c r="D10" i="3"/>
  <c r="H10" i="3"/>
  <c r="L10" i="3"/>
  <c r="P10" i="3"/>
  <c r="T10" i="3"/>
  <c r="X10" i="3"/>
  <c r="AB10" i="3"/>
  <c r="AF10" i="3"/>
  <c r="E13" i="3"/>
  <c r="I13" i="3"/>
  <c r="M13" i="3"/>
  <c r="Q13" i="3"/>
  <c r="U13" i="3"/>
  <c r="Y13" i="3"/>
  <c r="AC13" i="3"/>
  <c r="AG13" i="3"/>
  <c r="E16" i="3"/>
  <c r="K16" i="3"/>
  <c r="P16" i="3"/>
  <c r="U16" i="3"/>
  <c r="AA16" i="3"/>
  <c r="AF16" i="3"/>
  <c r="G16" i="3"/>
  <c r="L16" i="3"/>
  <c r="Q16" i="3"/>
  <c r="W16" i="3"/>
  <c r="AB16" i="3"/>
  <c r="AD16" i="3"/>
  <c r="G16" i="4"/>
  <c r="L16" i="4"/>
  <c r="Q16" i="4"/>
  <c r="W16" i="4"/>
  <c r="AB16" i="4"/>
  <c r="Z25" i="3"/>
  <c r="U25" i="3"/>
  <c r="P25" i="3"/>
  <c r="J25" i="3"/>
  <c r="M22" i="3"/>
  <c r="X22" i="3"/>
  <c r="L28" i="3"/>
  <c r="V28" i="3"/>
  <c r="L31" i="3"/>
  <c r="C10" i="3"/>
  <c r="G10" i="3"/>
  <c r="K10" i="3"/>
  <c r="O10" i="3"/>
  <c r="S10" i="3"/>
  <c r="W10" i="3"/>
  <c r="AA10" i="3"/>
  <c r="D13" i="3"/>
  <c r="H13" i="3"/>
  <c r="L13" i="3"/>
  <c r="P13" i="3"/>
  <c r="T13" i="3"/>
  <c r="X13" i="3"/>
  <c r="AB13" i="3"/>
  <c r="D16" i="3"/>
  <c r="I16" i="3"/>
  <c r="O16" i="3"/>
  <c r="T16" i="3"/>
  <c r="Y16" i="3"/>
  <c r="M17" i="9" l="1"/>
</calcChain>
</file>

<file path=xl/sharedStrings.xml><?xml version="1.0" encoding="utf-8"?>
<sst xmlns="http://schemas.openxmlformats.org/spreadsheetml/2006/main" count="5047" uniqueCount="132">
  <si>
    <t>Roadblock Employees</t>
  </si>
  <si>
    <t>Surname</t>
  </si>
  <si>
    <t>Given Names</t>
  </si>
  <si>
    <t>Initials</t>
  </si>
  <si>
    <t>Marampon</t>
  </si>
  <si>
    <t>Thelning</t>
  </si>
  <si>
    <t>Stone</t>
  </si>
  <si>
    <t>Years in Dropdown List</t>
  </si>
  <si>
    <t>January</t>
  </si>
  <si>
    <t>D</t>
  </si>
  <si>
    <t>A</t>
  </si>
  <si>
    <t>N</t>
  </si>
  <si>
    <t>Shift List Codes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</si>
  <si>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</si>
  <si>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</si>
  <si>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</si>
  <si>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</si>
  <si>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</si>
  <si>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</si>
  <si>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</si>
  <si>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</si>
  <si>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</si>
  <si>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</si>
  <si>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</si>
  <si>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Location:</t>
  </si>
  <si>
    <t>Shift Roster</t>
  </si>
  <si>
    <t>Kevin</t>
  </si>
  <si>
    <t>Ian</t>
  </si>
  <si>
    <t>Luciano</t>
  </si>
  <si>
    <t>TOTAL</t>
  </si>
  <si>
    <t>Emp1</t>
  </si>
  <si>
    <t>Emp2</t>
  </si>
  <si>
    <t>Emp3</t>
  </si>
  <si>
    <t>Emp4</t>
  </si>
  <si>
    <t>Emp5</t>
  </si>
  <si>
    <t>Emp6</t>
  </si>
  <si>
    <t>Emp7</t>
  </si>
  <si>
    <t>Emp8</t>
  </si>
  <si>
    <t>Emp9</t>
  </si>
  <si>
    <t>SL</t>
  </si>
  <si>
    <t>AL</t>
  </si>
  <si>
    <t>Leon</t>
  </si>
  <si>
    <t>King</t>
  </si>
  <si>
    <t>David</t>
  </si>
  <si>
    <t>Castle</t>
  </si>
  <si>
    <t>H</t>
  </si>
  <si>
    <t>SP</t>
  </si>
  <si>
    <t>Emp10</t>
  </si>
  <si>
    <t>Emp11</t>
  </si>
  <si>
    <t>Emp12</t>
  </si>
  <si>
    <t>Totals</t>
  </si>
  <si>
    <t>NA</t>
  </si>
  <si>
    <t>Note:   The years in the dropdown list are also hard coded in the ribbon xml.</t>
  </si>
  <si>
    <t>Oodlawirra Quarantine Station</t>
  </si>
  <si>
    <t>Sorensen</t>
  </si>
  <si>
    <t>Troy</t>
  </si>
  <si>
    <t>Fielding</t>
  </si>
  <si>
    <t>Robin</t>
  </si>
  <si>
    <t>X</t>
  </si>
  <si>
    <t>LEGEND:</t>
  </si>
  <si>
    <t>=</t>
  </si>
  <si>
    <t>Paid Day Off</t>
  </si>
  <si>
    <t>.</t>
  </si>
  <si>
    <t>Night Shift</t>
  </si>
  <si>
    <t>Day Shift</t>
  </si>
  <si>
    <t>Afternoon Shift</t>
  </si>
  <si>
    <t>Heat Policy</t>
  </si>
  <si>
    <t>Special</t>
  </si>
  <si>
    <t>Rostered Off</t>
  </si>
  <si>
    <t>Sick Leave</t>
  </si>
  <si>
    <t>Annual Leave</t>
  </si>
  <si>
    <t>PDO</t>
  </si>
  <si>
    <t>Initial Period Ending</t>
  </si>
  <si>
    <t>Periods Ending</t>
  </si>
  <si>
    <t>2019</t>
  </si>
  <si>
    <t>Emp13</t>
  </si>
  <si>
    <t>Emp14</t>
  </si>
  <si>
    <t>Emp15</t>
  </si>
  <si>
    <t>Emp16</t>
  </si>
  <si>
    <t>Emp17</t>
  </si>
  <si>
    <t>Emp18</t>
  </si>
  <si>
    <t>Emp19</t>
  </si>
  <si>
    <t>Emp20</t>
  </si>
  <si>
    <t>Emp21</t>
  </si>
  <si>
    <t>Emp22</t>
  </si>
  <si>
    <t>Emp23</t>
  </si>
  <si>
    <t>Emp24</t>
  </si>
  <si>
    <t>Emp25</t>
  </si>
  <si>
    <t>Emp26</t>
  </si>
  <si>
    <t>Emp27</t>
  </si>
  <si>
    <t>Emp28</t>
  </si>
  <si>
    <t xml:space="preserve">Odd </t>
  </si>
  <si>
    <t>Bodd</t>
  </si>
  <si>
    <t>Odd1</t>
  </si>
  <si>
    <t>Odd2</t>
  </si>
  <si>
    <t>Odd3</t>
  </si>
  <si>
    <t>Odd4</t>
  </si>
  <si>
    <t>Odd5</t>
  </si>
  <si>
    <t>Odd6</t>
  </si>
  <si>
    <t>Odd7</t>
  </si>
  <si>
    <t>Odd8</t>
  </si>
  <si>
    <t>Odd9</t>
  </si>
  <si>
    <t>Odd10</t>
  </si>
  <si>
    <t>Odd11</t>
  </si>
  <si>
    <t>Odd12</t>
  </si>
  <si>
    <t>Odd13</t>
  </si>
  <si>
    <t>Odd14</t>
  </si>
  <si>
    <t>Odd15</t>
  </si>
  <si>
    <t>Odd16</t>
  </si>
  <si>
    <t>Odd17</t>
  </si>
  <si>
    <t>Odd18</t>
  </si>
  <si>
    <t>Odd19</t>
  </si>
  <si>
    <t>Odd20</t>
  </si>
  <si>
    <t>1Bod</t>
  </si>
  <si>
    <t>2Bod</t>
  </si>
  <si>
    <t>4Bod</t>
  </si>
  <si>
    <t>5Bod</t>
  </si>
  <si>
    <t>6Bod</t>
  </si>
  <si>
    <t>7Bod</t>
  </si>
  <si>
    <t>8Bod</t>
  </si>
  <si>
    <t>9Bod</t>
  </si>
  <si>
    <t>10Bod</t>
  </si>
  <si>
    <t>11Bod</t>
  </si>
  <si>
    <t>12Bod</t>
  </si>
  <si>
    <t>13Bod</t>
  </si>
  <si>
    <t>14Bod</t>
  </si>
  <si>
    <t>15Bod</t>
  </si>
  <si>
    <t>16Bod</t>
  </si>
  <si>
    <t>17Bod</t>
  </si>
  <si>
    <t>18Bod</t>
  </si>
  <si>
    <t>19Bod</t>
  </si>
  <si>
    <t>20Bod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</si>
</sst>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C09]dd\-mmm\-yy;@"/>
  </numFmts>
  <fonts count="28">
    <font>
      <sz val="10"/>
      <name val="Arial"/>
    </font>
    <font>
      <b/>
      <sz val="11"/>
      <color indexed="42"/>
      <name val="Arial"/>
      <family val="2"/>
    </font>
    <font>
      <b/>
      <sz val="11"/>
      <name val="Arial"/>
      <family val="2"/>
    </font>
    <font>
      <sz val="11"/>
      <color indexed="12"/>
      <name val="Arial"/>
      <family val="2"/>
    </font>
    <font>
      <sz val="10"/>
      <color indexed="12"/>
      <name val="Arial"/>
      <family val="2"/>
    </font>
    <font>
      <b/>
      <sz val="10"/>
      <color indexed="12"/>
      <name val="Arial"/>
      <family val="2"/>
    </font>
    <font>
      <b/>
      <sz val="12"/>
      <color indexed="12"/>
      <name val="Arial"/>
      <family val="2"/>
    </font>
    <font>
      <b/>
      <sz val="10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b/>
      <sz val="14"/>
      <color indexed="12"/>
      <name val="Times New Roman"/>
      <family val="1"/>
    </font>
    <font>
      <b/>
      <sz val="12"/>
      <name val="Benguiat Bk BT"/>
      <family val="1"/>
    </font>
    <font>
      <b/>
      <sz val="12"/>
      <color indexed="9"/>
      <name val="Benguiat Bk BT"/>
      <family val="1"/>
    </font>
    <font>
      <b/>
      <sz val="10"/>
      <color rgb="FF0000FF"/>
      <name val="Arial"/>
      <family val="2"/>
    </font>
    <font>
      <sz val="10"/>
      <color rgb="FF0000FF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4"/>
      <name val="Benguiat Bk BT"/>
      <family val="1"/>
    </font>
    <font>
      <b/>
      <sz val="14"/>
      <name val="Arial"/>
      <family val="2"/>
    </font>
    <font>
      <b/>
      <sz val="14"/>
      <color theme="3"/>
      <name val="Arial"/>
      <family val="2"/>
    </font>
    <font>
      <sz val="10"/>
      <color theme="3"/>
      <name val="Arial"/>
      <family val="2"/>
    </font>
    <font>
      <b/>
      <sz val="12"/>
      <color theme="3"/>
      <name val="Arial"/>
      <family val="2"/>
    </font>
    <font>
      <sz val="12"/>
      <color theme="3"/>
      <name val="Arial"/>
      <family val="2"/>
    </font>
    <font>
      <sz val="10"/>
      <color rgb="FFFFFFFF"/>
      <name val="Arial"/>
      <family val="2"/>
    </font>
    <font>
      <sz val="10"/>
      <color rgb="FFFF00FF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99FF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12"/>
      </top>
      <bottom style="thin">
        <color indexed="12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/>
  </cellStyleXfs>
  <cellXfs count="191">
    <xf numFmtId="0" fontId="0" fillId="0" borderId="0" xfId="0"/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0" fontId="0" fillId="3" borderId="3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0" fillId="0" borderId="0" xfId="0" applyFill="1" applyProtection="1"/>
    <xf numFmtId="0" fontId="0" fillId="0" borderId="0" xfId="0" applyFill="1" applyBorder="1" applyProtection="1"/>
    <xf numFmtId="0" fontId="0" fillId="0" borderId="0" xfId="0" applyFill="1" applyBorder="1" applyAlignment="1" applyProtection="1">
      <alignment horizontal="center"/>
    </xf>
    <xf numFmtId="0" fontId="0" fillId="0" borderId="0" xfId="0" applyProtection="1"/>
    <xf numFmtId="0" fontId="0" fillId="5" borderId="0" xfId="0" applyFill="1"/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0" fillId="0" borderId="10" xfId="0" applyBorder="1"/>
    <xf numFmtId="0" fontId="0" fillId="5" borderId="0" xfId="0" applyFill="1" applyAlignment="1">
      <alignment horizontal="center"/>
    </xf>
    <xf numFmtId="0" fontId="9" fillId="0" borderId="0" xfId="0" applyFont="1"/>
    <xf numFmtId="0" fontId="9" fillId="0" borderId="11" xfId="0" applyFont="1" applyBorder="1" applyAlignment="1">
      <alignment horizontal="center"/>
    </xf>
    <xf numFmtId="49" fontId="9" fillId="5" borderId="11" xfId="0" applyNumberFormat="1" applyFont="1" applyFill="1" applyBorder="1" applyAlignment="1">
      <alignment horizontal="center"/>
    </xf>
    <xf numFmtId="49" fontId="5" fillId="5" borderId="12" xfId="0" applyNumberFormat="1" applyFont="1" applyFill="1" applyBorder="1" applyAlignment="1">
      <alignment horizontal="center"/>
    </xf>
    <xf numFmtId="49" fontId="5" fillId="5" borderId="0" xfId="0" applyNumberFormat="1" applyFont="1" applyFill="1" applyBorder="1" applyAlignment="1">
      <alignment horizontal="center"/>
    </xf>
    <xf numFmtId="0" fontId="9" fillId="5" borderId="11" xfId="0" applyFont="1" applyFill="1" applyBorder="1" applyAlignment="1">
      <alignment horizontal="center"/>
    </xf>
    <xf numFmtId="0" fontId="9" fillId="5" borderId="0" xfId="0" applyFont="1" applyFill="1"/>
    <xf numFmtId="0" fontId="5" fillId="5" borderId="0" xfId="0" applyFont="1" applyFill="1" applyBorder="1" applyAlignment="1">
      <alignment horizontal="center"/>
    </xf>
    <xf numFmtId="0" fontId="9" fillId="0" borderId="13" xfId="0" applyFont="1" applyBorder="1" applyAlignment="1">
      <alignment horizontal="center"/>
    </xf>
    <xf numFmtId="0" fontId="8" fillId="0" borderId="0" xfId="0" applyFont="1" applyFill="1" applyBorder="1"/>
    <xf numFmtId="0" fontId="0" fillId="5" borderId="0" xfId="0" applyFill="1" applyBorder="1"/>
    <xf numFmtId="0" fontId="0" fillId="4" borderId="14" xfId="0" applyFill="1" applyBorder="1"/>
    <xf numFmtId="0" fontId="0" fillId="0" borderId="15" xfId="0" applyBorder="1" applyAlignment="1">
      <alignment horizontal="center"/>
    </xf>
    <xf numFmtId="0" fontId="0" fillId="5" borderId="0" xfId="0" applyFill="1" applyAlignment="1">
      <alignment vertical="center"/>
    </xf>
    <xf numFmtId="0" fontId="11" fillId="5" borderId="0" xfId="0" applyFont="1" applyFill="1" applyAlignment="1">
      <alignment vertical="center"/>
    </xf>
    <xf numFmtId="0" fontId="11" fillId="5" borderId="0" xfId="0" applyFont="1" applyFill="1" applyAlignment="1">
      <alignment vertical="top"/>
    </xf>
    <xf numFmtId="0" fontId="7" fillId="0" borderId="16" xfId="0" applyFont="1" applyBorder="1" applyAlignment="1">
      <alignment horizontal="center"/>
    </xf>
    <xf numFmtId="0" fontId="7" fillId="0" borderId="17" xfId="0" applyFont="1" applyBorder="1" applyAlignment="1">
      <alignment horizontal="center"/>
    </xf>
    <xf numFmtId="0" fontId="7" fillId="0" borderId="18" xfId="0" applyFont="1" applyBorder="1" applyAlignment="1">
      <alignment horizontal="center"/>
    </xf>
    <xf numFmtId="0" fontId="7" fillId="0" borderId="19" xfId="0" applyFont="1" applyBorder="1" applyAlignment="1">
      <alignment horizontal="center"/>
    </xf>
    <xf numFmtId="49" fontId="7" fillId="0" borderId="17" xfId="0" applyNumberFormat="1" applyFont="1" applyBorder="1" applyAlignment="1">
      <alignment horizontal="center"/>
    </xf>
    <xf numFmtId="49" fontId="7" fillId="0" borderId="18" xfId="0" applyNumberFormat="1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7" fillId="0" borderId="21" xfId="0" applyFont="1" applyBorder="1" applyAlignment="1">
      <alignment horizontal="center"/>
    </xf>
    <xf numFmtId="0" fontId="0" fillId="0" borderId="0" xfId="0" applyBorder="1"/>
    <xf numFmtId="0" fontId="9" fillId="5" borderId="13" xfId="0" applyFont="1" applyFill="1" applyBorder="1" applyAlignment="1">
      <alignment horizontal="center"/>
    </xf>
    <xf numFmtId="0" fontId="9" fillId="0" borderId="0" xfId="0" applyFont="1" applyAlignment="1">
      <alignment horizontal="center"/>
    </xf>
    <xf numFmtId="0" fontId="9" fillId="5" borderId="0" xfId="0" applyFont="1" applyFill="1" applyAlignment="1">
      <alignment horizontal="center"/>
    </xf>
    <xf numFmtId="0" fontId="7" fillId="0" borderId="16" xfId="0" applyNumberFormat="1" applyFont="1" applyBorder="1" applyAlignment="1" applyProtection="1">
      <alignment horizontal="center"/>
    </xf>
    <xf numFmtId="0" fontId="7" fillId="0" borderId="17" xfId="0" applyNumberFormat="1" applyFont="1" applyBorder="1" applyAlignment="1" applyProtection="1">
      <alignment horizontal="center"/>
    </xf>
    <xf numFmtId="0" fontId="0" fillId="3" borderId="1" xfId="0" applyFill="1" applyBorder="1" applyAlignment="1">
      <alignment horizontal="center"/>
    </xf>
    <xf numFmtId="0" fontId="7" fillId="0" borderId="16" xfId="0" applyFont="1" applyBorder="1" applyAlignment="1" applyProtection="1">
      <alignment horizontal="center"/>
      <protection hidden="1"/>
    </xf>
    <xf numFmtId="0" fontId="7" fillId="0" borderId="16" xfId="0" applyNumberFormat="1" applyFont="1" applyBorder="1" applyAlignment="1" applyProtection="1">
      <alignment horizontal="center"/>
      <protection hidden="1"/>
    </xf>
    <xf numFmtId="49" fontId="7" fillId="0" borderId="17" xfId="0" applyNumberFormat="1" applyFont="1" applyBorder="1" applyAlignment="1" applyProtection="1">
      <alignment horizontal="center"/>
      <protection hidden="1"/>
    </xf>
    <xf numFmtId="49" fontId="7" fillId="0" borderId="18" xfId="0" applyNumberFormat="1" applyFont="1" applyBorder="1" applyAlignment="1" applyProtection="1">
      <alignment horizontal="center"/>
      <protection hidden="1"/>
    </xf>
    <xf numFmtId="0" fontId="0" fillId="5" borderId="0" xfId="0" applyFill="1" applyProtection="1">
      <protection hidden="1"/>
    </xf>
    <xf numFmtId="0" fontId="0" fillId="0" borderId="0" xfId="0" applyProtection="1">
      <protection hidden="1"/>
    </xf>
    <xf numFmtId="0" fontId="0" fillId="5" borderId="0" xfId="0" applyFill="1" applyProtection="1">
      <protection locked="0"/>
    </xf>
    <xf numFmtId="49" fontId="3" fillId="5" borderId="3" xfId="0" applyNumberFormat="1" applyFont="1" applyFill="1" applyBorder="1" applyAlignment="1" applyProtection="1">
      <protection locked="0"/>
    </xf>
    <xf numFmtId="0" fontId="4" fillId="0" borderId="25" xfId="0" applyFont="1" applyBorder="1" applyAlignment="1" applyProtection="1">
      <alignment horizontal="center"/>
      <protection locked="0"/>
    </xf>
    <xf numFmtId="0" fontId="4" fillId="0" borderId="26" xfId="0" applyFont="1" applyBorder="1" applyAlignment="1" applyProtection="1">
      <alignment horizontal="center"/>
      <protection locked="0"/>
    </xf>
    <xf numFmtId="0" fontId="4" fillId="0" borderId="27" xfId="0" applyFont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 hidden="1"/>
    </xf>
    <xf numFmtId="0" fontId="3" fillId="3" borderId="2" xfId="0" applyFont="1" applyFill="1" applyBorder="1" applyAlignment="1" applyProtection="1">
      <protection hidden="1"/>
    </xf>
    <xf numFmtId="0" fontId="0" fillId="3" borderId="28" xfId="0" applyFill="1" applyBorder="1"/>
    <xf numFmtId="0" fontId="2" fillId="3" borderId="32" xfId="0" applyFont="1" applyFill="1" applyBorder="1" applyAlignment="1">
      <alignment horizontal="center"/>
    </xf>
    <xf numFmtId="0" fontId="9" fillId="8" borderId="1" xfId="0" applyFont="1" applyFill="1" applyBorder="1"/>
    <xf numFmtId="0" fontId="9" fillId="8" borderId="23" xfId="0" applyFont="1" applyFill="1" applyBorder="1"/>
    <xf numFmtId="0" fontId="0" fillId="8" borderId="3" xfId="0" applyFill="1" applyBorder="1" applyAlignment="1" applyProtection="1">
      <alignment horizont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0" fillId="9" borderId="0" xfId="0" applyFill="1"/>
    <xf numFmtId="0" fontId="4" fillId="9" borderId="0" xfId="0" applyFont="1" applyFill="1" applyBorder="1" applyAlignment="1">
      <alignment horizontal="center"/>
    </xf>
    <xf numFmtId="0" fontId="0" fillId="9" borderId="0" xfId="0" applyFill="1" applyBorder="1"/>
    <xf numFmtId="0" fontId="0" fillId="9" borderId="0" xfId="0" applyFill="1" applyBorder="1" applyAlignment="1" applyProtection="1">
      <alignment horizontal="center"/>
      <protection locked="0"/>
    </xf>
    <xf numFmtId="0" fontId="0" fillId="9" borderId="0" xfId="0" applyFill="1" applyBorder="1" applyAlignment="1" applyProtection="1">
      <alignment horizontal="center"/>
    </xf>
    <xf numFmtId="0" fontId="7" fillId="0" borderId="17" xfId="0" applyNumberFormat="1" applyFont="1" applyBorder="1" applyAlignment="1" applyProtection="1">
      <alignment horizontal="center"/>
      <protection hidden="1"/>
    </xf>
    <xf numFmtId="0" fontId="7" fillId="0" borderId="18" xfId="0" applyNumberFormat="1" applyFont="1" applyBorder="1" applyAlignment="1" applyProtection="1">
      <alignment horizontal="center"/>
      <protection hidden="1"/>
    </xf>
    <xf numFmtId="0" fontId="12" fillId="5" borderId="0" xfId="0" applyNumberFormat="1" applyFont="1" applyFill="1" applyProtection="1">
      <protection locked="0"/>
    </xf>
    <xf numFmtId="0" fontId="0" fillId="10" borderId="22" xfId="0" applyFill="1" applyBorder="1" applyAlignment="1" applyProtection="1">
      <alignment horizontal="right"/>
      <protection hidden="1"/>
    </xf>
    <xf numFmtId="0" fontId="0" fillId="11" borderId="22" xfId="0" applyFill="1" applyBorder="1" applyAlignment="1" applyProtection="1">
      <alignment horizontal="right"/>
      <protection hidden="1"/>
    </xf>
    <xf numFmtId="0" fontId="0" fillId="10" borderId="22" xfId="0" applyFill="1" applyBorder="1" applyProtection="1">
      <protection hidden="1"/>
    </xf>
    <xf numFmtId="0" fontId="0" fillId="11" borderId="22" xfId="0" applyFill="1" applyBorder="1" applyProtection="1">
      <protection hidden="1"/>
    </xf>
    <xf numFmtId="0" fontId="9" fillId="2" borderId="3" xfId="0" applyFont="1" applyFill="1" applyBorder="1" applyAlignment="1" applyProtection="1">
      <alignment horizontal="center"/>
      <protection locked="0"/>
    </xf>
    <xf numFmtId="0" fontId="4" fillId="0" borderId="3" xfId="0" applyFont="1" applyFill="1" applyBorder="1" applyAlignment="1">
      <alignment horizontal="center"/>
    </xf>
    <xf numFmtId="0" fontId="13" fillId="0" borderId="3" xfId="0" applyFont="1" applyFill="1" applyBorder="1"/>
    <xf numFmtId="0" fontId="14" fillId="0" borderId="3" xfId="0" applyFont="1" applyFill="1" applyBorder="1" applyAlignment="1">
      <alignment horizontal="center"/>
    </xf>
    <xf numFmtId="0" fontId="0" fillId="0" borderId="3" xfId="0" applyBorder="1"/>
    <xf numFmtId="0" fontId="0" fillId="0" borderId="3" xfId="0" applyFill="1" applyBorder="1"/>
    <xf numFmtId="0" fontId="14" fillId="0" borderId="3" xfId="0" applyFont="1" applyFill="1" applyBorder="1"/>
    <xf numFmtId="0" fontId="7" fillId="2" borderId="3" xfId="0" applyFont="1" applyFill="1" applyBorder="1"/>
    <xf numFmtId="0" fontId="7" fillId="3" borderId="3" xfId="0" applyFont="1" applyFill="1" applyBorder="1"/>
    <xf numFmtId="0" fontId="7" fillId="8" borderId="3" xfId="0" applyFont="1" applyFill="1" applyBorder="1"/>
    <xf numFmtId="0" fontId="4" fillId="0" borderId="0" xfId="0" applyFont="1" applyFill="1" applyBorder="1" applyAlignment="1">
      <alignment horizontal="center"/>
    </xf>
    <xf numFmtId="0" fontId="3" fillId="3" borderId="33" xfId="0" applyFont="1" applyFill="1" applyBorder="1" applyAlignment="1" applyProtection="1">
      <protection hidden="1"/>
    </xf>
    <xf numFmtId="0" fontId="14" fillId="0" borderId="35" xfId="0" applyFont="1" applyFill="1" applyBorder="1" applyAlignment="1" applyProtection="1">
      <alignment horizontal="center"/>
      <protection hidden="1"/>
    </xf>
    <xf numFmtId="0" fontId="0" fillId="2" borderId="35" xfId="0" applyFill="1" applyBorder="1" applyAlignment="1" applyProtection="1">
      <alignment horizontal="center"/>
      <protection locked="0"/>
    </xf>
    <xf numFmtId="0" fontId="0" fillId="3" borderId="35" xfId="0" applyFill="1" applyBorder="1" applyAlignment="1" applyProtection="1">
      <alignment horizontal="center"/>
      <protection locked="0"/>
    </xf>
    <xf numFmtId="0" fontId="0" fillId="8" borderId="35" xfId="0" applyFill="1" applyBorder="1" applyAlignment="1" applyProtection="1">
      <alignment horizontal="center"/>
      <protection locked="0"/>
    </xf>
    <xf numFmtId="0" fontId="7" fillId="9" borderId="22" xfId="0" applyFont="1" applyFill="1" applyBorder="1" applyAlignment="1" applyProtection="1">
      <alignment horizontal="center"/>
      <protection hidden="1"/>
    </xf>
    <xf numFmtId="49" fontId="0" fillId="11" borderId="22" xfId="0" applyNumberFormat="1" applyFill="1" applyBorder="1" applyProtection="1">
      <protection hidden="1"/>
    </xf>
    <xf numFmtId="49" fontId="0" fillId="10" borderId="22" xfId="0" applyNumberFormat="1" applyFill="1" applyBorder="1" applyProtection="1">
      <protection hidden="1"/>
    </xf>
    <xf numFmtId="0" fontId="0" fillId="12" borderId="36" xfId="0" applyFill="1" applyBorder="1" applyProtection="1">
      <protection hidden="1"/>
    </xf>
    <xf numFmtId="0" fontId="9" fillId="12" borderId="36" xfId="0" applyFont="1" applyFill="1" applyBorder="1" applyProtection="1">
      <protection hidden="1"/>
    </xf>
    <xf numFmtId="0" fontId="7" fillId="9" borderId="38" xfId="0" applyFont="1" applyFill="1" applyBorder="1" applyAlignment="1" applyProtection="1">
      <alignment horizontal="center"/>
      <protection hidden="1"/>
    </xf>
    <xf numFmtId="0" fontId="0" fillId="12" borderId="37" xfId="0" applyFill="1" applyBorder="1" applyProtection="1">
      <protection hidden="1"/>
    </xf>
    <xf numFmtId="0" fontId="10" fillId="5" borderId="0" xfId="0" applyFont="1" applyFill="1" applyBorder="1" applyAlignment="1">
      <alignment horizontal="center" vertical="center"/>
    </xf>
    <xf numFmtId="0" fontId="9" fillId="0" borderId="0" xfId="0" applyFont="1" applyBorder="1"/>
    <xf numFmtId="0" fontId="9" fillId="0" borderId="0" xfId="0" applyFont="1" applyBorder="1" applyAlignment="1">
      <alignment horizontal="center"/>
    </xf>
    <xf numFmtId="0" fontId="15" fillId="0" borderId="0" xfId="0" applyFont="1"/>
    <xf numFmtId="0" fontId="9" fillId="5" borderId="0" xfId="0" applyFont="1" applyFill="1" applyAlignment="1">
      <alignment vertical="center"/>
    </xf>
    <xf numFmtId="0" fontId="9" fillId="0" borderId="15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9" fillId="0" borderId="12" xfId="0" applyFont="1" applyBorder="1" applyAlignment="1">
      <alignment horizontal="center"/>
    </xf>
    <xf numFmtId="0" fontId="9" fillId="0" borderId="39" xfId="0" applyFont="1" applyBorder="1" applyAlignment="1">
      <alignment horizontal="center"/>
    </xf>
    <xf numFmtId="0" fontId="9" fillId="0" borderId="40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7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9" fillId="0" borderId="10" xfId="0" applyFont="1" applyBorder="1"/>
    <xf numFmtId="49" fontId="7" fillId="5" borderId="12" xfId="0" applyNumberFormat="1" applyFont="1" applyFill="1" applyBorder="1" applyAlignment="1">
      <alignment horizontal="center"/>
    </xf>
    <xf numFmtId="49" fontId="7" fillId="5" borderId="0" xfId="0" applyNumberFormat="1" applyFont="1" applyFill="1" applyBorder="1" applyAlignment="1">
      <alignment horizontal="center"/>
    </xf>
    <xf numFmtId="0" fontId="9" fillId="0" borderId="20" xfId="0" applyFont="1" applyBorder="1" applyAlignment="1">
      <alignment horizontal="center"/>
    </xf>
    <xf numFmtId="0" fontId="7" fillId="5" borderId="0" xfId="0" applyFont="1" applyFill="1" applyBorder="1" applyAlignment="1">
      <alignment horizontal="center"/>
    </xf>
    <xf numFmtId="0" fontId="17" fillId="5" borderId="0" xfId="0" applyFont="1" applyFill="1" applyAlignment="1">
      <alignment vertical="center"/>
    </xf>
    <xf numFmtId="0" fontId="17" fillId="5" borderId="0" xfId="0" applyFont="1" applyFill="1" applyAlignment="1">
      <alignment vertical="top"/>
    </xf>
    <xf numFmtId="49" fontId="9" fillId="5" borderId="13" xfId="0" applyNumberFormat="1" applyFont="1" applyFill="1" applyBorder="1" applyAlignment="1">
      <alignment horizontal="center"/>
    </xf>
    <xf numFmtId="0" fontId="15" fillId="0" borderId="10" xfId="0" applyFont="1" applyBorder="1" applyAlignment="1">
      <alignment horizontal="center"/>
    </xf>
    <xf numFmtId="0" fontId="16" fillId="0" borderId="10" xfId="0" applyFont="1" applyBorder="1" applyAlignment="1">
      <alignment horizontal="center"/>
    </xf>
    <xf numFmtId="49" fontId="15" fillId="5" borderId="12" xfId="0" applyNumberFormat="1" applyFont="1" applyFill="1" applyBorder="1" applyAlignment="1" applyProtection="1">
      <alignment horizontal="center"/>
    </xf>
    <xf numFmtId="0" fontId="18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/>
    </xf>
    <xf numFmtId="0" fontId="19" fillId="5" borderId="0" xfId="0" applyFont="1" applyFill="1"/>
    <xf numFmtId="0" fontId="20" fillId="5" borderId="0" xfId="0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20" fillId="5" borderId="0" xfId="0" applyFont="1" applyFill="1" applyAlignment="1">
      <alignment vertical="top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vertical="top"/>
    </xf>
    <xf numFmtId="0" fontId="0" fillId="5" borderId="0" xfId="0" applyFill="1" applyBorder="1" applyAlignment="1">
      <alignment horizontal="center"/>
    </xf>
    <xf numFmtId="0" fontId="11" fillId="5" borderId="0" xfId="0" applyFont="1" applyFill="1" applyBorder="1" applyAlignment="1">
      <alignment vertical="top"/>
    </xf>
    <xf numFmtId="0" fontId="21" fillId="5" borderId="0" xfId="0" applyFont="1" applyFill="1" applyBorder="1" applyAlignment="1">
      <alignment vertical="top"/>
    </xf>
    <xf numFmtId="0" fontId="0" fillId="0" borderId="0" xfId="0" applyBorder="1" applyAlignment="1">
      <alignment horizontal="center"/>
    </xf>
    <xf numFmtId="49" fontId="15" fillId="5" borderId="0" xfId="0" applyNumberFormat="1" applyFont="1" applyFill="1" applyBorder="1" applyAlignment="1" applyProtection="1">
      <alignment horizontal="center"/>
    </xf>
    <xf numFmtId="49" fontId="15" fillId="0" borderId="10" xfId="0" applyNumberFormat="1" applyFont="1" applyBorder="1" applyAlignment="1" applyProtection="1">
      <alignment horizontal="center"/>
      <protection hidden="1"/>
    </xf>
    <xf numFmtId="0" fontId="21" fillId="5" borderId="0" xfId="0" applyFont="1" applyFill="1"/>
    <xf numFmtId="0" fontId="21" fillId="5" borderId="0" xfId="0" applyFont="1" applyFill="1" applyProtection="1">
      <protection locked="0"/>
    </xf>
    <xf numFmtId="0" fontId="14" fillId="0" borderId="3" xfId="0" applyFont="1" applyFill="1" applyBorder="1" applyAlignment="1">
      <alignment horizontal="center" shrinkToFit="1"/>
    </xf>
    <xf numFmtId="0" fontId="4" fillId="0" borderId="3" xfId="0" applyFont="1" applyFill="1" applyBorder="1" applyAlignment="1">
      <alignment horizontal="center" shrinkToFit="1"/>
    </xf>
    <xf numFmtId="0" fontId="0" fillId="4" borderId="0" xfId="0" applyFill="1" applyBorder="1"/>
    <xf numFmtId="0" fontId="9" fillId="4" borderId="0" xfId="0" applyFont="1" applyFill="1" applyBorder="1"/>
    <xf numFmtId="0" fontId="7" fillId="4" borderId="0" xfId="0" applyFont="1" applyFill="1" applyBorder="1" applyAlignment="1">
      <alignment horizontal="center"/>
    </xf>
    <xf numFmtId="0" fontId="7" fillId="4" borderId="0" xfId="0" applyFont="1" applyFill="1" applyBorder="1" applyAlignment="1">
      <alignment horizontal="center" vertical="center"/>
    </xf>
    <xf numFmtId="0" fontId="9" fillId="4" borderId="0" xfId="0" applyFont="1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7" fillId="4" borderId="41" xfId="0" applyFont="1" applyFill="1" applyBorder="1" applyAlignment="1">
      <alignment horizontal="center" vertical="center"/>
    </xf>
    <xf numFmtId="0" fontId="9" fillId="4" borderId="41" xfId="0" applyFont="1" applyFill="1" applyBorder="1" applyAlignment="1">
      <alignment horizontal="center" vertical="center"/>
    </xf>
    <xf numFmtId="0" fontId="9" fillId="4" borderId="41" xfId="0" applyFont="1" applyFill="1" applyBorder="1"/>
    <xf numFmtId="0" fontId="0" fillId="4" borderId="41" xfId="0" applyFill="1" applyBorder="1"/>
    <xf numFmtId="0" fontId="7" fillId="4" borderId="41" xfId="0" applyFont="1" applyFill="1" applyBorder="1" applyAlignment="1">
      <alignment horizontal="center"/>
    </xf>
    <xf numFmtId="0" fontId="0" fillId="4" borderId="42" xfId="0" applyFill="1" applyBorder="1"/>
    <xf numFmtId="0" fontId="0" fillId="4" borderId="35" xfId="0" applyFill="1" applyBorder="1"/>
    <xf numFmtId="0" fontId="7" fillId="4" borderId="37" xfId="0" applyFont="1" applyFill="1" applyBorder="1"/>
    <xf numFmtId="0" fontId="0" fillId="4" borderId="37" xfId="0" applyFill="1" applyBorder="1"/>
    <xf numFmtId="0" fontId="7" fillId="4" borderId="35" xfId="0" applyFont="1" applyFill="1" applyBorder="1" applyAlignment="1">
      <alignment horizontal="center" vertical="center"/>
    </xf>
    <xf numFmtId="0" fontId="0" fillId="4" borderId="41" xfId="0" applyFill="1" applyBorder="1" applyAlignment="1">
      <alignment horizontal="center" vertical="center"/>
    </xf>
    <xf numFmtId="0" fontId="7" fillId="4" borderId="41" xfId="0" applyFont="1" applyFill="1" applyBorder="1" applyAlignment="1">
      <alignment vertical="center"/>
    </xf>
    <xf numFmtId="0" fontId="7" fillId="0" borderId="25" xfId="0" applyFont="1" applyBorder="1" applyAlignment="1" applyProtection="1">
      <alignment horizontal="center" vertical="center"/>
      <protection locked="0"/>
    </xf>
    <xf numFmtId="0" fontId="7" fillId="0" borderId="26" xfId="0" applyFont="1" applyBorder="1" applyAlignment="1" applyProtection="1">
      <alignment horizontal="center" vertical="center"/>
      <protection locked="0"/>
    </xf>
    <xf numFmtId="0" fontId="7" fillId="0" borderId="27" xfId="0" applyFont="1" applyBorder="1" applyAlignment="1">
      <alignment horizontal="center" vertical="center"/>
    </xf>
    <xf numFmtId="164" fontId="7" fillId="0" borderId="43" xfId="0" applyNumberFormat="1" applyFont="1" applyBorder="1" applyAlignment="1">
      <alignment horizontal="center"/>
    </xf>
    <xf numFmtId="164" fontId="7" fillId="0" borderId="43" xfId="0" applyNumberFormat="1" applyFont="1" applyBorder="1" applyAlignment="1" applyProtection="1">
      <alignment horizontal="center" vertical="center"/>
      <protection locked="0"/>
    </xf>
    <xf numFmtId="0" fontId="14" fillId="0" borderId="44" xfId="0" applyFont="1" applyFill="1" applyBorder="1" applyAlignment="1" applyProtection="1">
      <alignment horizontal="center"/>
    </xf>
    <xf numFmtId="0" fontId="0" fillId="0" borderId="44" xfId="0" applyFill="1" applyBorder="1" applyAlignment="1" applyProtection="1">
      <alignment horizontal="center"/>
    </xf>
    <xf numFmtId="0" fontId="26" fillId="0" borderId="0" xfId="0" applyFont="1" applyAlignment="1" applyProtection="1">
      <alignment horizontal="center"/>
    </xf>
    <xf numFmtId="0" fontId="27" fillId="0" borderId="3" xfId="0" applyFont="1" applyFill="1" applyBorder="1" applyAlignment="1">
      <alignment horizontal="center"/>
    </xf>
    <xf numFmtId="49" fontId="3" fillId="5" borderId="37" xfId="0" applyNumberFormat="1" applyFont="1" applyFill="1" applyBorder="1" applyAlignment="1" applyProtection="1">
      <protection locked="0"/>
    </xf>
    <xf numFmtId="49" fontId="3" fillId="5" borderId="34" xfId="0" applyNumberFormat="1" applyFont="1" applyFill="1" applyBorder="1" applyAlignment="1" applyProtection="1">
      <protection locked="0"/>
    </xf>
    <xf numFmtId="0" fontId="6" fillId="5" borderId="0" xfId="0" applyFont="1" applyFill="1" applyBorder="1" applyAlignment="1">
      <alignment horizontal="center"/>
    </xf>
    <xf numFmtId="0" fontId="24" fillId="5" borderId="0" xfId="0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2" fillId="5" borderId="0" xfId="0" applyFont="1" applyFill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7" fillId="6" borderId="28" xfId="0" applyFont="1" applyFill="1" applyBorder="1" applyAlignment="1">
      <alignment horizontal="center" vertical="center" wrapText="1"/>
    </xf>
    <xf numFmtId="0" fontId="7" fillId="6" borderId="24" xfId="0" applyFont="1" applyFill="1" applyBorder="1" applyAlignment="1">
      <alignment horizontal="center" vertical="center" wrapText="1"/>
    </xf>
    <xf numFmtId="0" fontId="1" fillId="7" borderId="29" xfId="0" applyFont="1" applyFill="1" applyBorder="1" applyAlignment="1">
      <alignment horizontal="center"/>
    </xf>
    <xf numFmtId="0" fontId="0" fillId="0" borderId="30" xfId="0" applyBorder="1" applyAlignment="1"/>
    <xf numFmtId="0" fontId="0" fillId="0" borderId="31" xfId="0" applyBorder="1" applyAlignment="1"/>
    <xf numFmtId="0" fontId="7" fillId="6" borderId="43" xfId="0" applyFont="1" applyFill="1" applyBorder="1" applyAlignment="1">
      <alignment horizontal="center" vertical="center" wrapText="1"/>
    </xf>
    <xf numFmtId="0" fontId="7" fillId="9" borderId="22" xfId="0" applyFont="1" applyFill="1" applyBorder="1" applyAlignment="1" applyProtection="1">
      <alignment horizontal="center"/>
      <protection hidden="1"/>
    </xf>
  </cellXfs>
  <cellStyles count="1">
    <cellStyle name="Normal" xfId="0" builtinId="0"/>
  </cellStyles>
  <dxfs count="127"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auto="1"/>
      </font>
      <fill>
        <patternFill>
          <bgColor theme="8" tint="0.79998168889431442"/>
        </patternFill>
      </fill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</dxfs>
  <tableStyles count="0" defaultTableStyle="TableStyleMedium2" defaultPivotStyle="PivotStyleLight16"/>
  <colors>
    <mruColors>
      <color rgb="FF0000CC"/>
      <color rgb="FF0000FF"/>
      <color rgb="FF009900"/>
      <color rgb="FFFF3300"/>
      <color rgb="FFFF99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13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12" Type="http://schemas.openxmlformats.org/officeDocument/2006/relationships/image" Target="../media/image1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11" Type="http://schemas.openxmlformats.org/officeDocument/2006/relationships/image" Target="../media/image12.emf"/><Relationship Id="rId5" Type="http://schemas.openxmlformats.org/officeDocument/2006/relationships/image" Target="../media/image6.emf"/><Relationship Id="rId10" Type="http://schemas.openxmlformats.org/officeDocument/2006/relationships/image" Target="../media/image11.emf"/><Relationship Id="rId4" Type="http://schemas.openxmlformats.org/officeDocument/2006/relationships/image" Target="../media/image7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139211</xdr:colOff>
      <xdr:row>0</xdr:row>
      <xdr:rowOff>4638</xdr:rowOff>
    </xdr:from>
    <xdr:to>
      <xdr:col>33</xdr:col>
      <xdr:colOff>76419</xdr:colOff>
      <xdr:row>3</xdr:row>
      <xdr:rowOff>130593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00192" y="4638"/>
          <a:ext cx="596631" cy="65349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30480</xdr:colOff>
          <xdr:row>4</xdr:row>
          <xdr:rowOff>53340</xdr:rowOff>
        </xdr:from>
        <xdr:to>
          <xdr:col>18</xdr:col>
          <xdr:colOff>7620</xdr:colOff>
          <xdr:row>4</xdr:row>
          <xdr:rowOff>259080</xdr:rowOff>
        </xdr:to>
        <xdr:sp macro="" textlink="">
          <xdr:nvSpPr>
            <xdr:cNvPr id="1026" name="optDay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60960</xdr:colOff>
          <xdr:row>4</xdr:row>
          <xdr:rowOff>53340</xdr:rowOff>
        </xdr:from>
        <xdr:to>
          <xdr:col>26</xdr:col>
          <xdr:colOff>83820</xdr:colOff>
          <xdr:row>4</xdr:row>
          <xdr:rowOff>243840</xdr:rowOff>
        </xdr:to>
        <xdr:sp macro="" textlink="">
          <xdr:nvSpPr>
            <xdr:cNvPr id="1027" name="optAfterNoon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114300</xdr:colOff>
          <xdr:row>4</xdr:row>
          <xdr:rowOff>53340</xdr:rowOff>
        </xdr:from>
        <xdr:to>
          <xdr:col>12</xdr:col>
          <xdr:colOff>160020</xdr:colOff>
          <xdr:row>4</xdr:row>
          <xdr:rowOff>243840</xdr:rowOff>
        </xdr:to>
        <xdr:sp macro="" textlink="">
          <xdr:nvSpPr>
            <xdr:cNvPr id="1028" name="optNight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99060</xdr:colOff>
          <xdr:row>4</xdr:row>
          <xdr:rowOff>358140</xdr:rowOff>
        </xdr:from>
        <xdr:to>
          <xdr:col>7</xdr:col>
          <xdr:colOff>60960</xdr:colOff>
          <xdr:row>4</xdr:row>
          <xdr:rowOff>548640</xdr:rowOff>
        </xdr:to>
        <xdr:sp macro="" textlink="">
          <xdr:nvSpPr>
            <xdr:cNvPr id="1029" name="optRDO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4</xdr:row>
          <xdr:rowOff>358140</xdr:rowOff>
        </xdr:from>
        <xdr:to>
          <xdr:col>3</xdr:col>
          <xdr:colOff>60960</xdr:colOff>
          <xdr:row>4</xdr:row>
          <xdr:rowOff>556260</xdr:rowOff>
        </xdr:to>
        <xdr:sp macro="" textlink="">
          <xdr:nvSpPr>
            <xdr:cNvPr id="1030" name="chkUseAutoMark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99060</xdr:colOff>
          <xdr:row>4</xdr:row>
          <xdr:rowOff>53340</xdr:rowOff>
        </xdr:from>
        <xdr:to>
          <xdr:col>7</xdr:col>
          <xdr:colOff>121920</xdr:colOff>
          <xdr:row>4</xdr:row>
          <xdr:rowOff>243840</xdr:rowOff>
        </xdr:to>
        <xdr:sp macro="" textlink="">
          <xdr:nvSpPr>
            <xdr:cNvPr id="1047" name="optClear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114300</xdr:colOff>
          <xdr:row>4</xdr:row>
          <xdr:rowOff>358140</xdr:rowOff>
        </xdr:from>
        <xdr:to>
          <xdr:col>13</xdr:col>
          <xdr:colOff>220980</xdr:colOff>
          <xdr:row>4</xdr:row>
          <xdr:rowOff>548640</xdr:rowOff>
        </xdr:to>
        <xdr:sp macro="" textlink="">
          <xdr:nvSpPr>
            <xdr:cNvPr id="1095" name="optSickLeave" hidden="1">
              <a:extLst>
                <a:ext uri="{63B3BB69-23CF-44E3-9099-C40C66FF867C}">
                  <a14:compatExt spid="_x0000_s1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30480</xdr:colOff>
          <xdr:row>4</xdr:row>
          <xdr:rowOff>358140</xdr:rowOff>
        </xdr:from>
        <xdr:to>
          <xdr:col>20</xdr:col>
          <xdr:colOff>129540</xdr:colOff>
          <xdr:row>4</xdr:row>
          <xdr:rowOff>548640</xdr:rowOff>
        </xdr:to>
        <xdr:sp macro="" textlink="">
          <xdr:nvSpPr>
            <xdr:cNvPr id="1104" name="optAnnualLeave" hidden="1">
              <a:extLst>
                <a:ext uri="{63B3BB69-23CF-44E3-9099-C40C66FF867C}">
                  <a14:compatExt spid="_x0000_s1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4</xdr:row>
          <xdr:rowOff>53340</xdr:rowOff>
        </xdr:from>
        <xdr:to>
          <xdr:col>2</xdr:col>
          <xdr:colOff>800100</xdr:colOff>
          <xdr:row>4</xdr:row>
          <xdr:rowOff>304800</xdr:rowOff>
        </xdr:to>
        <xdr:sp macro="" textlink="">
          <xdr:nvSpPr>
            <xdr:cNvPr id="1105" name="cboYears" hidden="1">
              <a:extLst>
                <a:ext uri="{63B3BB69-23CF-44E3-9099-C40C66FF867C}">
                  <a14:compatExt spid="_x0000_s1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182880</xdr:colOff>
          <xdr:row>4</xdr:row>
          <xdr:rowOff>53340</xdr:rowOff>
        </xdr:from>
        <xdr:to>
          <xdr:col>33</xdr:col>
          <xdr:colOff>53340</xdr:colOff>
          <xdr:row>4</xdr:row>
          <xdr:rowOff>236220</xdr:rowOff>
        </xdr:to>
        <xdr:sp macro="" textlink="">
          <xdr:nvSpPr>
            <xdr:cNvPr id="1110" name="optHeatPolicy" hidden="1">
              <a:extLst>
                <a:ext uri="{63B3BB69-23CF-44E3-9099-C40C66FF867C}">
                  <a14:compatExt spid="_x0000_s1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60960</xdr:colOff>
          <xdr:row>4</xdr:row>
          <xdr:rowOff>358140</xdr:rowOff>
        </xdr:from>
        <xdr:to>
          <xdr:col>26</xdr:col>
          <xdr:colOff>83820</xdr:colOff>
          <xdr:row>4</xdr:row>
          <xdr:rowOff>548640</xdr:rowOff>
        </xdr:to>
        <xdr:sp macro="" textlink="">
          <xdr:nvSpPr>
            <xdr:cNvPr id="1111" name="optSpecial" hidden="1">
              <a:extLst>
                <a:ext uri="{63B3BB69-23CF-44E3-9099-C40C66FF867C}">
                  <a14:compatExt spid="_x0000_s1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182880</xdr:colOff>
          <xdr:row>4</xdr:row>
          <xdr:rowOff>358140</xdr:rowOff>
        </xdr:from>
        <xdr:to>
          <xdr:col>33</xdr:col>
          <xdr:colOff>53340</xdr:colOff>
          <xdr:row>4</xdr:row>
          <xdr:rowOff>548640</xdr:rowOff>
        </xdr:to>
        <xdr:sp macro="" textlink="">
          <xdr:nvSpPr>
            <xdr:cNvPr id="1114" name="optNA" hidden="1">
              <a:extLst>
                <a:ext uri="{63B3BB69-23CF-44E3-9099-C40C66FF867C}">
                  <a14:compatExt spid="_x0000_s1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73268</xdr:colOff>
      <xdr:row>0</xdr:row>
      <xdr:rowOff>7328</xdr:rowOff>
    </xdr:from>
    <xdr:to>
      <xdr:col>10</xdr:col>
      <xdr:colOff>26684</xdr:colOff>
      <xdr:row>3</xdr:row>
      <xdr:rowOff>139211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68" y="7328"/>
          <a:ext cx="2818243" cy="65942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285749</xdr:colOff>
      <xdr:row>0</xdr:row>
      <xdr:rowOff>47625</xdr:rowOff>
    </xdr:from>
    <xdr:to>
      <xdr:col>4</xdr:col>
      <xdr:colOff>31352</xdr:colOff>
      <xdr:row>2</xdr:row>
      <xdr:rowOff>22911</xdr:rowOff>
    </xdr:to>
    <xdr:pic>
      <xdr:nvPicPr>
        <xdr:cNvPr id="3" name="Picture 2" descr="PIRSA_300_rgb_H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5749" y="47625"/>
          <a:ext cx="2831703" cy="63251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4332</xdr:colOff>
      <xdr:row>1</xdr:row>
      <xdr:rowOff>91879</xdr:rowOff>
    </xdr:from>
    <xdr:to>
      <xdr:col>7</xdr:col>
      <xdr:colOff>126996</xdr:colOff>
      <xdr:row>2</xdr:row>
      <xdr:rowOff>261073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9354" y="252034"/>
          <a:ext cx="2187819" cy="48107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35607</xdr:colOff>
      <xdr:row>1</xdr:row>
      <xdr:rowOff>89019</xdr:rowOff>
    </xdr:from>
    <xdr:to>
      <xdr:col>7</xdr:col>
      <xdr:colOff>158271</xdr:colOff>
      <xdr:row>2</xdr:row>
      <xdr:rowOff>258212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369" y="249253"/>
          <a:ext cx="2178995" cy="48075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35277</xdr:colOff>
      <xdr:row>1</xdr:row>
      <xdr:rowOff>119682</xdr:rowOff>
    </xdr:from>
    <xdr:to>
      <xdr:col>7</xdr:col>
      <xdr:colOff>156900</xdr:colOff>
      <xdr:row>2</xdr:row>
      <xdr:rowOff>287022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039" y="279916"/>
          <a:ext cx="2177954" cy="47890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35277</xdr:colOff>
      <xdr:row>1</xdr:row>
      <xdr:rowOff>107923</xdr:rowOff>
    </xdr:from>
    <xdr:to>
      <xdr:col>7</xdr:col>
      <xdr:colOff>156900</xdr:colOff>
      <xdr:row>2</xdr:row>
      <xdr:rowOff>275263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039" y="268157"/>
          <a:ext cx="2177954" cy="47890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58795</xdr:colOff>
      <xdr:row>1</xdr:row>
      <xdr:rowOff>96164</xdr:rowOff>
    </xdr:from>
    <xdr:to>
      <xdr:col>7</xdr:col>
      <xdr:colOff>180418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557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58795</xdr:colOff>
      <xdr:row>1</xdr:row>
      <xdr:rowOff>96164</xdr:rowOff>
    </xdr:from>
    <xdr:to>
      <xdr:col>7</xdr:col>
      <xdr:colOff>180418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557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58795</xdr:colOff>
      <xdr:row>1</xdr:row>
      <xdr:rowOff>96164</xdr:rowOff>
    </xdr:from>
    <xdr:to>
      <xdr:col>7</xdr:col>
      <xdr:colOff>180418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557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107923</xdr:rowOff>
    </xdr:from>
    <xdr:to>
      <xdr:col>7</xdr:col>
      <xdr:colOff>203936</xdr:colOff>
      <xdr:row>2</xdr:row>
      <xdr:rowOff>275263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68157"/>
          <a:ext cx="2177954" cy="478905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96164</xdr:rowOff>
    </xdr:from>
    <xdr:to>
      <xdr:col>7</xdr:col>
      <xdr:colOff>203936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96164</xdr:rowOff>
    </xdr:from>
    <xdr:to>
      <xdr:col>7</xdr:col>
      <xdr:colOff>203936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96164</xdr:rowOff>
    </xdr:from>
    <xdr:to>
      <xdr:col>7</xdr:col>
      <xdr:colOff>203936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96164</xdr:rowOff>
    </xdr:from>
    <xdr:to>
      <xdr:col>7</xdr:col>
      <xdr:colOff>203936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56398"/>
          <a:ext cx="2177954" cy="47890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5.xml"/><Relationship Id="rId18" Type="http://schemas.openxmlformats.org/officeDocument/2006/relationships/image" Target="../media/image7.emf"/><Relationship Id="rId26" Type="http://schemas.openxmlformats.org/officeDocument/2006/relationships/image" Target="../media/image11.emf"/><Relationship Id="rId3" Type="http://schemas.openxmlformats.org/officeDocument/2006/relationships/drawing" Target="../drawings/drawing1.xml"/><Relationship Id="rId21" Type="http://schemas.openxmlformats.org/officeDocument/2006/relationships/control" Target="../activeX/activeX9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17" Type="http://schemas.openxmlformats.org/officeDocument/2006/relationships/control" Target="../activeX/activeX7.xml"/><Relationship Id="rId25" Type="http://schemas.openxmlformats.org/officeDocument/2006/relationships/control" Target="../activeX/activeX11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6.emf"/><Relationship Id="rId20" Type="http://schemas.openxmlformats.org/officeDocument/2006/relationships/image" Target="../media/image8.emf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24" Type="http://schemas.openxmlformats.org/officeDocument/2006/relationships/image" Target="../media/image10.emf"/><Relationship Id="rId5" Type="http://schemas.openxmlformats.org/officeDocument/2006/relationships/control" Target="../activeX/activeX1.xml"/><Relationship Id="rId15" Type="http://schemas.openxmlformats.org/officeDocument/2006/relationships/control" Target="../activeX/activeX6.xml"/><Relationship Id="rId23" Type="http://schemas.openxmlformats.org/officeDocument/2006/relationships/control" Target="../activeX/activeX10.xml"/><Relationship Id="rId28" Type="http://schemas.openxmlformats.org/officeDocument/2006/relationships/image" Target="../media/image12.emf"/><Relationship Id="rId10" Type="http://schemas.openxmlformats.org/officeDocument/2006/relationships/image" Target="../media/image3.emf"/><Relationship Id="rId19" Type="http://schemas.openxmlformats.org/officeDocument/2006/relationships/control" Target="../activeX/activeX8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control" Target="../activeX/activeX1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Roster"/>
  <dimension ref="A1:AJ206"/>
  <sheetViews>
    <sheetView tabSelected="1" zoomScaleNormal="100" workbookViewId="0">
      <pane ySplit="10" topLeftCell="A29" activePane="bottomLeft" state="frozen"/>
      <selection pane="bottomLeft" activeCell="K17" sqref="K17"/>
    </sheetView>
  </sheetViews>
  <sheetFormatPr defaultRowHeight="13.2"/>
  <cols>
    <col min="1" max="1" width="1.88671875" customWidth="1"/>
    <col min="2" max="2" width="2.6640625" customWidth="1"/>
    <col min="3" max="3" width="15.33203125" customWidth="1"/>
    <col min="4" max="34" width="3.33203125" customWidth="1"/>
  </cols>
  <sheetData>
    <row r="1" spans="1:36" s="2" customFormat="1" ht="12" customHeight="1">
      <c r="A1" s="62"/>
      <c r="J1" s="182" t="str">
        <f>Location &amp;  " -  Roster Sheets"</f>
        <v>Oodlawirra Quarantine Station -  Roster Sheets</v>
      </c>
      <c r="K1" s="183"/>
      <c r="L1" s="183"/>
      <c r="M1" s="183"/>
      <c r="N1" s="183"/>
      <c r="O1" s="183"/>
      <c r="P1" s="183"/>
      <c r="Q1" s="183"/>
      <c r="R1" s="183"/>
      <c r="S1" s="183"/>
      <c r="T1" s="183"/>
      <c r="U1" s="183"/>
      <c r="V1" s="183"/>
      <c r="W1" s="183"/>
      <c r="X1" s="183"/>
      <c r="Y1" s="183"/>
      <c r="Z1" s="183"/>
      <c r="AA1" s="183"/>
      <c r="AB1" s="183"/>
      <c r="AC1" s="183"/>
      <c r="AD1" s="183"/>
      <c r="AE1" s="105"/>
      <c r="AF1" s="105"/>
      <c r="AG1" s="105"/>
      <c r="AH1" s="105"/>
    </row>
    <row r="2" spans="1:36" s="2" customFormat="1" ht="12" customHeight="1">
      <c r="J2" s="183"/>
      <c r="K2" s="183"/>
      <c r="L2" s="183"/>
      <c r="M2" s="183"/>
      <c r="N2" s="183"/>
      <c r="O2" s="183"/>
      <c r="P2" s="183"/>
      <c r="Q2" s="183"/>
      <c r="R2" s="183"/>
      <c r="S2" s="183"/>
      <c r="T2" s="183"/>
      <c r="U2" s="183"/>
      <c r="V2" s="183"/>
      <c r="W2" s="183"/>
      <c r="X2" s="183"/>
      <c r="Y2" s="183"/>
      <c r="Z2" s="183"/>
      <c r="AA2" s="183"/>
      <c r="AB2" s="183"/>
      <c r="AC2" s="183"/>
      <c r="AD2" s="183"/>
      <c r="AE2" s="105"/>
      <c r="AF2" s="105"/>
      <c r="AG2" s="105"/>
      <c r="AH2" s="105"/>
    </row>
    <row r="3" spans="1:36" s="2" customFormat="1" ht="17.25" customHeight="1">
      <c r="B3" s="29"/>
      <c r="J3" s="180" t="str">
        <f>"Financial Year Commencing - 1st July, "&amp; CurYear-1</f>
        <v>Financial Year Commencing - 1st July, 2018</v>
      </c>
      <c r="K3" s="181"/>
      <c r="L3" s="181"/>
      <c r="M3" s="181"/>
      <c r="N3" s="181"/>
      <c r="O3" s="181"/>
      <c r="P3" s="181"/>
      <c r="Q3" s="181"/>
      <c r="R3" s="181"/>
      <c r="S3" s="181"/>
      <c r="T3" s="181"/>
      <c r="U3" s="181"/>
      <c r="V3" s="181"/>
      <c r="W3" s="181"/>
      <c r="X3" s="181"/>
      <c r="Y3" s="181"/>
      <c r="Z3" s="181"/>
      <c r="AA3" s="181"/>
      <c r="AB3" s="181"/>
      <c r="AC3" s="181"/>
      <c r="AD3" s="181"/>
      <c r="AE3" s="105"/>
      <c r="AF3" s="105"/>
      <c r="AG3" s="105"/>
      <c r="AH3" s="105"/>
    </row>
    <row r="4" spans="1:36" s="30" customFormat="1" ht="12" customHeight="1">
      <c r="B4" s="77" t="s">
        <v>74</v>
      </c>
      <c r="C4" s="179"/>
      <c r="D4" s="179"/>
      <c r="J4" s="105"/>
      <c r="K4" s="105"/>
      <c r="L4" s="105"/>
      <c r="M4" s="105"/>
      <c r="N4" s="105"/>
      <c r="O4" s="105"/>
      <c r="P4" s="105"/>
      <c r="Q4" s="105"/>
      <c r="R4" s="105"/>
      <c r="S4" s="105"/>
      <c r="T4" s="105"/>
      <c r="U4" s="105"/>
      <c r="V4" s="105"/>
      <c r="W4" s="105"/>
      <c r="X4" s="105"/>
      <c r="Y4" s="105"/>
      <c r="Z4" s="105"/>
      <c r="AA4" s="105"/>
      <c r="AB4" s="105"/>
      <c r="AC4" s="105"/>
      <c r="AD4" s="105"/>
      <c r="AE4" s="105"/>
      <c r="AF4" s="105"/>
      <c r="AG4" s="105"/>
      <c r="AH4" s="105"/>
    </row>
    <row r="5" spans="1:36" s="31" customFormat="1" ht="53.25" customHeight="1"/>
    <row r="6" spans="1:36" s="150" customFormat="1" ht="14.25" hidden="1" customHeight="1"/>
    <row r="7" spans="1:36" s="150" customFormat="1" ht="14.25" hidden="1" customHeight="1">
      <c r="C7" s="163" t="s">
        <v>59</v>
      </c>
      <c r="D7" s="165" t="s">
        <v>11</v>
      </c>
      <c r="E7" s="157" t="s">
        <v>60</v>
      </c>
      <c r="F7" s="158" t="s">
        <v>63</v>
      </c>
      <c r="G7" s="159"/>
      <c r="H7" s="159"/>
      <c r="I7" s="159"/>
      <c r="J7" s="161"/>
      <c r="K7" s="162"/>
      <c r="L7" s="156" t="s">
        <v>45</v>
      </c>
      <c r="M7" s="157" t="s">
        <v>60</v>
      </c>
      <c r="N7" s="158" t="s">
        <v>66</v>
      </c>
      <c r="O7" s="159"/>
      <c r="P7" s="159"/>
      <c r="Q7" s="161"/>
      <c r="R7" s="162"/>
      <c r="S7" s="156" t="s">
        <v>58</v>
      </c>
      <c r="T7" s="157" t="s">
        <v>60</v>
      </c>
      <c r="U7" s="158" t="s">
        <v>61</v>
      </c>
      <c r="V7" s="159"/>
      <c r="W7" s="159"/>
      <c r="X7" s="161"/>
      <c r="Y7" s="159"/>
      <c r="Z7" s="156" t="s">
        <v>40</v>
      </c>
      <c r="AA7" s="157" t="s">
        <v>60</v>
      </c>
      <c r="AB7" s="158" t="s">
        <v>70</v>
      </c>
      <c r="AC7" s="159"/>
      <c r="AD7" s="159"/>
      <c r="AE7" s="161"/>
    </row>
    <row r="8" spans="1:36" s="150" customFormat="1" ht="14.25" hidden="1" customHeight="1">
      <c r="C8" s="164"/>
      <c r="D8" s="165" t="s">
        <v>9</v>
      </c>
      <c r="E8" s="157" t="s">
        <v>60</v>
      </c>
      <c r="F8" s="158" t="s">
        <v>64</v>
      </c>
      <c r="G8" s="159"/>
      <c r="H8" s="159"/>
      <c r="I8" s="159"/>
      <c r="J8" s="161"/>
      <c r="K8" s="162"/>
      <c r="L8" s="160" t="s">
        <v>46</v>
      </c>
      <c r="M8" s="157" t="s">
        <v>60</v>
      </c>
      <c r="N8" s="158" t="s">
        <v>67</v>
      </c>
      <c r="O8" s="159"/>
      <c r="P8" s="159"/>
      <c r="Q8" s="161"/>
      <c r="R8" s="162"/>
      <c r="S8" s="156" t="s">
        <v>62</v>
      </c>
      <c r="T8" s="157" t="s">
        <v>60</v>
      </c>
      <c r="U8" s="158" t="s">
        <v>68</v>
      </c>
      <c r="V8" s="159"/>
      <c r="W8" s="159"/>
      <c r="X8" s="161"/>
      <c r="Y8" s="159"/>
      <c r="Z8" s="156" t="s">
        <v>39</v>
      </c>
      <c r="AA8" s="157" t="s">
        <v>60</v>
      </c>
      <c r="AB8" s="158" t="s">
        <v>69</v>
      </c>
      <c r="AC8" s="159"/>
      <c r="AD8" s="159"/>
      <c r="AE8" s="161"/>
    </row>
    <row r="9" spans="1:36" s="150" customFormat="1" ht="14.25" hidden="1" customHeight="1">
      <c r="C9" s="164"/>
      <c r="D9" s="165" t="s">
        <v>10</v>
      </c>
      <c r="E9" s="157" t="s">
        <v>60</v>
      </c>
      <c r="F9" s="158" t="s">
        <v>65</v>
      </c>
      <c r="G9" s="159"/>
      <c r="H9" s="159"/>
      <c r="I9" s="159"/>
      <c r="J9" s="161"/>
      <c r="K9" s="162"/>
      <c r="L9" s="160"/>
      <c r="M9" s="166"/>
      <c r="N9" s="159"/>
      <c r="O9" s="159"/>
      <c r="P9" s="159"/>
      <c r="Q9" s="161"/>
      <c r="R9" s="162"/>
      <c r="S9" s="167"/>
      <c r="T9" s="166"/>
      <c r="U9" s="159"/>
      <c r="V9" s="159"/>
      <c r="W9" s="159"/>
      <c r="X9" s="161"/>
      <c r="Y9" s="159"/>
      <c r="Z9" s="156"/>
      <c r="AA9" s="166"/>
      <c r="AB9" s="159"/>
      <c r="AC9" s="159"/>
      <c r="AD9" s="159"/>
      <c r="AE9" s="161"/>
      <c r="AI9" s="150" t="s">
        <v>62</v>
      </c>
    </row>
    <row r="10" spans="1:36" s="150" customFormat="1" ht="14.25" hidden="1" customHeight="1">
      <c r="D10" s="152"/>
      <c r="E10" s="155"/>
      <c r="K10" s="153"/>
      <c r="L10" s="154"/>
      <c r="M10" s="151"/>
    </row>
    <row r="11" spans="1:36" s="72" customFormat="1" ht="12" customHeight="1"/>
    <row r="12" spans="1:36" s="2" customFormat="1">
      <c r="B12"/>
      <c r="C12" t="str">
        <f>CurYear-1&amp;":"</f>
        <v>2018:</v>
      </c>
      <c r="D12" s="5" t="str">
        <f t="shared" ref="D12:AH12" si="0">LEFT(TEXT(D13&amp;"-"&amp;$C13&amp;"-"&amp; CurYear-1,"ddd"),2)</f>
        <v>Su</v>
      </c>
      <c r="E12" s="5" t="str">
        <f t="shared" si="0"/>
        <v>Mo</v>
      </c>
      <c r="F12" s="5" t="str">
        <f t="shared" si="0"/>
        <v>Tu</v>
      </c>
      <c r="G12" s="5" t="str">
        <f t="shared" si="0"/>
        <v>We</v>
      </c>
      <c r="H12" s="5" t="str">
        <f t="shared" si="0"/>
        <v>Th</v>
      </c>
      <c r="I12" s="5" t="str">
        <f t="shared" si="0"/>
        <v>Fr</v>
      </c>
      <c r="J12" s="5" t="str">
        <f t="shared" si="0"/>
        <v>Sa</v>
      </c>
      <c r="K12" s="5" t="str">
        <f t="shared" si="0"/>
        <v>Su</v>
      </c>
      <c r="L12" s="5" t="str">
        <f t="shared" si="0"/>
        <v>Mo</v>
      </c>
      <c r="M12" s="5" t="str">
        <f t="shared" si="0"/>
        <v>Tu</v>
      </c>
      <c r="N12" s="5" t="str">
        <f t="shared" si="0"/>
        <v>We</v>
      </c>
      <c r="O12" s="5" t="str">
        <f t="shared" si="0"/>
        <v>Th</v>
      </c>
      <c r="P12" s="5" t="str">
        <f t="shared" si="0"/>
        <v>Fr</v>
      </c>
      <c r="Q12" s="5" t="str">
        <f t="shared" si="0"/>
        <v>Sa</v>
      </c>
      <c r="R12" s="5" t="str">
        <f t="shared" si="0"/>
        <v>Su</v>
      </c>
      <c r="S12" s="5" t="str">
        <f t="shared" si="0"/>
        <v>Mo</v>
      </c>
      <c r="T12" s="5" t="str">
        <f t="shared" si="0"/>
        <v>Tu</v>
      </c>
      <c r="U12" s="5" t="str">
        <f t="shared" si="0"/>
        <v>We</v>
      </c>
      <c r="V12" s="5" t="str">
        <f t="shared" si="0"/>
        <v>Th</v>
      </c>
      <c r="W12" s="5" t="str">
        <f t="shared" si="0"/>
        <v>Fr</v>
      </c>
      <c r="X12" s="5" t="str">
        <f t="shared" si="0"/>
        <v>Sa</v>
      </c>
      <c r="Y12" s="5" t="str">
        <f t="shared" si="0"/>
        <v>Su</v>
      </c>
      <c r="Z12" s="5" t="str">
        <f t="shared" si="0"/>
        <v>Mo</v>
      </c>
      <c r="AA12" s="5" t="str">
        <f t="shared" si="0"/>
        <v>Tu</v>
      </c>
      <c r="AB12" s="5" t="str">
        <f t="shared" si="0"/>
        <v>We</v>
      </c>
      <c r="AC12" s="5" t="str">
        <f t="shared" si="0"/>
        <v>Th</v>
      </c>
      <c r="AD12" s="5" t="str">
        <f t="shared" si="0"/>
        <v>Fr</v>
      </c>
      <c r="AE12" s="5" t="str">
        <f t="shared" si="0"/>
        <v>Sa</v>
      </c>
      <c r="AF12" s="5" t="str">
        <f t="shared" si="0"/>
        <v>Su</v>
      </c>
      <c r="AG12" s="5" t="str">
        <f t="shared" si="0"/>
        <v>Mo</v>
      </c>
      <c r="AH12" s="5" t="str">
        <f t="shared" si="0"/>
        <v>Tu</v>
      </c>
      <c r="AJ12" s="2" t="s">
        <v>62</v>
      </c>
    </row>
    <row r="13" spans="1:36">
      <c r="B13" s="88"/>
      <c r="C13" s="84" t="s">
        <v>18</v>
      </c>
      <c r="D13" s="85">
        <v>1</v>
      </c>
      <c r="E13" s="85">
        <v>2</v>
      </c>
      <c r="F13" s="85">
        <v>3</v>
      </c>
      <c r="G13" s="85">
        <v>4</v>
      </c>
      <c r="H13" s="85">
        <v>5</v>
      </c>
      <c r="I13" s="176">
        <v>6</v>
      </c>
      <c r="J13" s="85">
        <v>7</v>
      </c>
      <c r="K13" s="85">
        <v>8</v>
      </c>
      <c r="L13" s="85">
        <v>9</v>
      </c>
      <c r="M13" s="85">
        <v>10</v>
      </c>
      <c r="N13" s="85">
        <v>11</v>
      </c>
      <c r="O13" s="85">
        <v>12</v>
      </c>
      <c r="P13" s="85">
        <v>13</v>
      </c>
      <c r="Q13" s="85">
        <v>14</v>
      </c>
      <c r="R13" s="85">
        <v>15</v>
      </c>
      <c r="S13" s="85">
        <v>16</v>
      </c>
      <c r="T13" s="85">
        <v>17</v>
      </c>
      <c r="U13" s="85">
        <v>18</v>
      </c>
      <c r="V13" s="85">
        <v>19</v>
      </c>
      <c r="W13" s="176">
        <v>20</v>
      </c>
      <c r="X13" s="85">
        <v>21</v>
      </c>
      <c r="Y13" s="85">
        <v>22</v>
      </c>
      <c r="Z13" s="85">
        <v>23</v>
      </c>
      <c r="AA13" s="85">
        <v>24</v>
      </c>
      <c r="AB13" s="85">
        <v>25</v>
      </c>
      <c r="AC13" s="85">
        <v>26</v>
      </c>
      <c r="AD13" s="85">
        <v>27</v>
      </c>
      <c r="AE13" s="85">
        <v>28</v>
      </c>
      <c r="AF13" s="85">
        <v>29</v>
      </c>
      <c r="AG13" s="85">
        <v>30</v>
      </c>
      <c r="AH13" s="85">
        <v>31</v>
      </c>
    </row>
    <row r="14" spans="1:36">
      <c r="B14" s="85">
        <v>1</v>
      </c>
      <c r="C14" s="89" t="str">
        <f>LEFT(EmpGName01)&amp;" " &amp; EmpSName01</f>
        <v>L Marampon</v>
      </c>
      <c r="D14" s="4" t="s">
        <v>62</v>
      </c>
      <c r="E14" s="4" t="s">
        <v>62</v>
      </c>
      <c r="F14" s="4" t="s">
        <v>62</v>
      </c>
      <c r="G14" s="4" t="s">
        <v>62</v>
      </c>
      <c r="H14" s="4" t="s">
        <v>62</v>
      </c>
      <c r="I14" s="4" t="s">
        <v>62</v>
      </c>
      <c r="J14" s="4" t="s">
        <v>62</v>
      </c>
      <c r="K14" s="4" t="s">
        <v>62</v>
      </c>
      <c r="L14" s="4" t="s">
        <v>62</v>
      </c>
      <c r="M14" s="4" t="s">
        <v>62</v>
      </c>
      <c r="N14" s="4" t="s">
        <v>62</v>
      </c>
      <c r="O14" s="4" t="s">
        <v>62</v>
      </c>
      <c r="P14" s="4" t="s">
        <v>62</v>
      </c>
      <c r="Q14" s="4" t="s">
        <v>62</v>
      </c>
      <c r="R14" s="4" t="s">
        <v>62</v>
      </c>
      <c r="S14" s="4" t="s">
        <v>62</v>
      </c>
      <c r="T14" s="4" t="s">
        <v>62</v>
      </c>
      <c r="U14" s="4" t="s">
        <v>62</v>
      </c>
      <c r="V14" s="4" t="s">
        <v>62</v>
      </c>
      <c r="W14" s="4" t="s">
        <v>62</v>
      </c>
      <c r="X14" s="4" t="s">
        <v>62</v>
      </c>
      <c r="Y14" s="4" t="s">
        <v>62</v>
      </c>
      <c r="Z14" s="4" t="s">
        <v>62</v>
      </c>
      <c r="AA14" s="4" t="s">
        <v>62</v>
      </c>
      <c r="AB14" s="4" t="s">
        <v>62</v>
      </c>
      <c r="AC14" s="4" t="s">
        <v>62</v>
      </c>
      <c r="AD14" s="4" t="s">
        <v>62</v>
      </c>
      <c r="AE14" s="4" t="s">
        <v>62</v>
      </c>
      <c r="AF14" s="4" t="s">
        <v>62</v>
      </c>
      <c r="AG14" s="4" t="s">
        <v>62</v>
      </c>
      <c r="AH14" s="4" t="s">
        <v>62</v>
      </c>
    </row>
    <row r="15" spans="1:36">
      <c r="B15" s="85">
        <v>2</v>
      </c>
      <c r="C15" s="90" t="str">
        <f>LEFT(EmpGName02)&amp;" " &amp;EmpSName02</f>
        <v>K Stone</v>
      </c>
      <c r="D15" s="3" t="s">
        <v>62</v>
      </c>
      <c r="E15" s="3" t="s">
        <v>62</v>
      </c>
      <c r="F15" s="3" t="s">
        <v>62</v>
      </c>
      <c r="G15" s="3" t="s">
        <v>62</v>
      </c>
      <c r="H15" s="3" t="s">
        <v>62</v>
      </c>
      <c r="I15" s="3" t="s">
        <v>62</v>
      </c>
      <c r="J15" s="3" t="s">
        <v>62</v>
      </c>
      <c r="K15" s="3" t="s">
        <v>62</v>
      </c>
      <c r="L15" s="3" t="s">
        <v>62</v>
      </c>
      <c r="M15" s="3" t="s">
        <v>62</v>
      </c>
      <c r="N15" s="3" t="s">
        <v>62</v>
      </c>
      <c r="O15" s="3" t="s">
        <v>62</v>
      </c>
      <c r="P15" s="3" t="s">
        <v>62</v>
      </c>
      <c r="Q15" s="3" t="s">
        <v>62</v>
      </c>
      <c r="R15" s="3" t="s">
        <v>62</v>
      </c>
      <c r="S15" s="3" t="s">
        <v>62</v>
      </c>
      <c r="T15" s="3" t="s">
        <v>62</v>
      </c>
      <c r="U15" s="3" t="s">
        <v>62</v>
      </c>
      <c r="V15" s="3" t="s">
        <v>62</v>
      </c>
      <c r="W15" s="3" t="s">
        <v>62</v>
      </c>
      <c r="X15" s="3" t="s">
        <v>62</v>
      </c>
      <c r="Y15" s="3" t="s">
        <v>62</v>
      </c>
      <c r="Z15" s="3" t="s">
        <v>62</v>
      </c>
      <c r="AA15" s="3" t="s">
        <v>62</v>
      </c>
      <c r="AB15" s="3" t="s">
        <v>62</v>
      </c>
      <c r="AC15" s="3" t="s">
        <v>62</v>
      </c>
      <c r="AD15" s="3" t="s">
        <v>62</v>
      </c>
      <c r="AE15" s="3" t="s">
        <v>62</v>
      </c>
      <c r="AF15" s="3" t="s">
        <v>62</v>
      </c>
      <c r="AG15" s="3" t="s">
        <v>62</v>
      </c>
      <c r="AH15" s="3" t="s">
        <v>62</v>
      </c>
    </row>
    <row r="16" spans="1:36">
      <c r="B16" s="85">
        <v>3</v>
      </c>
      <c r="C16" s="89" t="str">
        <f>LEFT(EmpGName03)&amp;" " &amp;EmpSName03</f>
        <v>I Thelning</v>
      </c>
      <c r="D16" s="4" t="s">
        <v>62</v>
      </c>
      <c r="E16" s="4" t="s">
        <v>62</v>
      </c>
      <c r="F16" s="4" t="s">
        <v>62</v>
      </c>
      <c r="G16" s="4" t="s">
        <v>62</v>
      </c>
      <c r="H16" s="4" t="s">
        <v>62</v>
      </c>
      <c r="I16" s="4" t="s">
        <v>62</v>
      </c>
      <c r="J16" s="4" t="s">
        <v>62</v>
      </c>
      <c r="K16" s="4" t="s">
        <v>62</v>
      </c>
      <c r="L16" s="4" t="s">
        <v>62</v>
      </c>
      <c r="M16" s="4" t="s">
        <v>62</v>
      </c>
      <c r="N16" s="4" t="s">
        <v>62</v>
      </c>
      <c r="O16" s="4" t="s">
        <v>62</v>
      </c>
      <c r="P16" s="4" t="s">
        <v>62</v>
      </c>
      <c r="Q16" s="4" t="s">
        <v>62</v>
      </c>
      <c r="R16" s="4" t="s">
        <v>62</v>
      </c>
      <c r="S16" s="4" t="s">
        <v>62</v>
      </c>
      <c r="T16" s="4" t="s">
        <v>62</v>
      </c>
      <c r="U16" s="4" t="s">
        <v>62</v>
      </c>
      <c r="V16" s="4" t="s">
        <v>62</v>
      </c>
      <c r="W16" s="4" t="s">
        <v>62</v>
      </c>
      <c r="X16" s="4" t="s">
        <v>62</v>
      </c>
      <c r="Y16" s="4" t="s">
        <v>62</v>
      </c>
      <c r="Z16" s="4" t="s">
        <v>62</v>
      </c>
      <c r="AA16" s="4" t="s">
        <v>62</v>
      </c>
      <c r="AB16" s="4" t="s">
        <v>62</v>
      </c>
      <c r="AC16" s="4" t="s">
        <v>62</v>
      </c>
      <c r="AD16" s="4" t="s">
        <v>62</v>
      </c>
      <c r="AE16" s="4" t="s">
        <v>62</v>
      </c>
      <c r="AF16" s="4" t="s">
        <v>62</v>
      </c>
      <c r="AG16" s="4" t="s">
        <v>62</v>
      </c>
      <c r="AH16" s="4" t="s">
        <v>62</v>
      </c>
    </row>
    <row r="17" spans="2:34">
      <c r="B17" s="85">
        <v>4</v>
      </c>
      <c r="C17" s="90" t="str">
        <f>LEFT(EmpGName04)&amp;" " &amp;EmpSName04</f>
        <v>L King</v>
      </c>
      <c r="D17" s="3" t="s">
        <v>62</v>
      </c>
      <c r="E17" s="3" t="s">
        <v>62</v>
      </c>
      <c r="F17" s="3" t="s">
        <v>62</v>
      </c>
      <c r="G17" s="3" t="s">
        <v>62</v>
      </c>
      <c r="H17" s="3" t="s">
        <v>62</v>
      </c>
      <c r="I17" s="3" t="s">
        <v>62</v>
      </c>
      <c r="J17" s="3" t="s">
        <v>62</v>
      </c>
      <c r="K17" s="3" t="s">
        <v>62</v>
      </c>
      <c r="L17" s="3" t="s">
        <v>62</v>
      </c>
      <c r="M17" s="3" t="s">
        <v>62</v>
      </c>
      <c r="N17" s="3" t="s">
        <v>62</v>
      </c>
      <c r="O17" s="3" t="s">
        <v>62</v>
      </c>
      <c r="P17" s="3" t="s">
        <v>62</v>
      </c>
      <c r="Q17" s="3" t="s">
        <v>62</v>
      </c>
      <c r="R17" s="3" t="s">
        <v>62</v>
      </c>
      <c r="S17" s="3" t="s">
        <v>62</v>
      </c>
      <c r="T17" s="3" t="s">
        <v>62</v>
      </c>
      <c r="U17" s="3" t="s">
        <v>62</v>
      </c>
      <c r="V17" s="3" t="s">
        <v>62</v>
      </c>
      <c r="W17" s="3" t="s">
        <v>62</v>
      </c>
      <c r="X17" s="3" t="s">
        <v>62</v>
      </c>
      <c r="Y17" s="3" t="s">
        <v>62</v>
      </c>
      <c r="Z17" s="3" t="s">
        <v>62</v>
      </c>
      <c r="AA17" s="3" t="s">
        <v>62</v>
      </c>
      <c r="AB17" s="3" t="s">
        <v>62</v>
      </c>
      <c r="AC17" s="3" t="s">
        <v>62</v>
      </c>
      <c r="AD17" s="3" t="s">
        <v>62</v>
      </c>
      <c r="AE17" s="3" t="s">
        <v>62</v>
      </c>
      <c r="AF17" s="3" t="s">
        <v>62</v>
      </c>
      <c r="AG17" s="3" t="s">
        <v>62</v>
      </c>
      <c r="AH17" s="3" t="s">
        <v>62</v>
      </c>
    </row>
    <row r="18" spans="2:34">
      <c r="B18" s="85">
        <v>5</v>
      </c>
      <c r="C18" s="89" t="str">
        <f>LEFT(EmpGName05)&amp;" " &amp;EmpSName05</f>
        <v>D Castle</v>
      </c>
      <c r="D18" s="4" t="s">
        <v>62</v>
      </c>
      <c r="E18" s="4" t="s">
        <v>62</v>
      </c>
      <c r="F18" s="4" t="s">
        <v>62</v>
      </c>
      <c r="G18" s="4" t="s">
        <v>62</v>
      </c>
      <c r="H18" s="4" t="s">
        <v>62</v>
      </c>
      <c r="I18" s="4" t="s">
        <v>62</v>
      </c>
      <c r="J18" s="4" t="s">
        <v>62</v>
      </c>
      <c r="K18" s="4" t="s">
        <v>62</v>
      </c>
      <c r="L18" s="4" t="s">
        <v>62</v>
      </c>
      <c r="M18" s="4" t="s">
        <v>62</v>
      </c>
      <c r="N18" s="4" t="s">
        <v>62</v>
      </c>
      <c r="O18" s="4" t="s">
        <v>62</v>
      </c>
      <c r="P18" s="4" t="s">
        <v>62</v>
      </c>
      <c r="Q18" s="4" t="s">
        <v>62</v>
      </c>
      <c r="R18" s="4" t="s">
        <v>62</v>
      </c>
      <c r="S18" s="4" t="s">
        <v>62</v>
      </c>
      <c r="T18" s="4" t="s">
        <v>62</v>
      </c>
      <c r="U18" s="4" t="s">
        <v>62</v>
      </c>
      <c r="V18" s="4" t="s">
        <v>62</v>
      </c>
      <c r="W18" s="4" t="s">
        <v>62</v>
      </c>
      <c r="X18" s="4" t="s">
        <v>62</v>
      </c>
      <c r="Y18" s="4" t="s">
        <v>62</v>
      </c>
      <c r="Z18" s="4" t="s">
        <v>62</v>
      </c>
      <c r="AA18" s="4" t="s">
        <v>62</v>
      </c>
      <c r="AB18" s="4" t="s">
        <v>62</v>
      </c>
      <c r="AC18" s="4" t="s">
        <v>62</v>
      </c>
      <c r="AD18" s="4" t="s">
        <v>62</v>
      </c>
      <c r="AE18" s="4" t="s">
        <v>62</v>
      </c>
      <c r="AF18" s="4" t="s">
        <v>62</v>
      </c>
      <c r="AG18" s="4" t="s">
        <v>62</v>
      </c>
      <c r="AH18" s="4" t="s">
        <v>62</v>
      </c>
    </row>
    <row r="19" spans="2:34">
      <c r="B19" s="85">
        <v>6</v>
      </c>
      <c r="C19" s="90" t="str">
        <f>LEFT(EmpGName06)&amp;" " &amp;EmpSName06</f>
        <v>R Fielding</v>
      </c>
      <c r="D19" s="3" t="s">
        <v>62</v>
      </c>
      <c r="E19" s="3" t="s">
        <v>62</v>
      </c>
      <c r="F19" s="3" t="s">
        <v>62</v>
      </c>
      <c r="G19" s="3" t="s">
        <v>62</v>
      </c>
      <c r="H19" s="3" t="s">
        <v>62</v>
      </c>
      <c r="I19" s="3" t="s">
        <v>62</v>
      </c>
      <c r="J19" s="3" t="s">
        <v>62</v>
      </c>
      <c r="K19" s="3" t="s">
        <v>62</v>
      </c>
      <c r="L19" s="3" t="s">
        <v>62</v>
      </c>
      <c r="M19" s="3" t="s">
        <v>62</v>
      </c>
      <c r="N19" s="3" t="s">
        <v>62</v>
      </c>
      <c r="O19" s="3" t="s">
        <v>62</v>
      </c>
      <c r="P19" s="3" t="s">
        <v>62</v>
      </c>
      <c r="Q19" s="3" t="s">
        <v>62</v>
      </c>
      <c r="R19" s="3" t="s">
        <v>62</v>
      </c>
      <c r="S19" s="3" t="s">
        <v>62</v>
      </c>
      <c r="T19" s="3" t="s">
        <v>62</v>
      </c>
      <c r="U19" s="3" t="s">
        <v>62</v>
      </c>
      <c r="V19" s="3" t="s">
        <v>62</v>
      </c>
      <c r="W19" s="3" t="s">
        <v>62</v>
      </c>
      <c r="X19" s="3" t="s">
        <v>62</v>
      </c>
      <c r="Y19" s="3" t="s">
        <v>62</v>
      </c>
      <c r="Z19" s="3" t="s">
        <v>62</v>
      </c>
      <c r="AA19" s="3" t="s">
        <v>62</v>
      </c>
      <c r="AB19" s="3" t="s">
        <v>62</v>
      </c>
      <c r="AC19" s="3" t="s">
        <v>62</v>
      </c>
      <c r="AD19" s="3" t="s">
        <v>62</v>
      </c>
      <c r="AE19" s="3" t="s">
        <v>62</v>
      </c>
      <c r="AF19" s="3" t="s">
        <v>62</v>
      </c>
      <c r="AG19" s="3" t="s">
        <v>62</v>
      </c>
      <c r="AH19" s="3" t="s">
        <v>62</v>
      </c>
    </row>
    <row r="20" spans="2:34">
      <c r="B20" s="85">
        <v>7</v>
      </c>
      <c r="C20" s="89" t="str">
        <f>LEFT(EmpGName07)&amp;" " &amp;EmpSName07</f>
        <v>T Sorensen</v>
      </c>
      <c r="D20" s="4" t="s">
        <v>62</v>
      </c>
      <c r="E20" s="4" t="s">
        <v>62</v>
      </c>
      <c r="F20" s="4" t="s">
        <v>62</v>
      </c>
      <c r="G20" s="4" t="s">
        <v>62</v>
      </c>
      <c r="H20" s="4" t="s">
        <v>62</v>
      </c>
      <c r="I20" s="4" t="s">
        <v>62</v>
      </c>
      <c r="J20" s="4" t="s">
        <v>62</v>
      </c>
      <c r="K20" s="4" t="s">
        <v>62</v>
      </c>
      <c r="L20" s="4" t="s">
        <v>62</v>
      </c>
      <c r="M20" s="4" t="s">
        <v>62</v>
      </c>
      <c r="N20" s="4" t="s">
        <v>62</v>
      </c>
      <c r="O20" s="4" t="s">
        <v>62</v>
      </c>
      <c r="P20" s="4" t="s">
        <v>62</v>
      </c>
      <c r="Q20" s="4" t="s">
        <v>62</v>
      </c>
      <c r="R20" s="4" t="s">
        <v>62</v>
      </c>
      <c r="S20" s="4" t="s">
        <v>62</v>
      </c>
      <c r="T20" s="4" t="s">
        <v>62</v>
      </c>
      <c r="U20" s="4" t="s">
        <v>62</v>
      </c>
      <c r="V20" s="4" t="s">
        <v>62</v>
      </c>
      <c r="W20" s="4" t="s">
        <v>62</v>
      </c>
      <c r="X20" s="4" t="s">
        <v>62</v>
      </c>
      <c r="Y20" s="4" t="s">
        <v>62</v>
      </c>
      <c r="Z20" s="4" t="s">
        <v>62</v>
      </c>
      <c r="AA20" s="4" t="s">
        <v>62</v>
      </c>
      <c r="AB20" s="4" t="s">
        <v>62</v>
      </c>
      <c r="AC20" s="4" t="s">
        <v>62</v>
      </c>
      <c r="AD20" s="4" t="s">
        <v>62</v>
      </c>
      <c r="AE20" s="4" t="s">
        <v>62</v>
      </c>
      <c r="AF20" s="4" t="s">
        <v>62</v>
      </c>
      <c r="AG20" s="4" t="s">
        <v>62</v>
      </c>
      <c r="AH20" s="4" t="s">
        <v>62</v>
      </c>
    </row>
    <row r="21" spans="2:34">
      <c r="B21" s="85">
        <v>8</v>
      </c>
      <c r="C21" s="90" t="str">
        <f>LEFT(EmpGName08)&amp;" " &amp;EmpSName08</f>
        <v xml:space="preserve">B Odd </v>
      </c>
      <c r="D21" s="3" t="s">
        <v>62</v>
      </c>
      <c r="E21" s="3" t="s">
        <v>62</v>
      </c>
      <c r="F21" s="3" t="s">
        <v>62</v>
      </c>
      <c r="G21" s="3" t="s">
        <v>62</v>
      </c>
      <c r="H21" s="3" t="s">
        <v>62</v>
      </c>
      <c r="I21" s="3" t="s">
        <v>62</v>
      </c>
      <c r="J21" s="3" t="s">
        <v>62</v>
      </c>
      <c r="K21" s="3" t="s">
        <v>62</v>
      </c>
      <c r="L21" s="3" t="s">
        <v>62</v>
      </c>
      <c r="M21" s="3" t="s">
        <v>62</v>
      </c>
      <c r="N21" s="3" t="s">
        <v>62</v>
      </c>
      <c r="O21" s="3" t="s">
        <v>62</v>
      </c>
      <c r="P21" s="3" t="s">
        <v>62</v>
      </c>
      <c r="Q21" s="3" t="s">
        <v>62</v>
      </c>
      <c r="R21" s="3" t="s">
        <v>62</v>
      </c>
      <c r="S21" s="3" t="s">
        <v>62</v>
      </c>
      <c r="T21" s="3" t="s">
        <v>62</v>
      </c>
      <c r="U21" s="3" t="s">
        <v>62</v>
      </c>
      <c r="V21" s="3" t="s">
        <v>62</v>
      </c>
      <c r="W21" s="3" t="s">
        <v>62</v>
      </c>
      <c r="X21" s="3" t="s">
        <v>62</v>
      </c>
      <c r="Y21" s="3" t="s">
        <v>62</v>
      </c>
      <c r="Z21" s="3" t="s">
        <v>62</v>
      </c>
      <c r="AA21" s="3" t="s">
        <v>62</v>
      </c>
      <c r="AB21" s="3" t="s">
        <v>62</v>
      </c>
      <c r="AC21" s="3" t="s">
        <v>62</v>
      </c>
      <c r="AD21" s="3" t="s">
        <v>62</v>
      </c>
      <c r="AE21" s="3" t="s">
        <v>62</v>
      </c>
      <c r="AF21" s="3" t="s">
        <v>62</v>
      </c>
      <c r="AG21" s="3" t="s">
        <v>62</v>
      </c>
      <c r="AH21" s="3" t="s">
        <v>62</v>
      </c>
    </row>
    <row r="22" spans="2:34">
      <c r="B22" s="85">
        <v>9</v>
      </c>
      <c r="C22" s="89" t="str">
        <f>LEFT(EmpGName09)&amp;" " &amp;EmpSName09</f>
        <v>1 Odd1</v>
      </c>
      <c r="D22" s="4" t="s">
        <v>62</v>
      </c>
      <c r="E22" s="4" t="s">
        <v>62</v>
      </c>
      <c r="F22" s="4" t="s">
        <v>62</v>
      </c>
      <c r="G22" s="4" t="s">
        <v>62</v>
      </c>
      <c r="H22" s="4" t="s">
        <v>62</v>
      </c>
      <c r="I22" s="4" t="s">
        <v>62</v>
      </c>
      <c r="J22" s="4" t="s">
        <v>62</v>
      </c>
      <c r="K22" s="4" t="s">
        <v>62</v>
      </c>
      <c r="L22" s="4" t="s">
        <v>62</v>
      </c>
      <c r="M22" s="4" t="s">
        <v>62</v>
      </c>
      <c r="N22" s="4" t="s">
        <v>62</v>
      </c>
      <c r="O22" s="4" t="s">
        <v>62</v>
      </c>
      <c r="P22" s="4" t="s">
        <v>62</v>
      </c>
      <c r="Q22" s="4" t="s">
        <v>62</v>
      </c>
      <c r="R22" s="4" t="s">
        <v>62</v>
      </c>
      <c r="S22" s="4" t="s">
        <v>62</v>
      </c>
      <c r="T22" s="4" t="s">
        <v>62</v>
      </c>
      <c r="U22" s="4" t="s">
        <v>62</v>
      </c>
      <c r="V22" s="4" t="s">
        <v>62</v>
      </c>
      <c r="W22" s="4" t="s">
        <v>62</v>
      </c>
      <c r="X22" s="4" t="s">
        <v>62</v>
      </c>
      <c r="Y22" s="4" t="s">
        <v>62</v>
      </c>
      <c r="Z22" s="4" t="s">
        <v>62</v>
      </c>
      <c r="AA22" s="4" t="s">
        <v>62</v>
      </c>
      <c r="AB22" s="4" t="s">
        <v>62</v>
      </c>
      <c r="AC22" s="4" t="s">
        <v>62</v>
      </c>
      <c r="AD22" s="4" t="s">
        <v>62</v>
      </c>
      <c r="AE22" s="4" t="s">
        <v>62</v>
      </c>
      <c r="AF22" s="4" t="s">
        <v>62</v>
      </c>
      <c r="AG22" s="4" t="s">
        <v>62</v>
      </c>
      <c r="AH22" s="4" t="s">
        <v>62</v>
      </c>
    </row>
    <row r="23" spans="2:34">
      <c r="B23" s="148">
        <v>10</v>
      </c>
      <c r="C23" s="90" t="str">
        <f>LEFT(EmpGName10)&amp;" " &amp;EmpSName10</f>
        <v>2 Odd2</v>
      </c>
      <c r="D23" s="3" t="s">
        <v>62</v>
      </c>
      <c r="E23" s="3" t="s">
        <v>62</v>
      </c>
      <c r="F23" s="3" t="s">
        <v>62</v>
      </c>
      <c r="G23" s="3" t="s">
        <v>62</v>
      </c>
      <c r="H23" s="3" t="s">
        <v>62</v>
      </c>
      <c r="I23" s="3" t="s">
        <v>62</v>
      </c>
      <c r="J23" s="3" t="s">
        <v>62</v>
      </c>
      <c r="K23" s="3" t="s">
        <v>62</v>
      </c>
      <c r="L23" s="3" t="s">
        <v>62</v>
      </c>
      <c r="M23" s="3" t="s">
        <v>62</v>
      </c>
      <c r="N23" s="3" t="s">
        <v>62</v>
      </c>
      <c r="O23" s="3" t="s">
        <v>62</v>
      </c>
      <c r="P23" s="3" t="s">
        <v>62</v>
      </c>
      <c r="Q23" s="3" t="s">
        <v>62</v>
      </c>
      <c r="R23" s="3" t="s">
        <v>62</v>
      </c>
      <c r="S23" s="3" t="s">
        <v>62</v>
      </c>
      <c r="T23" s="3" t="s">
        <v>62</v>
      </c>
      <c r="U23" s="3" t="s">
        <v>62</v>
      </c>
      <c r="V23" s="3" t="s">
        <v>62</v>
      </c>
      <c r="W23" s="3" t="s">
        <v>62</v>
      </c>
      <c r="X23" s="3" t="s">
        <v>62</v>
      </c>
      <c r="Y23" s="3" t="s">
        <v>62</v>
      </c>
      <c r="Z23" s="3" t="s">
        <v>62</v>
      </c>
      <c r="AA23" s="3" t="s">
        <v>62</v>
      </c>
      <c r="AB23" s="3" t="s">
        <v>62</v>
      </c>
      <c r="AC23" s="3" t="s">
        <v>62</v>
      </c>
      <c r="AD23" s="3" t="s">
        <v>62</v>
      </c>
      <c r="AE23" s="3" t="s">
        <v>62</v>
      </c>
      <c r="AF23" s="3" t="s">
        <v>62</v>
      </c>
      <c r="AG23" s="3" t="s">
        <v>62</v>
      </c>
      <c r="AH23" s="3" t="s">
        <v>62</v>
      </c>
    </row>
    <row r="24" spans="2:34">
      <c r="B24" s="148">
        <v>11</v>
      </c>
      <c r="C24" s="89" t="str">
        <f>LEFT(EmpGName11)&amp;" " &amp;EmpSName11</f>
        <v>2 Odd3</v>
      </c>
      <c r="D24" s="4" t="s">
        <v>62</v>
      </c>
      <c r="E24" s="4" t="s">
        <v>62</v>
      </c>
      <c r="F24" s="4" t="s">
        <v>62</v>
      </c>
      <c r="G24" s="4" t="s">
        <v>62</v>
      </c>
      <c r="H24" s="4" t="s">
        <v>62</v>
      </c>
      <c r="I24" s="4" t="s">
        <v>62</v>
      </c>
      <c r="J24" s="4" t="s">
        <v>62</v>
      </c>
      <c r="K24" s="4" t="s">
        <v>62</v>
      </c>
      <c r="L24" s="4" t="s">
        <v>62</v>
      </c>
      <c r="M24" s="4" t="s">
        <v>62</v>
      </c>
      <c r="N24" s="4" t="s">
        <v>62</v>
      </c>
      <c r="O24" s="4" t="s">
        <v>62</v>
      </c>
      <c r="P24" s="4" t="s">
        <v>62</v>
      </c>
      <c r="Q24" s="4" t="s">
        <v>62</v>
      </c>
      <c r="R24" s="4" t="s">
        <v>62</v>
      </c>
      <c r="S24" s="4" t="s">
        <v>62</v>
      </c>
      <c r="T24" s="4" t="s">
        <v>62</v>
      </c>
      <c r="U24" s="4" t="s">
        <v>62</v>
      </c>
      <c r="V24" s="4" t="s">
        <v>62</v>
      </c>
      <c r="W24" s="4" t="s">
        <v>62</v>
      </c>
      <c r="X24" s="4" t="s">
        <v>62</v>
      </c>
      <c r="Y24" s="4" t="s">
        <v>62</v>
      </c>
      <c r="Z24" s="4" t="s">
        <v>62</v>
      </c>
      <c r="AA24" s="4" t="s">
        <v>62</v>
      </c>
      <c r="AB24" s="4" t="s">
        <v>62</v>
      </c>
      <c r="AC24" s="4" t="s">
        <v>62</v>
      </c>
      <c r="AD24" s="4" t="s">
        <v>62</v>
      </c>
      <c r="AE24" s="4" t="s">
        <v>62</v>
      </c>
      <c r="AF24" s="4" t="s">
        <v>62</v>
      </c>
      <c r="AG24" s="4" t="s">
        <v>62</v>
      </c>
      <c r="AH24" s="4" t="s">
        <v>62</v>
      </c>
    </row>
    <row r="25" spans="2:34">
      <c r="B25" s="148">
        <v>12</v>
      </c>
      <c r="C25" s="90" t="str">
        <f>LEFT(EmpGName12)&amp;" " &amp;EmpSName12</f>
        <v>4 Odd4</v>
      </c>
      <c r="D25" s="3" t="s">
        <v>62</v>
      </c>
      <c r="E25" s="3" t="s">
        <v>62</v>
      </c>
      <c r="F25" s="3" t="s">
        <v>62</v>
      </c>
      <c r="G25" s="3" t="s">
        <v>62</v>
      </c>
      <c r="H25" s="3" t="s">
        <v>62</v>
      </c>
      <c r="I25" s="3" t="s">
        <v>62</v>
      </c>
      <c r="J25" s="3" t="s">
        <v>62</v>
      </c>
      <c r="K25" s="3" t="s">
        <v>62</v>
      </c>
      <c r="L25" s="3" t="s">
        <v>62</v>
      </c>
      <c r="M25" s="3" t="s">
        <v>62</v>
      </c>
      <c r="N25" s="3" t="s">
        <v>62</v>
      </c>
      <c r="O25" s="3" t="s">
        <v>62</v>
      </c>
      <c r="P25" s="3" t="s">
        <v>62</v>
      </c>
      <c r="Q25" s="3" t="s">
        <v>62</v>
      </c>
      <c r="R25" s="3" t="s">
        <v>62</v>
      </c>
      <c r="S25" s="3" t="s">
        <v>62</v>
      </c>
      <c r="T25" s="3" t="s">
        <v>62</v>
      </c>
      <c r="U25" s="3" t="s">
        <v>62</v>
      </c>
      <c r="V25" s="3" t="s">
        <v>62</v>
      </c>
      <c r="W25" s="3" t="s">
        <v>62</v>
      </c>
      <c r="X25" s="3" t="s">
        <v>62</v>
      </c>
      <c r="Y25" s="3" t="s">
        <v>62</v>
      </c>
      <c r="Z25" s="3" t="s">
        <v>62</v>
      </c>
      <c r="AA25" s="3" t="s">
        <v>62</v>
      </c>
      <c r="AB25" s="3" t="s">
        <v>62</v>
      </c>
      <c r="AC25" s="3" t="s">
        <v>62</v>
      </c>
      <c r="AD25" s="3" t="s">
        <v>62</v>
      </c>
      <c r="AE25" s="3" t="s">
        <v>62</v>
      </c>
      <c r="AF25" s="3" t="s">
        <v>62</v>
      </c>
      <c r="AG25" s="3" t="s">
        <v>62</v>
      </c>
      <c r="AH25" s="3" t="s">
        <v>62</v>
      </c>
    </row>
    <row r="26" spans="2:34">
      <c r="B26" s="148">
        <v>13</v>
      </c>
      <c r="C26" s="89" t="str">
        <f>LEFT(EmpGName13)&amp;" " &amp;EmpSName13</f>
        <v>5 Odd5</v>
      </c>
      <c r="D26" s="4" t="s">
        <v>62</v>
      </c>
      <c r="E26" s="4" t="s">
        <v>62</v>
      </c>
      <c r="F26" s="4" t="s">
        <v>62</v>
      </c>
      <c r="G26" s="4" t="s">
        <v>62</v>
      </c>
      <c r="H26" s="4" t="s">
        <v>62</v>
      </c>
      <c r="I26" s="4" t="s">
        <v>62</v>
      </c>
      <c r="J26" s="4" t="s">
        <v>62</v>
      </c>
      <c r="K26" s="4" t="s">
        <v>62</v>
      </c>
      <c r="L26" s="4" t="s">
        <v>62</v>
      </c>
      <c r="M26" s="4" t="s">
        <v>62</v>
      </c>
      <c r="N26" s="4" t="s">
        <v>62</v>
      </c>
      <c r="O26" s="4" t="s">
        <v>62</v>
      </c>
      <c r="P26" s="4" t="s">
        <v>62</v>
      </c>
      <c r="Q26" s="4" t="s">
        <v>62</v>
      </c>
      <c r="R26" s="4" t="s">
        <v>62</v>
      </c>
      <c r="S26" s="4" t="s">
        <v>62</v>
      </c>
      <c r="T26" s="4" t="s">
        <v>62</v>
      </c>
      <c r="U26" s="4" t="s">
        <v>62</v>
      </c>
      <c r="V26" s="4" t="s">
        <v>62</v>
      </c>
      <c r="W26" s="4" t="s">
        <v>62</v>
      </c>
      <c r="X26" s="4" t="s">
        <v>62</v>
      </c>
      <c r="Y26" s="4" t="s">
        <v>62</v>
      </c>
      <c r="Z26" s="4" t="s">
        <v>62</v>
      </c>
      <c r="AA26" s="4" t="s">
        <v>62</v>
      </c>
      <c r="AB26" s="4" t="s">
        <v>62</v>
      </c>
      <c r="AC26" s="4" t="s">
        <v>62</v>
      </c>
      <c r="AD26" s="4" t="s">
        <v>62</v>
      </c>
      <c r="AE26" s="4" t="s">
        <v>62</v>
      </c>
      <c r="AF26" s="4" t="s">
        <v>62</v>
      </c>
      <c r="AG26" s="4" t="s">
        <v>62</v>
      </c>
      <c r="AH26" s="4" t="s">
        <v>62</v>
      </c>
    </row>
    <row r="27" spans="2:34">
      <c r="B27" s="148">
        <v>14</v>
      </c>
      <c r="C27" s="90" t="str">
        <f>LEFT(EmpGName14)&amp;" " &amp;EmpSName14</f>
        <v>6 Odd6</v>
      </c>
      <c r="D27" s="3" t="s">
        <v>62</v>
      </c>
      <c r="E27" s="3" t="s">
        <v>62</v>
      </c>
      <c r="F27" s="3" t="s">
        <v>62</v>
      </c>
      <c r="G27" s="3" t="s">
        <v>62</v>
      </c>
      <c r="H27" s="3" t="s">
        <v>62</v>
      </c>
      <c r="I27" s="3" t="s">
        <v>62</v>
      </c>
      <c r="J27" s="3" t="s">
        <v>62</v>
      </c>
      <c r="K27" s="3" t="s">
        <v>62</v>
      </c>
      <c r="L27" s="3" t="s">
        <v>62</v>
      </c>
      <c r="M27" s="3" t="s">
        <v>62</v>
      </c>
      <c r="N27" s="3" t="s">
        <v>62</v>
      </c>
      <c r="O27" s="3" t="s">
        <v>62</v>
      </c>
      <c r="P27" s="3" t="s">
        <v>62</v>
      </c>
      <c r="Q27" s="3" t="s">
        <v>62</v>
      </c>
      <c r="R27" s="3" t="s">
        <v>62</v>
      </c>
      <c r="S27" s="3" t="s">
        <v>62</v>
      </c>
      <c r="T27" s="3" t="s">
        <v>62</v>
      </c>
      <c r="U27" s="3" t="s">
        <v>62</v>
      </c>
      <c r="V27" s="3" t="s">
        <v>62</v>
      </c>
      <c r="W27" s="3" t="s">
        <v>62</v>
      </c>
      <c r="X27" s="3" t="s">
        <v>62</v>
      </c>
      <c r="Y27" s="3" t="s">
        <v>62</v>
      </c>
      <c r="Z27" s="3" t="s">
        <v>62</v>
      </c>
      <c r="AA27" s="3" t="s">
        <v>62</v>
      </c>
      <c r="AB27" s="3" t="s">
        <v>62</v>
      </c>
      <c r="AC27" s="3" t="s">
        <v>62</v>
      </c>
      <c r="AD27" s="3" t="s">
        <v>62</v>
      </c>
      <c r="AE27" s="3" t="s">
        <v>62</v>
      </c>
      <c r="AF27" s="3" t="s">
        <v>62</v>
      </c>
      <c r="AG27" s="3" t="s">
        <v>62</v>
      </c>
      <c r="AH27" s="3" t="s">
        <v>62</v>
      </c>
    </row>
    <row r="28" spans="2:34">
      <c r="B28" s="148">
        <v>15</v>
      </c>
      <c r="C28" s="89" t="str">
        <f>LEFT(EmpGName15)&amp;" " &amp;EmpSName15</f>
        <v>7 Odd7</v>
      </c>
      <c r="D28" s="4" t="s">
        <v>62</v>
      </c>
      <c r="E28" s="4" t="s">
        <v>62</v>
      </c>
      <c r="F28" s="4" t="s">
        <v>62</v>
      </c>
      <c r="G28" s="4" t="s">
        <v>62</v>
      </c>
      <c r="H28" s="4" t="s">
        <v>62</v>
      </c>
      <c r="I28" s="4" t="s">
        <v>62</v>
      </c>
      <c r="J28" s="4" t="s">
        <v>62</v>
      </c>
      <c r="K28" s="4" t="s">
        <v>62</v>
      </c>
      <c r="L28" s="4" t="s">
        <v>62</v>
      </c>
      <c r="M28" s="4" t="s">
        <v>62</v>
      </c>
      <c r="N28" s="4" t="s">
        <v>62</v>
      </c>
      <c r="O28" s="4" t="s">
        <v>62</v>
      </c>
      <c r="P28" s="4" t="s">
        <v>62</v>
      </c>
      <c r="Q28" s="4" t="s">
        <v>62</v>
      </c>
      <c r="R28" s="4" t="s">
        <v>62</v>
      </c>
      <c r="S28" s="4" t="s">
        <v>62</v>
      </c>
      <c r="T28" s="4" t="s">
        <v>62</v>
      </c>
      <c r="U28" s="4" t="s">
        <v>62</v>
      </c>
      <c r="V28" s="4" t="s">
        <v>62</v>
      </c>
      <c r="W28" s="4" t="s">
        <v>62</v>
      </c>
      <c r="X28" s="4" t="s">
        <v>62</v>
      </c>
      <c r="Y28" s="4" t="s">
        <v>62</v>
      </c>
      <c r="Z28" s="4" t="s">
        <v>62</v>
      </c>
      <c r="AA28" s="4" t="s">
        <v>62</v>
      </c>
      <c r="AB28" s="4" t="s">
        <v>62</v>
      </c>
      <c r="AC28" s="4" t="s">
        <v>62</v>
      </c>
      <c r="AD28" s="4" t="s">
        <v>62</v>
      </c>
      <c r="AE28" s="4" t="s">
        <v>62</v>
      </c>
      <c r="AF28" s="4" t="s">
        <v>62</v>
      </c>
      <c r="AG28" s="4" t="s">
        <v>62</v>
      </c>
      <c r="AH28" s="4" t="s">
        <v>62</v>
      </c>
    </row>
    <row r="29" spans="2:34">
      <c r="B29" s="148">
        <v>16</v>
      </c>
      <c r="C29" s="90" t="str">
        <f>LEFT(EmpGName16)&amp;" " &amp;EmpSName16</f>
        <v>8 Odd8</v>
      </c>
      <c r="D29" s="3" t="s">
        <v>62</v>
      </c>
      <c r="E29" s="3" t="s">
        <v>62</v>
      </c>
      <c r="F29" s="3" t="s">
        <v>62</v>
      </c>
      <c r="G29" s="3" t="s">
        <v>62</v>
      </c>
      <c r="H29" s="3" t="s">
        <v>62</v>
      </c>
      <c r="I29" s="3" t="s">
        <v>62</v>
      </c>
      <c r="J29" s="3" t="s">
        <v>62</v>
      </c>
      <c r="K29" s="3" t="s">
        <v>62</v>
      </c>
      <c r="L29" s="3" t="s">
        <v>62</v>
      </c>
      <c r="M29" s="3" t="s">
        <v>62</v>
      </c>
      <c r="N29" s="3" t="s">
        <v>62</v>
      </c>
      <c r="O29" s="3" t="s">
        <v>62</v>
      </c>
      <c r="P29" s="3" t="s">
        <v>62</v>
      </c>
      <c r="Q29" s="3" t="s">
        <v>62</v>
      </c>
      <c r="R29" s="3" t="s">
        <v>62</v>
      </c>
      <c r="S29" s="3" t="s">
        <v>62</v>
      </c>
      <c r="T29" s="3" t="s">
        <v>62</v>
      </c>
      <c r="U29" s="3" t="s">
        <v>62</v>
      </c>
      <c r="V29" s="3" t="s">
        <v>62</v>
      </c>
      <c r="W29" s="3" t="s">
        <v>62</v>
      </c>
      <c r="X29" s="3" t="s">
        <v>62</v>
      </c>
      <c r="Y29" s="3" t="s">
        <v>62</v>
      </c>
      <c r="Z29" s="3" t="s">
        <v>62</v>
      </c>
      <c r="AA29" s="3" t="s">
        <v>62</v>
      </c>
      <c r="AB29" s="3" t="s">
        <v>62</v>
      </c>
      <c r="AC29" s="3" t="s">
        <v>62</v>
      </c>
      <c r="AD29" s="3" t="s">
        <v>62</v>
      </c>
      <c r="AE29" s="3" t="s">
        <v>62</v>
      </c>
      <c r="AF29" s="3" t="s">
        <v>62</v>
      </c>
      <c r="AG29" s="3" t="s">
        <v>62</v>
      </c>
      <c r="AH29" s="3" t="s">
        <v>62</v>
      </c>
    </row>
    <row r="30" spans="2:34">
      <c r="B30" s="148">
        <v>17</v>
      </c>
      <c r="C30" s="89" t="str">
        <f>LEFT(EmpGName17)&amp;" " &amp;EmpSName17</f>
        <v>9 Odd9</v>
      </c>
      <c r="D30" s="4" t="s">
        <v>62</v>
      </c>
      <c r="E30" s="4" t="s">
        <v>62</v>
      </c>
      <c r="F30" s="4" t="s">
        <v>62</v>
      </c>
      <c r="G30" s="4" t="s">
        <v>62</v>
      </c>
      <c r="H30" s="4" t="s">
        <v>62</v>
      </c>
      <c r="I30" s="4" t="s">
        <v>62</v>
      </c>
      <c r="J30" s="4" t="s">
        <v>62</v>
      </c>
      <c r="K30" s="4" t="s">
        <v>62</v>
      </c>
      <c r="L30" s="4" t="s">
        <v>62</v>
      </c>
      <c r="M30" s="4" t="s">
        <v>62</v>
      </c>
      <c r="N30" s="4" t="s">
        <v>62</v>
      </c>
      <c r="O30" s="4" t="s">
        <v>62</v>
      </c>
      <c r="P30" s="4" t="s">
        <v>62</v>
      </c>
      <c r="Q30" s="4" t="s">
        <v>62</v>
      </c>
      <c r="R30" s="4" t="s">
        <v>62</v>
      </c>
      <c r="S30" s="4" t="s">
        <v>62</v>
      </c>
      <c r="T30" s="4" t="s">
        <v>62</v>
      </c>
      <c r="U30" s="4" t="s">
        <v>62</v>
      </c>
      <c r="V30" s="4" t="s">
        <v>62</v>
      </c>
      <c r="W30" s="4" t="s">
        <v>62</v>
      </c>
      <c r="X30" s="4" t="s">
        <v>62</v>
      </c>
      <c r="Y30" s="4" t="s">
        <v>62</v>
      </c>
      <c r="Z30" s="4" t="s">
        <v>62</v>
      </c>
      <c r="AA30" s="4" t="s">
        <v>62</v>
      </c>
      <c r="AB30" s="4" t="s">
        <v>62</v>
      </c>
      <c r="AC30" s="4" t="s">
        <v>62</v>
      </c>
      <c r="AD30" s="4" t="s">
        <v>62</v>
      </c>
      <c r="AE30" s="4" t="s">
        <v>62</v>
      </c>
      <c r="AF30" s="4" t="s">
        <v>62</v>
      </c>
      <c r="AG30" s="4" t="s">
        <v>62</v>
      </c>
      <c r="AH30" s="4" t="s">
        <v>62</v>
      </c>
    </row>
    <row r="31" spans="2:34">
      <c r="B31" s="148">
        <v>18</v>
      </c>
      <c r="C31" s="90" t="str">
        <f>LEFT(EmpGName18)&amp;" " &amp;EmpSName18</f>
        <v>1 Odd10</v>
      </c>
      <c r="D31" s="3" t="s">
        <v>62</v>
      </c>
      <c r="E31" s="3" t="s">
        <v>62</v>
      </c>
      <c r="F31" s="3" t="s">
        <v>62</v>
      </c>
      <c r="G31" s="3" t="s">
        <v>62</v>
      </c>
      <c r="H31" s="3" t="s">
        <v>62</v>
      </c>
      <c r="I31" s="3" t="s">
        <v>62</v>
      </c>
      <c r="J31" s="3" t="s">
        <v>62</v>
      </c>
      <c r="K31" s="3" t="s">
        <v>62</v>
      </c>
      <c r="L31" s="3" t="s">
        <v>62</v>
      </c>
      <c r="M31" s="3" t="s">
        <v>62</v>
      </c>
      <c r="N31" s="3" t="s">
        <v>62</v>
      </c>
      <c r="O31" s="3" t="s">
        <v>62</v>
      </c>
      <c r="P31" s="3" t="s">
        <v>62</v>
      </c>
      <c r="Q31" s="3" t="s">
        <v>62</v>
      </c>
      <c r="R31" s="3" t="s">
        <v>62</v>
      </c>
      <c r="S31" s="3" t="s">
        <v>62</v>
      </c>
      <c r="T31" s="3" t="s">
        <v>62</v>
      </c>
      <c r="U31" s="3" t="s">
        <v>62</v>
      </c>
      <c r="V31" s="3" t="s">
        <v>62</v>
      </c>
      <c r="W31" s="3" t="s">
        <v>62</v>
      </c>
      <c r="X31" s="3" t="s">
        <v>62</v>
      </c>
      <c r="Y31" s="3" t="s">
        <v>62</v>
      </c>
      <c r="Z31" s="3" t="s">
        <v>62</v>
      </c>
      <c r="AA31" s="3" t="s">
        <v>62</v>
      </c>
      <c r="AB31" s="3" t="s">
        <v>62</v>
      </c>
      <c r="AC31" s="3" t="s">
        <v>62</v>
      </c>
      <c r="AD31" s="3" t="s">
        <v>62</v>
      </c>
      <c r="AE31" s="3" t="s">
        <v>62</v>
      </c>
      <c r="AF31" s="3" t="s">
        <v>62</v>
      </c>
      <c r="AG31" s="3" t="s">
        <v>62</v>
      </c>
      <c r="AH31" s="3" t="s">
        <v>62</v>
      </c>
    </row>
    <row r="32" spans="2:34">
      <c r="B32" s="148">
        <v>19</v>
      </c>
      <c r="C32" s="89" t="str">
        <f>LEFT(EmpGName19)&amp;" " &amp;EmpSName19</f>
        <v>1 Odd11</v>
      </c>
      <c r="D32" s="4" t="s">
        <v>62</v>
      </c>
      <c r="E32" s="4" t="s">
        <v>62</v>
      </c>
      <c r="F32" s="4" t="s">
        <v>62</v>
      </c>
      <c r="G32" s="4" t="s">
        <v>62</v>
      </c>
      <c r="H32" s="4" t="s">
        <v>62</v>
      </c>
      <c r="I32" s="4" t="s">
        <v>62</v>
      </c>
      <c r="J32" s="4" t="s">
        <v>62</v>
      </c>
      <c r="K32" s="4" t="s">
        <v>62</v>
      </c>
      <c r="L32" s="4" t="s">
        <v>62</v>
      </c>
      <c r="M32" s="4" t="s">
        <v>62</v>
      </c>
      <c r="N32" s="4" t="s">
        <v>62</v>
      </c>
      <c r="O32" s="4" t="s">
        <v>62</v>
      </c>
      <c r="P32" s="4" t="s">
        <v>62</v>
      </c>
      <c r="Q32" s="4" t="s">
        <v>62</v>
      </c>
      <c r="R32" s="4" t="s">
        <v>62</v>
      </c>
      <c r="S32" s="4" t="s">
        <v>62</v>
      </c>
      <c r="T32" s="4" t="s">
        <v>62</v>
      </c>
      <c r="U32" s="4" t="s">
        <v>62</v>
      </c>
      <c r="V32" s="4" t="s">
        <v>62</v>
      </c>
      <c r="W32" s="4" t="s">
        <v>62</v>
      </c>
      <c r="X32" s="4" t="s">
        <v>62</v>
      </c>
      <c r="Y32" s="4" t="s">
        <v>62</v>
      </c>
      <c r="Z32" s="4" t="s">
        <v>62</v>
      </c>
      <c r="AA32" s="4" t="s">
        <v>62</v>
      </c>
      <c r="AB32" s="4" t="s">
        <v>62</v>
      </c>
      <c r="AC32" s="4" t="s">
        <v>62</v>
      </c>
      <c r="AD32" s="4" t="s">
        <v>62</v>
      </c>
      <c r="AE32" s="4" t="s">
        <v>62</v>
      </c>
      <c r="AF32" s="4" t="s">
        <v>62</v>
      </c>
      <c r="AG32" s="4" t="s">
        <v>62</v>
      </c>
      <c r="AH32" s="4" t="s">
        <v>62</v>
      </c>
    </row>
    <row r="33" spans="2:34">
      <c r="B33" s="148">
        <v>20</v>
      </c>
      <c r="C33" s="90" t="str">
        <f>LEFT(EmpGName20)&amp;" " &amp;EmpSName20</f>
        <v>1 Odd12</v>
      </c>
      <c r="D33" s="3" t="s">
        <v>62</v>
      </c>
      <c r="E33" s="3" t="s">
        <v>62</v>
      </c>
      <c r="F33" s="3" t="s">
        <v>62</v>
      </c>
      <c r="G33" s="3" t="s">
        <v>62</v>
      </c>
      <c r="H33" s="3" t="s">
        <v>62</v>
      </c>
      <c r="I33" s="3" t="s">
        <v>62</v>
      </c>
      <c r="J33" s="3" t="s">
        <v>62</v>
      </c>
      <c r="K33" s="3" t="s">
        <v>62</v>
      </c>
      <c r="L33" s="3" t="s">
        <v>62</v>
      </c>
      <c r="M33" s="3" t="s">
        <v>62</v>
      </c>
      <c r="N33" s="3" t="s">
        <v>62</v>
      </c>
      <c r="O33" s="3" t="s">
        <v>62</v>
      </c>
      <c r="P33" s="3" t="s">
        <v>62</v>
      </c>
      <c r="Q33" s="3" t="s">
        <v>62</v>
      </c>
      <c r="R33" s="3" t="s">
        <v>62</v>
      </c>
      <c r="S33" s="3" t="s">
        <v>62</v>
      </c>
      <c r="T33" s="3" t="s">
        <v>62</v>
      </c>
      <c r="U33" s="3" t="s">
        <v>62</v>
      </c>
      <c r="V33" s="3" t="s">
        <v>62</v>
      </c>
      <c r="W33" s="3" t="s">
        <v>62</v>
      </c>
      <c r="X33" s="3" t="s">
        <v>62</v>
      </c>
      <c r="Y33" s="3" t="s">
        <v>62</v>
      </c>
      <c r="Z33" s="3" t="s">
        <v>62</v>
      </c>
      <c r="AA33" s="3" t="s">
        <v>62</v>
      </c>
      <c r="AB33" s="3" t="s">
        <v>62</v>
      </c>
      <c r="AC33" s="3" t="s">
        <v>62</v>
      </c>
      <c r="AD33" s="3" t="s">
        <v>62</v>
      </c>
      <c r="AE33" s="3" t="s">
        <v>62</v>
      </c>
      <c r="AF33" s="3" t="s">
        <v>62</v>
      </c>
      <c r="AG33" s="3" t="s">
        <v>62</v>
      </c>
      <c r="AH33" s="3" t="s">
        <v>62</v>
      </c>
    </row>
    <row r="34" spans="2:34">
      <c r="B34" s="148">
        <v>21</v>
      </c>
      <c r="C34" s="89" t="str">
        <f>LEFT(EmpGName21)&amp;" " &amp;EmpSName21</f>
        <v>1 Odd13</v>
      </c>
      <c r="D34" s="4" t="s">
        <v>62</v>
      </c>
      <c r="E34" s="4" t="s">
        <v>62</v>
      </c>
      <c r="F34" s="4" t="s">
        <v>62</v>
      </c>
      <c r="G34" s="4" t="s">
        <v>62</v>
      </c>
      <c r="H34" s="4" t="s">
        <v>62</v>
      </c>
      <c r="I34" s="4" t="s">
        <v>62</v>
      </c>
      <c r="J34" s="4" t="s">
        <v>62</v>
      </c>
      <c r="K34" s="4" t="s">
        <v>62</v>
      </c>
      <c r="L34" s="4" t="s">
        <v>62</v>
      </c>
      <c r="M34" s="4" t="s">
        <v>62</v>
      </c>
      <c r="N34" s="4" t="s">
        <v>62</v>
      </c>
      <c r="O34" s="4" t="s">
        <v>62</v>
      </c>
      <c r="P34" s="4" t="s">
        <v>62</v>
      </c>
      <c r="Q34" s="4" t="s">
        <v>62</v>
      </c>
      <c r="R34" s="4" t="s">
        <v>62</v>
      </c>
      <c r="S34" s="4" t="s">
        <v>62</v>
      </c>
      <c r="T34" s="4" t="s">
        <v>62</v>
      </c>
      <c r="U34" s="4" t="s">
        <v>62</v>
      </c>
      <c r="V34" s="4" t="s">
        <v>62</v>
      </c>
      <c r="W34" s="4" t="s">
        <v>62</v>
      </c>
      <c r="X34" s="4" t="s">
        <v>62</v>
      </c>
      <c r="Y34" s="4" t="s">
        <v>62</v>
      </c>
      <c r="Z34" s="4" t="s">
        <v>62</v>
      </c>
      <c r="AA34" s="4" t="s">
        <v>62</v>
      </c>
      <c r="AB34" s="4" t="s">
        <v>62</v>
      </c>
      <c r="AC34" s="4" t="s">
        <v>62</v>
      </c>
      <c r="AD34" s="4" t="s">
        <v>62</v>
      </c>
      <c r="AE34" s="4" t="s">
        <v>62</v>
      </c>
      <c r="AF34" s="4" t="s">
        <v>62</v>
      </c>
      <c r="AG34" s="4" t="s">
        <v>62</v>
      </c>
      <c r="AH34" s="4" t="s">
        <v>62</v>
      </c>
    </row>
    <row r="35" spans="2:34">
      <c r="B35" s="148">
        <v>22</v>
      </c>
      <c r="C35" s="90" t="str">
        <f>LEFT(EmpGName22)&amp;" " &amp;EmpSName22</f>
        <v>1 Odd14</v>
      </c>
      <c r="D35" s="3" t="s">
        <v>62</v>
      </c>
      <c r="E35" s="3" t="s">
        <v>62</v>
      </c>
      <c r="F35" s="3" t="s">
        <v>62</v>
      </c>
      <c r="G35" s="3" t="s">
        <v>62</v>
      </c>
      <c r="H35" s="3" t="s">
        <v>62</v>
      </c>
      <c r="I35" s="3" t="s">
        <v>62</v>
      </c>
      <c r="J35" s="3" t="s">
        <v>62</v>
      </c>
      <c r="K35" s="3" t="s">
        <v>62</v>
      </c>
      <c r="L35" s="3" t="s">
        <v>62</v>
      </c>
      <c r="M35" s="3" t="s">
        <v>62</v>
      </c>
      <c r="N35" s="3" t="s">
        <v>62</v>
      </c>
      <c r="O35" s="3" t="s">
        <v>62</v>
      </c>
      <c r="P35" s="3" t="s">
        <v>62</v>
      </c>
      <c r="Q35" s="3" t="s">
        <v>62</v>
      </c>
      <c r="R35" s="3" t="s">
        <v>62</v>
      </c>
      <c r="S35" s="3" t="s">
        <v>62</v>
      </c>
      <c r="T35" s="3" t="s">
        <v>62</v>
      </c>
      <c r="U35" s="3" t="s">
        <v>62</v>
      </c>
      <c r="V35" s="3" t="s">
        <v>62</v>
      </c>
      <c r="W35" s="3" t="s">
        <v>62</v>
      </c>
      <c r="X35" s="3" t="s">
        <v>62</v>
      </c>
      <c r="Y35" s="3" t="s">
        <v>62</v>
      </c>
      <c r="Z35" s="3" t="s">
        <v>62</v>
      </c>
      <c r="AA35" s="3" t="s">
        <v>62</v>
      </c>
      <c r="AB35" s="3" t="s">
        <v>62</v>
      </c>
      <c r="AC35" s="3" t="s">
        <v>62</v>
      </c>
      <c r="AD35" s="3" t="s">
        <v>62</v>
      </c>
      <c r="AE35" s="3" t="s">
        <v>62</v>
      </c>
      <c r="AF35" s="3" t="s">
        <v>62</v>
      </c>
      <c r="AG35" s="3" t="s">
        <v>62</v>
      </c>
      <c r="AH35" s="3" t="s">
        <v>62</v>
      </c>
    </row>
    <row r="36" spans="2:34">
      <c r="B36" s="148">
        <v>23</v>
      </c>
      <c r="C36" s="89" t="str">
        <f>LEFT(EmpGName23)&amp;" " &amp;EmpSName23</f>
        <v>1 Odd15</v>
      </c>
      <c r="D36" s="4" t="s">
        <v>62</v>
      </c>
      <c r="E36" s="4" t="s">
        <v>62</v>
      </c>
      <c r="F36" s="4" t="s">
        <v>62</v>
      </c>
      <c r="G36" s="4" t="s">
        <v>62</v>
      </c>
      <c r="H36" s="4" t="s">
        <v>62</v>
      </c>
      <c r="I36" s="4" t="s">
        <v>62</v>
      </c>
      <c r="J36" s="4" t="s">
        <v>62</v>
      </c>
      <c r="K36" s="4" t="s">
        <v>62</v>
      </c>
      <c r="L36" s="4" t="s">
        <v>62</v>
      </c>
      <c r="M36" s="4" t="s">
        <v>62</v>
      </c>
      <c r="N36" s="4" t="s">
        <v>62</v>
      </c>
      <c r="O36" s="4" t="s">
        <v>62</v>
      </c>
      <c r="P36" s="4" t="s">
        <v>62</v>
      </c>
      <c r="Q36" s="4" t="s">
        <v>62</v>
      </c>
      <c r="R36" s="4" t="s">
        <v>62</v>
      </c>
      <c r="S36" s="4" t="s">
        <v>62</v>
      </c>
      <c r="T36" s="4" t="s">
        <v>62</v>
      </c>
      <c r="U36" s="4" t="s">
        <v>62</v>
      </c>
      <c r="V36" s="4" t="s">
        <v>62</v>
      </c>
      <c r="W36" s="4" t="s">
        <v>62</v>
      </c>
      <c r="X36" s="4" t="s">
        <v>62</v>
      </c>
      <c r="Y36" s="4" t="s">
        <v>62</v>
      </c>
      <c r="Z36" s="4" t="s">
        <v>62</v>
      </c>
      <c r="AA36" s="4" t="s">
        <v>62</v>
      </c>
      <c r="AB36" s="4" t="s">
        <v>62</v>
      </c>
      <c r="AC36" s="4" t="s">
        <v>62</v>
      </c>
      <c r="AD36" s="4" t="s">
        <v>62</v>
      </c>
      <c r="AE36" s="4" t="s">
        <v>62</v>
      </c>
      <c r="AF36" s="4" t="s">
        <v>62</v>
      </c>
      <c r="AG36" s="4" t="s">
        <v>62</v>
      </c>
      <c r="AH36" s="4" t="s">
        <v>62</v>
      </c>
    </row>
    <row r="37" spans="2:34">
      <c r="B37" s="148">
        <v>24</v>
      </c>
      <c r="C37" s="90" t="str">
        <f>LEFT(EmpGName24)&amp;" " &amp;EmpSName24</f>
        <v>1 Odd16</v>
      </c>
      <c r="D37" s="3" t="s">
        <v>62</v>
      </c>
      <c r="E37" s="3" t="s">
        <v>62</v>
      </c>
      <c r="F37" s="3" t="s">
        <v>62</v>
      </c>
      <c r="G37" s="3" t="s">
        <v>62</v>
      </c>
      <c r="H37" s="3" t="s">
        <v>62</v>
      </c>
      <c r="I37" s="3" t="s">
        <v>62</v>
      </c>
      <c r="J37" s="3" t="s">
        <v>62</v>
      </c>
      <c r="K37" s="3" t="s">
        <v>62</v>
      </c>
      <c r="L37" s="3" t="s">
        <v>62</v>
      </c>
      <c r="M37" s="3" t="s">
        <v>62</v>
      </c>
      <c r="N37" s="3" t="s">
        <v>62</v>
      </c>
      <c r="O37" s="3" t="s">
        <v>62</v>
      </c>
      <c r="P37" s="3" t="s">
        <v>62</v>
      </c>
      <c r="Q37" s="3" t="s">
        <v>62</v>
      </c>
      <c r="R37" s="3" t="s">
        <v>62</v>
      </c>
      <c r="S37" s="3" t="s">
        <v>62</v>
      </c>
      <c r="T37" s="3" t="s">
        <v>62</v>
      </c>
      <c r="U37" s="3" t="s">
        <v>62</v>
      </c>
      <c r="V37" s="3" t="s">
        <v>62</v>
      </c>
      <c r="W37" s="3" t="s">
        <v>62</v>
      </c>
      <c r="X37" s="3" t="s">
        <v>62</v>
      </c>
      <c r="Y37" s="3" t="s">
        <v>62</v>
      </c>
      <c r="Z37" s="3" t="s">
        <v>62</v>
      </c>
      <c r="AA37" s="3" t="s">
        <v>62</v>
      </c>
      <c r="AB37" s="3" t="s">
        <v>62</v>
      </c>
      <c r="AC37" s="3" t="s">
        <v>62</v>
      </c>
      <c r="AD37" s="3" t="s">
        <v>62</v>
      </c>
      <c r="AE37" s="3" t="s">
        <v>62</v>
      </c>
      <c r="AF37" s="3" t="s">
        <v>62</v>
      </c>
      <c r="AG37" s="3" t="s">
        <v>62</v>
      </c>
      <c r="AH37" s="3" t="s">
        <v>62</v>
      </c>
    </row>
    <row r="38" spans="2:34">
      <c r="B38" s="148">
        <v>25</v>
      </c>
      <c r="C38" s="89" t="str">
        <f>LEFT(EmpGName25)&amp;" " &amp;EmpSName25</f>
        <v>1 Odd17</v>
      </c>
      <c r="D38" s="4" t="s">
        <v>62</v>
      </c>
      <c r="E38" s="4" t="s">
        <v>62</v>
      </c>
      <c r="F38" s="4" t="s">
        <v>62</v>
      </c>
      <c r="G38" s="4" t="s">
        <v>62</v>
      </c>
      <c r="H38" s="4" t="s">
        <v>62</v>
      </c>
      <c r="I38" s="4" t="s">
        <v>62</v>
      </c>
      <c r="J38" s="4" t="s">
        <v>62</v>
      </c>
      <c r="K38" s="4" t="s">
        <v>62</v>
      </c>
      <c r="L38" s="4" t="s">
        <v>62</v>
      </c>
      <c r="M38" s="4" t="s">
        <v>62</v>
      </c>
      <c r="N38" s="4" t="s">
        <v>62</v>
      </c>
      <c r="O38" s="4" t="s">
        <v>62</v>
      </c>
      <c r="P38" s="4" t="s">
        <v>62</v>
      </c>
      <c r="Q38" s="4" t="s">
        <v>62</v>
      </c>
      <c r="R38" s="4" t="s">
        <v>62</v>
      </c>
      <c r="S38" s="4" t="s">
        <v>62</v>
      </c>
      <c r="T38" s="4" t="s">
        <v>62</v>
      </c>
      <c r="U38" s="4" t="s">
        <v>62</v>
      </c>
      <c r="V38" s="4" t="s">
        <v>62</v>
      </c>
      <c r="W38" s="4" t="s">
        <v>62</v>
      </c>
      <c r="X38" s="4" t="s">
        <v>62</v>
      </c>
      <c r="Y38" s="4" t="s">
        <v>62</v>
      </c>
      <c r="Z38" s="4" t="s">
        <v>62</v>
      </c>
      <c r="AA38" s="4" t="s">
        <v>62</v>
      </c>
      <c r="AB38" s="4" t="s">
        <v>62</v>
      </c>
      <c r="AC38" s="4" t="s">
        <v>62</v>
      </c>
      <c r="AD38" s="4" t="s">
        <v>62</v>
      </c>
      <c r="AE38" s="4" t="s">
        <v>62</v>
      </c>
      <c r="AF38" s="4" t="s">
        <v>62</v>
      </c>
      <c r="AG38" s="4" t="s">
        <v>62</v>
      </c>
      <c r="AH38" s="4" t="s">
        <v>62</v>
      </c>
    </row>
    <row r="39" spans="2:34">
      <c r="B39" s="148">
        <v>26</v>
      </c>
      <c r="C39" s="90" t="str">
        <f>LEFT(EmpGName26)&amp;" " &amp;EmpSName26</f>
        <v>1 Odd18</v>
      </c>
      <c r="D39" s="3" t="s">
        <v>62</v>
      </c>
      <c r="E39" s="3" t="s">
        <v>62</v>
      </c>
      <c r="F39" s="3" t="s">
        <v>62</v>
      </c>
      <c r="G39" s="3" t="s">
        <v>62</v>
      </c>
      <c r="H39" s="3" t="s">
        <v>62</v>
      </c>
      <c r="I39" s="3" t="s">
        <v>62</v>
      </c>
      <c r="J39" s="3" t="s">
        <v>62</v>
      </c>
      <c r="K39" s="3" t="s">
        <v>62</v>
      </c>
      <c r="L39" s="3" t="s">
        <v>62</v>
      </c>
      <c r="M39" s="3" t="s">
        <v>62</v>
      </c>
      <c r="N39" s="3" t="s">
        <v>62</v>
      </c>
      <c r="O39" s="3" t="s">
        <v>62</v>
      </c>
      <c r="P39" s="3" t="s">
        <v>62</v>
      </c>
      <c r="Q39" s="3" t="s">
        <v>62</v>
      </c>
      <c r="R39" s="3" t="s">
        <v>62</v>
      </c>
      <c r="S39" s="3" t="s">
        <v>62</v>
      </c>
      <c r="T39" s="3" t="s">
        <v>62</v>
      </c>
      <c r="U39" s="3" t="s">
        <v>62</v>
      </c>
      <c r="V39" s="3" t="s">
        <v>62</v>
      </c>
      <c r="W39" s="3" t="s">
        <v>62</v>
      </c>
      <c r="X39" s="3" t="s">
        <v>62</v>
      </c>
      <c r="Y39" s="3" t="s">
        <v>62</v>
      </c>
      <c r="Z39" s="3" t="s">
        <v>62</v>
      </c>
      <c r="AA39" s="3" t="s">
        <v>62</v>
      </c>
      <c r="AB39" s="3" t="s">
        <v>62</v>
      </c>
      <c r="AC39" s="3" t="s">
        <v>62</v>
      </c>
      <c r="AD39" s="3" t="s">
        <v>62</v>
      </c>
      <c r="AE39" s="3" t="s">
        <v>62</v>
      </c>
      <c r="AF39" s="3" t="s">
        <v>62</v>
      </c>
      <c r="AG39" s="3" t="s">
        <v>62</v>
      </c>
      <c r="AH39" s="3" t="s">
        <v>62</v>
      </c>
    </row>
    <row r="40" spans="2:34">
      <c r="B40" s="148">
        <v>27</v>
      </c>
      <c r="C40" s="89" t="str">
        <f>LEFT(EmpGName27)&amp;" " &amp;EmpSName27</f>
        <v>1 Odd19</v>
      </c>
      <c r="D40" s="4" t="s">
        <v>62</v>
      </c>
      <c r="E40" s="4" t="s">
        <v>62</v>
      </c>
      <c r="F40" s="4" t="s">
        <v>62</v>
      </c>
      <c r="G40" s="4" t="s">
        <v>62</v>
      </c>
      <c r="H40" s="4" t="s">
        <v>62</v>
      </c>
      <c r="I40" s="4" t="s">
        <v>62</v>
      </c>
      <c r="J40" s="4" t="s">
        <v>62</v>
      </c>
      <c r="K40" s="4" t="s">
        <v>62</v>
      </c>
      <c r="L40" s="4" t="s">
        <v>62</v>
      </c>
      <c r="M40" s="4" t="s">
        <v>62</v>
      </c>
      <c r="N40" s="4" t="s">
        <v>62</v>
      </c>
      <c r="O40" s="4" t="s">
        <v>62</v>
      </c>
      <c r="P40" s="4" t="s">
        <v>62</v>
      </c>
      <c r="Q40" s="4" t="s">
        <v>62</v>
      </c>
      <c r="R40" s="4" t="s">
        <v>62</v>
      </c>
      <c r="S40" s="4" t="s">
        <v>62</v>
      </c>
      <c r="T40" s="4" t="s">
        <v>62</v>
      </c>
      <c r="U40" s="4" t="s">
        <v>62</v>
      </c>
      <c r="V40" s="4" t="s">
        <v>62</v>
      </c>
      <c r="W40" s="4" t="s">
        <v>62</v>
      </c>
      <c r="X40" s="4" t="s">
        <v>62</v>
      </c>
      <c r="Y40" s="4" t="s">
        <v>62</v>
      </c>
      <c r="Z40" s="4" t="s">
        <v>62</v>
      </c>
      <c r="AA40" s="4" t="s">
        <v>62</v>
      </c>
      <c r="AB40" s="4" t="s">
        <v>62</v>
      </c>
      <c r="AC40" s="4" t="s">
        <v>62</v>
      </c>
      <c r="AD40" s="4" t="s">
        <v>62</v>
      </c>
      <c r="AE40" s="4" t="s">
        <v>62</v>
      </c>
      <c r="AF40" s="4" t="s">
        <v>62</v>
      </c>
      <c r="AG40" s="4" t="s">
        <v>62</v>
      </c>
      <c r="AH40" s="4" t="s">
        <v>62</v>
      </c>
    </row>
    <row r="41" spans="2:34">
      <c r="B41" s="148">
        <v>28</v>
      </c>
      <c r="C41" s="90" t="str">
        <f>LEFT(EmpGName28)&amp;" " &amp;EmpSName28</f>
        <v>2 Odd20</v>
      </c>
      <c r="D41" s="3" t="s">
        <v>62</v>
      </c>
      <c r="E41" s="3" t="s">
        <v>62</v>
      </c>
      <c r="F41" s="3" t="s">
        <v>62</v>
      </c>
      <c r="G41" s="3" t="s">
        <v>62</v>
      </c>
      <c r="H41" s="3" t="s">
        <v>62</v>
      </c>
      <c r="I41" s="3" t="s">
        <v>62</v>
      </c>
      <c r="J41" s="3" t="s">
        <v>62</v>
      </c>
      <c r="K41" s="3" t="s">
        <v>62</v>
      </c>
      <c r="L41" s="3" t="s">
        <v>62</v>
      </c>
      <c r="M41" s="3" t="s">
        <v>62</v>
      </c>
      <c r="N41" s="3" t="s">
        <v>62</v>
      </c>
      <c r="O41" s="3" t="s">
        <v>62</v>
      </c>
      <c r="P41" s="3" t="s">
        <v>62</v>
      </c>
      <c r="Q41" s="3" t="s">
        <v>62</v>
      </c>
      <c r="R41" s="3" t="s">
        <v>62</v>
      </c>
      <c r="S41" s="3" t="s">
        <v>62</v>
      </c>
      <c r="T41" s="3" t="s">
        <v>62</v>
      </c>
      <c r="U41" s="3" t="s">
        <v>62</v>
      </c>
      <c r="V41" s="3" t="s">
        <v>62</v>
      </c>
      <c r="W41" s="3" t="s">
        <v>62</v>
      </c>
      <c r="X41" s="3" t="s">
        <v>62</v>
      </c>
      <c r="Y41" s="3" t="s">
        <v>62</v>
      </c>
      <c r="Z41" s="3" t="s">
        <v>62</v>
      </c>
      <c r="AA41" s="3" t="s">
        <v>62</v>
      </c>
      <c r="AB41" s="3" t="s">
        <v>62</v>
      </c>
      <c r="AC41" s="3" t="s">
        <v>62</v>
      </c>
      <c r="AD41" s="3" t="s">
        <v>62</v>
      </c>
      <c r="AE41" s="3" t="s">
        <v>62</v>
      </c>
      <c r="AF41" s="3" t="s">
        <v>62</v>
      </c>
      <c r="AG41" s="3" t="s">
        <v>62</v>
      </c>
      <c r="AH41" s="3" t="s">
        <v>62</v>
      </c>
    </row>
    <row r="43" spans="2:34" s="6" customFormat="1">
      <c r="B43"/>
      <c r="C43" t="str">
        <f>CurYear-1&amp;":"</f>
        <v>2018:</v>
      </c>
      <c r="D43" s="5" t="str">
        <f t="shared" ref="D43:AH43" si="1">LEFT(TEXT(D44&amp;"-"&amp;$C44&amp;"-"&amp; CurYear-1,"ddd"),2)</f>
        <v>We</v>
      </c>
      <c r="E43" s="5" t="str">
        <f t="shared" si="1"/>
        <v>Th</v>
      </c>
      <c r="F43" s="5" t="str">
        <f t="shared" si="1"/>
        <v>Fr</v>
      </c>
      <c r="G43" s="5" t="str">
        <f t="shared" si="1"/>
        <v>Sa</v>
      </c>
      <c r="H43" s="5" t="str">
        <f t="shared" si="1"/>
        <v>Su</v>
      </c>
      <c r="I43" s="5" t="str">
        <f t="shared" si="1"/>
        <v>Mo</v>
      </c>
      <c r="J43" s="5" t="str">
        <f t="shared" si="1"/>
        <v>Tu</v>
      </c>
      <c r="K43" s="5" t="str">
        <f t="shared" si="1"/>
        <v>We</v>
      </c>
      <c r="L43" s="5" t="str">
        <f t="shared" si="1"/>
        <v>Th</v>
      </c>
      <c r="M43" s="5" t="str">
        <f t="shared" si="1"/>
        <v>Fr</v>
      </c>
      <c r="N43" s="5" t="str">
        <f t="shared" si="1"/>
        <v>Sa</v>
      </c>
      <c r="O43" s="5" t="str">
        <f t="shared" si="1"/>
        <v>Su</v>
      </c>
      <c r="P43" s="5" t="str">
        <f t="shared" si="1"/>
        <v>Mo</v>
      </c>
      <c r="Q43" s="5" t="str">
        <f t="shared" si="1"/>
        <v>Tu</v>
      </c>
      <c r="R43" s="5" t="str">
        <f t="shared" si="1"/>
        <v>We</v>
      </c>
      <c r="S43" s="5" t="str">
        <f t="shared" si="1"/>
        <v>Th</v>
      </c>
      <c r="T43" s="5" t="str">
        <f t="shared" si="1"/>
        <v>Fr</v>
      </c>
      <c r="U43" s="5" t="str">
        <f t="shared" si="1"/>
        <v>Sa</v>
      </c>
      <c r="V43" s="5" t="str">
        <f t="shared" si="1"/>
        <v>Su</v>
      </c>
      <c r="W43" s="5" t="str">
        <f t="shared" si="1"/>
        <v>Mo</v>
      </c>
      <c r="X43" s="5" t="str">
        <f t="shared" si="1"/>
        <v>Tu</v>
      </c>
      <c r="Y43" s="5" t="str">
        <f t="shared" si="1"/>
        <v>We</v>
      </c>
      <c r="Z43" s="5" t="str">
        <f t="shared" si="1"/>
        <v>Th</v>
      </c>
      <c r="AA43" s="5" t="str">
        <f t="shared" si="1"/>
        <v>Fr</v>
      </c>
      <c r="AB43" s="5" t="str">
        <f t="shared" si="1"/>
        <v>Sa</v>
      </c>
      <c r="AC43" s="5" t="str">
        <f t="shared" si="1"/>
        <v>Su</v>
      </c>
      <c r="AD43" s="5" t="str">
        <f t="shared" si="1"/>
        <v>Mo</v>
      </c>
      <c r="AE43" s="5" t="str">
        <f t="shared" si="1"/>
        <v>Tu</v>
      </c>
      <c r="AF43" s="5" t="str">
        <f t="shared" si="1"/>
        <v>We</v>
      </c>
      <c r="AG43" s="5" t="str">
        <f t="shared" si="1"/>
        <v>Th</v>
      </c>
      <c r="AH43" s="5" t="str">
        <f t="shared" si="1"/>
        <v>Fr</v>
      </c>
    </row>
    <row r="44" spans="2:34">
      <c r="B44" s="88"/>
      <c r="C44" s="84" t="s">
        <v>19</v>
      </c>
      <c r="D44" s="85">
        <v>1</v>
      </c>
      <c r="E44" s="85">
        <v>2</v>
      </c>
      <c r="F44" s="176">
        <v>3</v>
      </c>
      <c r="G44" s="85">
        <v>4</v>
      </c>
      <c r="H44" s="85">
        <v>5</v>
      </c>
      <c r="I44" s="85">
        <v>6</v>
      </c>
      <c r="J44" s="85">
        <v>7</v>
      </c>
      <c r="K44" s="85">
        <v>8</v>
      </c>
      <c r="L44" s="85">
        <v>9</v>
      </c>
      <c r="M44" s="85">
        <v>10</v>
      </c>
      <c r="N44" s="85">
        <v>11</v>
      </c>
      <c r="O44" s="85">
        <v>12</v>
      </c>
      <c r="P44" s="85">
        <v>13</v>
      </c>
      <c r="Q44" s="85">
        <v>14</v>
      </c>
      <c r="R44" s="85">
        <v>15</v>
      </c>
      <c r="S44" s="85">
        <v>16</v>
      </c>
      <c r="T44" s="176">
        <v>17</v>
      </c>
      <c r="U44" s="85">
        <v>18</v>
      </c>
      <c r="V44" s="85">
        <v>19</v>
      </c>
      <c r="W44" s="85">
        <v>20</v>
      </c>
      <c r="X44" s="85">
        <v>21</v>
      </c>
      <c r="Y44" s="85">
        <v>22</v>
      </c>
      <c r="Z44" s="85">
        <v>23</v>
      </c>
      <c r="AA44" s="85">
        <v>24</v>
      </c>
      <c r="AB44" s="85">
        <v>25</v>
      </c>
      <c r="AC44" s="85">
        <v>26</v>
      </c>
      <c r="AD44" s="85">
        <v>27</v>
      </c>
      <c r="AE44" s="85">
        <v>28</v>
      </c>
      <c r="AF44" s="85">
        <v>29</v>
      </c>
      <c r="AG44" s="85">
        <v>30</v>
      </c>
      <c r="AH44" s="176">
        <v>31</v>
      </c>
    </row>
    <row r="45" spans="2:34">
      <c r="B45" s="85">
        <v>1</v>
      </c>
      <c r="C45" s="89" t="str">
        <f>LEFT(EmpGName01)&amp;" " &amp; EmpSName01</f>
        <v>L Marampon</v>
      </c>
      <c r="D45" s="4" t="s">
        <v>62</v>
      </c>
      <c r="E45" s="4" t="s">
        <v>62</v>
      </c>
      <c r="F45" s="4" t="s">
        <v>62</v>
      </c>
      <c r="G45" s="4" t="s">
        <v>62</v>
      </c>
      <c r="H45" s="4" t="s">
        <v>62</v>
      </c>
      <c r="I45" s="4" t="s">
        <v>62</v>
      </c>
      <c r="J45" s="4" t="s">
        <v>62</v>
      </c>
      <c r="K45" s="4" t="s">
        <v>62</v>
      </c>
      <c r="L45" s="4" t="s">
        <v>62</v>
      </c>
      <c r="M45" s="4" t="s">
        <v>62</v>
      </c>
      <c r="N45" s="4" t="s">
        <v>62</v>
      </c>
      <c r="O45" s="4" t="s">
        <v>62</v>
      </c>
      <c r="P45" s="4" t="s">
        <v>62</v>
      </c>
      <c r="Q45" s="4" t="s">
        <v>62</v>
      </c>
      <c r="R45" s="4" t="s">
        <v>62</v>
      </c>
      <c r="S45" s="4" t="s">
        <v>62</v>
      </c>
      <c r="T45" s="4" t="s">
        <v>62</v>
      </c>
      <c r="U45" s="4" t="s">
        <v>62</v>
      </c>
      <c r="V45" s="4" t="s">
        <v>62</v>
      </c>
      <c r="W45" s="4" t="s">
        <v>62</v>
      </c>
      <c r="X45" s="4" t="s">
        <v>62</v>
      </c>
      <c r="Y45" s="4" t="s">
        <v>62</v>
      </c>
      <c r="Z45" s="4" t="s">
        <v>62</v>
      </c>
      <c r="AA45" s="4" t="s">
        <v>62</v>
      </c>
      <c r="AB45" s="4" t="s">
        <v>62</v>
      </c>
      <c r="AC45" s="4" t="s">
        <v>62</v>
      </c>
      <c r="AD45" s="4" t="s">
        <v>62</v>
      </c>
      <c r="AE45" s="4" t="s">
        <v>62</v>
      </c>
      <c r="AF45" s="4" t="s">
        <v>62</v>
      </c>
      <c r="AG45" s="4" t="s">
        <v>62</v>
      </c>
      <c r="AH45" s="4" t="s">
        <v>62</v>
      </c>
    </row>
    <row r="46" spans="2:34">
      <c r="B46" s="85">
        <v>2</v>
      </c>
      <c r="C46" s="90" t="str">
        <f>LEFT(EmpGName02)&amp;" " &amp;EmpSName02</f>
        <v>K Stone</v>
      </c>
      <c r="D46" s="3" t="s">
        <v>62</v>
      </c>
      <c r="E46" s="3" t="s">
        <v>62</v>
      </c>
      <c r="F46" s="3" t="s">
        <v>62</v>
      </c>
      <c r="G46" s="3" t="s">
        <v>62</v>
      </c>
      <c r="H46" s="3" t="s">
        <v>62</v>
      </c>
      <c r="I46" s="3" t="s">
        <v>62</v>
      </c>
      <c r="J46" s="3" t="s">
        <v>62</v>
      </c>
      <c r="K46" s="3" t="s">
        <v>62</v>
      </c>
      <c r="L46" s="3" t="s">
        <v>62</v>
      </c>
      <c r="M46" s="3" t="s">
        <v>62</v>
      </c>
      <c r="N46" s="3" t="s">
        <v>62</v>
      </c>
      <c r="O46" s="3" t="s">
        <v>62</v>
      </c>
      <c r="P46" s="3" t="s">
        <v>62</v>
      </c>
      <c r="Q46" s="3" t="s">
        <v>62</v>
      </c>
      <c r="R46" s="3" t="s">
        <v>62</v>
      </c>
      <c r="S46" s="3" t="s">
        <v>62</v>
      </c>
      <c r="T46" s="3" t="s">
        <v>62</v>
      </c>
      <c r="U46" s="3" t="s">
        <v>62</v>
      </c>
      <c r="V46" s="3" t="s">
        <v>62</v>
      </c>
      <c r="W46" s="3" t="s">
        <v>62</v>
      </c>
      <c r="X46" s="3" t="s">
        <v>62</v>
      </c>
      <c r="Y46" s="3" t="s">
        <v>62</v>
      </c>
      <c r="Z46" s="3" t="s">
        <v>62</v>
      </c>
      <c r="AA46" s="3" t="s">
        <v>62</v>
      </c>
      <c r="AB46" s="3" t="s">
        <v>62</v>
      </c>
      <c r="AC46" s="3" t="s">
        <v>62</v>
      </c>
      <c r="AD46" s="3" t="s">
        <v>62</v>
      </c>
      <c r="AE46" s="3" t="s">
        <v>62</v>
      </c>
      <c r="AF46" s="3" t="s">
        <v>62</v>
      </c>
      <c r="AG46" s="3" t="s">
        <v>62</v>
      </c>
      <c r="AH46" s="3" t="s">
        <v>62</v>
      </c>
    </row>
    <row r="47" spans="2:34">
      <c r="B47" s="85">
        <v>3</v>
      </c>
      <c r="C47" s="89" t="str">
        <f>LEFT(EmpGName03)&amp;" " &amp;EmpSName03</f>
        <v>I Thelning</v>
      </c>
      <c r="D47" s="4" t="s">
        <v>62</v>
      </c>
      <c r="E47" s="4" t="s">
        <v>62</v>
      </c>
      <c r="F47" s="4" t="s">
        <v>62</v>
      </c>
      <c r="G47" s="4" t="s">
        <v>62</v>
      </c>
      <c r="H47" s="4" t="s">
        <v>62</v>
      </c>
      <c r="I47" s="4" t="s">
        <v>62</v>
      </c>
      <c r="J47" s="4" t="s">
        <v>62</v>
      </c>
      <c r="K47" s="4" t="s">
        <v>62</v>
      </c>
      <c r="L47" s="4" t="s">
        <v>62</v>
      </c>
      <c r="M47" s="4" t="s">
        <v>62</v>
      </c>
      <c r="N47" s="4" t="s">
        <v>62</v>
      </c>
      <c r="O47" s="4" t="s">
        <v>62</v>
      </c>
      <c r="P47" s="4" t="s">
        <v>62</v>
      </c>
      <c r="Q47" s="4" t="s">
        <v>62</v>
      </c>
      <c r="R47" s="4" t="s">
        <v>62</v>
      </c>
      <c r="S47" s="4" t="s">
        <v>62</v>
      </c>
      <c r="T47" s="4" t="s">
        <v>62</v>
      </c>
      <c r="U47" s="4" t="s">
        <v>62</v>
      </c>
      <c r="V47" s="4" t="s">
        <v>62</v>
      </c>
      <c r="W47" s="4" t="s">
        <v>62</v>
      </c>
      <c r="X47" s="4" t="s">
        <v>62</v>
      </c>
      <c r="Y47" s="4" t="s">
        <v>62</v>
      </c>
      <c r="Z47" s="4" t="s">
        <v>62</v>
      </c>
      <c r="AA47" s="4" t="s">
        <v>62</v>
      </c>
      <c r="AB47" s="4" t="s">
        <v>62</v>
      </c>
      <c r="AC47" s="4" t="s">
        <v>62</v>
      </c>
      <c r="AD47" s="4" t="s">
        <v>62</v>
      </c>
      <c r="AE47" s="4" t="s">
        <v>62</v>
      </c>
      <c r="AF47" s="4" t="s">
        <v>62</v>
      </c>
      <c r="AG47" s="4" t="s">
        <v>62</v>
      </c>
      <c r="AH47" s="4" t="s">
        <v>62</v>
      </c>
    </row>
    <row r="48" spans="2:34">
      <c r="B48" s="85">
        <v>4</v>
      </c>
      <c r="C48" s="90" t="str">
        <f>LEFT(EmpGName04)&amp;" " &amp;EmpSName04</f>
        <v>L King</v>
      </c>
      <c r="D48" s="3" t="s">
        <v>62</v>
      </c>
      <c r="E48" s="3" t="s">
        <v>62</v>
      </c>
      <c r="F48" s="3" t="s">
        <v>62</v>
      </c>
      <c r="G48" s="3" t="s">
        <v>62</v>
      </c>
      <c r="H48" s="3" t="s">
        <v>62</v>
      </c>
      <c r="I48" s="3" t="s">
        <v>62</v>
      </c>
      <c r="J48" s="3" t="s">
        <v>62</v>
      </c>
      <c r="K48" s="3" t="s">
        <v>62</v>
      </c>
      <c r="L48" s="3" t="s">
        <v>62</v>
      </c>
      <c r="M48" s="3" t="s">
        <v>62</v>
      </c>
      <c r="N48" s="3" t="s">
        <v>62</v>
      </c>
      <c r="O48" s="3" t="s">
        <v>62</v>
      </c>
      <c r="P48" s="3" t="s">
        <v>62</v>
      </c>
      <c r="Q48" s="3" t="s">
        <v>62</v>
      </c>
      <c r="R48" s="3" t="s">
        <v>62</v>
      </c>
      <c r="S48" s="3" t="s">
        <v>62</v>
      </c>
      <c r="T48" s="3" t="s">
        <v>62</v>
      </c>
      <c r="U48" s="3" t="s">
        <v>62</v>
      </c>
      <c r="V48" s="3" t="s">
        <v>62</v>
      </c>
      <c r="W48" s="3" t="s">
        <v>62</v>
      </c>
      <c r="X48" s="3" t="s">
        <v>62</v>
      </c>
      <c r="Y48" s="3" t="s">
        <v>62</v>
      </c>
      <c r="Z48" s="3" t="s">
        <v>62</v>
      </c>
      <c r="AA48" s="3" t="s">
        <v>62</v>
      </c>
      <c r="AB48" s="3" t="s">
        <v>62</v>
      </c>
      <c r="AC48" s="3" t="s">
        <v>62</v>
      </c>
      <c r="AD48" s="3" t="s">
        <v>62</v>
      </c>
      <c r="AE48" s="3" t="s">
        <v>62</v>
      </c>
      <c r="AF48" s="3" t="s">
        <v>62</v>
      </c>
      <c r="AG48" s="3" t="s">
        <v>62</v>
      </c>
      <c r="AH48" s="3" t="s">
        <v>62</v>
      </c>
    </row>
    <row r="49" spans="2:34">
      <c r="B49" s="85">
        <v>5</v>
      </c>
      <c r="C49" s="89" t="str">
        <f>LEFT(EmpGName05)&amp;" " &amp;EmpSName05</f>
        <v>D Castle</v>
      </c>
      <c r="D49" s="4" t="s">
        <v>62</v>
      </c>
      <c r="E49" s="4" t="s">
        <v>62</v>
      </c>
      <c r="F49" s="4" t="s">
        <v>62</v>
      </c>
      <c r="G49" s="4" t="s">
        <v>62</v>
      </c>
      <c r="H49" s="4" t="s">
        <v>62</v>
      </c>
      <c r="I49" s="4" t="s">
        <v>62</v>
      </c>
      <c r="J49" s="4" t="s">
        <v>62</v>
      </c>
      <c r="K49" s="4" t="s">
        <v>62</v>
      </c>
      <c r="L49" s="4" t="s">
        <v>62</v>
      </c>
      <c r="M49" s="4" t="s">
        <v>62</v>
      </c>
      <c r="N49" s="4" t="s">
        <v>62</v>
      </c>
      <c r="O49" s="4" t="s">
        <v>62</v>
      </c>
      <c r="P49" s="4" t="s">
        <v>62</v>
      </c>
      <c r="Q49" s="4" t="s">
        <v>62</v>
      </c>
      <c r="R49" s="4" t="s">
        <v>62</v>
      </c>
      <c r="S49" s="4" t="s">
        <v>62</v>
      </c>
      <c r="T49" s="4" t="s">
        <v>62</v>
      </c>
      <c r="U49" s="4" t="s">
        <v>62</v>
      </c>
      <c r="V49" s="4" t="s">
        <v>62</v>
      </c>
      <c r="W49" s="4" t="s">
        <v>62</v>
      </c>
      <c r="X49" s="4" t="s">
        <v>62</v>
      </c>
      <c r="Y49" s="4" t="s">
        <v>62</v>
      </c>
      <c r="Z49" s="4" t="s">
        <v>62</v>
      </c>
      <c r="AA49" s="4" t="s">
        <v>62</v>
      </c>
      <c r="AB49" s="4" t="s">
        <v>62</v>
      </c>
      <c r="AC49" s="4" t="s">
        <v>62</v>
      </c>
      <c r="AD49" s="4" t="s">
        <v>62</v>
      </c>
      <c r="AE49" s="4" t="s">
        <v>62</v>
      </c>
      <c r="AF49" s="4" t="s">
        <v>62</v>
      </c>
      <c r="AG49" s="4" t="s">
        <v>62</v>
      </c>
      <c r="AH49" s="4" t="s">
        <v>62</v>
      </c>
    </row>
    <row r="50" spans="2:34">
      <c r="B50" s="85">
        <v>6</v>
      </c>
      <c r="C50" s="90" t="str">
        <f>LEFT(EmpGName06)&amp;" " &amp;EmpSName06</f>
        <v>R Fielding</v>
      </c>
      <c r="D50" s="3" t="s">
        <v>62</v>
      </c>
      <c r="E50" s="3" t="s">
        <v>62</v>
      </c>
      <c r="F50" s="3" t="s">
        <v>62</v>
      </c>
      <c r="G50" s="3" t="s">
        <v>62</v>
      </c>
      <c r="H50" s="3" t="s">
        <v>62</v>
      </c>
      <c r="I50" s="3" t="s">
        <v>62</v>
      </c>
      <c r="J50" s="3" t="s">
        <v>62</v>
      </c>
      <c r="K50" s="3" t="s">
        <v>62</v>
      </c>
      <c r="L50" s="3" t="s">
        <v>62</v>
      </c>
      <c r="M50" s="3" t="s">
        <v>62</v>
      </c>
      <c r="N50" s="3" t="s">
        <v>62</v>
      </c>
      <c r="O50" s="3" t="s">
        <v>62</v>
      </c>
      <c r="P50" s="3" t="s">
        <v>62</v>
      </c>
      <c r="Q50" s="3" t="s">
        <v>62</v>
      </c>
      <c r="R50" s="3" t="s">
        <v>62</v>
      </c>
      <c r="S50" s="3" t="s">
        <v>62</v>
      </c>
      <c r="T50" s="3" t="s">
        <v>62</v>
      </c>
      <c r="U50" s="3" t="s">
        <v>62</v>
      </c>
      <c r="V50" s="3" t="s">
        <v>62</v>
      </c>
      <c r="W50" s="3" t="s">
        <v>62</v>
      </c>
      <c r="X50" s="3" t="s">
        <v>62</v>
      </c>
      <c r="Y50" s="3" t="s">
        <v>62</v>
      </c>
      <c r="Z50" s="3" t="s">
        <v>62</v>
      </c>
      <c r="AA50" s="3" t="s">
        <v>62</v>
      </c>
      <c r="AB50" s="3" t="s">
        <v>62</v>
      </c>
      <c r="AC50" s="3" t="s">
        <v>62</v>
      </c>
      <c r="AD50" s="3" t="s">
        <v>62</v>
      </c>
      <c r="AE50" s="3" t="s">
        <v>62</v>
      </c>
      <c r="AF50" s="3" t="s">
        <v>62</v>
      </c>
      <c r="AG50" s="3" t="s">
        <v>62</v>
      </c>
      <c r="AH50" s="3" t="s">
        <v>62</v>
      </c>
    </row>
    <row r="51" spans="2:34">
      <c r="B51" s="85">
        <v>7</v>
      </c>
      <c r="C51" s="89" t="str">
        <f>LEFT(EmpGName07)&amp;" " &amp;EmpSName07</f>
        <v>T Sorensen</v>
      </c>
      <c r="D51" s="4" t="s">
        <v>62</v>
      </c>
      <c r="E51" s="4" t="s">
        <v>62</v>
      </c>
      <c r="F51" s="4" t="s">
        <v>62</v>
      </c>
      <c r="G51" s="4" t="s">
        <v>62</v>
      </c>
      <c r="H51" s="4" t="s">
        <v>62</v>
      </c>
      <c r="I51" s="4" t="s">
        <v>62</v>
      </c>
      <c r="J51" s="4" t="s">
        <v>62</v>
      </c>
      <c r="K51" s="4" t="s">
        <v>62</v>
      </c>
      <c r="L51" s="4" t="s">
        <v>62</v>
      </c>
      <c r="M51" s="4" t="s">
        <v>62</v>
      </c>
      <c r="N51" s="4" t="s">
        <v>62</v>
      </c>
      <c r="O51" s="4" t="s">
        <v>62</v>
      </c>
      <c r="P51" s="4" t="s">
        <v>62</v>
      </c>
      <c r="Q51" s="4" t="s">
        <v>62</v>
      </c>
      <c r="R51" s="4" t="s">
        <v>62</v>
      </c>
      <c r="S51" s="4" t="s">
        <v>62</v>
      </c>
      <c r="T51" s="4" t="s">
        <v>62</v>
      </c>
      <c r="U51" s="4" t="s">
        <v>62</v>
      </c>
      <c r="V51" s="4" t="s">
        <v>62</v>
      </c>
      <c r="W51" s="4" t="s">
        <v>62</v>
      </c>
      <c r="X51" s="4" t="s">
        <v>62</v>
      </c>
      <c r="Y51" s="4" t="s">
        <v>62</v>
      </c>
      <c r="Z51" s="4" t="s">
        <v>62</v>
      </c>
      <c r="AA51" s="4" t="s">
        <v>62</v>
      </c>
      <c r="AB51" s="4" t="s">
        <v>62</v>
      </c>
      <c r="AC51" s="4" t="s">
        <v>62</v>
      </c>
      <c r="AD51" s="4" t="s">
        <v>62</v>
      </c>
      <c r="AE51" s="4" t="s">
        <v>62</v>
      </c>
      <c r="AF51" s="4" t="s">
        <v>62</v>
      </c>
      <c r="AG51" s="4" t="s">
        <v>62</v>
      </c>
      <c r="AH51" s="4" t="s">
        <v>62</v>
      </c>
    </row>
    <row r="52" spans="2:34">
      <c r="B52" s="85">
        <v>8</v>
      </c>
      <c r="C52" s="90" t="str">
        <f>LEFT(EmpGName08)&amp;" " &amp;EmpSName08</f>
        <v xml:space="preserve">B Odd </v>
      </c>
      <c r="D52" s="3" t="s">
        <v>62</v>
      </c>
      <c r="E52" s="3" t="s">
        <v>62</v>
      </c>
      <c r="F52" s="3" t="s">
        <v>62</v>
      </c>
      <c r="G52" s="3" t="s">
        <v>62</v>
      </c>
      <c r="H52" s="3" t="s">
        <v>62</v>
      </c>
      <c r="I52" s="3" t="s">
        <v>62</v>
      </c>
      <c r="J52" s="3" t="s">
        <v>62</v>
      </c>
      <c r="K52" s="3" t="s">
        <v>62</v>
      </c>
      <c r="L52" s="3" t="s">
        <v>62</v>
      </c>
      <c r="M52" s="3" t="s">
        <v>62</v>
      </c>
      <c r="N52" s="3" t="s">
        <v>62</v>
      </c>
      <c r="O52" s="3" t="s">
        <v>62</v>
      </c>
      <c r="P52" s="3" t="s">
        <v>62</v>
      </c>
      <c r="Q52" s="3" t="s">
        <v>62</v>
      </c>
      <c r="R52" s="3" t="s">
        <v>62</v>
      </c>
      <c r="S52" s="3" t="s">
        <v>62</v>
      </c>
      <c r="T52" s="3" t="s">
        <v>62</v>
      </c>
      <c r="U52" s="3" t="s">
        <v>62</v>
      </c>
      <c r="V52" s="3" t="s">
        <v>62</v>
      </c>
      <c r="W52" s="3" t="s">
        <v>62</v>
      </c>
      <c r="X52" s="3" t="s">
        <v>62</v>
      </c>
      <c r="Y52" s="3" t="s">
        <v>62</v>
      </c>
      <c r="Z52" s="3" t="s">
        <v>62</v>
      </c>
      <c r="AA52" s="3" t="s">
        <v>62</v>
      </c>
      <c r="AB52" s="3" t="s">
        <v>62</v>
      </c>
      <c r="AC52" s="3" t="s">
        <v>62</v>
      </c>
      <c r="AD52" s="3" t="s">
        <v>62</v>
      </c>
      <c r="AE52" s="3" t="s">
        <v>62</v>
      </c>
      <c r="AF52" s="3" t="s">
        <v>62</v>
      </c>
      <c r="AG52" s="3" t="s">
        <v>62</v>
      </c>
      <c r="AH52" s="3" t="s">
        <v>62</v>
      </c>
    </row>
    <row r="53" spans="2:34">
      <c r="B53" s="85">
        <v>9</v>
      </c>
      <c r="C53" s="89" t="str">
        <f>LEFT(EmpGName09)&amp;" " &amp;EmpSName09</f>
        <v>1 Odd1</v>
      </c>
      <c r="D53" s="4" t="s">
        <v>62</v>
      </c>
      <c r="E53" s="4" t="s">
        <v>62</v>
      </c>
      <c r="F53" s="4" t="s">
        <v>62</v>
      </c>
      <c r="G53" s="4" t="s">
        <v>62</v>
      </c>
      <c r="H53" s="4" t="s">
        <v>62</v>
      </c>
      <c r="I53" s="4" t="s">
        <v>62</v>
      </c>
      <c r="J53" s="4" t="s">
        <v>62</v>
      </c>
      <c r="K53" s="4" t="s">
        <v>62</v>
      </c>
      <c r="L53" s="4" t="s">
        <v>62</v>
      </c>
      <c r="M53" s="4" t="s">
        <v>62</v>
      </c>
      <c r="N53" s="4" t="s">
        <v>62</v>
      </c>
      <c r="O53" s="4" t="s">
        <v>62</v>
      </c>
      <c r="P53" s="4" t="s">
        <v>62</v>
      </c>
      <c r="Q53" s="4" t="s">
        <v>62</v>
      </c>
      <c r="R53" s="4" t="s">
        <v>62</v>
      </c>
      <c r="S53" s="4" t="s">
        <v>62</v>
      </c>
      <c r="T53" s="4" t="s">
        <v>62</v>
      </c>
      <c r="U53" s="4" t="s">
        <v>62</v>
      </c>
      <c r="V53" s="4" t="s">
        <v>62</v>
      </c>
      <c r="W53" s="4" t="s">
        <v>62</v>
      </c>
      <c r="X53" s="4" t="s">
        <v>62</v>
      </c>
      <c r="Y53" s="4" t="s">
        <v>62</v>
      </c>
      <c r="Z53" s="4" t="s">
        <v>62</v>
      </c>
      <c r="AA53" s="4" t="s">
        <v>62</v>
      </c>
      <c r="AB53" s="4" t="s">
        <v>62</v>
      </c>
      <c r="AC53" s="4" t="s">
        <v>62</v>
      </c>
      <c r="AD53" s="4" t="s">
        <v>62</v>
      </c>
      <c r="AE53" s="4" t="s">
        <v>62</v>
      </c>
      <c r="AF53" s="4" t="s">
        <v>62</v>
      </c>
      <c r="AG53" s="4" t="s">
        <v>62</v>
      </c>
      <c r="AH53" s="4" t="s">
        <v>62</v>
      </c>
    </row>
    <row r="54" spans="2:34">
      <c r="B54" s="148">
        <v>10</v>
      </c>
      <c r="C54" s="90" t="str">
        <f>LEFT(EmpGName10)&amp;" " &amp;EmpSName10</f>
        <v>2 Odd2</v>
      </c>
      <c r="D54" s="3" t="s">
        <v>62</v>
      </c>
      <c r="E54" s="3" t="s">
        <v>62</v>
      </c>
      <c r="F54" s="3" t="s">
        <v>62</v>
      </c>
      <c r="G54" s="3" t="s">
        <v>62</v>
      </c>
      <c r="H54" s="3" t="s">
        <v>62</v>
      </c>
      <c r="I54" s="3" t="s">
        <v>62</v>
      </c>
      <c r="J54" s="3" t="s">
        <v>62</v>
      </c>
      <c r="K54" s="3" t="s">
        <v>62</v>
      </c>
      <c r="L54" s="3" t="s">
        <v>62</v>
      </c>
      <c r="M54" s="3" t="s">
        <v>62</v>
      </c>
      <c r="N54" s="3" t="s">
        <v>62</v>
      </c>
      <c r="O54" s="3" t="s">
        <v>62</v>
      </c>
      <c r="P54" s="3" t="s">
        <v>62</v>
      </c>
      <c r="Q54" s="3" t="s">
        <v>62</v>
      </c>
      <c r="R54" s="3" t="s">
        <v>62</v>
      </c>
      <c r="S54" s="3" t="s">
        <v>62</v>
      </c>
      <c r="T54" s="3" t="s">
        <v>62</v>
      </c>
      <c r="U54" s="3" t="s">
        <v>62</v>
      </c>
      <c r="V54" s="3" t="s">
        <v>62</v>
      </c>
      <c r="W54" s="3" t="s">
        <v>62</v>
      </c>
      <c r="X54" s="3" t="s">
        <v>62</v>
      </c>
      <c r="Y54" s="3" t="s">
        <v>62</v>
      </c>
      <c r="Z54" s="3" t="s">
        <v>62</v>
      </c>
      <c r="AA54" s="3" t="s">
        <v>62</v>
      </c>
      <c r="AB54" s="3" t="s">
        <v>62</v>
      </c>
      <c r="AC54" s="3" t="s">
        <v>62</v>
      </c>
      <c r="AD54" s="3" t="s">
        <v>62</v>
      </c>
      <c r="AE54" s="3" t="s">
        <v>62</v>
      </c>
      <c r="AF54" s="3" t="s">
        <v>62</v>
      </c>
      <c r="AG54" s="3" t="s">
        <v>62</v>
      </c>
      <c r="AH54" s="3" t="s">
        <v>62</v>
      </c>
    </row>
    <row r="55" spans="2:34">
      <c r="B55" s="148">
        <v>11</v>
      </c>
      <c r="C55" s="89" t="str">
        <f>LEFT(EmpGName11)&amp;" " &amp;EmpSName11</f>
        <v>2 Odd3</v>
      </c>
      <c r="D55" s="4" t="s">
        <v>62</v>
      </c>
      <c r="E55" s="4" t="s">
        <v>62</v>
      </c>
      <c r="F55" s="4" t="s">
        <v>62</v>
      </c>
      <c r="G55" s="4" t="s">
        <v>62</v>
      </c>
      <c r="H55" s="4" t="s">
        <v>62</v>
      </c>
      <c r="I55" s="4" t="s">
        <v>62</v>
      </c>
      <c r="J55" s="4" t="s">
        <v>62</v>
      </c>
      <c r="K55" s="4" t="s">
        <v>62</v>
      </c>
      <c r="L55" s="4" t="s">
        <v>62</v>
      </c>
      <c r="M55" s="4" t="s">
        <v>62</v>
      </c>
      <c r="N55" s="4" t="s">
        <v>62</v>
      </c>
      <c r="O55" s="4" t="s">
        <v>62</v>
      </c>
      <c r="P55" s="4" t="s">
        <v>62</v>
      </c>
      <c r="Q55" s="4" t="s">
        <v>62</v>
      </c>
      <c r="R55" s="4" t="s">
        <v>62</v>
      </c>
      <c r="S55" s="4" t="s">
        <v>62</v>
      </c>
      <c r="T55" s="4" t="s">
        <v>62</v>
      </c>
      <c r="U55" s="4" t="s">
        <v>62</v>
      </c>
      <c r="V55" s="4" t="s">
        <v>62</v>
      </c>
      <c r="W55" s="4" t="s">
        <v>62</v>
      </c>
      <c r="X55" s="4" t="s">
        <v>62</v>
      </c>
      <c r="Y55" s="4" t="s">
        <v>62</v>
      </c>
      <c r="Z55" s="4" t="s">
        <v>62</v>
      </c>
      <c r="AA55" s="4" t="s">
        <v>62</v>
      </c>
      <c r="AB55" s="4" t="s">
        <v>62</v>
      </c>
      <c r="AC55" s="4" t="s">
        <v>62</v>
      </c>
      <c r="AD55" s="4" t="s">
        <v>62</v>
      </c>
      <c r="AE55" s="4" t="s">
        <v>62</v>
      </c>
      <c r="AF55" s="4" t="s">
        <v>62</v>
      </c>
      <c r="AG55" s="4" t="s">
        <v>62</v>
      </c>
      <c r="AH55" s="4" t="s">
        <v>62</v>
      </c>
    </row>
    <row r="56" spans="2:34">
      <c r="B56" s="148">
        <v>12</v>
      </c>
      <c r="C56" s="90" t="str">
        <f>LEFT(EmpGName12)&amp;" " &amp;EmpSName12</f>
        <v>4 Odd4</v>
      </c>
      <c r="D56" s="3" t="s">
        <v>62</v>
      </c>
      <c r="E56" s="3" t="s">
        <v>62</v>
      </c>
      <c r="F56" s="3" t="s">
        <v>62</v>
      </c>
      <c r="G56" s="3" t="s">
        <v>62</v>
      </c>
      <c r="H56" s="3" t="s">
        <v>62</v>
      </c>
      <c r="I56" s="3" t="s">
        <v>62</v>
      </c>
      <c r="J56" s="3" t="s">
        <v>62</v>
      </c>
      <c r="K56" s="3" t="s">
        <v>62</v>
      </c>
      <c r="L56" s="3" t="s">
        <v>62</v>
      </c>
      <c r="M56" s="3" t="s">
        <v>62</v>
      </c>
      <c r="N56" s="3" t="s">
        <v>62</v>
      </c>
      <c r="O56" s="3" t="s">
        <v>62</v>
      </c>
      <c r="P56" s="3" t="s">
        <v>62</v>
      </c>
      <c r="Q56" s="3" t="s">
        <v>62</v>
      </c>
      <c r="R56" s="3" t="s">
        <v>62</v>
      </c>
      <c r="S56" s="3" t="s">
        <v>62</v>
      </c>
      <c r="T56" s="3" t="s">
        <v>62</v>
      </c>
      <c r="U56" s="3" t="s">
        <v>62</v>
      </c>
      <c r="V56" s="3" t="s">
        <v>62</v>
      </c>
      <c r="W56" s="3" t="s">
        <v>62</v>
      </c>
      <c r="X56" s="3" t="s">
        <v>62</v>
      </c>
      <c r="Y56" s="3" t="s">
        <v>62</v>
      </c>
      <c r="Z56" s="3" t="s">
        <v>62</v>
      </c>
      <c r="AA56" s="3" t="s">
        <v>62</v>
      </c>
      <c r="AB56" s="3" t="s">
        <v>62</v>
      </c>
      <c r="AC56" s="3" t="s">
        <v>62</v>
      </c>
      <c r="AD56" s="3" t="s">
        <v>62</v>
      </c>
      <c r="AE56" s="3" t="s">
        <v>62</v>
      </c>
      <c r="AF56" s="3" t="s">
        <v>62</v>
      </c>
      <c r="AG56" s="3" t="s">
        <v>62</v>
      </c>
      <c r="AH56" s="3" t="s">
        <v>62</v>
      </c>
    </row>
    <row r="58" spans="2:34" s="9" customFormat="1">
      <c r="B58"/>
      <c r="C58" t="str">
        <f>CurYear-1&amp;":"</f>
        <v>2018:</v>
      </c>
      <c r="D58" s="5" t="str">
        <f t="shared" ref="D58:AG58" si="2">LEFT(TEXT(D59&amp;"-"&amp;$C59&amp;"-"&amp; CurYear-1,"ddd"),2)</f>
        <v>Sa</v>
      </c>
      <c r="E58" s="5" t="str">
        <f t="shared" si="2"/>
        <v>Su</v>
      </c>
      <c r="F58" s="5" t="str">
        <f t="shared" si="2"/>
        <v>Mo</v>
      </c>
      <c r="G58" s="5" t="str">
        <f t="shared" si="2"/>
        <v>Tu</v>
      </c>
      <c r="H58" s="5" t="str">
        <f t="shared" si="2"/>
        <v>We</v>
      </c>
      <c r="I58" s="5" t="str">
        <f t="shared" si="2"/>
        <v>Th</v>
      </c>
      <c r="J58" s="5" t="str">
        <f t="shared" si="2"/>
        <v>Fr</v>
      </c>
      <c r="K58" s="5" t="str">
        <f t="shared" si="2"/>
        <v>Sa</v>
      </c>
      <c r="L58" s="5" t="str">
        <f t="shared" si="2"/>
        <v>Su</v>
      </c>
      <c r="M58" s="5" t="str">
        <f t="shared" si="2"/>
        <v>Mo</v>
      </c>
      <c r="N58" s="5" t="str">
        <f t="shared" si="2"/>
        <v>Tu</v>
      </c>
      <c r="O58" s="5" t="str">
        <f t="shared" si="2"/>
        <v>We</v>
      </c>
      <c r="P58" s="5" t="str">
        <f t="shared" si="2"/>
        <v>Th</v>
      </c>
      <c r="Q58" s="5" t="str">
        <f t="shared" si="2"/>
        <v>Fr</v>
      </c>
      <c r="R58" s="5" t="str">
        <f t="shared" si="2"/>
        <v>Sa</v>
      </c>
      <c r="S58" s="5" t="str">
        <f t="shared" si="2"/>
        <v>Su</v>
      </c>
      <c r="T58" s="5" t="str">
        <f t="shared" si="2"/>
        <v>Mo</v>
      </c>
      <c r="U58" s="5" t="str">
        <f t="shared" si="2"/>
        <v>Tu</v>
      </c>
      <c r="V58" s="5" t="str">
        <f t="shared" si="2"/>
        <v>We</v>
      </c>
      <c r="W58" s="5" t="str">
        <f t="shared" si="2"/>
        <v>Th</v>
      </c>
      <c r="X58" s="5" t="str">
        <f t="shared" si="2"/>
        <v>Fr</v>
      </c>
      <c r="Y58" s="5" t="str">
        <f t="shared" si="2"/>
        <v>Sa</v>
      </c>
      <c r="Z58" s="5" t="str">
        <f t="shared" si="2"/>
        <v>Su</v>
      </c>
      <c r="AA58" s="5" t="str">
        <f t="shared" si="2"/>
        <v>Mo</v>
      </c>
      <c r="AB58" s="5" t="str">
        <f t="shared" si="2"/>
        <v>Tu</v>
      </c>
      <c r="AC58" s="5" t="str">
        <f t="shared" si="2"/>
        <v>We</v>
      </c>
      <c r="AD58" s="5" t="str">
        <f t="shared" si="2"/>
        <v>Th</v>
      </c>
      <c r="AE58" s="5" t="str">
        <f t="shared" si="2"/>
        <v>Fr</v>
      </c>
      <c r="AF58" s="5" t="str">
        <f t="shared" si="2"/>
        <v>Sa</v>
      </c>
      <c r="AG58" s="5" t="str">
        <f t="shared" si="2"/>
        <v>Su</v>
      </c>
      <c r="AH58" s="5"/>
    </row>
    <row r="59" spans="2:34">
      <c r="B59" s="88"/>
      <c r="C59" s="84" t="s">
        <v>20</v>
      </c>
      <c r="D59" s="85">
        <v>1</v>
      </c>
      <c r="E59" s="85">
        <v>2</v>
      </c>
      <c r="F59" s="85">
        <v>3</v>
      </c>
      <c r="G59" s="85">
        <v>4</v>
      </c>
      <c r="H59" s="85">
        <v>5</v>
      </c>
      <c r="I59" s="85">
        <v>6</v>
      </c>
      <c r="J59" s="85">
        <v>7</v>
      </c>
      <c r="K59" s="85">
        <v>8</v>
      </c>
      <c r="L59" s="85">
        <v>9</v>
      </c>
      <c r="M59" s="85">
        <v>10</v>
      </c>
      <c r="N59" s="85">
        <v>11</v>
      </c>
      <c r="O59" s="85">
        <v>12</v>
      </c>
      <c r="P59" s="85">
        <v>13</v>
      </c>
      <c r="Q59" s="176">
        <v>14</v>
      </c>
      <c r="R59" s="85">
        <v>15</v>
      </c>
      <c r="S59" s="85">
        <v>16</v>
      </c>
      <c r="T59" s="85">
        <v>17</v>
      </c>
      <c r="U59" s="85">
        <v>18</v>
      </c>
      <c r="V59" s="85">
        <v>19</v>
      </c>
      <c r="W59" s="85">
        <v>20</v>
      </c>
      <c r="X59" s="85">
        <v>21</v>
      </c>
      <c r="Y59" s="85">
        <v>22</v>
      </c>
      <c r="Z59" s="85">
        <v>23</v>
      </c>
      <c r="AA59" s="85">
        <v>24</v>
      </c>
      <c r="AB59" s="85">
        <v>25</v>
      </c>
      <c r="AC59" s="85">
        <v>26</v>
      </c>
      <c r="AD59" s="85">
        <v>27</v>
      </c>
      <c r="AE59" s="176">
        <v>28</v>
      </c>
      <c r="AF59" s="85">
        <v>29</v>
      </c>
      <c r="AG59" s="85">
        <v>30</v>
      </c>
    </row>
    <row r="60" spans="2:34">
      <c r="B60" s="85">
        <v>1</v>
      </c>
      <c r="C60" s="89" t="str">
        <f>LEFT(EmpGName01)&amp;" " &amp; EmpSName01</f>
        <v>L Marampon</v>
      </c>
      <c r="D60" s="4" t="s">
        <v>62</v>
      </c>
      <c r="E60" s="4" t="s">
        <v>62</v>
      </c>
      <c r="F60" s="4" t="s">
        <v>62</v>
      </c>
      <c r="G60" s="4" t="s">
        <v>62</v>
      </c>
      <c r="H60" s="4" t="s">
        <v>62</v>
      </c>
      <c r="I60" s="4" t="s">
        <v>62</v>
      </c>
      <c r="J60" s="4" t="s">
        <v>62</v>
      </c>
      <c r="K60" s="4" t="s">
        <v>62</v>
      </c>
      <c r="L60" s="4" t="s">
        <v>62</v>
      </c>
      <c r="M60" s="4" t="s">
        <v>62</v>
      </c>
      <c r="N60" s="4" t="s">
        <v>62</v>
      </c>
      <c r="O60" s="4" t="s">
        <v>62</v>
      </c>
      <c r="P60" s="4" t="s">
        <v>62</v>
      </c>
      <c r="Q60" s="4" t="s">
        <v>62</v>
      </c>
      <c r="R60" s="4" t="s">
        <v>62</v>
      </c>
      <c r="S60" s="4" t="s">
        <v>62</v>
      </c>
      <c r="T60" s="4" t="s">
        <v>62</v>
      </c>
      <c r="U60" s="4" t="s">
        <v>62</v>
      </c>
      <c r="V60" s="4" t="s">
        <v>62</v>
      </c>
      <c r="W60" s="4" t="s">
        <v>62</v>
      </c>
      <c r="X60" s="4" t="s">
        <v>62</v>
      </c>
      <c r="Y60" s="4" t="s">
        <v>62</v>
      </c>
      <c r="Z60" s="4" t="s">
        <v>62</v>
      </c>
      <c r="AA60" s="4" t="s">
        <v>62</v>
      </c>
      <c r="AB60" s="4" t="s">
        <v>62</v>
      </c>
      <c r="AC60" s="4" t="s">
        <v>62</v>
      </c>
      <c r="AD60" s="4" t="s">
        <v>62</v>
      </c>
      <c r="AE60" s="4" t="s">
        <v>62</v>
      </c>
      <c r="AF60" s="4" t="s">
        <v>62</v>
      </c>
      <c r="AG60" s="4" t="s">
        <v>62</v>
      </c>
    </row>
    <row r="61" spans="2:34">
      <c r="B61" s="85">
        <v>2</v>
      </c>
      <c r="C61" s="90" t="str">
        <f>LEFT(EmpGName02)&amp;" " &amp;EmpSName02</f>
        <v>K Stone</v>
      </c>
      <c r="D61" s="3" t="s">
        <v>62</v>
      </c>
      <c r="E61" s="3" t="s">
        <v>62</v>
      </c>
      <c r="F61" s="3" t="s">
        <v>62</v>
      </c>
      <c r="G61" s="3" t="s">
        <v>62</v>
      </c>
      <c r="H61" s="3" t="s">
        <v>62</v>
      </c>
      <c r="I61" s="3" t="s">
        <v>62</v>
      </c>
      <c r="J61" s="3" t="s">
        <v>62</v>
      </c>
      <c r="K61" s="3" t="s">
        <v>62</v>
      </c>
      <c r="L61" s="3" t="s">
        <v>62</v>
      </c>
      <c r="M61" s="3" t="s">
        <v>62</v>
      </c>
      <c r="N61" s="3" t="s">
        <v>62</v>
      </c>
      <c r="O61" s="3" t="s">
        <v>62</v>
      </c>
      <c r="P61" s="3" t="s">
        <v>62</v>
      </c>
      <c r="Q61" s="3" t="s">
        <v>62</v>
      </c>
      <c r="R61" s="3" t="s">
        <v>62</v>
      </c>
      <c r="S61" s="3" t="s">
        <v>62</v>
      </c>
      <c r="T61" s="3" t="s">
        <v>62</v>
      </c>
      <c r="U61" s="3" t="s">
        <v>62</v>
      </c>
      <c r="V61" s="3" t="s">
        <v>62</v>
      </c>
      <c r="W61" s="3" t="s">
        <v>62</v>
      </c>
      <c r="X61" s="3" t="s">
        <v>62</v>
      </c>
      <c r="Y61" s="3" t="s">
        <v>62</v>
      </c>
      <c r="Z61" s="3" t="s">
        <v>62</v>
      </c>
      <c r="AA61" s="3" t="s">
        <v>62</v>
      </c>
      <c r="AB61" s="3" t="s">
        <v>62</v>
      </c>
      <c r="AC61" s="3" t="s">
        <v>62</v>
      </c>
      <c r="AD61" s="3" t="s">
        <v>62</v>
      </c>
      <c r="AE61" s="3" t="s">
        <v>62</v>
      </c>
      <c r="AF61" s="3" t="s">
        <v>62</v>
      </c>
      <c r="AG61" s="3" t="s">
        <v>62</v>
      </c>
    </row>
    <row r="62" spans="2:34">
      <c r="B62" s="85">
        <v>3</v>
      </c>
      <c r="C62" s="89" t="str">
        <f>LEFT(EmpGName03)&amp;" " &amp;EmpSName03</f>
        <v>I Thelning</v>
      </c>
      <c r="D62" s="4" t="s">
        <v>62</v>
      </c>
      <c r="E62" s="4" t="s">
        <v>62</v>
      </c>
      <c r="F62" s="4" t="s">
        <v>62</v>
      </c>
      <c r="G62" s="4" t="s">
        <v>62</v>
      </c>
      <c r="H62" s="4" t="s">
        <v>62</v>
      </c>
      <c r="I62" s="4" t="s">
        <v>62</v>
      </c>
      <c r="J62" s="4" t="s">
        <v>62</v>
      </c>
      <c r="K62" s="4" t="s">
        <v>62</v>
      </c>
      <c r="L62" s="4" t="s">
        <v>62</v>
      </c>
      <c r="M62" s="4" t="s">
        <v>62</v>
      </c>
      <c r="N62" s="4" t="s">
        <v>62</v>
      </c>
      <c r="O62" s="4" t="s">
        <v>62</v>
      </c>
      <c r="P62" s="4" t="s">
        <v>62</v>
      </c>
      <c r="Q62" s="4" t="s">
        <v>62</v>
      </c>
      <c r="R62" s="4" t="s">
        <v>62</v>
      </c>
      <c r="S62" s="4" t="s">
        <v>62</v>
      </c>
      <c r="T62" s="4" t="s">
        <v>62</v>
      </c>
      <c r="U62" s="4" t="s">
        <v>62</v>
      </c>
      <c r="V62" s="4" t="s">
        <v>62</v>
      </c>
      <c r="W62" s="4" t="s">
        <v>62</v>
      </c>
      <c r="X62" s="4" t="s">
        <v>62</v>
      </c>
      <c r="Y62" s="4" t="s">
        <v>62</v>
      </c>
      <c r="Z62" s="4" t="s">
        <v>62</v>
      </c>
      <c r="AA62" s="4" t="s">
        <v>62</v>
      </c>
      <c r="AB62" s="4" t="s">
        <v>62</v>
      </c>
      <c r="AC62" s="4" t="s">
        <v>62</v>
      </c>
      <c r="AD62" s="4" t="s">
        <v>62</v>
      </c>
      <c r="AE62" s="4" t="s">
        <v>62</v>
      </c>
      <c r="AF62" s="4" t="s">
        <v>62</v>
      </c>
      <c r="AG62" s="4" t="s">
        <v>62</v>
      </c>
    </row>
    <row r="63" spans="2:34">
      <c r="B63" s="85">
        <v>4</v>
      </c>
      <c r="C63" s="90" t="str">
        <f>LEFT(EmpGName04)&amp;" " &amp;EmpSName04</f>
        <v>L King</v>
      </c>
      <c r="D63" s="3" t="s">
        <v>62</v>
      </c>
      <c r="E63" s="3" t="s">
        <v>62</v>
      </c>
      <c r="F63" s="3" t="s">
        <v>62</v>
      </c>
      <c r="G63" s="3" t="s">
        <v>62</v>
      </c>
      <c r="H63" s="3" t="s">
        <v>62</v>
      </c>
      <c r="I63" s="3" t="s">
        <v>62</v>
      </c>
      <c r="J63" s="3" t="s">
        <v>62</v>
      </c>
      <c r="K63" s="3" t="s">
        <v>62</v>
      </c>
      <c r="L63" s="3" t="s">
        <v>62</v>
      </c>
      <c r="M63" s="3" t="s">
        <v>62</v>
      </c>
      <c r="N63" s="3" t="s">
        <v>62</v>
      </c>
      <c r="O63" s="3" t="s">
        <v>62</v>
      </c>
      <c r="P63" s="3" t="s">
        <v>62</v>
      </c>
      <c r="Q63" s="3" t="s">
        <v>62</v>
      </c>
      <c r="R63" s="3" t="s">
        <v>62</v>
      </c>
      <c r="S63" s="3" t="s">
        <v>62</v>
      </c>
      <c r="T63" s="3" t="s">
        <v>62</v>
      </c>
      <c r="U63" s="3" t="s">
        <v>62</v>
      </c>
      <c r="V63" s="3" t="s">
        <v>62</v>
      </c>
      <c r="W63" s="3" t="s">
        <v>62</v>
      </c>
      <c r="X63" s="3" t="s">
        <v>62</v>
      </c>
      <c r="Y63" s="3" t="s">
        <v>62</v>
      </c>
      <c r="Z63" s="3" t="s">
        <v>62</v>
      </c>
      <c r="AA63" s="3" t="s">
        <v>62</v>
      </c>
      <c r="AB63" s="3" t="s">
        <v>62</v>
      </c>
      <c r="AC63" s="3" t="s">
        <v>62</v>
      </c>
      <c r="AD63" s="3" t="s">
        <v>62</v>
      </c>
      <c r="AE63" s="3" t="s">
        <v>62</v>
      </c>
      <c r="AF63" s="3" t="s">
        <v>62</v>
      </c>
      <c r="AG63" s="3" t="s">
        <v>62</v>
      </c>
    </row>
    <row r="64" spans="2:34">
      <c r="B64" s="85">
        <v>5</v>
      </c>
      <c r="C64" s="89" t="str">
        <f>LEFT(EmpGName05)&amp;" " &amp;EmpSName05</f>
        <v>D Castle</v>
      </c>
      <c r="D64" s="4" t="s">
        <v>62</v>
      </c>
      <c r="E64" s="4" t="s">
        <v>62</v>
      </c>
      <c r="F64" s="4" t="s">
        <v>62</v>
      </c>
      <c r="G64" s="4" t="s">
        <v>62</v>
      </c>
      <c r="H64" s="4" t="s">
        <v>62</v>
      </c>
      <c r="I64" s="4" t="s">
        <v>62</v>
      </c>
      <c r="J64" s="4" t="s">
        <v>62</v>
      </c>
      <c r="K64" s="4" t="s">
        <v>62</v>
      </c>
      <c r="L64" s="4" t="s">
        <v>62</v>
      </c>
      <c r="M64" s="4" t="s">
        <v>62</v>
      </c>
      <c r="N64" s="4" t="s">
        <v>62</v>
      </c>
      <c r="O64" s="4" t="s">
        <v>62</v>
      </c>
      <c r="P64" s="4" t="s">
        <v>62</v>
      </c>
      <c r="Q64" s="4" t="s">
        <v>62</v>
      </c>
      <c r="R64" s="4" t="s">
        <v>62</v>
      </c>
      <c r="S64" s="4" t="s">
        <v>62</v>
      </c>
      <c r="T64" s="4" t="s">
        <v>62</v>
      </c>
      <c r="U64" s="4" t="s">
        <v>62</v>
      </c>
      <c r="V64" s="4" t="s">
        <v>62</v>
      </c>
      <c r="W64" s="4" t="s">
        <v>62</v>
      </c>
      <c r="X64" s="4" t="s">
        <v>62</v>
      </c>
      <c r="Y64" s="4" t="s">
        <v>62</v>
      </c>
      <c r="Z64" s="4" t="s">
        <v>62</v>
      </c>
      <c r="AA64" s="4" t="s">
        <v>62</v>
      </c>
      <c r="AB64" s="4" t="s">
        <v>62</v>
      </c>
      <c r="AC64" s="4" t="s">
        <v>62</v>
      </c>
      <c r="AD64" s="4" t="s">
        <v>62</v>
      </c>
      <c r="AE64" s="4" t="s">
        <v>62</v>
      </c>
      <c r="AF64" s="4" t="s">
        <v>62</v>
      </c>
      <c r="AG64" s="4" t="s">
        <v>62</v>
      </c>
    </row>
    <row r="65" spans="2:34">
      <c r="B65" s="85">
        <v>6</v>
      </c>
      <c r="C65" s="90" t="str">
        <f>LEFT(EmpGName06)&amp;" " &amp;EmpSName06</f>
        <v>R Fielding</v>
      </c>
      <c r="D65" s="3" t="s">
        <v>62</v>
      </c>
      <c r="E65" s="3" t="s">
        <v>62</v>
      </c>
      <c r="F65" s="3" t="s">
        <v>62</v>
      </c>
      <c r="G65" s="3" t="s">
        <v>62</v>
      </c>
      <c r="H65" s="3" t="s">
        <v>62</v>
      </c>
      <c r="I65" s="3" t="s">
        <v>62</v>
      </c>
      <c r="J65" s="3" t="s">
        <v>62</v>
      </c>
      <c r="K65" s="3" t="s">
        <v>62</v>
      </c>
      <c r="L65" s="3" t="s">
        <v>62</v>
      </c>
      <c r="M65" s="3" t="s">
        <v>62</v>
      </c>
      <c r="N65" s="3" t="s">
        <v>62</v>
      </c>
      <c r="O65" s="3" t="s">
        <v>62</v>
      </c>
      <c r="P65" s="3" t="s">
        <v>62</v>
      </c>
      <c r="Q65" s="3" t="s">
        <v>62</v>
      </c>
      <c r="R65" s="3" t="s">
        <v>62</v>
      </c>
      <c r="S65" s="3" t="s">
        <v>62</v>
      </c>
      <c r="T65" s="3" t="s">
        <v>62</v>
      </c>
      <c r="U65" s="3" t="s">
        <v>62</v>
      </c>
      <c r="V65" s="3" t="s">
        <v>62</v>
      </c>
      <c r="W65" s="3" t="s">
        <v>62</v>
      </c>
      <c r="X65" s="3" t="s">
        <v>62</v>
      </c>
      <c r="Y65" s="3" t="s">
        <v>62</v>
      </c>
      <c r="Z65" s="3" t="s">
        <v>62</v>
      </c>
      <c r="AA65" s="3" t="s">
        <v>62</v>
      </c>
      <c r="AB65" s="3" t="s">
        <v>62</v>
      </c>
      <c r="AC65" s="3" t="s">
        <v>62</v>
      </c>
      <c r="AD65" s="3" t="s">
        <v>62</v>
      </c>
      <c r="AE65" s="3" t="s">
        <v>62</v>
      </c>
      <c r="AF65" s="3" t="s">
        <v>62</v>
      </c>
      <c r="AG65" s="3" t="s">
        <v>62</v>
      </c>
    </row>
    <row r="66" spans="2:34">
      <c r="B66" s="85">
        <v>7</v>
      </c>
      <c r="C66" s="89" t="str">
        <f>LEFT(EmpGName07)&amp;" " &amp;EmpSName07</f>
        <v>T Sorensen</v>
      </c>
      <c r="D66" s="4" t="s">
        <v>62</v>
      </c>
      <c r="E66" s="4" t="s">
        <v>62</v>
      </c>
      <c r="F66" s="4" t="s">
        <v>62</v>
      </c>
      <c r="G66" s="4" t="s">
        <v>62</v>
      </c>
      <c r="H66" s="4" t="s">
        <v>62</v>
      </c>
      <c r="I66" s="4" t="s">
        <v>62</v>
      </c>
      <c r="J66" s="4" t="s">
        <v>62</v>
      </c>
      <c r="K66" s="4" t="s">
        <v>62</v>
      </c>
      <c r="L66" s="4" t="s">
        <v>62</v>
      </c>
      <c r="M66" s="4" t="s">
        <v>62</v>
      </c>
      <c r="N66" s="4" t="s">
        <v>62</v>
      </c>
      <c r="O66" s="4" t="s">
        <v>62</v>
      </c>
      <c r="P66" s="4" t="s">
        <v>62</v>
      </c>
      <c r="Q66" s="4" t="s">
        <v>62</v>
      </c>
      <c r="R66" s="4" t="s">
        <v>62</v>
      </c>
      <c r="S66" s="4" t="s">
        <v>62</v>
      </c>
      <c r="T66" s="4" t="s">
        <v>62</v>
      </c>
      <c r="U66" s="4" t="s">
        <v>62</v>
      </c>
      <c r="V66" s="4" t="s">
        <v>62</v>
      </c>
      <c r="W66" s="4" t="s">
        <v>62</v>
      </c>
      <c r="X66" s="4" t="s">
        <v>62</v>
      </c>
      <c r="Y66" s="4" t="s">
        <v>62</v>
      </c>
      <c r="Z66" s="4" t="s">
        <v>62</v>
      </c>
      <c r="AA66" s="4" t="s">
        <v>62</v>
      </c>
      <c r="AB66" s="4" t="s">
        <v>62</v>
      </c>
      <c r="AC66" s="4" t="s">
        <v>62</v>
      </c>
      <c r="AD66" s="4" t="s">
        <v>62</v>
      </c>
      <c r="AE66" s="4" t="s">
        <v>62</v>
      </c>
      <c r="AF66" s="4" t="s">
        <v>62</v>
      </c>
      <c r="AG66" s="4" t="s">
        <v>62</v>
      </c>
    </row>
    <row r="67" spans="2:34">
      <c r="B67" s="85">
        <v>8</v>
      </c>
      <c r="C67" s="90" t="str">
        <f>LEFT(EmpGName08)&amp;" " &amp;EmpSName08</f>
        <v xml:space="preserve">B Odd </v>
      </c>
      <c r="D67" s="3" t="s">
        <v>62</v>
      </c>
      <c r="E67" s="3" t="s">
        <v>62</v>
      </c>
      <c r="F67" s="3" t="s">
        <v>62</v>
      </c>
      <c r="G67" s="3" t="s">
        <v>62</v>
      </c>
      <c r="H67" s="3" t="s">
        <v>62</v>
      </c>
      <c r="I67" s="3" t="s">
        <v>62</v>
      </c>
      <c r="J67" s="3" t="s">
        <v>62</v>
      </c>
      <c r="K67" s="3" t="s">
        <v>62</v>
      </c>
      <c r="L67" s="3" t="s">
        <v>62</v>
      </c>
      <c r="M67" s="3" t="s">
        <v>62</v>
      </c>
      <c r="N67" s="3" t="s">
        <v>62</v>
      </c>
      <c r="O67" s="3" t="s">
        <v>62</v>
      </c>
      <c r="P67" s="3" t="s">
        <v>62</v>
      </c>
      <c r="Q67" s="3" t="s">
        <v>62</v>
      </c>
      <c r="R67" s="3" t="s">
        <v>62</v>
      </c>
      <c r="S67" s="3" t="s">
        <v>62</v>
      </c>
      <c r="T67" s="3" t="s">
        <v>62</v>
      </c>
      <c r="U67" s="3" t="s">
        <v>62</v>
      </c>
      <c r="V67" s="3" t="s">
        <v>62</v>
      </c>
      <c r="W67" s="3" t="s">
        <v>62</v>
      </c>
      <c r="X67" s="3" t="s">
        <v>62</v>
      </c>
      <c r="Y67" s="3" t="s">
        <v>62</v>
      </c>
      <c r="Z67" s="3" t="s">
        <v>62</v>
      </c>
      <c r="AA67" s="3" t="s">
        <v>62</v>
      </c>
      <c r="AB67" s="3" t="s">
        <v>62</v>
      </c>
      <c r="AC67" s="3" t="s">
        <v>62</v>
      </c>
      <c r="AD67" s="3" t="s">
        <v>62</v>
      </c>
      <c r="AE67" s="3" t="s">
        <v>62</v>
      </c>
      <c r="AF67" s="3" t="s">
        <v>62</v>
      </c>
      <c r="AG67" s="3" t="s">
        <v>62</v>
      </c>
    </row>
    <row r="68" spans="2:34">
      <c r="B68" s="85">
        <v>9</v>
      </c>
      <c r="C68" s="89" t="str">
        <f>LEFT(EmpGName09)&amp;" " &amp;EmpSName09</f>
        <v>1 Odd1</v>
      </c>
      <c r="D68" s="4" t="s">
        <v>62</v>
      </c>
      <c r="E68" s="4" t="s">
        <v>62</v>
      </c>
      <c r="F68" s="4" t="s">
        <v>62</v>
      </c>
      <c r="G68" s="4" t="s">
        <v>62</v>
      </c>
      <c r="H68" s="4" t="s">
        <v>62</v>
      </c>
      <c r="I68" s="4" t="s">
        <v>62</v>
      </c>
      <c r="J68" s="4" t="s">
        <v>62</v>
      </c>
      <c r="K68" s="4" t="s">
        <v>62</v>
      </c>
      <c r="L68" s="4" t="s">
        <v>62</v>
      </c>
      <c r="M68" s="4" t="s">
        <v>62</v>
      </c>
      <c r="N68" s="4" t="s">
        <v>62</v>
      </c>
      <c r="O68" s="4" t="s">
        <v>62</v>
      </c>
      <c r="P68" s="4" t="s">
        <v>62</v>
      </c>
      <c r="Q68" s="4" t="s">
        <v>62</v>
      </c>
      <c r="R68" s="4" t="s">
        <v>62</v>
      </c>
      <c r="S68" s="4" t="s">
        <v>62</v>
      </c>
      <c r="T68" s="4" t="s">
        <v>62</v>
      </c>
      <c r="U68" s="4" t="s">
        <v>62</v>
      </c>
      <c r="V68" s="4" t="s">
        <v>62</v>
      </c>
      <c r="W68" s="4" t="s">
        <v>62</v>
      </c>
      <c r="X68" s="4" t="s">
        <v>62</v>
      </c>
      <c r="Y68" s="4" t="s">
        <v>62</v>
      </c>
      <c r="Z68" s="4" t="s">
        <v>62</v>
      </c>
      <c r="AA68" s="4" t="s">
        <v>62</v>
      </c>
      <c r="AB68" s="4" t="s">
        <v>62</v>
      </c>
      <c r="AC68" s="4" t="s">
        <v>62</v>
      </c>
      <c r="AD68" s="4" t="s">
        <v>62</v>
      </c>
      <c r="AE68" s="4" t="s">
        <v>62</v>
      </c>
      <c r="AF68" s="4" t="s">
        <v>62</v>
      </c>
      <c r="AG68" s="4" t="s">
        <v>62</v>
      </c>
    </row>
    <row r="69" spans="2:34">
      <c r="B69" s="148">
        <v>10</v>
      </c>
      <c r="C69" s="90" t="str">
        <f>LEFT(EmpGName10)&amp;" " &amp;EmpSName10</f>
        <v>2 Odd2</v>
      </c>
      <c r="D69" s="3" t="s">
        <v>62</v>
      </c>
      <c r="E69" s="3" t="s">
        <v>62</v>
      </c>
      <c r="F69" s="3" t="s">
        <v>62</v>
      </c>
      <c r="G69" s="3" t="s">
        <v>62</v>
      </c>
      <c r="H69" s="3" t="s">
        <v>62</v>
      </c>
      <c r="I69" s="3" t="s">
        <v>62</v>
      </c>
      <c r="J69" s="3" t="s">
        <v>62</v>
      </c>
      <c r="K69" s="3" t="s">
        <v>62</v>
      </c>
      <c r="L69" s="3" t="s">
        <v>62</v>
      </c>
      <c r="M69" s="3" t="s">
        <v>62</v>
      </c>
      <c r="N69" s="3" t="s">
        <v>62</v>
      </c>
      <c r="O69" s="3" t="s">
        <v>62</v>
      </c>
      <c r="P69" s="3" t="s">
        <v>62</v>
      </c>
      <c r="Q69" s="3" t="s">
        <v>62</v>
      </c>
      <c r="R69" s="3" t="s">
        <v>62</v>
      </c>
      <c r="S69" s="3" t="s">
        <v>62</v>
      </c>
      <c r="T69" s="3" t="s">
        <v>62</v>
      </c>
      <c r="U69" s="3" t="s">
        <v>62</v>
      </c>
      <c r="V69" s="3" t="s">
        <v>62</v>
      </c>
      <c r="W69" s="3" t="s">
        <v>62</v>
      </c>
      <c r="X69" s="3" t="s">
        <v>62</v>
      </c>
      <c r="Y69" s="3" t="s">
        <v>62</v>
      </c>
      <c r="Z69" s="3" t="s">
        <v>62</v>
      </c>
      <c r="AA69" s="3" t="s">
        <v>62</v>
      </c>
      <c r="AB69" s="3" t="s">
        <v>62</v>
      </c>
      <c r="AC69" s="3" t="s">
        <v>62</v>
      </c>
      <c r="AD69" s="3" t="s">
        <v>62</v>
      </c>
      <c r="AE69" s="3" t="s">
        <v>62</v>
      </c>
      <c r="AF69" s="3" t="s">
        <v>62</v>
      </c>
      <c r="AG69" s="3" t="s">
        <v>62</v>
      </c>
    </row>
    <row r="70" spans="2:34" s="70" customFormat="1">
      <c r="B70" s="148">
        <v>11</v>
      </c>
      <c r="C70" s="89" t="str">
        <f>LEFT(EmpGName11)&amp;" " &amp;EmpSName11</f>
        <v>2 Odd3</v>
      </c>
      <c r="D70" s="4" t="s">
        <v>62</v>
      </c>
      <c r="E70" s="4" t="s">
        <v>62</v>
      </c>
      <c r="F70" s="4" t="s">
        <v>62</v>
      </c>
      <c r="G70" s="4" t="s">
        <v>62</v>
      </c>
      <c r="H70" s="4" t="s">
        <v>62</v>
      </c>
      <c r="I70" s="4" t="s">
        <v>62</v>
      </c>
      <c r="J70" s="4" t="s">
        <v>62</v>
      </c>
      <c r="K70" s="4" t="s">
        <v>62</v>
      </c>
      <c r="L70" s="4" t="s">
        <v>62</v>
      </c>
      <c r="M70" s="4" t="s">
        <v>62</v>
      </c>
      <c r="N70" s="4" t="s">
        <v>62</v>
      </c>
      <c r="O70" s="4" t="s">
        <v>62</v>
      </c>
      <c r="P70" s="4" t="s">
        <v>62</v>
      </c>
      <c r="Q70" s="4" t="s">
        <v>62</v>
      </c>
      <c r="R70" s="4" t="s">
        <v>62</v>
      </c>
      <c r="S70" s="4" t="s">
        <v>62</v>
      </c>
      <c r="T70" s="4" t="s">
        <v>62</v>
      </c>
      <c r="U70" s="4" t="s">
        <v>62</v>
      </c>
      <c r="V70" s="4" t="s">
        <v>62</v>
      </c>
      <c r="W70" s="4" t="s">
        <v>62</v>
      </c>
      <c r="X70" s="4" t="s">
        <v>62</v>
      </c>
      <c r="Y70" s="4" t="s">
        <v>62</v>
      </c>
      <c r="Z70" s="4" t="s">
        <v>62</v>
      </c>
      <c r="AA70" s="4" t="s">
        <v>62</v>
      </c>
      <c r="AB70" s="4" t="s">
        <v>62</v>
      </c>
      <c r="AC70" s="4" t="s">
        <v>62</v>
      </c>
      <c r="AD70" s="4" t="s">
        <v>62</v>
      </c>
      <c r="AE70" s="4" t="s">
        <v>62</v>
      </c>
      <c r="AF70" s="4" t="s">
        <v>62</v>
      </c>
      <c r="AG70" s="4" t="s">
        <v>62</v>
      </c>
      <c r="AH70"/>
    </row>
    <row r="71" spans="2:34">
      <c r="B71" s="148">
        <v>12</v>
      </c>
      <c r="C71" s="90" t="str">
        <f>LEFT(EmpGName12)&amp;" " &amp;EmpSName12</f>
        <v>4 Odd4</v>
      </c>
      <c r="D71" s="3" t="s">
        <v>62</v>
      </c>
      <c r="E71" s="3" t="s">
        <v>62</v>
      </c>
      <c r="F71" s="3" t="s">
        <v>62</v>
      </c>
      <c r="G71" s="3" t="s">
        <v>62</v>
      </c>
      <c r="H71" s="3" t="s">
        <v>62</v>
      </c>
      <c r="I71" s="3" t="s">
        <v>62</v>
      </c>
      <c r="J71" s="3" t="s">
        <v>62</v>
      </c>
      <c r="K71" s="3" t="s">
        <v>62</v>
      </c>
      <c r="L71" s="3" t="s">
        <v>62</v>
      </c>
      <c r="M71" s="3" t="s">
        <v>62</v>
      </c>
      <c r="N71" s="3" t="s">
        <v>62</v>
      </c>
      <c r="O71" s="3" t="s">
        <v>62</v>
      </c>
      <c r="P71" s="3" t="s">
        <v>62</v>
      </c>
      <c r="Q71" s="3" t="s">
        <v>62</v>
      </c>
      <c r="R71" s="3" t="s">
        <v>62</v>
      </c>
      <c r="S71" s="3" t="s">
        <v>62</v>
      </c>
      <c r="T71" s="3" t="s">
        <v>62</v>
      </c>
      <c r="U71" s="3" t="s">
        <v>62</v>
      </c>
      <c r="V71" s="3" t="s">
        <v>62</v>
      </c>
      <c r="W71" s="3" t="s">
        <v>62</v>
      </c>
      <c r="X71" s="3" t="s">
        <v>62</v>
      </c>
      <c r="Y71" s="3" t="s">
        <v>62</v>
      </c>
      <c r="Z71" s="3" t="s">
        <v>62</v>
      </c>
      <c r="AA71" s="3" t="s">
        <v>62</v>
      </c>
      <c r="AB71" s="3" t="s">
        <v>62</v>
      </c>
      <c r="AC71" s="3" t="s">
        <v>62</v>
      </c>
      <c r="AD71" s="3" t="s">
        <v>62</v>
      </c>
      <c r="AE71" s="3" t="s">
        <v>62</v>
      </c>
      <c r="AF71" s="3" t="s">
        <v>62</v>
      </c>
      <c r="AG71" s="3" t="s">
        <v>62</v>
      </c>
    </row>
    <row r="73" spans="2:34">
      <c r="C73" t="str">
        <f>CurYear-1&amp;":"</f>
        <v>2018:</v>
      </c>
      <c r="D73" s="5" t="str">
        <f t="shared" ref="D73:AH73" si="3">LEFT(TEXT(D74&amp;"-"&amp;$C74&amp;"-"&amp; CurYear-1,"ddd"),2)</f>
        <v>Mo</v>
      </c>
      <c r="E73" s="5" t="str">
        <f t="shared" si="3"/>
        <v>Tu</v>
      </c>
      <c r="F73" s="5" t="str">
        <f t="shared" si="3"/>
        <v>We</v>
      </c>
      <c r="G73" s="5" t="str">
        <f t="shared" si="3"/>
        <v>Th</v>
      </c>
      <c r="H73" s="5" t="str">
        <f t="shared" si="3"/>
        <v>Fr</v>
      </c>
      <c r="I73" s="5" t="str">
        <f t="shared" si="3"/>
        <v>Sa</v>
      </c>
      <c r="J73" s="5" t="str">
        <f t="shared" si="3"/>
        <v>Su</v>
      </c>
      <c r="K73" s="5" t="str">
        <f t="shared" si="3"/>
        <v>Mo</v>
      </c>
      <c r="L73" s="5" t="str">
        <f t="shared" si="3"/>
        <v>Tu</v>
      </c>
      <c r="M73" s="5" t="str">
        <f t="shared" si="3"/>
        <v>We</v>
      </c>
      <c r="N73" s="5" t="str">
        <f t="shared" si="3"/>
        <v>Th</v>
      </c>
      <c r="O73" s="5" t="str">
        <f t="shared" si="3"/>
        <v>Fr</v>
      </c>
      <c r="P73" s="5" t="str">
        <f t="shared" si="3"/>
        <v>Sa</v>
      </c>
      <c r="Q73" s="5" t="str">
        <f t="shared" si="3"/>
        <v>Su</v>
      </c>
      <c r="R73" s="5" t="str">
        <f t="shared" si="3"/>
        <v>Mo</v>
      </c>
      <c r="S73" s="5" t="str">
        <f t="shared" si="3"/>
        <v>Tu</v>
      </c>
      <c r="T73" s="5" t="str">
        <f t="shared" si="3"/>
        <v>We</v>
      </c>
      <c r="U73" s="5" t="str">
        <f t="shared" si="3"/>
        <v>Th</v>
      </c>
      <c r="V73" s="5" t="str">
        <f t="shared" si="3"/>
        <v>Fr</v>
      </c>
      <c r="W73" s="5" t="str">
        <f t="shared" si="3"/>
        <v>Sa</v>
      </c>
      <c r="X73" s="5" t="str">
        <f t="shared" si="3"/>
        <v>Su</v>
      </c>
      <c r="Y73" s="5" t="str">
        <f t="shared" si="3"/>
        <v>Mo</v>
      </c>
      <c r="Z73" s="5" t="str">
        <f t="shared" si="3"/>
        <v>Tu</v>
      </c>
      <c r="AA73" s="5" t="str">
        <f t="shared" si="3"/>
        <v>We</v>
      </c>
      <c r="AB73" s="5" t="str">
        <f t="shared" si="3"/>
        <v>Th</v>
      </c>
      <c r="AC73" s="5" t="str">
        <f t="shared" si="3"/>
        <v>Fr</v>
      </c>
      <c r="AD73" s="5" t="str">
        <f t="shared" si="3"/>
        <v>Sa</v>
      </c>
      <c r="AE73" s="5" t="str">
        <f t="shared" si="3"/>
        <v>Su</v>
      </c>
      <c r="AF73" s="5" t="str">
        <f t="shared" si="3"/>
        <v>Mo</v>
      </c>
      <c r="AG73" s="5" t="str">
        <f t="shared" si="3"/>
        <v>Tu</v>
      </c>
      <c r="AH73" s="5" t="str">
        <f t="shared" si="3"/>
        <v>We</v>
      </c>
    </row>
    <row r="74" spans="2:34">
      <c r="B74" s="88"/>
      <c r="C74" s="84" t="s">
        <v>21</v>
      </c>
      <c r="D74" s="85">
        <v>1</v>
      </c>
      <c r="E74" s="85">
        <v>2</v>
      </c>
      <c r="F74" s="85">
        <v>3</v>
      </c>
      <c r="G74" s="85">
        <v>4</v>
      </c>
      <c r="H74" s="85">
        <v>5</v>
      </c>
      <c r="I74" s="85">
        <v>6</v>
      </c>
      <c r="J74" s="85">
        <v>7</v>
      </c>
      <c r="K74" s="85">
        <v>8</v>
      </c>
      <c r="L74" s="85">
        <v>9</v>
      </c>
      <c r="M74" s="85">
        <v>10</v>
      </c>
      <c r="N74" s="85">
        <v>11</v>
      </c>
      <c r="O74" s="176">
        <v>12</v>
      </c>
      <c r="P74" s="85">
        <v>13</v>
      </c>
      <c r="Q74" s="85">
        <v>14</v>
      </c>
      <c r="R74" s="85">
        <v>15</v>
      </c>
      <c r="S74" s="85">
        <v>16</v>
      </c>
      <c r="T74" s="85">
        <v>17</v>
      </c>
      <c r="U74" s="85">
        <v>18</v>
      </c>
      <c r="V74" s="85">
        <v>19</v>
      </c>
      <c r="W74" s="85">
        <v>20</v>
      </c>
      <c r="X74" s="85">
        <v>21</v>
      </c>
      <c r="Y74" s="85">
        <v>22</v>
      </c>
      <c r="Z74" s="85">
        <v>23</v>
      </c>
      <c r="AA74" s="85">
        <v>24</v>
      </c>
      <c r="AB74" s="85">
        <v>25</v>
      </c>
      <c r="AC74" s="176">
        <v>26</v>
      </c>
      <c r="AD74" s="85">
        <v>27</v>
      </c>
      <c r="AE74" s="85">
        <v>28</v>
      </c>
      <c r="AF74" s="85">
        <v>29</v>
      </c>
      <c r="AG74" s="85">
        <v>30</v>
      </c>
      <c r="AH74" s="85">
        <v>31</v>
      </c>
    </row>
    <row r="75" spans="2:34">
      <c r="B75" s="85">
        <v>1</v>
      </c>
      <c r="C75" s="89" t="str">
        <f>LEFT(EmpGName01)&amp;" " &amp; EmpSName01</f>
        <v>L Marampon</v>
      </c>
      <c r="D75" s="4" t="s">
        <v>62</v>
      </c>
      <c r="E75" s="4" t="s">
        <v>62</v>
      </c>
      <c r="F75" s="4" t="s">
        <v>62</v>
      </c>
      <c r="G75" s="4" t="s">
        <v>62</v>
      </c>
      <c r="H75" s="4" t="s">
        <v>62</v>
      </c>
      <c r="I75" s="4" t="s">
        <v>62</v>
      </c>
      <c r="J75" s="4" t="s">
        <v>62</v>
      </c>
      <c r="K75" s="4" t="s">
        <v>62</v>
      </c>
      <c r="L75" s="4" t="s">
        <v>62</v>
      </c>
      <c r="M75" s="4" t="s">
        <v>62</v>
      </c>
      <c r="N75" s="4" t="s">
        <v>62</v>
      </c>
      <c r="O75" s="4" t="s">
        <v>62</v>
      </c>
      <c r="P75" s="4" t="s">
        <v>62</v>
      </c>
      <c r="Q75" s="4" t="s">
        <v>62</v>
      </c>
      <c r="R75" s="4" t="s">
        <v>62</v>
      </c>
      <c r="S75" s="4" t="s">
        <v>62</v>
      </c>
      <c r="T75" s="4" t="s">
        <v>62</v>
      </c>
      <c r="U75" s="4" t="s">
        <v>62</v>
      </c>
      <c r="V75" s="4" t="s">
        <v>62</v>
      </c>
      <c r="W75" s="4" t="s">
        <v>62</v>
      </c>
      <c r="X75" s="4" t="s">
        <v>62</v>
      </c>
      <c r="Y75" s="4" t="s">
        <v>62</v>
      </c>
      <c r="Z75" s="4" t="s">
        <v>62</v>
      </c>
      <c r="AA75" s="4" t="s">
        <v>62</v>
      </c>
      <c r="AB75" s="4" t="s">
        <v>62</v>
      </c>
      <c r="AC75" s="4" t="s">
        <v>62</v>
      </c>
      <c r="AD75" s="4" t="s">
        <v>62</v>
      </c>
      <c r="AE75" s="4" t="s">
        <v>62</v>
      </c>
      <c r="AF75" s="4" t="s">
        <v>62</v>
      </c>
      <c r="AG75" s="4" t="s">
        <v>62</v>
      </c>
      <c r="AH75" s="4" t="s">
        <v>62</v>
      </c>
    </row>
    <row r="76" spans="2:34">
      <c r="B76" s="85">
        <v>2</v>
      </c>
      <c r="C76" s="90" t="str">
        <f>LEFT(EmpGName02)&amp;" " &amp;EmpSName02</f>
        <v>K Stone</v>
      </c>
      <c r="D76" s="3" t="s">
        <v>62</v>
      </c>
      <c r="E76" s="3" t="s">
        <v>62</v>
      </c>
      <c r="F76" s="3" t="s">
        <v>62</v>
      </c>
      <c r="G76" s="3" t="s">
        <v>62</v>
      </c>
      <c r="H76" s="3" t="s">
        <v>62</v>
      </c>
      <c r="I76" s="3" t="s">
        <v>62</v>
      </c>
      <c r="J76" s="3" t="s">
        <v>62</v>
      </c>
      <c r="K76" s="3" t="s">
        <v>62</v>
      </c>
      <c r="L76" s="3" t="s">
        <v>62</v>
      </c>
      <c r="M76" s="3" t="s">
        <v>62</v>
      </c>
      <c r="N76" s="3" t="s">
        <v>62</v>
      </c>
      <c r="O76" s="3" t="s">
        <v>62</v>
      </c>
      <c r="P76" s="3" t="s">
        <v>62</v>
      </c>
      <c r="Q76" s="3" t="s">
        <v>62</v>
      </c>
      <c r="R76" s="3" t="s">
        <v>62</v>
      </c>
      <c r="S76" s="3" t="s">
        <v>62</v>
      </c>
      <c r="T76" s="3" t="s">
        <v>62</v>
      </c>
      <c r="U76" s="3" t="s">
        <v>62</v>
      </c>
      <c r="V76" s="3" t="s">
        <v>62</v>
      </c>
      <c r="W76" s="3" t="s">
        <v>62</v>
      </c>
      <c r="X76" s="3" t="s">
        <v>62</v>
      </c>
      <c r="Y76" s="3" t="s">
        <v>62</v>
      </c>
      <c r="Z76" s="3" t="s">
        <v>62</v>
      </c>
      <c r="AA76" s="3" t="s">
        <v>62</v>
      </c>
      <c r="AB76" s="3" t="s">
        <v>62</v>
      </c>
      <c r="AC76" s="3" t="s">
        <v>62</v>
      </c>
      <c r="AD76" s="3" t="s">
        <v>62</v>
      </c>
      <c r="AE76" s="3" t="s">
        <v>62</v>
      </c>
      <c r="AF76" s="3" t="s">
        <v>62</v>
      </c>
      <c r="AG76" s="3" t="s">
        <v>62</v>
      </c>
      <c r="AH76" s="3" t="s">
        <v>62</v>
      </c>
    </row>
    <row r="77" spans="2:34">
      <c r="B77" s="85">
        <v>3</v>
      </c>
      <c r="C77" s="89" t="str">
        <f>LEFT(EmpGName03)&amp;" " &amp;EmpSName03</f>
        <v>I Thelning</v>
      </c>
      <c r="D77" s="4" t="s">
        <v>62</v>
      </c>
      <c r="E77" s="4" t="s">
        <v>62</v>
      </c>
      <c r="F77" s="4" t="s">
        <v>62</v>
      </c>
      <c r="G77" s="4" t="s">
        <v>62</v>
      </c>
      <c r="H77" s="4" t="s">
        <v>62</v>
      </c>
      <c r="I77" s="4" t="s">
        <v>62</v>
      </c>
      <c r="J77" s="4" t="s">
        <v>62</v>
      </c>
      <c r="K77" s="4" t="s">
        <v>62</v>
      </c>
      <c r="L77" s="4" t="s">
        <v>62</v>
      </c>
      <c r="M77" s="4" t="s">
        <v>62</v>
      </c>
      <c r="N77" s="4" t="s">
        <v>62</v>
      </c>
      <c r="O77" s="4" t="s">
        <v>62</v>
      </c>
      <c r="P77" s="4" t="s">
        <v>62</v>
      </c>
      <c r="Q77" s="4" t="s">
        <v>62</v>
      </c>
      <c r="R77" s="4" t="s">
        <v>62</v>
      </c>
      <c r="S77" s="4" t="s">
        <v>62</v>
      </c>
      <c r="T77" s="4" t="s">
        <v>62</v>
      </c>
      <c r="U77" s="4" t="s">
        <v>62</v>
      </c>
      <c r="V77" s="4" t="s">
        <v>62</v>
      </c>
      <c r="W77" s="4" t="s">
        <v>62</v>
      </c>
      <c r="X77" s="4" t="s">
        <v>62</v>
      </c>
      <c r="Y77" s="4" t="s">
        <v>62</v>
      </c>
      <c r="Z77" s="4" t="s">
        <v>62</v>
      </c>
      <c r="AA77" s="4" t="s">
        <v>62</v>
      </c>
      <c r="AB77" s="4" t="s">
        <v>62</v>
      </c>
      <c r="AC77" s="4" t="s">
        <v>62</v>
      </c>
      <c r="AD77" s="4" t="s">
        <v>62</v>
      </c>
      <c r="AE77" s="4" t="s">
        <v>62</v>
      </c>
      <c r="AF77" s="4" t="s">
        <v>62</v>
      </c>
      <c r="AG77" s="4" t="s">
        <v>62</v>
      </c>
      <c r="AH77" s="4" t="s">
        <v>62</v>
      </c>
    </row>
    <row r="78" spans="2:34">
      <c r="B78" s="85">
        <v>4</v>
      </c>
      <c r="C78" s="90" t="str">
        <f>LEFT(EmpGName04)&amp;" " &amp;EmpSName04</f>
        <v>L King</v>
      </c>
      <c r="D78" s="3" t="s">
        <v>62</v>
      </c>
      <c r="E78" s="3" t="s">
        <v>62</v>
      </c>
      <c r="F78" s="3" t="s">
        <v>62</v>
      </c>
      <c r="G78" s="3" t="s">
        <v>62</v>
      </c>
      <c r="H78" s="3" t="s">
        <v>62</v>
      </c>
      <c r="I78" s="3" t="s">
        <v>62</v>
      </c>
      <c r="J78" s="3" t="s">
        <v>62</v>
      </c>
      <c r="K78" s="3" t="s">
        <v>62</v>
      </c>
      <c r="L78" s="3" t="s">
        <v>62</v>
      </c>
      <c r="M78" s="3" t="s">
        <v>62</v>
      </c>
      <c r="N78" s="3" t="s">
        <v>62</v>
      </c>
      <c r="O78" s="3" t="s">
        <v>62</v>
      </c>
      <c r="P78" s="3" t="s">
        <v>62</v>
      </c>
      <c r="Q78" s="3" t="s">
        <v>62</v>
      </c>
      <c r="R78" s="3" t="s">
        <v>62</v>
      </c>
      <c r="S78" s="3" t="s">
        <v>62</v>
      </c>
      <c r="T78" s="3" t="s">
        <v>62</v>
      </c>
      <c r="U78" s="3" t="s">
        <v>62</v>
      </c>
      <c r="V78" s="3" t="s">
        <v>62</v>
      </c>
      <c r="W78" s="3" t="s">
        <v>62</v>
      </c>
      <c r="X78" s="3" t="s">
        <v>62</v>
      </c>
      <c r="Y78" s="3" t="s">
        <v>62</v>
      </c>
      <c r="Z78" s="3" t="s">
        <v>62</v>
      </c>
      <c r="AA78" s="3" t="s">
        <v>62</v>
      </c>
      <c r="AB78" s="3" t="s">
        <v>62</v>
      </c>
      <c r="AC78" s="3" t="s">
        <v>62</v>
      </c>
      <c r="AD78" s="3" t="s">
        <v>62</v>
      </c>
      <c r="AE78" s="3" t="s">
        <v>62</v>
      </c>
      <c r="AF78" s="3" t="s">
        <v>62</v>
      </c>
      <c r="AG78" s="3" t="s">
        <v>62</v>
      </c>
      <c r="AH78" s="3" t="s">
        <v>62</v>
      </c>
    </row>
    <row r="79" spans="2:34">
      <c r="B79" s="85">
        <v>5</v>
      </c>
      <c r="C79" s="89" t="str">
        <f>LEFT(EmpGName05)&amp;" " &amp;EmpSName05</f>
        <v>D Castle</v>
      </c>
      <c r="D79" s="4" t="s">
        <v>62</v>
      </c>
      <c r="E79" s="4" t="s">
        <v>62</v>
      </c>
      <c r="F79" s="4" t="s">
        <v>62</v>
      </c>
      <c r="G79" s="4" t="s">
        <v>62</v>
      </c>
      <c r="H79" s="4" t="s">
        <v>62</v>
      </c>
      <c r="I79" s="4" t="s">
        <v>62</v>
      </c>
      <c r="J79" s="4" t="s">
        <v>62</v>
      </c>
      <c r="K79" s="4" t="s">
        <v>62</v>
      </c>
      <c r="L79" s="4" t="s">
        <v>62</v>
      </c>
      <c r="M79" s="4" t="s">
        <v>62</v>
      </c>
      <c r="N79" s="4" t="s">
        <v>62</v>
      </c>
      <c r="O79" s="4" t="s">
        <v>62</v>
      </c>
      <c r="P79" s="4" t="s">
        <v>62</v>
      </c>
      <c r="Q79" s="4" t="s">
        <v>62</v>
      </c>
      <c r="R79" s="4" t="s">
        <v>62</v>
      </c>
      <c r="S79" s="4" t="s">
        <v>62</v>
      </c>
      <c r="T79" s="4" t="s">
        <v>62</v>
      </c>
      <c r="U79" s="4" t="s">
        <v>62</v>
      </c>
      <c r="V79" s="4" t="s">
        <v>62</v>
      </c>
      <c r="W79" s="4" t="s">
        <v>62</v>
      </c>
      <c r="X79" s="4" t="s">
        <v>62</v>
      </c>
      <c r="Y79" s="4" t="s">
        <v>62</v>
      </c>
      <c r="Z79" s="4" t="s">
        <v>62</v>
      </c>
      <c r="AA79" s="4" t="s">
        <v>62</v>
      </c>
      <c r="AB79" s="4" t="s">
        <v>62</v>
      </c>
      <c r="AC79" s="4" t="s">
        <v>62</v>
      </c>
      <c r="AD79" s="4" t="s">
        <v>62</v>
      </c>
      <c r="AE79" s="4" t="s">
        <v>62</v>
      </c>
      <c r="AF79" s="4" t="s">
        <v>62</v>
      </c>
      <c r="AG79" s="4" t="s">
        <v>62</v>
      </c>
      <c r="AH79" s="4" t="s">
        <v>62</v>
      </c>
    </row>
    <row r="80" spans="2:34">
      <c r="B80" s="85">
        <v>6</v>
      </c>
      <c r="C80" s="90" t="str">
        <f>LEFT(EmpGName06)&amp;" " &amp;EmpSName06</f>
        <v>R Fielding</v>
      </c>
      <c r="D80" s="3" t="s">
        <v>62</v>
      </c>
      <c r="E80" s="3" t="s">
        <v>62</v>
      </c>
      <c r="F80" s="3" t="s">
        <v>62</v>
      </c>
      <c r="G80" s="3" t="s">
        <v>62</v>
      </c>
      <c r="H80" s="3" t="s">
        <v>62</v>
      </c>
      <c r="I80" s="3" t="s">
        <v>62</v>
      </c>
      <c r="J80" s="3" t="s">
        <v>62</v>
      </c>
      <c r="K80" s="3" t="s">
        <v>62</v>
      </c>
      <c r="L80" s="3" t="s">
        <v>62</v>
      </c>
      <c r="M80" s="3" t="s">
        <v>62</v>
      </c>
      <c r="N80" s="3" t="s">
        <v>62</v>
      </c>
      <c r="O80" s="3" t="s">
        <v>62</v>
      </c>
      <c r="P80" s="3" t="s">
        <v>62</v>
      </c>
      <c r="Q80" s="3" t="s">
        <v>62</v>
      </c>
      <c r="R80" s="3" t="s">
        <v>62</v>
      </c>
      <c r="S80" s="3" t="s">
        <v>62</v>
      </c>
      <c r="T80" s="3" t="s">
        <v>62</v>
      </c>
      <c r="U80" s="3" t="s">
        <v>62</v>
      </c>
      <c r="V80" s="3" t="s">
        <v>62</v>
      </c>
      <c r="W80" s="3" t="s">
        <v>62</v>
      </c>
      <c r="X80" s="3" t="s">
        <v>62</v>
      </c>
      <c r="Y80" s="3" t="s">
        <v>62</v>
      </c>
      <c r="Z80" s="3" t="s">
        <v>62</v>
      </c>
      <c r="AA80" s="3" t="s">
        <v>62</v>
      </c>
      <c r="AB80" s="3" t="s">
        <v>62</v>
      </c>
      <c r="AC80" s="3" t="s">
        <v>62</v>
      </c>
      <c r="AD80" s="3" t="s">
        <v>62</v>
      </c>
      <c r="AE80" s="3" t="s">
        <v>62</v>
      </c>
      <c r="AF80" s="3" t="s">
        <v>62</v>
      </c>
      <c r="AG80" s="3" t="s">
        <v>62</v>
      </c>
      <c r="AH80" s="3" t="s">
        <v>62</v>
      </c>
    </row>
    <row r="81" spans="2:34">
      <c r="B81" s="85">
        <v>7</v>
      </c>
      <c r="C81" s="89" t="str">
        <f>LEFT(EmpGName07)&amp;" " &amp;EmpSName07</f>
        <v>T Sorensen</v>
      </c>
      <c r="D81" s="4" t="s">
        <v>62</v>
      </c>
      <c r="E81" s="4" t="s">
        <v>62</v>
      </c>
      <c r="F81" s="4" t="s">
        <v>62</v>
      </c>
      <c r="G81" s="4" t="s">
        <v>62</v>
      </c>
      <c r="H81" s="4" t="s">
        <v>62</v>
      </c>
      <c r="I81" s="4" t="s">
        <v>62</v>
      </c>
      <c r="J81" s="4" t="s">
        <v>62</v>
      </c>
      <c r="K81" s="4" t="s">
        <v>62</v>
      </c>
      <c r="L81" s="4" t="s">
        <v>62</v>
      </c>
      <c r="M81" s="4" t="s">
        <v>62</v>
      </c>
      <c r="N81" s="4" t="s">
        <v>62</v>
      </c>
      <c r="O81" s="4" t="s">
        <v>62</v>
      </c>
      <c r="P81" s="4" t="s">
        <v>62</v>
      </c>
      <c r="Q81" s="4" t="s">
        <v>62</v>
      </c>
      <c r="R81" s="4" t="s">
        <v>62</v>
      </c>
      <c r="S81" s="4" t="s">
        <v>62</v>
      </c>
      <c r="T81" s="4" t="s">
        <v>62</v>
      </c>
      <c r="U81" s="4" t="s">
        <v>62</v>
      </c>
      <c r="V81" s="4" t="s">
        <v>62</v>
      </c>
      <c r="W81" s="4" t="s">
        <v>62</v>
      </c>
      <c r="X81" s="4" t="s">
        <v>62</v>
      </c>
      <c r="Y81" s="4" t="s">
        <v>62</v>
      </c>
      <c r="Z81" s="4" t="s">
        <v>62</v>
      </c>
      <c r="AA81" s="4" t="s">
        <v>62</v>
      </c>
      <c r="AB81" s="4" t="s">
        <v>62</v>
      </c>
      <c r="AC81" s="4" t="s">
        <v>62</v>
      </c>
      <c r="AD81" s="4" t="s">
        <v>62</v>
      </c>
      <c r="AE81" s="4" t="s">
        <v>62</v>
      </c>
      <c r="AF81" s="4" t="s">
        <v>62</v>
      </c>
      <c r="AG81" s="4" t="s">
        <v>62</v>
      </c>
      <c r="AH81" s="4" t="s">
        <v>62</v>
      </c>
    </row>
    <row r="82" spans="2:34">
      <c r="B82" s="85">
        <v>8</v>
      </c>
      <c r="C82" s="90" t="str">
        <f>LEFT(EmpGName08)&amp;" " &amp;EmpSName08</f>
        <v xml:space="preserve">B Odd </v>
      </c>
      <c r="D82" s="3" t="s">
        <v>62</v>
      </c>
      <c r="E82" s="3" t="s">
        <v>62</v>
      </c>
      <c r="F82" s="3" t="s">
        <v>62</v>
      </c>
      <c r="G82" s="3" t="s">
        <v>62</v>
      </c>
      <c r="H82" s="3" t="s">
        <v>62</v>
      </c>
      <c r="I82" s="3" t="s">
        <v>62</v>
      </c>
      <c r="J82" s="3" t="s">
        <v>62</v>
      </c>
      <c r="K82" s="3" t="s">
        <v>62</v>
      </c>
      <c r="L82" s="3" t="s">
        <v>62</v>
      </c>
      <c r="M82" s="3" t="s">
        <v>62</v>
      </c>
      <c r="N82" s="3" t="s">
        <v>62</v>
      </c>
      <c r="O82" s="3" t="s">
        <v>62</v>
      </c>
      <c r="P82" s="3" t="s">
        <v>62</v>
      </c>
      <c r="Q82" s="3" t="s">
        <v>62</v>
      </c>
      <c r="R82" s="3" t="s">
        <v>62</v>
      </c>
      <c r="S82" s="3" t="s">
        <v>62</v>
      </c>
      <c r="T82" s="3" t="s">
        <v>62</v>
      </c>
      <c r="U82" s="3" t="s">
        <v>62</v>
      </c>
      <c r="V82" s="3" t="s">
        <v>62</v>
      </c>
      <c r="W82" s="3" t="s">
        <v>62</v>
      </c>
      <c r="X82" s="3" t="s">
        <v>62</v>
      </c>
      <c r="Y82" s="3" t="s">
        <v>62</v>
      </c>
      <c r="Z82" s="3" t="s">
        <v>62</v>
      </c>
      <c r="AA82" s="3" t="s">
        <v>62</v>
      </c>
      <c r="AB82" s="3" t="s">
        <v>62</v>
      </c>
      <c r="AC82" s="3" t="s">
        <v>62</v>
      </c>
      <c r="AD82" s="3" t="s">
        <v>62</v>
      </c>
      <c r="AE82" s="3" t="s">
        <v>62</v>
      </c>
      <c r="AF82" s="3" t="s">
        <v>62</v>
      </c>
      <c r="AG82" s="3" t="s">
        <v>62</v>
      </c>
      <c r="AH82" s="3" t="s">
        <v>62</v>
      </c>
    </row>
    <row r="83" spans="2:34">
      <c r="B83" s="85">
        <v>9</v>
      </c>
      <c r="C83" s="89" t="str">
        <f>LEFT(EmpGName09)&amp;" " &amp;EmpSName09</f>
        <v>1 Odd1</v>
      </c>
      <c r="D83" s="4" t="s">
        <v>62</v>
      </c>
      <c r="E83" s="4" t="s">
        <v>62</v>
      </c>
      <c r="F83" s="4" t="s">
        <v>62</v>
      </c>
      <c r="G83" s="4" t="s">
        <v>62</v>
      </c>
      <c r="H83" s="4" t="s">
        <v>62</v>
      </c>
      <c r="I83" s="4" t="s">
        <v>62</v>
      </c>
      <c r="J83" s="4" t="s">
        <v>62</v>
      </c>
      <c r="K83" s="4" t="s">
        <v>62</v>
      </c>
      <c r="L83" s="4" t="s">
        <v>62</v>
      </c>
      <c r="M83" s="4" t="s">
        <v>62</v>
      </c>
      <c r="N83" s="4" t="s">
        <v>62</v>
      </c>
      <c r="O83" s="4" t="s">
        <v>62</v>
      </c>
      <c r="P83" s="4" t="s">
        <v>62</v>
      </c>
      <c r="Q83" s="4" t="s">
        <v>62</v>
      </c>
      <c r="R83" s="4" t="s">
        <v>62</v>
      </c>
      <c r="S83" s="4" t="s">
        <v>62</v>
      </c>
      <c r="T83" s="4" t="s">
        <v>62</v>
      </c>
      <c r="U83" s="4" t="s">
        <v>62</v>
      </c>
      <c r="V83" s="4" t="s">
        <v>62</v>
      </c>
      <c r="W83" s="4" t="s">
        <v>62</v>
      </c>
      <c r="X83" s="4" t="s">
        <v>62</v>
      </c>
      <c r="Y83" s="4" t="s">
        <v>62</v>
      </c>
      <c r="Z83" s="4" t="s">
        <v>62</v>
      </c>
      <c r="AA83" s="4" t="s">
        <v>62</v>
      </c>
      <c r="AB83" s="4" t="s">
        <v>62</v>
      </c>
      <c r="AC83" s="4" t="s">
        <v>62</v>
      </c>
      <c r="AD83" s="4" t="s">
        <v>62</v>
      </c>
      <c r="AE83" s="4" t="s">
        <v>62</v>
      </c>
      <c r="AF83" s="4" t="s">
        <v>62</v>
      </c>
      <c r="AG83" s="4" t="s">
        <v>62</v>
      </c>
      <c r="AH83" s="4" t="s">
        <v>62</v>
      </c>
    </row>
    <row r="84" spans="2:34">
      <c r="B84" s="148">
        <v>10</v>
      </c>
      <c r="C84" s="90" t="str">
        <f>LEFT(EmpGName10)&amp;" " &amp;EmpSName10</f>
        <v>2 Odd2</v>
      </c>
      <c r="D84" s="3" t="s">
        <v>62</v>
      </c>
      <c r="E84" s="3" t="s">
        <v>62</v>
      </c>
      <c r="F84" s="3" t="s">
        <v>62</v>
      </c>
      <c r="G84" s="3" t="s">
        <v>62</v>
      </c>
      <c r="H84" s="3" t="s">
        <v>62</v>
      </c>
      <c r="I84" s="3" t="s">
        <v>62</v>
      </c>
      <c r="J84" s="3" t="s">
        <v>62</v>
      </c>
      <c r="K84" s="3" t="s">
        <v>62</v>
      </c>
      <c r="L84" s="3" t="s">
        <v>62</v>
      </c>
      <c r="M84" s="3" t="s">
        <v>62</v>
      </c>
      <c r="N84" s="3" t="s">
        <v>62</v>
      </c>
      <c r="O84" s="3" t="s">
        <v>62</v>
      </c>
      <c r="P84" s="3" t="s">
        <v>62</v>
      </c>
      <c r="Q84" s="3" t="s">
        <v>62</v>
      </c>
      <c r="R84" s="3" t="s">
        <v>62</v>
      </c>
      <c r="S84" s="3" t="s">
        <v>62</v>
      </c>
      <c r="T84" s="3" t="s">
        <v>62</v>
      </c>
      <c r="U84" s="3" t="s">
        <v>62</v>
      </c>
      <c r="V84" s="3" t="s">
        <v>62</v>
      </c>
      <c r="W84" s="3" t="s">
        <v>62</v>
      </c>
      <c r="X84" s="3" t="s">
        <v>62</v>
      </c>
      <c r="Y84" s="3" t="s">
        <v>62</v>
      </c>
      <c r="Z84" s="3" t="s">
        <v>62</v>
      </c>
      <c r="AA84" s="3" t="s">
        <v>62</v>
      </c>
      <c r="AB84" s="3" t="s">
        <v>62</v>
      </c>
      <c r="AC84" s="3" t="s">
        <v>62</v>
      </c>
      <c r="AD84" s="3" t="s">
        <v>62</v>
      </c>
      <c r="AE84" s="3" t="s">
        <v>62</v>
      </c>
      <c r="AF84" s="3" t="s">
        <v>62</v>
      </c>
      <c r="AG84" s="3" t="s">
        <v>62</v>
      </c>
      <c r="AH84" s="3" t="s">
        <v>62</v>
      </c>
    </row>
    <row r="85" spans="2:34" s="70" customFormat="1">
      <c r="B85" s="148">
        <v>11</v>
      </c>
      <c r="C85" s="89" t="str">
        <f>LEFT(EmpGName11)&amp;" " &amp;EmpSName11</f>
        <v>2 Odd3</v>
      </c>
      <c r="D85" s="4" t="s">
        <v>62</v>
      </c>
      <c r="E85" s="4" t="s">
        <v>62</v>
      </c>
      <c r="F85" s="4" t="s">
        <v>62</v>
      </c>
      <c r="G85" s="4" t="s">
        <v>62</v>
      </c>
      <c r="H85" s="4" t="s">
        <v>62</v>
      </c>
      <c r="I85" s="4" t="s">
        <v>62</v>
      </c>
      <c r="J85" s="4" t="s">
        <v>62</v>
      </c>
      <c r="K85" s="4" t="s">
        <v>62</v>
      </c>
      <c r="L85" s="4" t="s">
        <v>62</v>
      </c>
      <c r="M85" s="4" t="s">
        <v>62</v>
      </c>
      <c r="N85" s="4" t="s">
        <v>62</v>
      </c>
      <c r="O85" s="4" t="s">
        <v>62</v>
      </c>
      <c r="P85" s="4" t="s">
        <v>62</v>
      </c>
      <c r="Q85" s="4" t="s">
        <v>62</v>
      </c>
      <c r="R85" s="4" t="s">
        <v>62</v>
      </c>
      <c r="S85" s="4" t="s">
        <v>62</v>
      </c>
      <c r="T85" s="4" t="s">
        <v>62</v>
      </c>
      <c r="U85" s="4" t="s">
        <v>62</v>
      </c>
      <c r="V85" s="4" t="s">
        <v>62</v>
      </c>
      <c r="W85" s="4" t="s">
        <v>62</v>
      </c>
      <c r="X85" s="4" t="s">
        <v>62</v>
      </c>
      <c r="Y85" s="4" t="s">
        <v>62</v>
      </c>
      <c r="Z85" s="4" t="s">
        <v>62</v>
      </c>
      <c r="AA85" s="4" t="s">
        <v>62</v>
      </c>
      <c r="AB85" s="4" t="s">
        <v>62</v>
      </c>
      <c r="AC85" s="4" t="s">
        <v>62</v>
      </c>
      <c r="AD85" s="4" t="s">
        <v>62</v>
      </c>
      <c r="AE85" s="4" t="s">
        <v>62</v>
      </c>
      <c r="AF85" s="4" t="s">
        <v>62</v>
      </c>
      <c r="AG85" s="4" t="s">
        <v>62</v>
      </c>
      <c r="AH85" s="4" t="s">
        <v>62</v>
      </c>
    </row>
    <row r="86" spans="2:34" s="70" customFormat="1">
      <c r="B86" s="148">
        <v>12</v>
      </c>
      <c r="C86" s="90" t="str">
        <f>LEFT(EmpGName12)&amp;" " &amp;EmpSName12</f>
        <v>4 Odd4</v>
      </c>
      <c r="D86" s="3" t="s">
        <v>62</v>
      </c>
      <c r="E86" s="3" t="s">
        <v>62</v>
      </c>
      <c r="F86" s="3" t="s">
        <v>62</v>
      </c>
      <c r="G86" s="3" t="s">
        <v>62</v>
      </c>
      <c r="H86" s="3" t="s">
        <v>62</v>
      </c>
      <c r="I86" s="3" t="s">
        <v>62</v>
      </c>
      <c r="J86" s="3" t="s">
        <v>62</v>
      </c>
      <c r="K86" s="3" t="s">
        <v>62</v>
      </c>
      <c r="L86" s="3" t="s">
        <v>62</v>
      </c>
      <c r="M86" s="3" t="s">
        <v>62</v>
      </c>
      <c r="N86" s="3" t="s">
        <v>62</v>
      </c>
      <c r="O86" s="3" t="s">
        <v>62</v>
      </c>
      <c r="P86" s="3" t="s">
        <v>62</v>
      </c>
      <c r="Q86" s="3" t="s">
        <v>62</v>
      </c>
      <c r="R86" s="3" t="s">
        <v>62</v>
      </c>
      <c r="S86" s="3" t="s">
        <v>62</v>
      </c>
      <c r="T86" s="3" t="s">
        <v>62</v>
      </c>
      <c r="U86" s="3" t="s">
        <v>62</v>
      </c>
      <c r="V86" s="3" t="s">
        <v>62</v>
      </c>
      <c r="W86" s="3" t="s">
        <v>62</v>
      </c>
      <c r="X86" s="3" t="s">
        <v>62</v>
      </c>
      <c r="Y86" s="3" t="s">
        <v>62</v>
      </c>
      <c r="Z86" s="3" t="s">
        <v>62</v>
      </c>
      <c r="AA86" s="3" t="s">
        <v>62</v>
      </c>
      <c r="AB86" s="3" t="s">
        <v>62</v>
      </c>
      <c r="AC86" s="3" t="s">
        <v>62</v>
      </c>
      <c r="AD86" s="3" t="s">
        <v>62</v>
      </c>
      <c r="AE86" s="3" t="s">
        <v>62</v>
      </c>
      <c r="AF86" s="3" t="s">
        <v>62</v>
      </c>
      <c r="AG86" s="3" t="s">
        <v>62</v>
      </c>
      <c r="AH86" s="3" t="s">
        <v>62</v>
      </c>
    </row>
    <row r="87" spans="2:34" s="70" customFormat="1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</row>
    <row r="88" spans="2:34">
      <c r="C88" t="str">
        <f>CurYear-1&amp;":"</f>
        <v>2018:</v>
      </c>
      <c r="D88" s="5" t="str">
        <f t="shared" ref="D88:AG88" si="4">LEFT(TEXT(D89&amp;"-"&amp;$C89&amp;"-"&amp; CurYear-1,"ddd"),2)</f>
        <v>Th</v>
      </c>
      <c r="E88" s="5" t="str">
        <f t="shared" si="4"/>
        <v>Fr</v>
      </c>
      <c r="F88" s="5" t="str">
        <f t="shared" si="4"/>
        <v>Sa</v>
      </c>
      <c r="G88" s="5" t="str">
        <f t="shared" si="4"/>
        <v>Su</v>
      </c>
      <c r="H88" s="5" t="str">
        <f t="shared" si="4"/>
        <v>Mo</v>
      </c>
      <c r="I88" s="5" t="str">
        <f t="shared" si="4"/>
        <v>Tu</v>
      </c>
      <c r="J88" s="5" t="str">
        <f t="shared" si="4"/>
        <v>We</v>
      </c>
      <c r="K88" s="5" t="str">
        <f t="shared" si="4"/>
        <v>Th</v>
      </c>
      <c r="L88" s="5" t="str">
        <f t="shared" si="4"/>
        <v>Fr</v>
      </c>
      <c r="M88" s="5" t="str">
        <f t="shared" si="4"/>
        <v>Sa</v>
      </c>
      <c r="N88" s="5" t="str">
        <f t="shared" si="4"/>
        <v>Su</v>
      </c>
      <c r="O88" s="5" t="str">
        <f t="shared" si="4"/>
        <v>Mo</v>
      </c>
      <c r="P88" s="5" t="str">
        <f t="shared" si="4"/>
        <v>Tu</v>
      </c>
      <c r="Q88" s="5" t="str">
        <f t="shared" si="4"/>
        <v>We</v>
      </c>
      <c r="R88" s="5" t="str">
        <f t="shared" si="4"/>
        <v>Th</v>
      </c>
      <c r="S88" s="5" t="str">
        <f t="shared" si="4"/>
        <v>Fr</v>
      </c>
      <c r="T88" s="5" t="str">
        <f t="shared" si="4"/>
        <v>Sa</v>
      </c>
      <c r="U88" s="5" t="str">
        <f t="shared" si="4"/>
        <v>Su</v>
      </c>
      <c r="V88" s="5" t="str">
        <f t="shared" si="4"/>
        <v>Mo</v>
      </c>
      <c r="W88" s="5" t="str">
        <f t="shared" si="4"/>
        <v>Tu</v>
      </c>
      <c r="X88" s="5" t="str">
        <f t="shared" si="4"/>
        <v>We</v>
      </c>
      <c r="Y88" s="5" t="str">
        <f t="shared" si="4"/>
        <v>Th</v>
      </c>
      <c r="Z88" s="5" t="str">
        <f t="shared" si="4"/>
        <v>Fr</v>
      </c>
      <c r="AA88" s="5" t="str">
        <f t="shared" si="4"/>
        <v>Sa</v>
      </c>
      <c r="AB88" s="5" t="str">
        <f t="shared" si="4"/>
        <v>Su</v>
      </c>
      <c r="AC88" s="5" t="str">
        <f t="shared" si="4"/>
        <v>Mo</v>
      </c>
      <c r="AD88" s="5" t="str">
        <f t="shared" si="4"/>
        <v>Tu</v>
      </c>
      <c r="AE88" s="5" t="str">
        <f t="shared" si="4"/>
        <v>We</v>
      </c>
      <c r="AF88" s="5" t="str">
        <f t="shared" si="4"/>
        <v>Th</v>
      </c>
      <c r="AG88" s="5" t="str">
        <f t="shared" si="4"/>
        <v>Fr</v>
      </c>
      <c r="AH88" s="5"/>
    </row>
    <row r="89" spans="2:34">
      <c r="B89" s="88"/>
      <c r="C89" s="84" t="s">
        <v>22</v>
      </c>
      <c r="D89" s="85">
        <v>1</v>
      </c>
      <c r="E89" s="85">
        <v>2</v>
      </c>
      <c r="F89" s="85">
        <v>3</v>
      </c>
      <c r="G89" s="85">
        <v>4</v>
      </c>
      <c r="H89" s="85">
        <v>5</v>
      </c>
      <c r="I89" s="85">
        <v>6</v>
      </c>
      <c r="J89" s="85">
        <v>7</v>
      </c>
      <c r="K89" s="85">
        <v>8</v>
      </c>
      <c r="L89" s="176">
        <v>9</v>
      </c>
      <c r="M89" s="85">
        <v>10</v>
      </c>
      <c r="N89" s="85">
        <v>11</v>
      </c>
      <c r="O89" s="85">
        <v>12</v>
      </c>
      <c r="P89" s="85">
        <v>13</v>
      </c>
      <c r="Q89" s="85">
        <v>14</v>
      </c>
      <c r="R89" s="85">
        <v>15</v>
      </c>
      <c r="S89" s="85">
        <v>16</v>
      </c>
      <c r="T89" s="85">
        <v>17</v>
      </c>
      <c r="U89" s="85">
        <v>18</v>
      </c>
      <c r="V89" s="85">
        <v>19</v>
      </c>
      <c r="W89" s="85">
        <v>20</v>
      </c>
      <c r="X89" s="85">
        <v>21</v>
      </c>
      <c r="Y89" s="85">
        <v>22</v>
      </c>
      <c r="Z89" s="176">
        <v>23</v>
      </c>
      <c r="AA89" s="85">
        <v>24</v>
      </c>
      <c r="AB89" s="85">
        <v>25</v>
      </c>
      <c r="AC89" s="85">
        <v>26</v>
      </c>
      <c r="AD89" s="85">
        <v>27</v>
      </c>
      <c r="AE89" s="85">
        <v>28</v>
      </c>
      <c r="AF89" s="85">
        <v>29</v>
      </c>
      <c r="AG89" s="85">
        <v>30</v>
      </c>
    </row>
    <row r="90" spans="2:34">
      <c r="B90" s="85">
        <v>1</v>
      </c>
      <c r="C90" s="89" t="str">
        <f>LEFT(EmpGName01)&amp;" " &amp; EmpSName01</f>
        <v>L Marampon</v>
      </c>
      <c r="D90" s="4" t="s">
        <v>62</v>
      </c>
      <c r="E90" s="4" t="s">
        <v>62</v>
      </c>
      <c r="F90" s="4" t="s">
        <v>62</v>
      </c>
      <c r="G90" s="4" t="s">
        <v>62</v>
      </c>
      <c r="H90" s="4" t="s">
        <v>62</v>
      </c>
      <c r="I90" s="4" t="s">
        <v>62</v>
      </c>
      <c r="J90" s="4" t="s">
        <v>62</v>
      </c>
      <c r="K90" s="4" t="s">
        <v>62</v>
      </c>
      <c r="L90" s="4" t="s">
        <v>62</v>
      </c>
      <c r="M90" s="4" t="s">
        <v>62</v>
      </c>
      <c r="N90" s="4" t="s">
        <v>62</v>
      </c>
      <c r="O90" s="4" t="s">
        <v>62</v>
      </c>
      <c r="P90" s="4" t="s">
        <v>62</v>
      </c>
      <c r="Q90" s="4" t="s">
        <v>62</v>
      </c>
      <c r="R90" s="4" t="s">
        <v>62</v>
      </c>
      <c r="S90" s="4" t="s">
        <v>62</v>
      </c>
      <c r="T90" s="4" t="s">
        <v>62</v>
      </c>
      <c r="U90" s="4" t="s">
        <v>62</v>
      </c>
      <c r="V90" s="4" t="s">
        <v>62</v>
      </c>
      <c r="W90" s="4" t="s">
        <v>62</v>
      </c>
      <c r="X90" s="4" t="s">
        <v>62</v>
      </c>
      <c r="Y90" s="4" t="s">
        <v>62</v>
      </c>
      <c r="Z90" s="4" t="s">
        <v>62</v>
      </c>
      <c r="AA90" s="4" t="s">
        <v>62</v>
      </c>
      <c r="AB90" s="4" t="s">
        <v>62</v>
      </c>
      <c r="AC90" s="4" t="s">
        <v>62</v>
      </c>
      <c r="AD90" s="4" t="s">
        <v>62</v>
      </c>
      <c r="AE90" s="4" t="s">
        <v>62</v>
      </c>
      <c r="AF90" s="4" t="s">
        <v>62</v>
      </c>
      <c r="AG90" s="4" t="s">
        <v>62</v>
      </c>
    </row>
    <row r="91" spans="2:34">
      <c r="B91" s="85">
        <v>2</v>
      </c>
      <c r="C91" s="90" t="str">
        <f>LEFT(EmpGName02)&amp;" " &amp;EmpSName02</f>
        <v>K Stone</v>
      </c>
      <c r="D91" s="3" t="s">
        <v>62</v>
      </c>
      <c r="E91" s="3" t="s">
        <v>62</v>
      </c>
      <c r="F91" s="3" t="s">
        <v>62</v>
      </c>
      <c r="G91" s="3" t="s">
        <v>62</v>
      </c>
      <c r="H91" s="3" t="s">
        <v>62</v>
      </c>
      <c r="I91" s="3" t="s">
        <v>62</v>
      </c>
      <c r="J91" s="3" t="s">
        <v>62</v>
      </c>
      <c r="K91" s="3" t="s">
        <v>62</v>
      </c>
      <c r="L91" s="3" t="s">
        <v>62</v>
      </c>
      <c r="M91" s="3" t="s">
        <v>62</v>
      </c>
      <c r="N91" s="3" t="s">
        <v>62</v>
      </c>
      <c r="O91" s="3" t="s">
        <v>62</v>
      </c>
      <c r="P91" s="3" t="s">
        <v>62</v>
      </c>
      <c r="Q91" s="3" t="s">
        <v>62</v>
      </c>
      <c r="R91" s="3" t="s">
        <v>62</v>
      </c>
      <c r="S91" s="3" t="s">
        <v>62</v>
      </c>
      <c r="T91" s="3" t="s">
        <v>62</v>
      </c>
      <c r="U91" s="3" t="s">
        <v>62</v>
      </c>
      <c r="V91" s="3" t="s">
        <v>62</v>
      </c>
      <c r="W91" s="3" t="s">
        <v>62</v>
      </c>
      <c r="X91" s="3" t="s">
        <v>62</v>
      </c>
      <c r="Y91" s="3" t="s">
        <v>62</v>
      </c>
      <c r="Z91" s="3" t="s">
        <v>62</v>
      </c>
      <c r="AA91" s="3" t="s">
        <v>62</v>
      </c>
      <c r="AB91" s="3" t="s">
        <v>62</v>
      </c>
      <c r="AC91" s="3" t="s">
        <v>62</v>
      </c>
      <c r="AD91" s="3" t="s">
        <v>62</v>
      </c>
      <c r="AE91" s="3" t="s">
        <v>62</v>
      </c>
      <c r="AF91" s="3" t="s">
        <v>62</v>
      </c>
      <c r="AG91" s="3" t="s">
        <v>62</v>
      </c>
    </row>
    <row r="92" spans="2:34">
      <c r="B92" s="85">
        <v>3</v>
      </c>
      <c r="C92" s="89" t="str">
        <f>LEFT(EmpGName03)&amp;" " &amp;EmpSName03</f>
        <v>I Thelning</v>
      </c>
      <c r="D92" s="4" t="s">
        <v>62</v>
      </c>
      <c r="E92" s="4" t="s">
        <v>62</v>
      </c>
      <c r="F92" s="4" t="s">
        <v>62</v>
      </c>
      <c r="G92" s="4" t="s">
        <v>62</v>
      </c>
      <c r="H92" s="4" t="s">
        <v>62</v>
      </c>
      <c r="I92" s="4" t="s">
        <v>62</v>
      </c>
      <c r="J92" s="4" t="s">
        <v>62</v>
      </c>
      <c r="K92" s="4" t="s">
        <v>62</v>
      </c>
      <c r="L92" s="4" t="s">
        <v>62</v>
      </c>
      <c r="M92" s="4" t="s">
        <v>62</v>
      </c>
      <c r="N92" s="4" t="s">
        <v>62</v>
      </c>
      <c r="O92" s="4" t="s">
        <v>62</v>
      </c>
      <c r="P92" s="4" t="s">
        <v>62</v>
      </c>
      <c r="Q92" s="4" t="s">
        <v>62</v>
      </c>
      <c r="R92" s="4" t="s">
        <v>62</v>
      </c>
      <c r="S92" s="4" t="s">
        <v>62</v>
      </c>
      <c r="T92" s="4" t="s">
        <v>62</v>
      </c>
      <c r="U92" s="4" t="s">
        <v>62</v>
      </c>
      <c r="V92" s="4" t="s">
        <v>62</v>
      </c>
      <c r="W92" s="4" t="s">
        <v>62</v>
      </c>
      <c r="X92" s="4" t="s">
        <v>62</v>
      </c>
      <c r="Y92" s="4" t="s">
        <v>62</v>
      </c>
      <c r="Z92" s="4" t="s">
        <v>62</v>
      </c>
      <c r="AA92" s="4" t="s">
        <v>62</v>
      </c>
      <c r="AB92" s="4" t="s">
        <v>62</v>
      </c>
      <c r="AC92" s="4" t="s">
        <v>62</v>
      </c>
      <c r="AD92" s="4" t="s">
        <v>62</v>
      </c>
      <c r="AE92" s="4" t="s">
        <v>62</v>
      </c>
      <c r="AF92" s="4" t="s">
        <v>62</v>
      </c>
      <c r="AG92" s="4" t="s">
        <v>62</v>
      </c>
    </row>
    <row r="93" spans="2:34">
      <c r="B93" s="85">
        <v>4</v>
      </c>
      <c r="C93" s="90" t="str">
        <f>LEFT(EmpGName04)&amp;" " &amp;EmpSName04</f>
        <v>L King</v>
      </c>
      <c r="D93" s="3" t="s">
        <v>62</v>
      </c>
      <c r="E93" s="3" t="s">
        <v>62</v>
      </c>
      <c r="F93" s="3" t="s">
        <v>62</v>
      </c>
      <c r="G93" s="3" t="s">
        <v>62</v>
      </c>
      <c r="H93" s="3" t="s">
        <v>62</v>
      </c>
      <c r="I93" s="3" t="s">
        <v>62</v>
      </c>
      <c r="J93" s="3" t="s">
        <v>62</v>
      </c>
      <c r="K93" s="3" t="s">
        <v>62</v>
      </c>
      <c r="L93" s="3" t="s">
        <v>62</v>
      </c>
      <c r="M93" s="3" t="s">
        <v>62</v>
      </c>
      <c r="N93" s="3" t="s">
        <v>62</v>
      </c>
      <c r="O93" s="3" t="s">
        <v>62</v>
      </c>
      <c r="P93" s="3" t="s">
        <v>62</v>
      </c>
      <c r="Q93" s="3" t="s">
        <v>62</v>
      </c>
      <c r="R93" s="3" t="s">
        <v>62</v>
      </c>
      <c r="S93" s="3" t="s">
        <v>62</v>
      </c>
      <c r="T93" s="3" t="s">
        <v>62</v>
      </c>
      <c r="U93" s="3" t="s">
        <v>62</v>
      </c>
      <c r="V93" s="3" t="s">
        <v>62</v>
      </c>
      <c r="W93" s="3" t="s">
        <v>62</v>
      </c>
      <c r="X93" s="3" t="s">
        <v>62</v>
      </c>
      <c r="Y93" s="3" t="s">
        <v>62</v>
      </c>
      <c r="Z93" s="3" t="s">
        <v>62</v>
      </c>
      <c r="AA93" s="3" t="s">
        <v>62</v>
      </c>
      <c r="AB93" s="3" t="s">
        <v>62</v>
      </c>
      <c r="AC93" s="3" t="s">
        <v>62</v>
      </c>
      <c r="AD93" s="3" t="s">
        <v>62</v>
      </c>
      <c r="AE93" s="3" t="s">
        <v>62</v>
      </c>
      <c r="AF93" s="3" t="s">
        <v>62</v>
      </c>
      <c r="AG93" s="3" t="s">
        <v>62</v>
      </c>
    </row>
    <row r="94" spans="2:34">
      <c r="B94" s="85">
        <v>5</v>
      </c>
      <c r="C94" s="89" t="str">
        <f>LEFT(EmpGName05)&amp;" " &amp;EmpSName05</f>
        <v>D Castle</v>
      </c>
      <c r="D94" s="4" t="s">
        <v>62</v>
      </c>
      <c r="E94" s="4" t="s">
        <v>62</v>
      </c>
      <c r="F94" s="4" t="s">
        <v>62</v>
      </c>
      <c r="G94" s="4" t="s">
        <v>62</v>
      </c>
      <c r="H94" s="4" t="s">
        <v>62</v>
      </c>
      <c r="I94" s="4" t="s">
        <v>62</v>
      </c>
      <c r="J94" s="4" t="s">
        <v>62</v>
      </c>
      <c r="K94" s="4" t="s">
        <v>62</v>
      </c>
      <c r="L94" s="4" t="s">
        <v>62</v>
      </c>
      <c r="M94" s="4" t="s">
        <v>62</v>
      </c>
      <c r="N94" s="4" t="s">
        <v>62</v>
      </c>
      <c r="O94" s="4" t="s">
        <v>62</v>
      </c>
      <c r="P94" s="4" t="s">
        <v>62</v>
      </c>
      <c r="Q94" s="4" t="s">
        <v>62</v>
      </c>
      <c r="R94" s="4" t="s">
        <v>62</v>
      </c>
      <c r="S94" s="4" t="s">
        <v>62</v>
      </c>
      <c r="T94" s="4" t="s">
        <v>62</v>
      </c>
      <c r="U94" s="4" t="s">
        <v>62</v>
      </c>
      <c r="V94" s="4" t="s">
        <v>62</v>
      </c>
      <c r="W94" s="4" t="s">
        <v>62</v>
      </c>
      <c r="X94" s="4" t="s">
        <v>62</v>
      </c>
      <c r="Y94" s="4" t="s">
        <v>62</v>
      </c>
      <c r="Z94" s="4" t="s">
        <v>62</v>
      </c>
      <c r="AA94" s="4" t="s">
        <v>62</v>
      </c>
      <c r="AB94" s="4" t="s">
        <v>62</v>
      </c>
      <c r="AC94" s="4" t="s">
        <v>62</v>
      </c>
      <c r="AD94" s="4" t="s">
        <v>62</v>
      </c>
      <c r="AE94" s="4" t="s">
        <v>62</v>
      </c>
      <c r="AF94" s="4" t="s">
        <v>62</v>
      </c>
      <c r="AG94" s="4" t="s">
        <v>62</v>
      </c>
    </row>
    <row r="95" spans="2:34">
      <c r="B95" s="85">
        <v>6</v>
      </c>
      <c r="C95" s="90" t="str">
        <f>LEFT(EmpGName06)&amp;" " &amp;EmpSName06</f>
        <v>R Fielding</v>
      </c>
      <c r="D95" s="3" t="s">
        <v>62</v>
      </c>
      <c r="E95" s="3" t="s">
        <v>62</v>
      </c>
      <c r="F95" s="3" t="s">
        <v>62</v>
      </c>
      <c r="G95" s="3" t="s">
        <v>62</v>
      </c>
      <c r="H95" s="3" t="s">
        <v>62</v>
      </c>
      <c r="I95" s="3" t="s">
        <v>62</v>
      </c>
      <c r="J95" s="3" t="s">
        <v>62</v>
      </c>
      <c r="K95" s="3" t="s">
        <v>62</v>
      </c>
      <c r="L95" s="3" t="s">
        <v>62</v>
      </c>
      <c r="M95" s="3" t="s">
        <v>62</v>
      </c>
      <c r="N95" s="3" t="s">
        <v>62</v>
      </c>
      <c r="O95" s="3" t="s">
        <v>62</v>
      </c>
      <c r="P95" s="3" t="s">
        <v>62</v>
      </c>
      <c r="Q95" s="3" t="s">
        <v>62</v>
      </c>
      <c r="R95" s="3" t="s">
        <v>62</v>
      </c>
      <c r="S95" s="3" t="s">
        <v>62</v>
      </c>
      <c r="T95" s="3" t="s">
        <v>62</v>
      </c>
      <c r="U95" s="3" t="s">
        <v>62</v>
      </c>
      <c r="V95" s="3" t="s">
        <v>62</v>
      </c>
      <c r="W95" s="3" t="s">
        <v>62</v>
      </c>
      <c r="X95" s="3" t="s">
        <v>62</v>
      </c>
      <c r="Y95" s="3" t="s">
        <v>62</v>
      </c>
      <c r="Z95" s="3" t="s">
        <v>62</v>
      </c>
      <c r="AA95" s="3" t="s">
        <v>62</v>
      </c>
      <c r="AB95" s="3" t="s">
        <v>62</v>
      </c>
      <c r="AC95" s="3" t="s">
        <v>62</v>
      </c>
      <c r="AD95" s="3" t="s">
        <v>62</v>
      </c>
      <c r="AE95" s="3" t="s">
        <v>62</v>
      </c>
      <c r="AF95" s="3" t="s">
        <v>62</v>
      </c>
      <c r="AG95" s="3" t="s">
        <v>62</v>
      </c>
    </row>
    <row r="96" spans="2:34">
      <c r="B96" s="85">
        <v>7</v>
      </c>
      <c r="C96" s="89" t="str">
        <f>LEFT(EmpGName07)&amp;" " &amp;EmpSName07</f>
        <v>T Sorensen</v>
      </c>
      <c r="D96" s="4" t="s">
        <v>62</v>
      </c>
      <c r="E96" s="4" t="s">
        <v>62</v>
      </c>
      <c r="F96" s="4" t="s">
        <v>62</v>
      </c>
      <c r="G96" s="4" t="s">
        <v>62</v>
      </c>
      <c r="H96" s="4" t="s">
        <v>62</v>
      </c>
      <c r="I96" s="4" t="s">
        <v>62</v>
      </c>
      <c r="J96" s="4" t="s">
        <v>62</v>
      </c>
      <c r="K96" s="4" t="s">
        <v>62</v>
      </c>
      <c r="L96" s="4" t="s">
        <v>62</v>
      </c>
      <c r="M96" s="4" t="s">
        <v>62</v>
      </c>
      <c r="N96" s="4" t="s">
        <v>62</v>
      </c>
      <c r="O96" s="4" t="s">
        <v>62</v>
      </c>
      <c r="P96" s="4" t="s">
        <v>62</v>
      </c>
      <c r="Q96" s="4" t="s">
        <v>62</v>
      </c>
      <c r="R96" s="4" t="s">
        <v>62</v>
      </c>
      <c r="S96" s="4" t="s">
        <v>62</v>
      </c>
      <c r="T96" s="4" t="s">
        <v>62</v>
      </c>
      <c r="U96" s="4" t="s">
        <v>62</v>
      </c>
      <c r="V96" s="4" t="s">
        <v>62</v>
      </c>
      <c r="W96" s="4" t="s">
        <v>62</v>
      </c>
      <c r="X96" s="4" t="s">
        <v>62</v>
      </c>
      <c r="Y96" s="4" t="s">
        <v>62</v>
      </c>
      <c r="Z96" s="4" t="s">
        <v>62</v>
      </c>
      <c r="AA96" s="4" t="s">
        <v>62</v>
      </c>
      <c r="AB96" s="4" t="s">
        <v>62</v>
      </c>
      <c r="AC96" s="4" t="s">
        <v>62</v>
      </c>
      <c r="AD96" s="4" t="s">
        <v>62</v>
      </c>
      <c r="AE96" s="4" t="s">
        <v>62</v>
      </c>
      <c r="AF96" s="4" t="s">
        <v>62</v>
      </c>
      <c r="AG96" s="4" t="s">
        <v>62</v>
      </c>
    </row>
    <row r="97" spans="2:34">
      <c r="B97" s="85">
        <v>8</v>
      </c>
      <c r="C97" s="90" t="str">
        <f>LEFT(EmpGName08)&amp;" " &amp;EmpSName08</f>
        <v xml:space="preserve">B Odd </v>
      </c>
      <c r="D97" s="3" t="s">
        <v>62</v>
      </c>
      <c r="E97" s="3" t="s">
        <v>62</v>
      </c>
      <c r="F97" s="3" t="s">
        <v>62</v>
      </c>
      <c r="G97" s="3" t="s">
        <v>62</v>
      </c>
      <c r="H97" s="3" t="s">
        <v>62</v>
      </c>
      <c r="I97" s="3" t="s">
        <v>62</v>
      </c>
      <c r="J97" s="3" t="s">
        <v>62</v>
      </c>
      <c r="K97" s="3" t="s">
        <v>62</v>
      </c>
      <c r="L97" s="3" t="s">
        <v>62</v>
      </c>
      <c r="M97" s="3" t="s">
        <v>62</v>
      </c>
      <c r="N97" s="3" t="s">
        <v>62</v>
      </c>
      <c r="O97" s="3" t="s">
        <v>62</v>
      </c>
      <c r="P97" s="3" t="s">
        <v>62</v>
      </c>
      <c r="Q97" s="3" t="s">
        <v>62</v>
      </c>
      <c r="R97" s="3" t="s">
        <v>62</v>
      </c>
      <c r="S97" s="3" t="s">
        <v>62</v>
      </c>
      <c r="T97" s="3" t="s">
        <v>62</v>
      </c>
      <c r="U97" s="3" t="s">
        <v>62</v>
      </c>
      <c r="V97" s="3" t="s">
        <v>62</v>
      </c>
      <c r="W97" s="3" t="s">
        <v>62</v>
      </c>
      <c r="X97" s="3" t="s">
        <v>62</v>
      </c>
      <c r="Y97" s="3" t="s">
        <v>62</v>
      </c>
      <c r="Z97" s="3" t="s">
        <v>62</v>
      </c>
      <c r="AA97" s="3" t="s">
        <v>62</v>
      </c>
      <c r="AB97" s="3" t="s">
        <v>62</v>
      </c>
      <c r="AC97" s="3" t="s">
        <v>62</v>
      </c>
      <c r="AD97" s="3" t="s">
        <v>62</v>
      </c>
      <c r="AE97" s="3" t="s">
        <v>62</v>
      </c>
      <c r="AF97" s="3" t="s">
        <v>62</v>
      </c>
      <c r="AG97" s="3" t="s">
        <v>62</v>
      </c>
    </row>
    <row r="98" spans="2:34">
      <c r="B98" s="85">
        <v>9</v>
      </c>
      <c r="C98" s="89" t="str">
        <f>LEFT(EmpGName09)&amp;" " &amp;EmpSName09</f>
        <v>1 Odd1</v>
      </c>
      <c r="D98" s="4" t="s">
        <v>62</v>
      </c>
      <c r="E98" s="4" t="s">
        <v>62</v>
      </c>
      <c r="F98" s="4" t="s">
        <v>62</v>
      </c>
      <c r="G98" s="4" t="s">
        <v>62</v>
      </c>
      <c r="H98" s="4" t="s">
        <v>62</v>
      </c>
      <c r="I98" s="4" t="s">
        <v>62</v>
      </c>
      <c r="J98" s="4" t="s">
        <v>62</v>
      </c>
      <c r="K98" s="4" t="s">
        <v>62</v>
      </c>
      <c r="L98" s="4" t="s">
        <v>62</v>
      </c>
      <c r="M98" s="4" t="s">
        <v>62</v>
      </c>
      <c r="N98" s="4" t="s">
        <v>62</v>
      </c>
      <c r="O98" s="4" t="s">
        <v>62</v>
      </c>
      <c r="P98" s="4" t="s">
        <v>62</v>
      </c>
      <c r="Q98" s="4" t="s">
        <v>62</v>
      </c>
      <c r="R98" s="4" t="s">
        <v>62</v>
      </c>
      <c r="S98" s="4" t="s">
        <v>62</v>
      </c>
      <c r="T98" s="4" t="s">
        <v>62</v>
      </c>
      <c r="U98" s="4" t="s">
        <v>62</v>
      </c>
      <c r="V98" s="4" t="s">
        <v>62</v>
      </c>
      <c r="W98" s="4" t="s">
        <v>62</v>
      </c>
      <c r="X98" s="4" t="s">
        <v>62</v>
      </c>
      <c r="Y98" s="4" t="s">
        <v>62</v>
      </c>
      <c r="Z98" s="4" t="s">
        <v>62</v>
      </c>
      <c r="AA98" s="4" t="s">
        <v>62</v>
      </c>
      <c r="AB98" s="4" t="s">
        <v>62</v>
      </c>
      <c r="AC98" s="4" t="s">
        <v>62</v>
      </c>
      <c r="AD98" s="4" t="s">
        <v>62</v>
      </c>
      <c r="AE98" s="4" t="s">
        <v>62</v>
      </c>
      <c r="AF98" s="4" t="s">
        <v>62</v>
      </c>
      <c r="AG98" s="4" t="s">
        <v>62</v>
      </c>
    </row>
    <row r="99" spans="2:34">
      <c r="B99" s="148">
        <v>10</v>
      </c>
      <c r="C99" s="90" t="str">
        <f>LEFT(EmpGName10)&amp;" " &amp;EmpSName10</f>
        <v>2 Odd2</v>
      </c>
      <c r="D99" s="3" t="s">
        <v>62</v>
      </c>
      <c r="E99" s="3" t="s">
        <v>62</v>
      </c>
      <c r="F99" s="3" t="s">
        <v>62</v>
      </c>
      <c r="G99" s="3" t="s">
        <v>62</v>
      </c>
      <c r="H99" s="3" t="s">
        <v>62</v>
      </c>
      <c r="I99" s="3" t="s">
        <v>62</v>
      </c>
      <c r="J99" s="3" t="s">
        <v>62</v>
      </c>
      <c r="K99" s="3" t="s">
        <v>62</v>
      </c>
      <c r="L99" s="3" t="s">
        <v>62</v>
      </c>
      <c r="M99" s="3" t="s">
        <v>62</v>
      </c>
      <c r="N99" s="3" t="s">
        <v>62</v>
      </c>
      <c r="O99" s="3" t="s">
        <v>62</v>
      </c>
      <c r="P99" s="3" t="s">
        <v>62</v>
      </c>
      <c r="Q99" s="3" t="s">
        <v>62</v>
      </c>
      <c r="R99" s="3" t="s">
        <v>62</v>
      </c>
      <c r="S99" s="3" t="s">
        <v>62</v>
      </c>
      <c r="T99" s="3" t="s">
        <v>62</v>
      </c>
      <c r="U99" s="3" t="s">
        <v>62</v>
      </c>
      <c r="V99" s="3" t="s">
        <v>62</v>
      </c>
      <c r="W99" s="3" t="s">
        <v>62</v>
      </c>
      <c r="X99" s="3" t="s">
        <v>62</v>
      </c>
      <c r="Y99" s="3" t="s">
        <v>62</v>
      </c>
      <c r="Z99" s="3" t="s">
        <v>62</v>
      </c>
      <c r="AA99" s="3" t="s">
        <v>62</v>
      </c>
      <c r="AB99" s="3" t="s">
        <v>62</v>
      </c>
      <c r="AC99" s="3" t="s">
        <v>62</v>
      </c>
      <c r="AD99" s="3" t="s">
        <v>62</v>
      </c>
      <c r="AE99" s="3" t="s">
        <v>62</v>
      </c>
      <c r="AF99" s="3" t="s">
        <v>62</v>
      </c>
      <c r="AG99" s="3" t="s">
        <v>62</v>
      </c>
    </row>
    <row r="100" spans="2:34" s="70" customFormat="1">
      <c r="B100" s="148">
        <v>11</v>
      </c>
      <c r="C100" s="89" t="str">
        <f>LEFT(EmpGName11)&amp;" " &amp;EmpSName11</f>
        <v>2 Odd3</v>
      </c>
      <c r="D100" s="4" t="s">
        <v>62</v>
      </c>
      <c r="E100" s="4" t="s">
        <v>62</v>
      </c>
      <c r="F100" s="4" t="s">
        <v>62</v>
      </c>
      <c r="G100" s="4" t="s">
        <v>62</v>
      </c>
      <c r="H100" s="4" t="s">
        <v>62</v>
      </c>
      <c r="I100" s="4" t="s">
        <v>62</v>
      </c>
      <c r="J100" s="4" t="s">
        <v>62</v>
      </c>
      <c r="K100" s="4" t="s">
        <v>62</v>
      </c>
      <c r="L100" s="4" t="s">
        <v>62</v>
      </c>
      <c r="M100" s="4" t="s">
        <v>62</v>
      </c>
      <c r="N100" s="4" t="s">
        <v>62</v>
      </c>
      <c r="O100" s="4" t="s">
        <v>62</v>
      </c>
      <c r="P100" s="4" t="s">
        <v>62</v>
      </c>
      <c r="Q100" s="4" t="s">
        <v>62</v>
      </c>
      <c r="R100" s="4" t="s">
        <v>62</v>
      </c>
      <c r="S100" s="4" t="s">
        <v>62</v>
      </c>
      <c r="T100" s="4" t="s">
        <v>62</v>
      </c>
      <c r="U100" s="4" t="s">
        <v>62</v>
      </c>
      <c r="V100" s="4" t="s">
        <v>62</v>
      </c>
      <c r="W100" s="4" t="s">
        <v>62</v>
      </c>
      <c r="X100" s="4" t="s">
        <v>62</v>
      </c>
      <c r="Y100" s="4" t="s">
        <v>62</v>
      </c>
      <c r="Z100" s="4" t="s">
        <v>62</v>
      </c>
      <c r="AA100" s="4" t="s">
        <v>62</v>
      </c>
      <c r="AB100" s="4" t="s">
        <v>62</v>
      </c>
      <c r="AC100" s="4" t="s">
        <v>62</v>
      </c>
      <c r="AD100" s="4" t="s">
        <v>62</v>
      </c>
      <c r="AE100" s="4" t="s">
        <v>62</v>
      </c>
      <c r="AF100" s="4" t="s">
        <v>62</v>
      </c>
      <c r="AG100" s="4" t="s">
        <v>62</v>
      </c>
      <c r="AH100"/>
    </row>
    <row r="101" spans="2:34" s="70" customFormat="1">
      <c r="B101" s="148">
        <v>12</v>
      </c>
      <c r="C101" s="90" t="str">
        <f>LEFT(EmpGName12)&amp;" " &amp;EmpSName12</f>
        <v>4 Odd4</v>
      </c>
      <c r="D101" s="3" t="s">
        <v>62</v>
      </c>
      <c r="E101" s="3" t="s">
        <v>62</v>
      </c>
      <c r="F101" s="3" t="s">
        <v>62</v>
      </c>
      <c r="G101" s="3" t="s">
        <v>62</v>
      </c>
      <c r="H101" s="3" t="s">
        <v>62</v>
      </c>
      <c r="I101" s="3" t="s">
        <v>62</v>
      </c>
      <c r="J101" s="3" t="s">
        <v>62</v>
      </c>
      <c r="K101" s="3" t="s">
        <v>62</v>
      </c>
      <c r="L101" s="3" t="s">
        <v>62</v>
      </c>
      <c r="M101" s="3" t="s">
        <v>62</v>
      </c>
      <c r="N101" s="3" t="s">
        <v>62</v>
      </c>
      <c r="O101" s="3" t="s">
        <v>62</v>
      </c>
      <c r="P101" s="3" t="s">
        <v>62</v>
      </c>
      <c r="Q101" s="3" t="s">
        <v>62</v>
      </c>
      <c r="R101" s="3" t="s">
        <v>62</v>
      </c>
      <c r="S101" s="3" t="s">
        <v>62</v>
      </c>
      <c r="T101" s="3" t="s">
        <v>62</v>
      </c>
      <c r="U101" s="3" t="s">
        <v>62</v>
      </c>
      <c r="V101" s="3" t="s">
        <v>62</v>
      </c>
      <c r="W101" s="3" t="s">
        <v>62</v>
      </c>
      <c r="X101" s="3" t="s">
        <v>62</v>
      </c>
      <c r="Y101" s="3" t="s">
        <v>62</v>
      </c>
      <c r="Z101" s="3" t="s">
        <v>62</v>
      </c>
      <c r="AA101" s="3" t="s">
        <v>62</v>
      </c>
      <c r="AB101" s="3" t="s">
        <v>62</v>
      </c>
      <c r="AC101" s="3" t="s">
        <v>62</v>
      </c>
      <c r="AD101" s="3" t="s">
        <v>62</v>
      </c>
      <c r="AE101" s="3" t="s">
        <v>62</v>
      </c>
      <c r="AF101" s="3" t="s">
        <v>62</v>
      </c>
      <c r="AG101" s="3" t="s">
        <v>62</v>
      </c>
      <c r="AH101"/>
    </row>
    <row r="102" spans="2:34" s="70" customFormat="1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</row>
    <row r="103" spans="2:34">
      <c r="C103" t="str">
        <f>CurYear-1&amp;":"</f>
        <v>2018:</v>
      </c>
      <c r="D103" s="5" t="str">
        <f t="shared" ref="D103:AH103" si="5">LEFT(TEXT(D104&amp;"-"&amp;$C104&amp;"-"&amp; CurYear-1,"ddd"),2)</f>
        <v>Sa</v>
      </c>
      <c r="E103" s="5" t="str">
        <f t="shared" si="5"/>
        <v>Su</v>
      </c>
      <c r="F103" s="5" t="str">
        <f t="shared" si="5"/>
        <v>Mo</v>
      </c>
      <c r="G103" s="5" t="str">
        <f t="shared" si="5"/>
        <v>Tu</v>
      </c>
      <c r="H103" s="5" t="str">
        <f t="shared" si="5"/>
        <v>We</v>
      </c>
      <c r="I103" s="5" t="str">
        <f t="shared" si="5"/>
        <v>Th</v>
      </c>
      <c r="J103" s="5" t="str">
        <f t="shared" si="5"/>
        <v>Fr</v>
      </c>
      <c r="K103" s="5" t="str">
        <f t="shared" si="5"/>
        <v>Sa</v>
      </c>
      <c r="L103" s="5" t="str">
        <f t="shared" si="5"/>
        <v>Su</v>
      </c>
      <c r="M103" s="5" t="str">
        <f t="shared" si="5"/>
        <v>Mo</v>
      </c>
      <c r="N103" s="5" t="str">
        <f t="shared" si="5"/>
        <v>Tu</v>
      </c>
      <c r="O103" s="5" t="str">
        <f t="shared" si="5"/>
        <v>We</v>
      </c>
      <c r="P103" s="5" t="str">
        <f t="shared" si="5"/>
        <v>Th</v>
      </c>
      <c r="Q103" s="5" t="str">
        <f t="shared" si="5"/>
        <v>Fr</v>
      </c>
      <c r="R103" s="5" t="str">
        <f t="shared" si="5"/>
        <v>Sa</v>
      </c>
      <c r="S103" s="5" t="str">
        <f t="shared" si="5"/>
        <v>Su</v>
      </c>
      <c r="T103" s="5" t="str">
        <f t="shared" si="5"/>
        <v>Mo</v>
      </c>
      <c r="U103" s="5" t="str">
        <f t="shared" si="5"/>
        <v>Tu</v>
      </c>
      <c r="V103" s="5" t="str">
        <f t="shared" si="5"/>
        <v>We</v>
      </c>
      <c r="W103" s="5" t="str">
        <f t="shared" si="5"/>
        <v>Th</v>
      </c>
      <c r="X103" s="5" t="str">
        <f t="shared" si="5"/>
        <v>Fr</v>
      </c>
      <c r="Y103" s="5" t="str">
        <f t="shared" si="5"/>
        <v>Sa</v>
      </c>
      <c r="Z103" s="5" t="str">
        <f t="shared" si="5"/>
        <v>Su</v>
      </c>
      <c r="AA103" s="5" t="str">
        <f t="shared" si="5"/>
        <v>Mo</v>
      </c>
      <c r="AB103" s="5" t="str">
        <f t="shared" si="5"/>
        <v>Tu</v>
      </c>
      <c r="AC103" s="5" t="str">
        <f t="shared" si="5"/>
        <v>We</v>
      </c>
      <c r="AD103" s="5" t="str">
        <f t="shared" si="5"/>
        <v>Th</v>
      </c>
      <c r="AE103" s="5" t="str">
        <f t="shared" si="5"/>
        <v>Fr</v>
      </c>
      <c r="AF103" s="5" t="str">
        <f t="shared" si="5"/>
        <v>Sa</v>
      </c>
      <c r="AG103" s="5" t="str">
        <f t="shared" si="5"/>
        <v>Su</v>
      </c>
      <c r="AH103" s="5" t="str">
        <f t="shared" si="5"/>
        <v>Mo</v>
      </c>
    </row>
    <row r="104" spans="2:34">
      <c r="B104" s="88"/>
      <c r="C104" s="84" t="s">
        <v>23</v>
      </c>
      <c r="D104" s="85">
        <v>1</v>
      </c>
      <c r="E104" s="85">
        <v>2</v>
      </c>
      <c r="F104" s="85">
        <v>3</v>
      </c>
      <c r="G104" s="85">
        <v>4</v>
      </c>
      <c r="H104" s="85">
        <v>5</v>
      </c>
      <c r="I104" s="85">
        <v>6</v>
      </c>
      <c r="J104" s="176">
        <v>7</v>
      </c>
      <c r="K104" s="85">
        <v>8</v>
      </c>
      <c r="L104" s="85">
        <v>9</v>
      </c>
      <c r="M104" s="85">
        <v>10</v>
      </c>
      <c r="N104" s="85">
        <v>11</v>
      </c>
      <c r="O104" s="85">
        <v>12</v>
      </c>
      <c r="P104" s="85">
        <v>13</v>
      </c>
      <c r="Q104" s="85">
        <v>14</v>
      </c>
      <c r="R104" s="85">
        <v>15</v>
      </c>
      <c r="S104" s="85">
        <v>16</v>
      </c>
      <c r="T104" s="85">
        <v>17</v>
      </c>
      <c r="U104" s="85">
        <v>18</v>
      </c>
      <c r="V104" s="85">
        <v>19</v>
      </c>
      <c r="W104" s="85">
        <v>20</v>
      </c>
      <c r="X104" s="176">
        <v>21</v>
      </c>
      <c r="Y104" s="85">
        <v>22</v>
      </c>
      <c r="Z104" s="85">
        <v>23</v>
      </c>
      <c r="AA104" s="85">
        <v>24</v>
      </c>
      <c r="AB104" s="85">
        <v>25</v>
      </c>
      <c r="AC104" s="85">
        <v>26</v>
      </c>
      <c r="AD104" s="85">
        <v>27</v>
      </c>
      <c r="AE104" s="85">
        <v>28</v>
      </c>
      <c r="AF104" s="85">
        <v>29</v>
      </c>
      <c r="AG104" s="85">
        <v>30</v>
      </c>
      <c r="AH104" s="85">
        <v>31</v>
      </c>
    </row>
    <row r="105" spans="2:34">
      <c r="B105" s="85">
        <v>1</v>
      </c>
      <c r="C105" s="89" t="str">
        <f>LEFT(EmpGName01)&amp;" " &amp; EmpSName01</f>
        <v>L Marampon</v>
      </c>
      <c r="D105" s="4" t="s">
        <v>62</v>
      </c>
      <c r="E105" s="4" t="s">
        <v>62</v>
      </c>
      <c r="F105" s="4" t="s">
        <v>62</v>
      </c>
      <c r="G105" s="4" t="s">
        <v>62</v>
      </c>
      <c r="H105" s="4" t="s">
        <v>62</v>
      </c>
      <c r="I105" s="4" t="s">
        <v>62</v>
      </c>
      <c r="J105" s="4" t="s">
        <v>62</v>
      </c>
      <c r="K105" s="4" t="s">
        <v>62</v>
      </c>
      <c r="L105" s="4" t="s">
        <v>62</v>
      </c>
      <c r="M105" s="4" t="s">
        <v>62</v>
      </c>
      <c r="N105" s="4" t="s">
        <v>62</v>
      </c>
      <c r="O105" s="4" t="s">
        <v>62</v>
      </c>
      <c r="P105" s="4" t="s">
        <v>62</v>
      </c>
      <c r="Q105" s="4" t="s">
        <v>62</v>
      </c>
      <c r="R105" s="4" t="s">
        <v>62</v>
      </c>
      <c r="S105" s="4" t="s">
        <v>62</v>
      </c>
      <c r="T105" s="4" t="s">
        <v>62</v>
      </c>
      <c r="U105" s="4" t="s">
        <v>62</v>
      </c>
      <c r="V105" s="4" t="s">
        <v>62</v>
      </c>
      <c r="W105" s="4" t="s">
        <v>62</v>
      </c>
      <c r="X105" s="4" t="s">
        <v>62</v>
      </c>
      <c r="Y105" s="4" t="s">
        <v>62</v>
      </c>
      <c r="Z105" s="4" t="s">
        <v>62</v>
      </c>
      <c r="AA105" s="4" t="s">
        <v>62</v>
      </c>
      <c r="AB105" s="4" t="s">
        <v>62</v>
      </c>
      <c r="AC105" s="4" t="s">
        <v>62</v>
      </c>
      <c r="AD105" s="4" t="s">
        <v>62</v>
      </c>
      <c r="AE105" s="4" t="s">
        <v>62</v>
      </c>
      <c r="AF105" s="4" t="s">
        <v>62</v>
      </c>
      <c r="AG105" s="4" t="s">
        <v>62</v>
      </c>
      <c r="AH105" s="4" t="s">
        <v>62</v>
      </c>
    </row>
    <row r="106" spans="2:34">
      <c r="B106" s="85">
        <v>2</v>
      </c>
      <c r="C106" s="90" t="str">
        <f>LEFT(EmpGName02)&amp;" " &amp;EmpSName02</f>
        <v>K Stone</v>
      </c>
      <c r="D106" s="3" t="s">
        <v>62</v>
      </c>
      <c r="E106" s="3" t="s">
        <v>62</v>
      </c>
      <c r="F106" s="3" t="s">
        <v>62</v>
      </c>
      <c r="G106" s="3" t="s">
        <v>62</v>
      </c>
      <c r="H106" s="3" t="s">
        <v>62</v>
      </c>
      <c r="I106" s="3" t="s">
        <v>62</v>
      </c>
      <c r="J106" s="3" t="s">
        <v>62</v>
      </c>
      <c r="K106" s="3" t="s">
        <v>62</v>
      </c>
      <c r="L106" s="3" t="s">
        <v>62</v>
      </c>
      <c r="M106" s="3" t="s">
        <v>62</v>
      </c>
      <c r="N106" s="3" t="s">
        <v>62</v>
      </c>
      <c r="O106" s="3" t="s">
        <v>62</v>
      </c>
      <c r="P106" s="3" t="s">
        <v>62</v>
      </c>
      <c r="Q106" s="3" t="s">
        <v>62</v>
      </c>
      <c r="R106" s="3" t="s">
        <v>62</v>
      </c>
      <c r="S106" s="3" t="s">
        <v>62</v>
      </c>
      <c r="T106" s="3" t="s">
        <v>62</v>
      </c>
      <c r="U106" s="3" t="s">
        <v>62</v>
      </c>
      <c r="V106" s="3" t="s">
        <v>62</v>
      </c>
      <c r="W106" s="3" t="s">
        <v>62</v>
      </c>
      <c r="X106" s="3" t="s">
        <v>62</v>
      </c>
      <c r="Y106" s="3" t="s">
        <v>62</v>
      </c>
      <c r="Z106" s="3" t="s">
        <v>62</v>
      </c>
      <c r="AA106" s="3" t="s">
        <v>62</v>
      </c>
      <c r="AB106" s="3" t="s">
        <v>62</v>
      </c>
      <c r="AC106" s="3" t="s">
        <v>62</v>
      </c>
      <c r="AD106" s="3" t="s">
        <v>62</v>
      </c>
      <c r="AE106" s="3" t="s">
        <v>62</v>
      </c>
      <c r="AF106" s="3" t="s">
        <v>62</v>
      </c>
      <c r="AG106" s="3" t="s">
        <v>62</v>
      </c>
      <c r="AH106" s="3" t="s">
        <v>62</v>
      </c>
    </row>
    <row r="107" spans="2:34">
      <c r="B107" s="85">
        <v>3</v>
      </c>
      <c r="C107" s="89" t="str">
        <f>LEFT(EmpGName03)&amp;" " &amp;EmpSName03</f>
        <v>I Thelning</v>
      </c>
      <c r="D107" s="4" t="s">
        <v>62</v>
      </c>
      <c r="E107" s="4" t="s">
        <v>62</v>
      </c>
      <c r="F107" s="4" t="s">
        <v>62</v>
      </c>
      <c r="G107" s="4" t="s">
        <v>62</v>
      </c>
      <c r="H107" s="4" t="s">
        <v>62</v>
      </c>
      <c r="I107" s="4" t="s">
        <v>62</v>
      </c>
      <c r="J107" s="4" t="s">
        <v>62</v>
      </c>
      <c r="K107" s="4" t="s">
        <v>62</v>
      </c>
      <c r="L107" s="4" t="s">
        <v>62</v>
      </c>
      <c r="M107" s="4" t="s">
        <v>62</v>
      </c>
      <c r="N107" s="4" t="s">
        <v>62</v>
      </c>
      <c r="O107" s="4" t="s">
        <v>62</v>
      </c>
      <c r="P107" s="4" t="s">
        <v>62</v>
      </c>
      <c r="Q107" s="4" t="s">
        <v>62</v>
      </c>
      <c r="R107" s="4" t="s">
        <v>62</v>
      </c>
      <c r="S107" s="4" t="s">
        <v>62</v>
      </c>
      <c r="T107" s="4" t="s">
        <v>62</v>
      </c>
      <c r="U107" s="4" t="s">
        <v>62</v>
      </c>
      <c r="V107" s="4" t="s">
        <v>62</v>
      </c>
      <c r="W107" s="4" t="s">
        <v>62</v>
      </c>
      <c r="X107" s="4" t="s">
        <v>62</v>
      </c>
      <c r="Y107" s="4" t="s">
        <v>62</v>
      </c>
      <c r="Z107" s="4" t="s">
        <v>62</v>
      </c>
      <c r="AA107" s="4" t="s">
        <v>62</v>
      </c>
      <c r="AB107" s="4" t="s">
        <v>62</v>
      </c>
      <c r="AC107" s="4" t="s">
        <v>62</v>
      </c>
      <c r="AD107" s="4" t="s">
        <v>62</v>
      </c>
      <c r="AE107" s="4" t="s">
        <v>62</v>
      </c>
      <c r="AF107" s="4" t="s">
        <v>62</v>
      </c>
      <c r="AG107" s="4" t="s">
        <v>62</v>
      </c>
      <c r="AH107" s="4" t="s">
        <v>62</v>
      </c>
    </row>
    <row r="108" spans="2:34">
      <c r="B108" s="85">
        <v>4</v>
      </c>
      <c r="C108" s="90" t="str">
        <f>LEFT(EmpGName04)&amp;" " &amp;EmpSName04</f>
        <v>L King</v>
      </c>
      <c r="D108" s="3" t="s">
        <v>62</v>
      </c>
      <c r="E108" s="3" t="s">
        <v>62</v>
      </c>
      <c r="F108" s="3" t="s">
        <v>62</v>
      </c>
      <c r="G108" s="3" t="s">
        <v>62</v>
      </c>
      <c r="H108" s="3" t="s">
        <v>62</v>
      </c>
      <c r="I108" s="3" t="s">
        <v>62</v>
      </c>
      <c r="J108" s="3" t="s">
        <v>62</v>
      </c>
      <c r="K108" s="3" t="s">
        <v>62</v>
      </c>
      <c r="L108" s="3" t="s">
        <v>62</v>
      </c>
      <c r="M108" s="3" t="s">
        <v>62</v>
      </c>
      <c r="N108" s="3" t="s">
        <v>62</v>
      </c>
      <c r="O108" s="3" t="s">
        <v>62</v>
      </c>
      <c r="P108" s="3" t="s">
        <v>62</v>
      </c>
      <c r="Q108" s="3" t="s">
        <v>62</v>
      </c>
      <c r="R108" s="3" t="s">
        <v>62</v>
      </c>
      <c r="S108" s="3" t="s">
        <v>62</v>
      </c>
      <c r="T108" s="3" t="s">
        <v>62</v>
      </c>
      <c r="U108" s="3" t="s">
        <v>62</v>
      </c>
      <c r="V108" s="3" t="s">
        <v>62</v>
      </c>
      <c r="W108" s="3" t="s">
        <v>62</v>
      </c>
      <c r="X108" s="3" t="s">
        <v>62</v>
      </c>
      <c r="Y108" s="3" t="s">
        <v>62</v>
      </c>
      <c r="Z108" s="3" t="s">
        <v>62</v>
      </c>
      <c r="AA108" s="3" t="s">
        <v>62</v>
      </c>
      <c r="AB108" s="3" t="s">
        <v>62</v>
      </c>
      <c r="AC108" s="3" t="s">
        <v>62</v>
      </c>
      <c r="AD108" s="3" t="s">
        <v>62</v>
      </c>
      <c r="AE108" s="3" t="s">
        <v>62</v>
      </c>
      <c r="AF108" s="3" t="s">
        <v>62</v>
      </c>
      <c r="AG108" s="3" t="s">
        <v>62</v>
      </c>
      <c r="AH108" s="3" t="s">
        <v>62</v>
      </c>
    </row>
    <row r="109" spans="2:34">
      <c r="B109" s="85">
        <v>5</v>
      </c>
      <c r="C109" s="89" t="str">
        <f>LEFT(EmpGName05)&amp;" " &amp;EmpSName05</f>
        <v>D Castle</v>
      </c>
      <c r="D109" s="4" t="s">
        <v>62</v>
      </c>
      <c r="E109" s="4" t="s">
        <v>62</v>
      </c>
      <c r="F109" s="4" t="s">
        <v>62</v>
      </c>
      <c r="G109" s="4" t="s">
        <v>62</v>
      </c>
      <c r="H109" s="4" t="s">
        <v>62</v>
      </c>
      <c r="I109" s="4" t="s">
        <v>62</v>
      </c>
      <c r="J109" s="4" t="s">
        <v>62</v>
      </c>
      <c r="K109" s="4" t="s">
        <v>62</v>
      </c>
      <c r="L109" s="4" t="s">
        <v>62</v>
      </c>
      <c r="M109" s="4" t="s">
        <v>62</v>
      </c>
      <c r="N109" s="4" t="s">
        <v>62</v>
      </c>
      <c r="O109" s="4" t="s">
        <v>62</v>
      </c>
      <c r="P109" s="4" t="s">
        <v>62</v>
      </c>
      <c r="Q109" s="4" t="s">
        <v>62</v>
      </c>
      <c r="R109" s="4" t="s">
        <v>62</v>
      </c>
      <c r="S109" s="4" t="s">
        <v>62</v>
      </c>
      <c r="T109" s="4" t="s">
        <v>62</v>
      </c>
      <c r="U109" s="4" t="s">
        <v>62</v>
      </c>
      <c r="V109" s="4" t="s">
        <v>62</v>
      </c>
      <c r="W109" s="4" t="s">
        <v>62</v>
      </c>
      <c r="X109" s="4" t="s">
        <v>62</v>
      </c>
      <c r="Y109" s="4" t="s">
        <v>62</v>
      </c>
      <c r="Z109" s="4" t="s">
        <v>62</v>
      </c>
      <c r="AA109" s="4" t="s">
        <v>62</v>
      </c>
      <c r="AB109" s="4" t="s">
        <v>62</v>
      </c>
      <c r="AC109" s="4" t="s">
        <v>62</v>
      </c>
      <c r="AD109" s="4" t="s">
        <v>62</v>
      </c>
      <c r="AE109" s="4" t="s">
        <v>62</v>
      </c>
      <c r="AF109" s="4" t="s">
        <v>62</v>
      </c>
      <c r="AG109" s="4" t="s">
        <v>62</v>
      </c>
      <c r="AH109" s="4" t="s">
        <v>62</v>
      </c>
    </row>
    <row r="110" spans="2:34">
      <c r="B110" s="85">
        <v>6</v>
      </c>
      <c r="C110" s="90" t="str">
        <f>LEFT(EmpGName06)&amp;" " &amp;EmpSName06</f>
        <v>R Fielding</v>
      </c>
      <c r="D110" s="3" t="s">
        <v>62</v>
      </c>
      <c r="E110" s="3" t="s">
        <v>62</v>
      </c>
      <c r="F110" s="3" t="s">
        <v>62</v>
      </c>
      <c r="G110" s="3" t="s">
        <v>62</v>
      </c>
      <c r="H110" s="3" t="s">
        <v>62</v>
      </c>
      <c r="I110" s="3" t="s">
        <v>62</v>
      </c>
      <c r="J110" s="3" t="s">
        <v>62</v>
      </c>
      <c r="K110" s="3" t="s">
        <v>62</v>
      </c>
      <c r="L110" s="3" t="s">
        <v>62</v>
      </c>
      <c r="M110" s="3" t="s">
        <v>62</v>
      </c>
      <c r="N110" s="3" t="s">
        <v>62</v>
      </c>
      <c r="O110" s="3" t="s">
        <v>62</v>
      </c>
      <c r="P110" s="3" t="s">
        <v>62</v>
      </c>
      <c r="Q110" s="3" t="s">
        <v>62</v>
      </c>
      <c r="R110" s="3" t="s">
        <v>62</v>
      </c>
      <c r="S110" s="3" t="s">
        <v>62</v>
      </c>
      <c r="T110" s="3" t="s">
        <v>62</v>
      </c>
      <c r="U110" s="3" t="s">
        <v>62</v>
      </c>
      <c r="V110" s="3" t="s">
        <v>62</v>
      </c>
      <c r="W110" s="3" t="s">
        <v>62</v>
      </c>
      <c r="X110" s="3" t="s">
        <v>62</v>
      </c>
      <c r="Y110" s="3" t="s">
        <v>62</v>
      </c>
      <c r="Z110" s="3" t="s">
        <v>62</v>
      </c>
      <c r="AA110" s="3" t="s">
        <v>62</v>
      </c>
      <c r="AB110" s="3" t="s">
        <v>62</v>
      </c>
      <c r="AC110" s="3" t="s">
        <v>62</v>
      </c>
      <c r="AD110" s="3" t="s">
        <v>62</v>
      </c>
      <c r="AE110" s="3" t="s">
        <v>62</v>
      </c>
      <c r="AF110" s="3" t="s">
        <v>62</v>
      </c>
      <c r="AG110" s="3" t="s">
        <v>62</v>
      </c>
      <c r="AH110" s="3" t="s">
        <v>62</v>
      </c>
    </row>
    <row r="111" spans="2:34">
      <c r="B111" s="85">
        <v>7</v>
      </c>
      <c r="C111" s="89" t="str">
        <f>LEFT(EmpGName07)&amp;" " &amp;EmpSName07</f>
        <v>T Sorensen</v>
      </c>
      <c r="D111" s="4" t="s">
        <v>62</v>
      </c>
      <c r="E111" s="4" t="s">
        <v>62</v>
      </c>
      <c r="F111" s="4" t="s">
        <v>62</v>
      </c>
      <c r="G111" s="4" t="s">
        <v>62</v>
      </c>
      <c r="H111" s="4" t="s">
        <v>62</v>
      </c>
      <c r="I111" s="4" t="s">
        <v>62</v>
      </c>
      <c r="J111" s="4" t="s">
        <v>62</v>
      </c>
      <c r="K111" s="4" t="s">
        <v>62</v>
      </c>
      <c r="L111" s="4" t="s">
        <v>62</v>
      </c>
      <c r="M111" s="4" t="s">
        <v>62</v>
      </c>
      <c r="N111" s="4" t="s">
        <v>62</v>
      </c>
      <c r="O111" s="4" t="s">
        <v>62</v>
      </c>
      <c r="P111" s="4" t="s">
        <v>62</v>
      </c>
      <c r="Q111" s="4" t="s">
        <v>62</v>
      </c>
      <c r="R111" s="4" t="s">
        <v>62</v>
      </c>
      <c r="S111" s="4" t="s">
        <v>62</v>
      </c>
      <c r="T111" s="4" t="s">
        <v>62</v>
      </c>
      <c r="U111" s="4" t="s">
        <v>62</v>
      </c>
      <c r="V111" s="4" t="s">
        <v>62</v>
      </c>
      <c r="W111" s="4" t="s">
        <v>62</v>
      </c>
      <c r="X111" s="4" t="s">
        <v>62</v>
      </c>
      <c r="Y111" s="4" t="s">
        <v>62</v>
      </c>
      <c r="Z111" s="4" t="s">
        <v>62</v>
      </c>
      <c r="AA111" s="4" t="s">
        <v>62</v>
      </c>
      <c r="AB111" s="4" t="s">
        <v>62</v>
      </c>
      <c r="AC111" s="4" t="s">
        <v>62</v>
      </c>
      <c r="AD111" s="4" t="s">
        <v>62</v>
      </c>
      <c r="AE111" s="4" t="s">
        <v>62</v>
      </c>
      <c r="AF111" s="4" t="s">
        <v>62</v>
      </c>
      <c r="AG111" s="4" t="s">
        <v>62</v>
      </c>
      <c r="AH111" s="4" t="s">
        <v>62</v>
      </c>
    </row>
    <row r="112" spans="2:34">
      <c r="B112" s="85">
        <v>8</v>
      </c>
      <c r="C112" s="90" t="str">
        <f>LEFT(EmpGName08)&amp;" " &amp;EmpSName08</f>
        <v xml:space="preserve">B Odd </v>
      </c>
      <c r="D112" s="3" t="s">
        <v>62</v>
      </c>
      <c r="E112" s="3" t="s">
        <v>62</v>
      </c>
      <c r="F112" s="3" t="s">
        <v>62</v>
      </c>
      <c r="G112" s="3" t="s">
        <v>62</v>
      </c>
      <c r="H112" s="3" t="s">
        <v>62</v>
      </c>
      <c r="I112" s="3" t="s">
        <v>62</v>
      </c>
      <c r="J112" s="3" t="s">
        <v>62</v>
      </c>
      <c r="K112" s="3" t="s">
        <v>62</v>
      </c>
      <c r="L112" s="3" t="s">
        <v>62</v>
      </c>
      <c r="M112" s="3" t="s">
        <v>62</v>
      </c>
      <c r="N112" s="3" t="s">
        <v>62</v>
      </c>
      <c r="O112" s="3" t="s">
        <v>62</v>
      </c>
      <c r="P112" s="3" t="s">
        <v>62</v>
      </c>
      <c r="Q112" s="3" t="s">
        <v>62</v>
      </c>
      <c r="R112" s="3" t="s">
        <v>62</v>
      </c>
      <c r="S112" s="3" t="s">
        <v>62</v>
      </c>
      <c r="T112" s="3" t="s">
        <v>62</v>
      </c>
      <c r="U112" s="3" t="s">
        <v>62</v>
      </c>
      <c r="V112" s="3" t="s">
        <v>62</v>
      </c>
      <c r="W112" s="3" t="s">
        <v>62</v>
      </c>
      <c r="X112" s="3" t="s">
        <v>62</v>
      </c>
      <c r="Y112" s="3" t="s">
        <v>62</v>
      </c>
      <c r="Z112" s="3" t="s">
        <v>62</v>
      </c>
      <c r="AA112" s="3" t="s">
        <v>62</v>
      </c>
      <c r="AB112" s="3" t="s">
        <v>62</v>
      </c>
      <c r="AC112" s="3" t="s">
        <v>62</v>
      </c>
      <c r="AD112" s="3" t="s">
        <v>62</v>
      </c>
      <c r="AE112" s="3" t="s">
        <v>62</v>
      </c>
      <c r="AF112" s="3" t="s">
        <v>62</v>
      </c>
      <c r="AG112" s="3" t="s">
        <v>62</v>
      </c>
      <c r="AH112" s="3" t="s">
        <v>62</v>
      </c>
    </row>
    <row r="113" spans="2:34">
      <c r="B113" s="85">
        <v>9</v>
      </c>
      <c r="C113" s="89" t="str">
        <f>LEFT(EmpGName09)&amp;" " &amp;EmpSName09</f>
        <v>1 Odd1</v>
      </c>
      <c r="D113" s="4" t="s">
        <v>62</v>
      </c>
      <c r="E113" s="4" t="s">
        <v>62</v>
      </c>
      <c r="F113" s="4" t="s">
        <v>62</v>
      </c>
      <c r="G113" s="4" t="s">
        <v>62</v>
      </c>
      <c r="H113" s="4" t="s">
        <v>62</v>
      </c>
      <c r="I113" s="4" t="s">
        <v>62</v>
      </c>
      <c r="J113" s="4" t="s">
        <v>62</v>
      </c>
      <c r="K113" s="4" t="s">
        <v>62</v>
      </c>
      <c r="L113" s="4" t="s">
        <v>62</v>
      </c>
      <c r="M113" s="4" t="s">
        <v>62</v>
      </c>
      <c r="N113" s="4" t="s">
        <v>62</v>
      </c>
      <c r="O113" s="4" t="s">
        <v>62</v>
      </c>
      <c r="P113" s="4" t="s">
        <v>62</v>
      </c>
      <c r="Q113" s="4" t="s">
        <v>62</v>
      </c>
      <c r="R113" s="4" t="s">
        <v>62</v>
      </c>
      <c r="S113" s="4" t="s">
        <v>62</v>
      </c>
      <c r="T113" s="4" t="s">
        <v>62</v>
      </c>
      <c r="U113" s="4" t="s">
        <v>62</v>
      </c>
      <c r="V113" s="4" t="s">
        <v>62</v>
      </c>
      <c r="W113" s="4" t="s">
        <v>62</v>
      </c>
      <c r="X113" s="4" t="s">
        <v>62</v>
      </c>
      <c r="Y113" s="4" t="s">
        <v>62</v>
      </c>
      <c r="Z113" s="4" t="s">
        <v>62</v>
      </c>
      <c r="AA113" s="4" t="s">
        <v>62</v>
      </c>
      <c r="AB113" s="4" t="s">
        <v>62</v>
      </c>
      <c r="AC113" s="4" t="s">
        <v>62</v>
      </c>
      <c r="AD113" s="4" t="s">
        <v>62</v>
      </c>
      <c r="AE113" s="4" t="s">
        <v>62</v>
      </c>
      <c r="AF113" s="4" t="s">
        <v>62</v>
      </c>
      <c r="AG113" s="4" t="s">
        <v>62</v>
      </c>
      <c r="AH113" s="4" t="s">
        <v>62</v>
      </c>
    </row>
    <row r="114" spans="2:34">
      <c r="B114" s="148">
        <v>10</v>
      </c>
      <c r="C114" s="90" t="str">
        <f>LEFT(EmpGName10)&amp;" " &amp;EmpSName10</f>
        <v>2 Odd2</v>
      </c>
      <c r="D114" s="3" t="s">
        <v>62</v>
      </c>
      <c r="E114" s="3" t="s">
        <v>62</v>
      </c>
      <c r="F114" s="3" t="s">
        <v>62</v>
      </c>
      <c r="G114" s="3" t="s">
        <v>62</v>
      </c>
      <c r="H114" s="3" t="s">
        <v>62</v>
      </c>
      <c r="I114" s="3" t="s">
        <v>62</v>
      </c>
      <c r="J114" s="3" t="s">
        <v>62</v>
      </c>
      <c r="K114" s="3" t="s">
        <v>62</v>
      </c>
      <c r="L114" s="3" t="s">
        <v>62</v>
      </c>
      <c r="M114" s="3" t="s">
        <v>62</v>
      </c>
      <c r="N114" s="3" t="s">
        <v>62</v>
      </c>
      <c r="O114" s="3" t="s">
        <v>62</v>
      </c>
      <c r="P114" s="3" t="s">
        <v>62</v>
      </c>
      <c r="Q114" s="3" t="s">
        <v>62</v>
      </c>
      <c r="R114" s="3" t="s">
        <v>62</v>
      </c>
      <c r="S114" s="3" t="s">
        <v>62</v>
      </c>
      <c r="T114" s="3" t="s">
        <v>62</v>
      </c>
      <c r="U114" s="3" t="s">
        <v>62</v>
      </c>
      <c r="V114" s="3" t="s">
        <v>62</v>
      </c>
      <c r="W114" s="3" t="s">
        <v>62</v>
      </c>
      <c r="X114" s="3" t="s">
        <v>62</v>
      </c>
      <c r="Y114" s="3" t="s">
        <v>62</v>
      </c>
      <c r="Z114" s="3" t="s">
        <v>62</v>
      </c>
      <c r="AA114" s="3" t="s">
        <v>62</v>
      </c>
      <c r="AB114" s="3" t="s">
        <v>62</v>
      </c>
      <c r="AC114" s="3" t="s">
        <v>62</v>
      </c>
      <c r="AD114" s="3" t="s">
        <v>62</v>
      </c>
      <c r="AE114" s="3" t="s">
        <v>62</v>
      </c>
      <c r="AF114" s="3" t="s">
        <v>62</v>
      </c>
      <c r="AG114" s="3" t="s">
        <v>62</v>
      </c>
      <c r="AH114" s="3" t="s">
        <v>62</v>
      </c>
    </row>
    <row r="115" spans="2:34" s="70" customFormat="1">
      <c r="B115" s="148">
        <v>11</v>
      </c>
      <c r="C115" s="89" t="str">
        <f>LEFT(EmpGName11)&amp;" " &amp;EmpSName11</f>
        <v>2 Odd3</v>
      </c>
      <c r="D115" s="4" t="s">
        <v>62</v>
      </c>
      <c r="E115" s="4" t="s">
        <v>62</v>
      </c>
      <c r="F115" s="4" t="s">
        <v>62</v>
      </c>
      <c r="G115" s="4" t="s">
        <v>62</v>
      </c>
      <c r="H115" s="4" t="s">
        <v>62</v>
      </c>
      <c r="I115" s="4" t="s">
        <v>62</v>
      </c>
      <c r="J115" s="4" t="s">
        <v>62</v>
      </c>
      <c r="K115" s="4" t="s">
        <v>62</v>
      </c>
      <c r="L115" s="4" t="s">
        <v>62</v>
      </c>
      <c r="M115" s="4" t="s">
        <v>62</v>
      </c>
      <c r="N115" s="4" t="s">
        <v>62</v>
      </c>
      <c r="O115" s="4" t="s">
        <v>62</v>
      </c>
      <c r="P115" s="4" t="s">
        <v>62</v>
      </c>
      <c r="Q115" s="4" t="s">
        <v>62</v>
      </c>
      <c r="R115" s="4" t="s">
        <v>62</v>
      </c>
      <c r="S115" s="4" t="s">
        <v>62</v>
      </c>
      <c r="T115" s="4" t="s">
        <v>62</v>
      </c>
      <c r="U115" s="4" t="s">
        <v>62</v>
      </c>
      <c r="V115" s="4" t="s">
        <v>62</v>
      </c>
      <c r="W115" s="4" t="s">
        <v>62</v>
      </c>
      <c r="X115" s="4" t="s">
        <v>62</v>
      </c>
      <c r="Y115" s="4" t="s">
        <v>62</v>
      </c>
      <c r="Z115" s="4" t="s">
        <v>62</v>
      </c>
      <c r="AA115" s="4" t="s">
        <v>62</v>
      </c>
      <c r="AB115" s="4" t="s">
        <v>62</v>
      </c>
      <c r="AC115" s="4" t="s">
        <v>62</v>
      </c>
      <c r="AD115" s="4" t="s">
        <v>62</v>
      </c>
      <c r="AE115" s="4" t="s">
        <v>62</v>
      </c>
      <c r="AF115" s="4" t="s">
        <v>62</v>
      </c>
      <c r="AG115" s="4" t="s">
        <v>62</v>
      </c>
      <c r="AH115" s="4" t="s">
        <v>62</v>
      </c>
    </row>
    <row r="116" spans="2:34" s="70" customFormat="1">
      <c r="B116" s="148">
        <v>12</v>
      </c>
      <c r="C116" s="90" t="str">
        <f>LEFT(EmpGName12)&amp;" " &amp;EmpSName12</f>
        <v>4 Odd4</v>
      </c>
      <c r="D116" s="3" t="s">
        <v>62</v>
      </c>
      <c r="E116" s="3" t="s">
        <v>62</v>
      </c>
      <c r="F116" s="3" t="s">
        <v>62</v>
      </c>
      <c r="G116" s="3" t="s">
        <v>62</v>
      </c>
      <c r="H116" s="3" t="s">
        <v>62</v>
      </c>
      <c r="I116" s="3" t="s">
        <v>62</v>
      </c>
      <c r="J116" s="3" t="s">
        <v>62</v>
      </c>
      <c r="K116" s="3" t="s">
        <v>62</v>
      </c>
      <c r="L116" s="3" t="s">
        <v>62</v>
      </c>
      <c r="M116" s="3" t="s">
        <v>62</v>
      </c>
      <c r="N116" s="3" t="s">
        <v>62</v>
      </c>
      <c r="O116" s="3" t="s">
        <v>62</v>
      </c>
      <c r="P116" s="3" t="s">
        <v>62</v>
      </c>
      <c r="Q116" s="3" t="s">
        <v>62</v>
      </c>
      <c r="R116" s="3" t="s">
        <v>62</v>
      </c>
      <c r="S116" s="3" t="s">
        <v>62</v>
      </c>
      <c r="T116" s="3" t="s">
        <v>62</v>
      </c>
      <c r="U116" s="3" t="s">
        <v>62</v>
      </c>
      <c r="V116" s="3" t="s">
        <v>62</v>
      </c>
      <c r="W116" s="3" t="s">
        <v>62</v>
      </c>
      <c r="X116" s="3" t="s">
        <v>62</v>
      </c>
      <c r="Y116" s="3" t="s">
        <v>62</v>
      </c>
      <c r="Z116" s="3" t="s">
        <v>62</v>
      </c>
      <c r="AA116" s="3" t="s">
        <v>62</v>
      </c>
      <c r="AB116" s="3" t="s">
        <v>62</v>
      </c>
      <c r="AC116" s="3" t="s">
        <v>62</v>
      </c>
      <c r="AD116" s="3" t="s">
        <v>62</v>
      </c>
      <c r="AE116" s="3" t="s">
        <v>62</v>
      </c>
      <c r="AF116" s="3" t="s">
        <v>62</v>
      </c>
      <c r="AG116" s="3" t="s">
        <v>62</v>
      </c>
      <c r="AH116" s="3" t="s">
        <v>62</v>
      </c>
    </row>
    <row r="117" spans="2:34" s="70" customFormat="1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</row>
    <row r="118" spans="2:34">
      <c r="C118" t="str">
        <f>CurYear&amp;":"</f>
        <v>2019:</v>
      </c>
      <c r="D118" s="5" t="str">
        <f>LEFT(TEXT(D119&amp;"-"&amp;$C$119&amp;"-"&amp;CurYear,"ddd"),2)</f>
        <v>Tu</v>
      </c>
      <c r="E118" s="5" t="str">
        <f t="shared" ref="E118:AH118" si="6">LEFT(TEXT(E119&amp;"-"&amp;$C$119&amp;"-"&amp;CurYear,"ddd"),2)</f>
        <v>We</v>
      </c>
      <c r="F118" s="5" t="str">
        <f t="shared" si="6"/>
        <v>Th</v>
      </c>
      <c r="G118" s="5" t="str">
        <f t="shared" si="6"/>
        <v>Fr</v>
      </c>
      <c r="H118" s="5" t="str">
        <f t="shared" si="6"/>
        <v>Sa</v>
      </c>
      <c r="I118" s="5" t="str">
        <f t="shared" si="6"/>
        <v>Su</v>
      </c>
      <c r="J118" s="5" t="str">
        <f t="shared" si="6"/>
        <v>Mo</v>
      </c>
      <c r="K118" s="5" t="str">
        <f t="shared" si="6"/>
        <v>Tu</v>
      </c>
      <c r="L118" s="5" t="str">
        <f t="shared" si="6"/>
        <v>We</v>
      </c>
      <c r="M118" s="5" t="str">
        <f t="shared" si="6"/>
        <v>Th</v>
      </c>
      <c r="N118" s="5" t="str">
        <f t="shared" si="6"/>
        <v>Fr</v>
      </c>
      <c r="O118" s="5" t="str">
        <f t="shared" si="6"/>
        <v>Sa</v>
      </c>
      <c r="P118" s="5" t="str">
        <f t="shared" si="6"/>
        <v>Su</v>
      </c>
      <c r="Q118" s="5" t="str">
        <f t="shared" si="6"/>
        <v>Mo</v>
      </c>
      <c r="R118" s="5" t="str">
        <f t="shared" si="6"/>
        <v>Tu</v>
      </c>
      <c r="S118" s="5" t="str">
        <f t="shared" si="6"/>
        <v>We</v>
      </c>
      <c r="T118" s="5" t="str">
        <f t="shared" si="6"/>
        <v>Th</v>
      </c>
      <c r="U118" s="5" t="str">
        <f t="shared" si="6"/>
        <v>Fr</v>
      </c>
      <c r="V118" s="5" t="str">
        <f t="shared" si="6"/>
        <v>Sa</v>
      </c>
      <c r="W118" s="5" t="str">
        <f t="shared" si="6"/>
        <v>Su</v>
      </c>
      <c r="X118" s="5" t="str">
        <f t="shared" si="6"/>
        <v>Mo</v>
      </c>
      <c r="Y118" s="5" t="str">
        <f t="shared" si="6"/>
        <v>Tu</v>
      </c>
      <c r="Z118" s="5" t="str">
        <f t="shared" si="6"/>
        <v>We</v>
      </c>
      <c r="AA118" s="5" t="str">
        <f t="shared" si="6"/>
        <v>Th</v>
      </c>
      <c r="AB118" s="5" t="str">
        <f t="shared" si="6"/>
        <v>Fr</v>
      </c>
      <c r="AC118" s="5" t="str">
        <f t="shared" si="6"/>
        <v>Sa</v>
      </c>
      <c r="AD118" s="5" t="str">
        <f t="shared" si="6"/>
        <v>Su</v>
      </c>
      <c r="AE118" s="5" t="str">
        <f t="shared" si="6"/>
        <v>Mo</v>
      </c>
      <c r="AF118" s="5" t="str">
        <f t="shared" si="6"/>
        <v>Tu</v>
      </c>
      <c r="AG118" s="5" t="str">
        <f t="shared" si="6"/>
        <v>We</v>
      </c>
      <c r="AH118" s="5" t="str">
        <f t="shared" si="6"/>
        <v>Th</v>
      </c>
    </row>
    <row r="119" spans="2:34">
      <c r="B119" s="86"/>
      <c r="C119" s="84" t="s">
        <v>8</v>
      </c>
      <c r="D119" s="85">
        <v>1</v>
      </c>
      <c r="E119" s="85">
        <v>2</v>
      </c>
      <c r="F119" s="85">
        <v>3</v>
      </c>
      <c r="G119" s="176">
        <v>4</v>
      </c>
      <c r="H119" s="85">
        <v>5</v>
      </c>
      <c r="I119" s="85">
        <v>6</v>
      </c>
      <c r="J119" s="85">
        <v>7</v>
      </c>
      <c r="K119" s="85">
        <v>8</v>
      </c>
      <c r="L119" s="85">
        <v>9</v>
      </c>
      <c r="M119" s="85">
        <v>10</v>
      </c>
      <c r="N119" s="85">
        <v>11</v>
      </c>
      <c r="O119" s="85">
        <v>12</v>
      </c>
      <c r="P119" s="85">
        <v>13</v>
      </c>
      <c r="Q119" s="85">
        <v>14</v>
      </c>
      <c r="R119" s="85">
        <v>15</v>
      </c>
      <c r="S119" s="85">
        <v>16</v>
      </c>
      <c r="T119" s="85">
        <v>17</v>
      </c>
      <c r="U119" s="176">
        <v>18</v>
      </c>
      <c r="V119" s="85">
        <v>19</v>
      </c>
      <c r="W119" s="85">
        <v>20</v>
      </c>
      <c r="X119" s="85">
        <v>21</v>
      </c>
      <c r="Y119" s="85">
        <v>22</v>
      </c>
      <c r="Z119" s="85">
        <v>23</v>
      </c>
      <c r="AA119" s="85">
        <v>24</v>
      </c>
      <c r="AB119" s="85">
        <v>25</v>
      </c>
      <c r="AC119" s="85">
        <v>26</v>
      </c>
      <c r="AD119" s="85">
        <v>27</v>
      </c>
      <c r="AE119" s="85">
        <v>28</v>
      </c>
      <c r="AF119" s="85">
        <v>29</v>
      </c>
      <c r="AG119" s="85">
        <v>30</v>
      </c>
      <c r="AH119" s="85">
        <v>31</v>
      </c>
    </row>
    <row r="120" spans="2:34">
      <c r="B120" s="83">
        <v>1</v>
      </c>
      <c r="C120" s="89" t="str">
        <f>LEFT(EmpGName01)&amp;" " &amp; EmpSName01</f>
        <v>L Marampon</v>
      </c>
      <c r="D120" s="82" t="s">
        <v>62</v>
      </c>
      <c r="E120" s="82" t="s">
        <v>62</v>
      </c>
      <c r="F120" s="4" t="s">
        <v>62</v>
      </c>
      <c r="G120" s="4" t="s">
        <v>62</v>
      </c>
      <c r="H120" s="4" t="s">
        <v>62</v>
      </c>
      <c r="I120" s="4" t="s">
        <v>62</v>
      </c>
      <c r="J120" s="4" t="s">
        <v>62</v>
      </c>
      <c r="K120" s="4" t="s">
        <v>62</v>
      </c>
      <c r="L120" s="4" t="s">
        <v>62</v>
      </c>
      <c r="M120" s="4" t="s">
        <v>62</v>
      </c>
      <c r="N120" s="4" t="s">
        <v>62</v>
      </c>
      <c r="O120" s="4" t="s">
        <v>62</v>
      </c>
      <c r="P120" s="4" t="s">
        <v>62</v>
      </c>
      <c r="Q120" s="4" t="s">
        <v>62</v>
      </c>
      <c r="R120" s="4" t="s">
        <v>62</v>
      </c>
      <c r="S120" s="4" t="s">
        <v>62</v>
      </c>
      <c r="T120" s="4" t="s">
        <v>62</v>
      </c>
      <c r="U120" s="4" t="s">
        <v>62</v>
      </c>
      <c r="V120" s="4" t="s">
        <v>62</v>
      </c>
      <c r="W120" s="4" t="s">
        <v>62</v>
      </c>
      <c r="X120" s="4" t="s">
        <v>62</v>
      </c>
      <c r="Y120" s="4" t="s">
        <v>62</v>
      </c>
      <c r="Z120" s="4" t="s">
        <v>62</v>
      </c>
      <c r="AA120" s="4" t="s">
        <v>62</v>
      </c>
      <c r="AB120" s="4" t="s">
        <v>62</v>
      </c>
      <c r="AC120" s="4" t="s">
        <v>62</v>
      </c>
      <c r="AD120" s="4" t="s">
        <v>62</v>
      </c>
      <c r="AE120" s="4" t="s">
        <v>62</v>
      </c>
      <c r="AF120" s="4" t="s">
        <v>62</v>
      </c>
      <c r="AG120" s="4" t="s">
        <v>62</v>
      </c>
      <c r="AH120" s="4" t="s">
        <v>62</v>
      </c>
    </row>
    <row r="121" spans="2:34">
      <c r="B121" s="83">
        <v>2</v>
      </c>
      <c r="C121" s="90" t="str">
        <f>LEFT(EmpGName02)&amp;" " &amp;EmpSName02</f>
        <v>K Stone</v>
      </c>
      <c r="D121" s="3" t="s">
        <v>62</v>
      </c>
      <c r="E121" s="3" t="s">
        <v>62</v>
      </c>
      <c r="F121" s="3" t="s">
        <v>62</v>
      </c>
      <c r="G121" s="3" t="s">
        <v>62</v>
      </c>
      <c r="H121" s="3" t="s">
        <v>62</v>
      </c>
      <c r="I121" s="3" t="s">
        <v>62</v>
      </c>
      <c r="J121" s="3" t="s">
        <v>62</v>
      </c>
      <c r="K121" s="3" t="s">
        <v>62</v>
      </c>
      <c r="L121" s="3" t="s">
        <v>62</v>
      </c>
      <c r="M121" s="3" t="s">
        <v>62</v>
      </c>
      <c r="N121" s="3" t="s">
        <v>62</v>
      </c>
      <c r="O121" s="3" t="s">
        <v>62</v>
      </c>
      <c r="P121" s="3" t="s">
        <v>62</v>
      </c>
      <c r="Q121" s="3" t="s">
        <v>62</v>
      </c>
      <c r="R121" s="3" t="s">
        <v>62</v>
      </c>
      <c r="S121" s="3" t="s">
        <v>62</v>
      </c>
      <c r="T121" s="3" t="s">
        <v>62</v>
      </c>
      <c r="U121" s="3" t="s">
        <v>62</v>
      </c>
      <c r="V121" s="3" t="s">
        <v>62</v>
      </c>
      <c r="W121" s="3" t="s">
        <v>62</v>
      </c>
      <c r="X121" s="3" t="s">
        <v>62</v>
      </c>
      <c r="Y121" s="3" t="s">
        <v>62</v>
      </c>
      <c r="Z121" s="3" t="s">
        <v>62</v>
      </c>
      <c r="AA121" s="3" t="s">
        <v>62</v>
      </c>
      <c r="AB121" s="3" t="s">
        <v>62</v>
      </c>
      <c r="AC121" s="3" t="s">
        <v>62</v>
      </c>
      <c r="AD121" s="3" t="s">
        <v>62</v>
      </c>
      <c r="AE121" s="3" t="s">
        <v>62</v>
      </c>
      <c r="AF121" s="3" t="s">
        <v>62</v>
      </c>
      <c r="AG121" s="3" t="s">
        <v>62</v>
      </c>
      <c r="AH121" s="3" t="s">
        <v>62</v>
      </c>
    </row>
    <row r="122" spans="2:34">
      <c r="B122" s="83">
        <v>3</v>
      </c>
      <c r="C122" s="89" t="str">
        <f>LEFT(EmpGName03)&amp;" " &amp;EmpSName03</f>
        <v>I Thelning</v>
      </c>
      <c r="D122" s="4" t="s">
        <v>62</v>
      </c>
      <c r="E122" s="4" t="s">
        <v>62</v>
      </c>
      <c r="F122" s="4" t="s">
        <v>62</v>
      </c>
      <c r="G122" s="4" t="s">
        <v>62</v>
      </c>
      <c r="H122" s="4" t="s">
        <v>62</v>
      </c>
      <c r="I122" s="4" t="s">
        <v>62</v>
      </c>
      <c r="J122" s="4" t="s">
        <v>62</v>
      </c>
      <c r="K122" s="4" t="s">
        <v>62</v>
      </c>
      <c r="L122" s="4" t="s">
        <v>62</v>
      </c>
      <c r="M122" s="4" t="s">
        <v>62</v>
      </c>
      <c r="N122" s="4" t="s">
        <v>62</v>
      </c>
      <c r="O122" s="4" t="s">
        <v>62</v>
      </c>
      <c r="P122" s="4" t="s">
        <v>62</v>
      </c>
      <c r="Q122" s="4" t="s">
        <v>62</v>
      </c>
      <c r="R122" s="4" t="s">
        <v>62</v>
      </c>
      <c r="S122" s="4" t="s">
        <v>62</v>
      </c>
      <c r="T122" s="4" t="s">
        <v>62</v>
      </c>
      <c r="U122" s="4" t="s">
        <v>62</v>
      </c>
      <c r="V122" s="4" t="s">
        <v>62</v>
      </c>
      <c r="W122" s="4" t="s">
        <v>62</v>
      </c>
      <c r="X122" s="4" t="s">
        <v>62</v>
      </c>
      <c r="Y122" s="4" t="s">
        <v>62</v>
      </c>
      <c r="Z122" s="4" t="s">
        <v>62</v>
      </c>
      <c r="AA122" s="4" t="s">
        <v>62</v>
      </c>
      <c r="AB122" s="4" t="s">
        <v>62</v>
      </c>
      <c r="AC122" s="4" t="s">
        <v>62</v>
      </c>
      <c r="AD122" s="4" t="s">
        <v>62</v>
      </c>
      <c r="AE122" s="4" t="s">
        <v>62</v>
      </c>
      <c r="AF122" s="4" t="s">
        <v>62</v>
      </c>
      <c r="AG122" s="4" t="s">
        <v>62</v>
      </c>
      <c r="AH122" s="4" t="s">
        <v>62</v>
      </c>
    </row>
    <row r="123" spans="2:34">
      <c r="B123" s="83">
        <v>4</v>
      </c>
      <c r="C123" s="90" t="str">
        <f>LEFT(EmpGName04)&amp;" " &amp;EmpSName04</f>
        <v>L King</v>
      </c>
      <c r="D123" s="3" t="s">
        <v>62</v>
      </c>
      <c r="E123" s="3" t="s">
        <v>62</v>
      </c>
      <c r="F123" s="3" t="s">
        <v>62</v>
      </c>
      <c r="G123" s="3" t="s">
        <v>62</v>
      </c>
      <c r="H123" s="3" t="s">
        <v>62</v>
      </c>
      <c r="I123" s="3" t="s">
        <v>62</v>
      </c>
      <c r="J123" s="3" t="s">
        <v>62</v>
      </c>
      <c r="K123" s="3" t="s">
        <v>62</v>
      </c>
      <c r="L123" s="3" t="s">
        <v>62</v>
      </c>
      <c r="M123" s="3" t="s">
        <v>62</v>
      </c>
      <c r="N123" s="3" t="s">
        <v>62</v>
      </c>
      <c r="O123" s="3" t="s">
        <v>62</v>
      </c>
      <c r="P123" s="3" t="s">
        <v>62</v>
      </c>
      <c r="Q123" s="3" t="s">
        <v>62</v>
      </c>
      <c r="R123" s="3" t="s">
        <v>62</v>
      </c>
      <c r="S123" s="3" t="s">
        <v>62</v>
      </c>
      <c r="T123" s="3" t="s">
        <v>62</v>
      </c>
      <c r="U123" s="3" t="s">
        <v>62</v>
      </c>
      <c r="V123" s="3" t="s">
        <v>62</v>
      </c>
      <c r="W123" s="3" t="s">
        <v>62</v>
      </c>
      <c r="X123" s="3" t="s">
        <v>62</v>
      </c>
      <c r="Y123" s="3" t="s">
        <v>62</v>
      </c>
      <c r="Z123" s="3" t="s">
        <v>62</v>
      </c>
      <c r="AA123" s="3" t="s">
        <v>62</v>
      </c>
      <c r="AB123" s="3" t="s">
        <v>62</v>
      </c>
      <c r="AC123" s="3" t="s">
        <v>62</v>
      </c>
      <c r="AD123" s="3" t="s">
        <v>62</v>
      </c>
      <c r="AE123" s="3" t="s">
        <v>62</v>
      </c>
      <c r="AF123" s="3" t="s">
        <v>62</v>
      </c>
      <c r="AG123" s="3" t="s">
        <v>62</v>
      </c>
      <c r="AH123" s="3" t="s">
        <v>62</v>
      </c>
    </row>
    <row r="124" spans="2:34">
      <c r="B124" s="83">
        <v>5</v>
      </c>
      <c r="C124" s="89" t="str">
        <f>LEFT(EmpGName05)&amp;" " &amp;EmpSName05</f>
        <v>D Castle</v>
      </c>
      <c r="D124" s="4" t="s">
        <v>62</v>
      </c>
      <c r="E124" s="4" t="s">
        <v>62</v>
      </c>
      <c r="F124" s="4" t="s">
        <v>62</v>
      </c>
      <c r="G124" s="4" t="s">
        <v>62</v>
      </c>
      <c r="H124" s="4" t="s">
        <v>62</v>
      </c>
      <c r="I124" s="4" t="s">
        <v>62</v>
      </c>
      <c r="J124" s="4" t="s">
        <v>62</v>
      </c>
      <c r="K124" s="4" t="s">
        <v>62</v>
      </c>
      <c r="L124" s="4" t="s">
        <v>62</v>
      </c>
      <c r="M124" s="4" t="s">
        <v>62</v>
      </c>
      <c r="N124" s="4" t="s">
        <v>62</v>
      </c>
      <c r="O124" s="4" t="s">
        <v>62</v>
      </c>
      <c r="P124" s="4" t="s">
        <v>62</v>
      </c>
      <c r="Q124" s="4" t="s">
        <v>62</v>
      </c>
      <c r="R124" s="4" t="s">
        <v>62</v>
      </c>
      <c r="S124" s="4" t="s">
        <v>62</v>
      </c>
      <c r="T124" s="4" t="s">
        <v>62</v>
      </c>
      <c r="U124" s="4" t="s">
        <v>62</v>
      </c>
      <c r="V124" s="4" t="s">
        <v>62</v>
      </c>
      <c r="W124" s="4" t="s">
        <v>62</v>
      </c>
      <c r="X124" s="4" t="s">
        <v>62</v>
      </c>
      <c r="Y124" s="4" t="s">
        <v>62</v>
      </c>
      <c r="Z124" s="4" t="s">
        <v>62</v>
      </c>
      <c r="AA124" s="4" t="s">
        <v>62</v>
      </c>
      <c r="AB124" s="4" t="s">
        <v>62</v>
      </c>
      <c r="AC124" s="4" t="s">
        <v>62</v>
      </c>
      <c r="AD124" s="4" t="s">
        <v>62</v>
      </c>
      <c r="AE124" s="4" t="s">
        <v>62</v>
      </c>
      <c r="AF124" s="4" t="s">
        <v>62</v>
      </c>
      <c r="AG124" s="4" t="s">
        <v>62</v>
      </c>
      <c r="AH124" s="4" t="s">
        <v>62</v>
      </c>
    </row>
    <row r="125" spans="2:34">
      <c r="B125" s="83">
        <v>6</v>
      </c>
      <c r="C125" s="90" t="str">
        <f>LEFT(EmpGName06)&amp;" " &amp;EmpSName06</f>
        <v>R Fielding</v>
      </c>
      <c r="D125" s="3" t="s">
        <v>62</v>
      </c>
      <c r="E125" s="3" t="s">
        <v>62</v>
      </c>
      <c r="F125" s="3" t="s">
        <v>62</v>
      </c>
      <c r="G125" s="3" t="s">
        <v>62</v>
      </c>
      <c r="H125" s="3" t="s">
        <v>62</v>
      </c>
      <c r="I125" s="3" t="s">
        <v>62</v>
      </c>
      <c r="J125" s="3" t="s">
        <v>62</v>
      </c>
      <c r="K125" s="3" t="s">
        <v>62</v>
      </c>
      <c r="L125" s="3" t="s">
        <v>62</v>
      </c>
      <c r="M125" s="3" t="s">
        <v>62</v>
      </c>
      <c r="N125" s="3" t="s">
        <v>62</v>
      </c>
      <c r="O125" s="3" t="s">
        <v>62</v>
      </c>
      <c r="P125" s="3" t="s">
        <v>62</v>
      </c>
      <c r="Q125" s="3" t="s">
        <v>62</v>
      </c>
      <c r="R125" s="3" t="s">
        <v>62</v>
      </c>
      <c r="S125" s="3" t="s">
        <v>62</v>
      </c>
      <c r="T125" s="3" t="s">
        <v>62</v>
      </c>
      <c r="U125" s="3" t="s">
        <v>62</v>
      </c>
      <c r="V125" s="3" t="s">
        <v>62</v>
      </c>
      <c r="W125" s="3" t="s">
        <v>62</v>
      </c>
      <c r="X125" s="3" t="s">
        <v>62</v>
      </c>
      <c r="Y125" s="3" t="s">
        <v>62</v>
      </c>
      <c r="Z125" s="3" t="s">
        <v>62</v>
      </c>
      <c r="AA125" s="3" t="s">
        <v>62</v>
      </c>
      <c r="AB125" s="3" t="s">
        <v>62</v>
      </c>
      <c r="AC125" s="3" t="s">
        <v>62</v>
      </c>
      <c r="AD125" s="3" t="s">
        <v>62</v>
      </c>
      <c r="AE125" s="3" t="s">
        <v>62</v>
      </c>
      <c r="AF125" s="3" t="s">
        <v>62</v>
      </c>
      <c r="AG125" s="3" t="s">
        <v>62</v>
      </c>
      <c r="AH125" s="3" t="s">
        <v>62</v>
      </c>
    </row>
    <row r="126" spans="2:34">
      <c r="B126" s="83">
        <v>7</v>
      </c>
      <c r="C126" s="89" t="str">
        <f>LEFT(EmpGName07)&amp;" " &amp;EmpSName07</f>
        <v>T Sorensen</v>
      </c>
      <c r="D126" s="4" t="s">
        <v>62</v>
      </c>
      <c r="E126" s="4" t="s">
        <v>62</v>
      </c>
      <c r="F126" s="4" t="s">
        <v>62</v>
      </c>
      <c r="G126" s="4" t="s">
        <v>62</v>
      </c>
      <c r="H126" s="4" t="s">
        <v>62</v>
      </c>
      <c r="I126" s="4" t="s">
        <v>62</v>
      </c>
      <c r="J126" s="4" t="s">
        <v>62</v>
      </c>
      <c r="K126" s="4" t="s">
        <v>62</v>
      </c>
      <c r="L126" s="4" t="s">
        <v>62</v>
      </c>
      <c r="M126" s="4" t="s">
        <v>62</v>
      </c>
      <c r="N126" s="4" t="s">
        <v>62</v>
      </c>
      <c r="O126" s="4" t="s">
        <v>62</v>
      </c>
      <c r="P126" s="4" t="s">
        <v>62</v>
      </c>
      <c r="Q126" s="4" t="s">
        <v>62</v>
      </c>
      <c r="R126" s="4" t="s">
        <v>62</v>
      </c>
      <c r="S126" s="4" t="s">
        <v>62</v>
      </c>
      <c r="T126" s="4" t="s">
        <v>62</v>
      </c>
      <c r="U126" s="4" t="s">
        <v>62</v>
      </c>
      <c r="V126" s="4" t="s">
        <v>62</v>
      </c>
      <c r="W126" s="4" t="s">
        <v>62</v>
      </c>
      <c r="X126" s="4" t="s">
        <v>62</v>
      </c>
      <c r="Y126" s="4" t="s">
        <v>62</v>
      </c>
      <c r="Z126" s="4" t="s">
        <v>62</v>
      </c>
      <c r="AA126" s="4" t="s">
        <v>62</v>
      </c>
      <c r="AB126" s="4" t="s">
        <v>62</v>
      </c>
      <c r="AC126" s="4" t="s">
        <v>62</v>
      </c>
      <c r="AD126" s="4" t="s">
        <v>62</v>
      </c>
      <c r="AE126" s="4" t="s">
        <v>62</v>
      </c>
      <c r="AF126" s="4" t="s">
        <v>62</v>
      </c>
      <c r="AG126" s="4" t="s">
        <v>62</v>
      </c>
      <c r="AH126" s="4" t="s">
        <v>62</v>
      </c>
    </row>
    <row r="127" spans="2:34">
      <c r="B127" s="83">
        <v>8</v>
      </c>
      <c r="C127" s="90" t="str">
        <f>LEFT(EmpGName08)&amp;" " &amp;EmpSName08</f>
        <v xml:space="preserve">B Odd </v>
      </c>
      <c r="D127" s="3" t="s">
        <v>62</v>
      </c>
      <c r="E127" s="3" t="s">
        <v>62</v>
      </c>
      <c r="F127" s="3" t="s">
        <v>62</v>
      </c>
      <c r="G127" s="3" t="s">
        <v>62</v>
      </c>
      <c r="H127" s="3" t="s">
        <v>62</v>
      </c>
      <c r="I127" s="3" t="s">
        <v>62</v>
      </c>
      <c r="J127" s="3" t="s">
        <v>62</v>
      </c>
      <c r="K127" s="3" t="s">
        <v>62</v>
      </c>
      <c r="L127" s="3" t="s">
        <v>62</v>
      </c>
      <c r="M127" s="3" t="s">
        <v>62</v>
      </c>
      <c r="N127" s="3" t="s">
        <v>62</v>
      </c>
      <c r="O127" s="3" t="s">
        <v>62</v>
      </c>
      <c r="P127" s="3" t="s">
        <v>62</v>
      </c>
      <c r="Q127" s="3" t="s">
        <v>62</v>
      </c>
      <c r="R127" s="3" t="s">
        <v>62</v>
      </c>
      <c r="S127" s="3" t="s">
        <v>62</v>
      </c>
      <c r="T127" s="3" t="s">
        <v>62</v>
      </c>
      <c r="U127" s="3" t="s">
        <v>62</v>
      </c>
      <c r="V127" s="3" t="s">
        <v>62</v>
      </c>
      <c r="W127" s="3" t="s">
        <v>62</v>
      </c>
      <c r="X127" s="3" t="s">
        <v>62</v>
      </c>
      <c r="Y127" s="3" t="s">
        <v>62</v>
      </c>
      <c r="Z127" s="3" t="s">
        <v>62</v>
      </c>
      <c r="AA127" s="3" t="s">
        <v>62</v>
      </c>
      <c r="AB127" s="3" t="s">
        <v>62</v>
      </c>
      <c r="AC127" s="3" t="s">
        <v>62</v>
      </c>
      <c r="AD127" s="3" t="s">
        <v>62</v>
      </c>
      <c r="AE127" s="3" t="s">
        <v>62</v>
      </c>
      <c r="AF127" s="3" t="s">
        <v>62</v>
      </c>
      <c r="AG127" s="3" t="s">
        <v>62</v>
      </c>
      <c r="AH127" s="3" t="s">
        <v>62</v>
      </c>
    </row>
    <row r="128" spans="2:34">
      <c r="B128" s="83">
        <v>9</v>
      </c>
      <c r="C128" s="89" t="str">
        <f>LEFT(EmpGName09)&amp;" " &amp;EmpSName09</f>
        <v>1 Odd1</v>
      </c>
      <c r="D128" s="4" t="s">
        <v>62</v>
      </c>
      <c r="E128" s="4" t="s">
        <v>62</v>
      </c>
      <c r="F128" s="4" t="s">
        <v>62</v>
      </c>
      <c r="G128" s="4" t="s">
        <v>62</v>
      </c>
      <c r="H128" s="4" t="s">
        <v>62</v>
      </c>
      <c r="I128" s="4" t="s">
        <v>62</v>
      </c>
      <c r="J128" s="4" t="s">
        <v>62</v>
      </c>
      <c r="K128" s="4" t="s">
        <v>62</v>
      </c>
      <c r="L128" s="4" t="s">
        <v>62</v>
      </c>
      <c r="M128" s="4" t="s">
        <v>62</v>
      </c>
      <c r="N128" s="4" t="s">
        <v>62</v>
      </c>
      <c r="O128" s="4" t="s">
        <v>62</v>
      </c>
      <c r="P128" s="4" t="s">
        <v>62</v>
      </c>
      <c r="Q128" s="4" t="s">
        <v>62</v>
      </c>
      <c r="R128" s="4" t="s">
        <v>62</v>
      </c>
      <c r="S128" s="4" t="s">
        <v>62</v>
      </c>
      <c r="T128" s="4" t="s">
        <v>62</v>
      </c>
      <c r="U128" s="4" t="s">
        <v>62</v>
      </c>
      <c r="V128" s="4" t="s">
        <v>62</v>
      </c>
      <c r="W128" s="4" t="s">
        <v>62</v>
      </c>
      <c r="X128" s="4" t="s">
        <v>62</v>
      </c>
      <c r="Y128" s="4" t="s">
        <v>62</v>
      </c>
      <c r="Z128" s="4" t="s">
        <v>62</v>
      </c>
      <c r="AA128" s="4" t="s">
        <v>62</v>
      </c>
      <c r="AB128" s="4" t="s">
        <v>62</v>
      </c>
      <c r="AC128" s="4" t="s">
        <v>62</v>
      </c>
      <c r="AD128" s="4" t="s">
        <v>62</v>
      </c>
      <c r="AE128" s="4" t="s">
        <v>62</v>
      </c>
      <c r="AF128" s="4" t="s">
        <v>62</v>
      </c>
      <c r="AG128" s="4" t="s">
        <v>62</v>
      </c>
      <c r="AH128" s="4" t="s">
        <v>62</v>
      </c>
    </row>
    <row r="129" spans="2:34">
      <c r="B129" s="149">
        <v>10</v>
      </c>
      <c r="C129" s="91" t="str">
        <f>LEFT(EmpGName10)&amp;" " &amp;EmpSName10</f>
        <v>2 Odd2</v>
      </c>
      <c r="D129" s="68" t="s">
        <v>62</v>
      </c>
      <c r="E129" s="68" t="s">
        <v>62</v>
      </c>
      <c r="F129" s="68" t="s">
        <v>62</v>
      </c>
      <c r="G129" s="68" t="s">
        <v>62</v>
      </c>
      <c r="H129" s="68" t="s">
        <v>62</v>
      </c>
      <c r="I129" s="68" t="s">
        <v>62</v>
      </c>
      <c r="J129" s="68" t="s">
        <v>62</v>
      </c>
      <c r="K129" s="68" t="s">
        <v>62</v>
      </c>
      <c r="L129" s="68" t="s">
        <v>62</v>
      </c>
      <c r="M129" s="68" t="s">
        <v>62</v>
      </c>
      <c r="N129" s="68" t="s">
        <v>62</v>
      </c>
      <c r="O129" s="68" t="s">
        <v>62</v>
      </c>
      <c r="P129" s="68" t="s">
        <v>62</v>
      </c>
      <c r="Q129" s="68" t="s">
        <v>62</v>
      </c>
      <c r="R129" s="68" t="s">
        <v>62</v>
      </c>
      <c r="S129" s="68" t="s">
        <v>62</v>
      </c>
      <c r="T129" s="68" t="s">
        <v>62</v>
      </c>
      <c r="U129" s="68" t="s">
        <v>62</v>
      </c>
      <c r="V129" s="68" t="s">
        <v>62</v>
      </c>
      <c r="W129" s="68" t="s">
        <v>62</v>
      </c>
      <c r="X129" s="68" t="s">
        <v>62</v>
      </c>
      <c r="Y129" s="68" t="s">
        <v>62</v>
      </c>
      <c r="Z129" s="68" t="s">
        <v>62</v>
      </c>
      <c r="AA129" s="68" t="s">
        <v>62</v>
      </c>
      <c r="AB129" s="68" t="s">
        <v>62</v>
      </c>
      <c r="AC129" s="68" t="s">
        <v>62</v>
      </c>
      <c r="AD129" s="68" t="s">
        <v>62</v>
      </c>
      <c r="AE129" s="68" t="s">
        <v>62</v>
      </c>
      <c r="AF129" s="68" t="s">
        <v>62</v>
      </c>
      <c r="AG129" s="68" t="s">
        <v>62</v>
      </c>
      <c r="AH129" s="68" t="s">
        <v>62</v>
      </c>
    </row>
    <row r="130" spans="2:34">
      <c r="B130" s="149">
        <v>11</v>
      </c>
      <c r="C130" s="89" t="str">
        <f>LEFT(EmpGName11)&amp;" " &amp;EmpSName11</f>
        <v>2 Odd3</v>
      </c>
      <c r="D130" s="4" t="s">
        <v>62</v>
      </c>
      <c r="E130" s="4" t="s">
        <v>62</v>
      </c>
      <c r="F130" s="4" t="s">
        <v>62</v>
      </c>
      <c r="G130" s="4" t="s">
        <v>62</v>
      </c>
      <c r="H130" s="4" t="s">
        <v>62</v>
      </c>
      <c r="I130" s="4" t="s">
        <v>62</v>
      </c>
      <c r="J130" s="4" t="s">
        <v>62</v>
      </c>
      <c r="K130" s="4" t="s">
        <v>62</v>
      </c>
      <c r="L130" s="4" t="s">
        <v>62</v>
      </c>
      <c r="M130" s="4" t="s">
        <v>62</v>
      </c>
      <c r="N130" s="4" t="s">
        <v>62</v>
      </c>
      <c r="O130" s="4" t="s">
        <v>62</v>
      </c>
      <c r="P130" s="4" t="s">
        <v>62</v>
      </c>
      <c r="Q130" s="4" t="s">
        <v>62</v>
      </c>
      <c r="R130" s="4" t="s">
        <v>62</v>
      </c>
      <c r="S130" s="4" t="s">
        <v>62</v>
      </c>
      <c r="T130" s="4" t="s">
        <v>62</v>
      </c>
      <c r="U130" s="4" t="s">
        <v>62</v>
      </c>
      <c r="V130" s="4" t="s">
        <v>62</v>
      </c>
      <c r="W130" s="4" t="s">
        <v>62</v>
      </c>
      <c r="X130" s="4" t="s">
        <v>62</v>
      </c>
      <c r="Y130" s="4" t="s">
        <v>62</v>
      </c>
      <c r="Z130" s="4" t="s">
        <v>62</v>
      </c>
      <c r="AA130" s="4" t="s">
        <v>62</v>
      </c>
      <c r="AB130" s="4" t="s">
        <v>62</v>
      </c>
      <c r="AC130" s="4" t="s">
        <v>62</v>
      </c>
      <c r="AD130" s="4" t="s">
        <v>62</v>
      </c>
      <c r="AE130" s="4" t="s">
        <v>62</v>
      </c>
      <c r="AF130" s="4" t="s">
        <v>62</v>
      </c>
      <c r="AG130" s="4" t="s">
        <v>62</v>
      </c>
      <c r="AH130" s="4" t="s">
        <v>62</v>
      </c>
    </row>
    <row r="131" spans="2:34">
      <c r="B131" s="149">
        <v>12</v>
      </c>
      <c r="C131" s="91" t="str">
        <f>LEFT(EmpGName12)&amp;" " &amp;EmpSName12</f>
        <v>4 Odd4</v>
      </c>
      <c r="D131" s="68" t="s">
        <v>62</v>
      </c>
      <c r="E131" s="68" t="s">
        <v>62</v>
      </c>
      <c r="F131" s="68" t="s">
        <v>62</v>
      </c>
      <c r="G131" s="68" t="s">
        <v>62</v>
      </c>
      <c r="H131" s="68" t="s">
        <v>62</v>
      </c>
      <c r="I131" s="68" t="s">
        <v>62</v>
      </c>
      <c r="J131" s="68" t="s">
        <v>62</v>
      </c>
      <c r="K131" s="68" t="s">
        <v>62</v>
      </c>
      <c r="L131" s="68" t="s">
        <v>62</v>
      </c>
      <c r="M131" s="68" t="s">
        <v>62</v>
      </c>
      <c r="N131" s="68" t="s">
        <v>62</v>
      </c>
      <c r="O131" s="68" t="s">
        <v>62</v>
      </c>
      <c r="P131" s="68" t="s">
        <v>62</v>
      </c>
      <c r="Q131" s="68" t="s">
        <v>62</v>
      </c>
      <c r="R131" s="68" t="s">
        <v>62</v>
      </c>
      <c r="S131" s="68" t="s">
        <v>62</v>
      </c>
      <c r="T131" s="68" t="s">
        <v>62</v>
      </c>
      <c r="U131" s="68" t="s">
        <v>62</v>
      </c>
      <c r="V131" s="68" t="s">
        <v>62</v>
      </c>
      <c r="W131" s="68" t="s">
        <v>62</v>
      </c>
      <c r="X131" s="68" t="s">
        <v>62</v>
      </c>
      <c r="Y131" s="68" t="s">
        <v>62</v>
      </c>
      <c r="Z131" s="68" t="s">
        <v>62</v>
      </c>
      <c r="AA131" s="68" t="s">
        <v>62</v>
      </c>
      <c r="AB131" s="68" t="s">
        <v>62</v>
      </c>
      <c r="AC131" s="68" t="s">
        <v>62</v>
      </c>
      <c r="AD131" s="68" t="s">
        <v>62</v>
      </c>
      <c r="AE131" s="68" t="s">
        <v>62</v>
      </c>
      <c r="AF131" s="68" t="s">
        <v>62</v>
      </c>
      <c r="AG131" s="68" t="s">
        <v>62</v>
      </c>
      <c r="AH131" s="68" t="s">
        <v>62</v>
      </c>
    </row>
    <row r="132" spans="2:34">
      <c r="B132" s="6"/>
      <c r="C132" s="7"/>
      <c r="D132" s="8"/>
      <c r="E132" s="8"/>
      <c r="F132" s="8"/>
      <c r="G132" s="8"/>
      <c r="H132" s="8"/>
      <c r="I132" s="8"/>
      <c r="J132" s="8"/>
      <c r="K132" s="8"/>
      <c r="L132" s="8"/>
      <c r="M132" s="8"/>
      <c r="N132" s="8"/>
      <c r="O132" s="8"/>
      <c r="P132" s="8"/>
      <c r="Q132" s="8"/>
      <c r="R132" s="8"/>
      <c r="S132" s="8"/>
      <c r="T132" s="8"/>
      <c r="U132" s="8"/>
      <c r="V132" s="8"/>
      <c r="W132" s="8"/>
      <c r="X132" s="8"/>
      <c r="Y132" s="8"/>
      <c r="Z132" s="8"/>
      <c r="AA132" s="8"/>
      <c r="AB132" s="8"/>
      <c r="AC132" s="8"/>
      <c r="AD132" s="8"/>
      <c r="AE132" s="8"/>
      <c r="AF132" s="69"/>
      <c r="AG132" s="8"/>
      <c r="AH132" s="8"/>
    </row>
    <row r="133" spans="2:34">
      <c r="C133" t="str">
        <f>CurYear&amp;":"</f>
        <v>2019:</v>
      </c>
      <c r="D133" s="5" t="str">
        <f>LEFT(TEXT(D134&amp;"-"&amp;$C$134&amp;"-"&amp;CurYear,"ddd"),2)</f>
        <v>Fr</v>
      </c>
      <c r="E133" s="5" t="str">
        <f t="shared" ref="E133:AF133" si="7">LEFT(TEXT(E134&amp;"-"&amp;$C$134&amp;"-"&amp;CurYear,"ddd"),2)</f>
        <v>Sa</v>
      </c>
      <c r="F133" s="5" t="str">
        <f t="shared" si="7"/>
        <v>Su</v>
      </c>
      <c r="G133" s="5" t="str">
        <f t="shared" si="7"/>
        <v>Mo</v>
      </c>
      <c r="H133" s="5" t="str">
        <f t="shared" si="7"/>
        <v>Tu</v>
      </c>
      <c r="I133" s="5" t="str">
        <f t="shared" si="7"/>
        <v>We</v>
      </c>
      <c r="J133" s="5" t="str">
        <f t="shared" si="7"/>
        <v>Th</v>
      </c>
      <c r="K133" s="5" t="str">
        <f t="shared" si="7"/>
        <v>Fr</v>
      </c>
      <c r="L133" s="5" t="str">
        <f t="shared" si="7"/>
        <v>Sa</v>
      </c>
      <c r="M133" s="5" t="str">
        <f t="shared" si="7"/>
        <v>Su</v>
      </c>
      <c r="N133" s="5" t="str">
        <f t="shared" si="7"/>
        <v>Mo</v>
      </c>
      <c r="O133" s="5" t="str">
        <f t="shared" si="7"/>
        <v>Tu</v>
      </c>
      <c r="P133" s="5" t="str">
        <f t="shared" si="7"/>
        <v>We</v>
      </c>
      <c r="Q133" s="5" t="str">
        <f t="shared" si="7"/>
        <v>Th</v>
      </c>
      <c r="R133" s="5" t="str">
        <f t="shared" si="7"/>
        <v>Fr</v>
      </c>
      <c r="S133" s="5" t="str">
        <f t="shared" si="7"/>
        <v>Sa</v>
      </c>
      <c r="T133" s="5" t="str">
        <f t="shared" si="7"/>
        <v>Su</v>
      </c>
      <c r="U133" s="5" t="str">
        <f t="shared" si="7"/>
        <v>Mo</v>
      </c>
      <c r="V133" s="5" t="str">
        <f t="shared" si="7"/>
        <v>Tu</v>
      </c>
      <c r="W133" s="5" t="str">
        <f t="shared" si="7"/>
        <v>We</v>
      </c>
      <c r="X133" s="5" t="str">
        <f t="shared" si="7"/>
        <v>Th</v>
      </c>
      <c r="Y133" s="5" t="str">
        <f t="shared" si="7"/>
        <v>Fr</v>
      </c>
      <c r="Z133" s="5" t="str">
        <f t="shared" si="7"/>
        <v>Sa</v>
      </c>
      <c r="AA133" s="5" t="str">
        <f t="shared" si="7"/>
        <v>Su</v>
      </c>
      <c r="AB133" s="5" t="str">
        <f t="shared" si="7"/>
        <v>Mo</v>
      </c>
      <c r="AC133" s="5" t="str">
        <f t="shared" si="7"/>
        <v>Tu</v>
      </c>
      <c r="AD133" s="5" t="str">
        <f t="shared" si="7"/>
        <v>We</v>
      </c>
      <c r="AE133" s="5" t="str">
        <f t="shared" si="7"/>
        <v>Th</v>
      </c>
      <c r="AF133" s="175" t="str">
        <f t="shared" si="7"/>
        <v>-F</v>
      </c>
    </row>
    <row r="134" spans="2:34">
      <c r="B134" s="86"/>
      <c r="C134" s="84" t="s">
        <v>13</v>
      </c>
      <c r="D134" s="176">
        <v>1</v>
      </c>
      <c r="E134" s="85">
        <v>2</v>
      </c>
      <c r="F134" s="85">
        <v>3</v>
      </c>
      <c r="G134" s="85">
        <v>4</v>
      </c>
      <c r="H134" s="85">
        <v>5</v>
      </c>
      <c r="I134" s="85">
        <v>6</v>
      </c>
      <c r="J134" s="85">
        <v>7</v>
      </c>
      <c r="K134" s="85">
        <v>8</v>
      </c>
      <c r="L134" s="85">
        <v>9</v>
      </c>
      <c r="M134" s="85">
        <v>10</v>
      </c>
      <c r="N134" s="85">
        <v>11</v>
      </c>
      <c r="O134" s="85">
        <v>12</v>
      </c>
      <c r="P134" s="85">
        <v>13</v>
      </c>
      <c r="Q134" s="85">
        <v>14</v>
      </c>
      <c r="R134" s="176">
        <v>15</v>
      </c>
      <c r="S134" s="85">
        <v>16</v>
      </c>
      <c r="T134" s="85">
        <v>17</v>
      </c>
      <c r="U134" s="85">
        <v>18</v>
      </c>
      <c r="V134" s="85">
        <v>19</v>
      </c>
      <c r="W134" s="85">
        <v>20</v>
      </c>
      <c r="X134" s="85">
        <v>21</v>
      </c>
      <c r="Y134" s="85">
        <v>22</v>
      </c>
      <c r="Z134" s="85">
        <v>23</v>
      </c>
      <c r="AA134" s="85">
        <v>24</v>
      </c>
      <c r="AB134" s="85">
        <v>25</v>
      </c>
      <c r="AC134" s="85">
        <v>26</v>
      </c>
      <c r="AD134" s="85">
        <v>27</v>
      </c>
      <c r="AE134" s="94">
        <v>28</v>
      </c>
      <c r="AF134" s="173"/>
      <c r="AG134" s="1"/>
      <c r="AH134" s="1"/>
    </row>
    <row r="135" spans="2:34">
      <c r="B135" s="83">
        <v>1</v>
      </c>
      <c r="C135" s="89" t="str">
        <f>LEFT(EmpGName01)&amp;" " &amp; EmpSName01</f>
        <v>L Marampon</v>
      </c>
      <c r="D135" s="4" t="s">
        <v>62</v>
      </c>
      <c r="E135" s="82" t="s">
        <v>62</v>
      </c>
      <c r="F135" s="4" t="s">
        <v>62</v>
      </c>
      <c r="G135" s="4" t="s">
        <v>62</v>
      </c>
      <c r="H135" s="4" t="s">
        <v>62</v>
      </c>
      <c r="I135" s="4" t="s">
        <v>62</v>
      </c>
      <c r="J135" s="4" t="s">
        <v>62</v>
      </c>
      <c r="K135" s="4" t="s">
        <v>62</v>
      </c>
      <c r="L135" s="4" t="s">
        <v>62</v>
      </c>
      <c r="M135" s="4" t="s">
        <v>62</v>
      </c>
      <c r="N135" s="4" t="s">
        <v>62</v>
      </c>
      <c r="O135" s="4" t="s">
        <v>62</v>
      </c>
      <c r="P135" s="4" t="s">
        <v>62</v>
      </c>
      <c r="Q135" s="4" t="s">
        <v>62</v>
      </c>
      <c r="R135" s="4" t="s">
        <v>62</v>
      </c>
      <c r="S135" s="4" t="s">
        <v>62</v>
      </c>
      <c r="T135" s="4" t="s">
        <v>62</v>
      </c>
      <c r="U135" s="4" t="s">
        <v>62</v>
      </c>
      <c r="V135" s="4" t="s">
        <v>62</v>
      </c>
      <c r="W135" s="4" t="s">
        <v>62</v>
      </c>
      <c r="X135" s="4" t="s">
        <v>62</v>
      </c>
      <c r="Y135" s="4" t="s">
        <v>62</v>
      </c>
      <c r="Z135" s="4" t="s">
        <v>62</v>
      </c>
      <c r="AA135" s="4" t="s">
        <v>62</v>
      </c>
      <c r="AB135" s="4" t="s">
        <v>62</v>
      </c>
      <c r="AC135" s="4" t="s">
        <v>62</v>
      </c>
      <c r="AD135" s="4" t="s">
        <v>62</v>
      </c>
      <c r="AE135" s="95" t="s">
        <v>62</v>
      </c>
      <c r="AF135" s="174"/>
      <c r="AG135" s="2"/>
      <c r="AH135" s="2"/>
    </row>
    <row r="136" spans="2:34">
      <c r="B136" s="83">
        <v>2</v>
      </c>
      <c r="C136" s="90" t="str">
        <f>LEFT(EmpGName02)&amp;" " &amp;EmpSName02</f>
        <v>K Stone</v>
      </c>
      <c r="D136" s="3" t="s">
        <v>62</v>
      </c>
      <c r="E136" s="3" t="s">
        <v>62</v>
      </c>
      <c r="F136" s="3" t="s">
        <v>62</v>
      </c>
      <c r="G136" s="3" t="s">
        <v>62</v>
      </c>
      <c r="H136" s="3" t="s">
        <v>62</v>
      </c>
      <c r="I136" s="3" t="s">
        <v>62</v>
      </c>
      <c r="J136" s="3" t="s">
        <v>62</v>
      </c>
      <c r="K136" s="3" t="s">
        <v>62</v>
      </c>
      <c r="L136" s="3" t="s">
        <v>62</v>
      </c>
      <c r="M136" s="3" t="s">
        <v>62</v>
      </c>
      <c r="N136" s="3" t="s">
        <v>62</v>
      </c>
      <c r="O136" s="3" t="s">
        <v>62</v>
      </c>
      <c r="P136" s="3" t="s">
        <v>62</v>
      </c>
      <c r="Q136" s="3" t="s">
        <v>62</v>
      </c>
      <c r="R136" s="3" t="s">
        <v>62</v>
      </c>
      <c r="S136" s="3" t="s">
        <v>62</v>
      </c>
      <c r="T136" s="3" t="s">
        <v>62</v>
      </c>
      <c r="U136" s="3" t="s">
        <v>62</v>
      </c>
      <c r="V136" s="3" t="s">
        <v>62</v>
      </c>
      <c r="W136" s="3" t="s">
        <v>62</v>
      </c>
      <c r="X136" s="3" t="s">
        <v>62</v>
      </c>
      <c r="Y136" s="3" t="s">
        <v>62</v>
      </c>
      <c r="Z136" s="3" t="s">
        <v>62</v>
      </c>
      <c r="AA136" s="3" t="s">
        <v>62</v>
      </c>
      <c r="AB136" s="3" t="s">
        <v>62</v>
      </c>
      <c r="AC136" s="3" t="s">
        <v>62</v>
      </c>
      <c r="AD136" s="3" t="s">
        <v>62</v>
      </c>
      <c r="AE136" s="96" t="s">
        <v>62</v>
      </c>
      <c r="AF136" s="174"/>
      <c r="AG136" s="2"/>
      <c r="AH136" s="2"/>
    </row>
    <row r="137" spans="2:34">
      <c r="B137" s="83">
        <v>3</v>
      </c>
      <c r="C137" s="89" t="str">
        <f>LEFT(EmpGName03)&amp;" " &amp;EmpSName03</f>
        <v>I Thelning</v>
      </c>
      <c r="D137" s="4" t="s">
        <v>62</v>
      </c>
      <c r="E137" s="4" t="s">
        <v>62</v>
      </c>
      <c r="F137" s="4" t="s">
        <v>62</v>
      </c>
      <c r="G137" s="4" t="s">
        <v>62</v>
      </c>
      <c r="H137" s="4" t="s">
        <v>62</v>
      </c>
      <c r="I137" s="4" t="s">
        <v>62</v>
      </c>
      <c r="J137" s="4" t="s">
        <v>62</v>
      </c>
      <c r="K137" s="4" t="s">
        <v>62</v>
      </c>
      <c r="L137" s="4" t="s">
        <v>62</v>
      </c>
      <c r="M137" s="4" t="s">
        <v>62</v>
      </c>
      <c r="N137" s="4" t="s">
        <v>62</v>
      </c>
      <c r="O137" s="4" t="s">
        <v>62</v>
      </c>
      <c r="P137" s="4" t="s">
        <v>62</v>
      </c>
      <c r="Q137" s="4" t="s">
        <v>62</v>
      </c>
      <c r="R137" s="4" t="s">
        <v>62</v>
      </c>
      <c r="S137" s="4" t="s">
        <v>62</v>
      </c>
      <c r="T137" s="4" t="s">
        <v>62</v>
      </c>
      <c r="U137" s="4" t="s">
        <v>62</v>
      </c>
      <c r="V137" s="4" t="s">
        <v>62</v>
      </c>
      <c r="W137" s="4" t="s">
        <v>62</v>
      </c>
      <c r="X137" s="4" t="s">
        <v>62</v>
      </c>
      <c r="Y137" s="4" t="s">
        <v>62</v>
      </c>
      <c r="Z137" s="4" t="s">
        <v>62</v>
      </c>
      <c r="AA137" s="4" t="s">
        <v>62</v>
      </c>
      <c r="AB137" s="4" t="s">
        <v>62</v>
      </c>
      <c r="AC137" s="4" t="s">
        <v>62</v>
      </c>
      <c r="AD137" s="4" t="s">
        <v>62</v>
      </c>
      <c r="AE137" s="95" t="s">
        <v>62</v>
      </c>
      <c r="AF137" s="174"/>
      <c r="AG137" s="2"/>
      <c r="AH137" s="2"/>
    </row>
    <row r="138" spans="2:34">
      <c r="B138" s="83">
        <v>4</v>
      </c>
      <c r="C138" s="90" t="str">
        <f>LEFT(EmpGName04)&amp;" " &amp;EmpSName04</f>
        <v>L King</v>
      </c>
      <c r="D138" s="3" t="s">
        <v>62</v>
      </c>
      <c r="E138" s="3" t="s">
        <v>62</v>
      </c>
      <c r="F138" s="3" t="s">
        <v>62</v>
      </c>
      <c r="G138" s="3" t="s">
        <v>62</v>
      </c>
      <c r="H138" s="3" t="s">
        <v>62</v>
      </c>
      <c r="I138" s="3" t="s">
        <v>62</v>
      </c>
      <c r="J138" s="3" t="s">
        <v>62</v>
      </c>
      <c r="K138" s="3" t="s">
        <v>62</v>
      </c>
      <c r="L138" s="3" t="s">
        <v>62</v>
      </c>
      <c r="M138" s="3" t="s">
        <v>62</v>
      </c>
      <c r="N138" s="3" t="s">
        <v>62</v>
      </c>
      <c r="O138" s="3" t="s">
        <v>62</v>
      </c>
      <c r="P138" s="3" t="s">
        <v>62</v>
      </c>
      <c r="Q138" s="3" t="s">
        <v>62</v>
      </c>
      <c r="R138" s="3" t="s">
        <v>62</v>
      </c>
      <c r="S138" s="3" t="s">
        <v>62</v>
      </c>
      <c r="T138" s="3" t="s">
        <v>62</v>
      </c>
      <c r="U138" s="3" t="s">
        <v>62</v>
      </c>
      <c r="V138" s="3" t="s">
        <v>62</v>
      </c>
      <c r="W138" s="3" t="s">
        <v>62</v>
      </c>
      <c r="X138" s="3" t="s">
        <v>62</v>
      </c>
      <c r="Y138" s="3" t="s">
        <v>62</v>
      </c>
      <c r="Z138" s="3" t="s">
        <v>62</v>
      </c>
      <c r="AA138" s="3" t="s">
        <v>62</v>
      </c>
      <c r="AB138" s="3" t="s">
        <v>62</v>
      </c>
      <c r="AC138" s="3" t="s">
        <v>62</v>
      </c>
      <c r="AD138" s="3" t="s">
        <v>62</v>
      </c>
      <c r="AE138" s="96" t="s">
        <v>62</v>
      </c>
      <c r="AF138" s="174"/>
      <c r="AG138" s="2"/>
      <c r="AH138" s="2"/>
    </row>
    <row r="139" spans="2:34">
      <c r="B139" s="83">
        <v>5</v>
      </c>
      <c r="C139" s="89" t="str">
        <f>LEFT(EmpGName05)&amp;" " &amp;EmpSName05</f>
        <v>D Castle</v>
      </c>
      <c r="D139" s="4" t="s">
        <v>62</v>
      </c>
      <c r="E139" s="4" t="s">
        <v>62</v>
      </c>
      <c r="F139" s="4" t="s">
        <v>62</v>
      </c>
      <c r="G139" s="4" t="s">
        <v>62</v>
      </c>
      <c r="H139" s="4" t="s">
        <v>62</v>
      </c>
      <c r="I139" s="4" t="s">
        <v>62</v>
      </c>
      <c r="J139" s="4" t="s">
        <v>62</v>
      </c>
      <c r="K139" s="4" t="s">
        <v>62</v>
      </c>
      <c r="L139" s="4" t="s">
        <v>62</v>
      </c>
      <c r="M139" s="4" t="s">
        <v>62</v>
      </c>
      <c r="N139" s="4" t="s">
        <v>62</v>
      </c>
      <c r="O139" s="4" t="s">
        <v>62</v>
      </c>
      <c r="P139" s="4" t="s">
        <v>62</v>
      </c>
      <c r="Q139" s="4" t="s">
        <v>62</v>
      </c>
      <c r="R139" s="4" t="s">
        <v>62</v>
      </c>
      <c r="S139" s="4" t="s">
        <v>62</v>
      </c>
      <c r="T139" s="4" t="s">
        <v>62</v>
      </c>
      <c r="U139" s="4" t="s">
        <v>62</v>
      </c>
      <c r="V139" s="4" t="s">
        <v>62</v>
      </c>
      <c r="W139" s="4" t="s">
        <v>62</v>
      </c>
      <c r="X139" s="4" t="s">
        <v>62</v>
      </c>
      <c r="Y139" s="4" t="s">
        <v>62</v>
      </c>
      <c r="Z139" s="4" t="s">
        <v>62</v>
      </c>
      <c r="AA139" s="4" t="s">
        <v>62</v>
      </c>
      <c r="AB139" s="4" t="s">
        <v>62</v>
      </c>
      <c r="AC139" s="4" t="s">
        <v>62</v>
      </c>
      <c r="AD139" s="4" t="s">
        <v>62</v>
      </c>
      <c r="AE139" s="95" t="s">
        <v>62</v>
      </c>
      <c r="AF139" s="174"/>
      <c r="AG139" s="2"/>
      <c r="AH139" s="2"/>
    </row>
    <row r="140" spans="2:34">
      <c r="B140" s="83">
        <v>6</v>
      </c>
      <c r="C140" s="90" t="str">
        <f>LEFT(EmpGName06)&amp;" " &amp;EmpSName06</f>
        <v>R Fielding</v>
      </c>
      <c r="D140" s="3" t="s">
        <v>62</v>
      </c>
      <c r="E140" s="3" t="s">
        <v>62</v>
      </c>
      <c r="F140" s="3" t="s">
        <v>62</v>
      </c>
      <c r="G140" s="3" t="s">
        <v>62</v>
      </c>
      <c r="H140" s="3" t="s">
        <v>62</v>
      </c>
      <c r="I140" s="3" t="s">
        <v>62</v>
      </c>
      <c r="J140" s="3" t="s">
        <v>62</v>
      </c>
      <c r="K140" s="3" t="s">
        <v>62</v>
      </c>
      <c r="L140" s="3" t="s">
        <v>62</v>
      </c>
      <c r="M140" s="3" t="s">
        <v>62</v>
      </c>
      <c r="N140" s="3" t="s">
        <v>62</v>
      </c>
      <c r="O140" s="3" t="s">
        <v>62</v>
      </c>
      <c r="P140" s="3" t="s">
        <v>62</v>
      </c>
      <c r="Q140" s="3" t="s">
        <v>62</v>
      </c>
      <c r="R140" s="3" t="s">
        <v>62</v>
      </c>
      <c r="S140" s="3" t="s">
        <v>62</v>
      </c>
      <c r="T140" s="3" t="s">
        <v>62</v>
      </c>
      <c r="U140" s="3" t="s">
        <v>62</v>
      </c>
      <c r="V140" s="3" t="s">
        <v>62</v>
      </c>
      <c r="W140" s="3" t="s">
        <v>62</v>
      </c>
      <c r="X140" s="3" t="s">
        <v>62</v>
      </c>
      <c r="Y140" s="3" t="s">
        <v>62</v>
      </c>
      <c r="Z140" s="3" t="s">
        <v>62</v>
      </c>
      <c r="AA140" s="3" t="s">
        <v>62</v>
      </c>
      <c r="AB140" s="3" t="s">
        <v>62</v>
      </c>
      <c r="AC140" s="3" t="s">
        <v>62</v>
      </c>
      <c r="AD140" s="3" t="s">
        <v>62</v>
      </c>
      <c r="AE140" s="96" t="s">
        <v>62</v>
      </c>
      <c r="AF140" s="174"/>
      <c r="AG140" s="2"/>
      <c r="AH140" s="2"/>
    </row>
    <row r="141" spans="2:34">
      <c r="B141" s="83">
        <v>7</v>
      </c>
      <c r="C141" s="89" t="str">
        <f>LEFT(EmpGName07)&amp;" " &amp;EmpSName07</f>
        <v>T Sorensen</v>
      </c>
      <c r="D141" s="4" t="s">
        <v>62</v>
      </c>
      <c r="E141" s="4" t="s">
        <v>62</v>
      </c>
      <c r="F141" s="4" t="s">
        <v>62</v>
      </c>
      <c r="G141" s="4" t="s">
        <v>62</v>
      </c>
      <c r="H141" s="4" t="s">
        <v>62</v>
      </c>
      <c r="I141" s="4" t="s">
        <v>62</v>
      </c>
      <c r="J141" s="4" t="s">
        <v>62</v>
      </c>
      <c r="K141" s="4" t="s">
        <v>62</v>
      </c>
      <c r="L141" s="4" t="s">
        <v>62</v>
      </c>
      <c r="M141" s="4" t="s">
        <v>62</v>
      </c>
      <c r="N141" s="4" t="s">
        <v>62</v>
      </c>
      <c r="O141" s="4" t="s">
        <v>62</v>
      </c>
      <c r="P141" s="4" t="s">
        <v>62</v>
      </c>
      <c r="Q141" s="4" t="s">
        <v>62</v>
      </c>
      <c r="R141" s="4" t="s">
        <v>62</v>
      </c>
      <c r="S141" s="4" t="s">
        <v>62</v>
      </c>
      <c r="T141" s="4" t="s">
        <v>62</v>
      </c>
      <c r="U141" s="4" t="s">
        <v>62</v>
      </c>
      <c r="V141" s="4" t="s">
        <v>62</v>
      </c>
      <c r="W141" s="4" t="s">
        <v>62</v>
      </c>
      <c r="X141" s="4" t="s">
        <v>62</v>
      </c>
      <c r="Y141" s="4" t="s">
        <v>62</v>
      </c>
      <c r="Z141" s="4" t="s">
        <v>62</v>
      </c>
      <c r="AA141" s="4" t="s">
        <v>62</v>
      </c>
      <c r="AB141" s="4" t="s">
        <v>62</v>
      </c>
      <c r="AC141" s="4" t="s">
        <v>62</v>
      </c>
      <c r="AD141" s="4" t="s">
        <v>62</v>
      </c>
      <c r="AE141" s="95" t="s">
        <v>62</v>
      </c>
      <c r="AF141" s="174"/>
      <c r="AG141" s="2"/>
      <c r="AH141" s="2"/>
    </row>
    <row r="142" spans="2:34">
      <c r="B142" s="83">
        <v>8</v>
      </c>
      <c r="C142" s="90" t="str">
        <f>LEFT(EmpGName08)&amp;" " &amp;EmpSName08</f>
        <v xml:space="preserve">B Odd </v>
      </c>
      <c r="D142" s="3" t="s">
        <v>62</v>
      </c>
      <c r="E142" s="3" t="s">
        <v>62</v>
      </c>
      <c r="F142" s="3" t="s">
        <v>62</v>
      </c>
      <c r="G142" s="3" t="s">
        <v>62</v>
      </c>
      <c r="H142" s="3" t="s">
        <v>62</v>
      </c>
      <c r="I142" s="3" t="s">
        <v>62</v>
      </c>
      <c r="J142" s="3" t="s">
        <v>62</v>
      </c>
      <c r="K142" s="3" t="s">
        <v>62</v>
      </c>
      <c r="L142" s="3" t="s">
        <v>62</v>
      </c>
      <c r="M142" s="3" t="s">
        <v>62</v>
      </c>
      <c r="N142" s="3" t="s">
        <v>62</v>
      </c>
      <c r="O142" s="3" t="s">
        <v>62</v>
      </c>
      <c r="P142" s="3" t="s">
        <v>62</v>
      </c>
      <c r="Q142" s="3" t="s">
        <v>62</v>
      </c>
      <c r="R142" s="3" t="s">
        <v>62</v>
      </c>
      <c r="S142" s="3" t="s">
        <v>62</v>
      </c>
      <c r="T142" s="3" t="s">
        <v>62</v>
      </c>
      <c r="U142" s="3" t="s">
        <v>62</v>
      </c>
      <c r="V142" s="3" t="s">
        <v>62</v>
      </c>
      <c r="W142" s="3" t="s">
        <v>62</v>
      </c>
      <c r="X142" s="3" t="s">
        <v>62</v>
      </c>
      <c r="Y142" s="3" t="s">
        <v>62</v>
      </c>
      <c r="Z142" s="3" t="s">
        <v>62</v>
      </c>
      <c r="AA142" s="3" t="s">
        <v>62</v>
      </c>
      <c r="AB142" s="3" t="s">
        <v>62</v>
      </c>
      <c r="AC142" s="3" t="s">
        <v>62</v>
      </c>
      <c r="AD142" s="3" t="s">
        <v>62</v>
      </c>
      <c r="AE142" s="96" t="s">
        <v>62</v>
      </c>
      <c r="AF142" s="174"/>
      <c r="AG142" s="2"/>
      <c r="AH142" s="2"/>
    </row>
    <row r="143" spans="2:34">
      <c r="B143" s="83">
        <v>9</v>
      </c>
      <c r="C143" s="89" t="str">
        <f>LEFT(EmpGName09)&amp;" " &amp;EmpSName09</f>
        <v>1 Odd1</v>
      </c>
      <c r="D143" s="4" t="s">
        <v>62</v>
      </c>
      <c r="E143" s="4" t="s">
        <v>62</v>
      </c>
      <c r="F143" s="4" t="s">
        <v>62</v>
      </c>
      <c r="G143" s="4" t="s">
        <v>62</v>
      </c>
      <c r="H143" s="4" t="s">
        <v>62</v>
      </c>
      <c r="I143" s="4" t="s">
        <v>62</v>
      </c>
      <c r="J143" s="4" t="s">
        <v>62</v>
      </c>
      <c r="K143" s="4" t="s">
        <v>62</v>
      </c>
      <c r="L143" s="4" t="s">
        <v>62</v>
      </c>
      <c r="M143" s="4" t="s">
        <v>62</v>
      </c>
      <c r="N143" s="4" t="s">
        <v>62</v>
      </c>
      <c r="O143" s="4" t="s">
        <v>62</v>
      </c>
      <c r="P143" s="4" t="s">
        <v>62</v>
      </c>
      <c r="Q143" s="4" t="s">
        <v>62</v>
      </c>
      <c r="R143" s="4" t="s">
        <v>62</v>
      </c>
      <c r="S143" s="4" t="s">
        <v>62</v>
      </c>
      <c r="T143" s="4" t="s">
        <v>62</v>
      </c>
      <c r="U143" s="4" t="s">
        <v>62</v>
      </c>
      <c r="V143" s="4" t="s">
        <v>62</v>
      </c>
      <c r="W143" s="4" t="s">
        <v>62</v>
      </c>
      <c r="X143" s="4" t="s">
        <v>62</v>
      </c>
      <c r="Y143" s="4" t="s">
        <v>62</v>
      </c>
      <c r="Z143" s="4" t="s">
        <v>62</v>
      </c>
      <c r="AA143" s="4" t="s">
        <v>62</v>
      </c>
      <c r="AB143" s="4" t="s">
        <v>62</v>
      </c>
      <c r="AC143" s="4" t="s">
        <v>62</v>
      </c>
      <c r="AD143" s="4" t="s">
        <v>62</v>
      </c>
      <c r="AE143" s="95" t="s">
        <v>62</v>
      </c>
      <c r="AF143" s="174"/>
      <c r="AG143" s="2"/>
      <c r="AH143" s="2"/>
    </row>
    <row r="144" spans="2:34">
      <c r="B144" s="149">
        <v>10</v>
      </c>
      <c r="C144" s="91" t="str">
        <f>LEFT(EmpGName10)&amp;" " &amp;EmpSName10</f>
        <v>2 Odd2</v>
      </c>
      <c r="D144" s="68" t="s">
        <v>62</v>
      </c>
      <c r="E144" s="68" t="s">
        <v>62</v>
      </c>
      <c r="F144" s="68" t="s">
        <v>62</v>
      </c>
      <c r="G144" s="68" t="s">
        <v>62</v>
      </c>
      <c r="H144" s="68" t="s">
        <v>62</v>
      </c>
      <c r="I144" s="68" t="s">
        <v>62</v>
      </c>
      <c r="J144" s="68" t="s">
        <v>62</v>
      </c>
      <c r="K144" s="68" t="s">
        <v>62</v>
      </c>
      <c r="L144" s="68" t="s">
        <v>62</v>
      </c>
      <c r="M144" s="68" t="s">
        <v>62</v>
      </c>
      <c r="N144" s="68" t="s">
        <v>62</v>
      </c>
      <c r="O144" s="68" t="s">
        <v>62</v>
      </c>
      <c r="P144" s="68" t="s">
        <v>62</v>
      </c>
      <c r="Q144" s="68" t="s">
        <v>62</v>
      </c>
      <c r="R144" s="68" t="s">
        <v>62</v>
      </c>
      <c r="S144" s="68" t="s">
        <v>62</v>
      </c>
      <c r="T144" s="68" t="s">
        <v>62</v>
      </c>
      <c r="U144" s="68" t="s">
        <v>62</v>
      </c>
      <c r="V144" s="68" t="s">
        <v>62</v>
      </c>
      <c r="W144" s="68" t="s">
        <v>62</v>
      </c>
      <c r="X144" s="68" t="s">
        <v>62</v>
      </c>
      <c r="Y144" s="68" t="s">
        <v>62</v>
      </c>
      <c r="Z144" s="68" t="s">
        <v>62</v>
      </c>
      <c r="AA144" s="68" t="s">
        <v>62</v>
      </c>
      <c r="AB144" s="68" t="s">
        <v>62</v>
      </c>
      <c r="AC144" s="68" t="s">
        <v>62</v>
      </c>
      <c r="AD144" s="68" t="s">
        <v>62</v>
      </c>
      <c r="AE144" s="97" t="s">
        <v>62</v>
      </c>
      <c r="AF144" s="174"/>
      <c r="AG144" s="2"/>
      <c r="AH144" s="2"/>
    </row>
    <row r="145" spans="2:34">
      <c r="B145" s="149">
        <v>11</v>
      </c>
      <c r="C145" s="89" t="str">
        <f>LEFT(EmpGName11)&amp;" " &amp;EmpSName11</f>
        <v>2 Odd3</v>
      </c>
      <c r="D145" s="4" t="s">
        <v>62</v>
      </c>
      <c r="E145" s="4" t="s">
        <v>62</v>
      </c>
      <c r="F145" s="4" t="s">
        <v>62</v>
      </c>
      <c r="G145" s="4" t="s">
        <v>62</v>
      </c>
      <c r="H145" s="4" t="s">
        <v>62</v>
      </c>
      <c r="I145" s="4" t="s">
        <v>62</v>
      </c>
      <c r="J145" s="4" t="s">
        <v>62</v>
      </c>
      <c r="K145" s="4" t="s">
        <v>62</v>
      </c>
      <c r="L145" s="4" t="s">
        <v>62</v>
      </c>
      <c r="M145" s="4" t="s">
        <v>62</v>
      </c>
      <c r="N145" s="4" t="s">
        <v>62</v>
      </c>
      <c r="O145" s="4" t="s">
        <v>62</v>
      </c>
      <c r="P145" s="4" t="s">
        <v>62</v>
      </c>
      <c r="Q145" s="4" t="s">
        <v>62</v>
      </c>
      <c r="R145" s="4" t="s">
        <v>62</v>
      </c>
      <c r="S145" s="4" t="s">
        <v>62</v>
      </c>
      <c r="T145" s="4" t="s">
        <v>62</v>
      </c>
      <c r="U145" s="4" t="s">
        <v>62</v>
      </c>
      <c r="V145" s="4" t="s">
        <v>62</v>
      </c>
      <c r="W145" s="4" t="s">
        <v>62</v>
      </c>
      <c r="X145" s="4" t="s">
        <v>62</v>
      </c>
      <c r="Y145" s="4" t="s">
        <v>62</v>
      </c>
      <c r="Z145" s="4" t="s">
        <v>62</v>
      </c>
      <c r="AA145" s="4" t="s">
        <v>62</v>
      </c>
      <c r="AB145" s="4" t="s">
        <v>62</v>
      </c>
      <c r="AC145" s="4" t="s">
        <v>62</v>
      </c>
      <c r="AD145" s="4" t="s">
        <v>62</v>
      </c>
      <c r="AE145" s="95" t="s">
        <v>62</v>
      </c>
      <c r="AF145" s="174"/>
      <c r="AG145" s="2"/>
      <c r="AH145" s="2"/>
    </row>
    <row r="146" spans="2:34">
      <c r="B146" s="149">
        <v>12</v>
      </c>
      <c r="C146" s="91" t="str">
        <f>LEFT(EmpGName12)&amp;" " &amp;EmpSName12</f>
        <v>4 Odd4</v>
      </c>
      <c r="D146" s="68" t="s">
        <v>62</v>
      </c>
      <c r="E146" s="68" t="s">
        <v>62</v>
      </c>
      <c r="F146" s="68" t="s">
        <v>62</v>
      </c>
      <c r="G146" s="68" t="s">
        <v>62</v>
      </c>
      <c r="H146" s="68" t="s">
        <v>62</v>
      </c>
      <c r="I146" s="68" t="s">
        <v>62</v>
      </c>
      <c r="J146" s="68" t="s">
        <v>62</v>
      </c>
      <c r="K146" s="68" t="s">
        <v>62</v>
      </c>
      <c r="L146" s="68" t="s">
        <v>62</v>
      </c>
      <c r="M146" s="68" t="s">
        <v>62</v>
      </c>
      <c r="N146" s="68" t="s">
        <v>62</v>
      </c>
      <c r="O146" s="68" t="s">
        <v>62</v>
      </c>
      <c r="P146" s="68" t="s">
        <v>62</v>
      </c>
      <c r="Q146" s="68" t="s">
        <v>62</v>
      </c>
      <c r="R146" s="68" t="s">
        <v>62</v>
      </c>
      <c r="S146" s="68" t="s">
        <v>62</v>
      </c>
      <c r="T146" s="68" t="s">
        <v>62</v>
      </c>
      <c r="U146" s="68" t="s">
        <v>62</v>
      </c>
      <c r="V146" s="68" t="s">
        <v>62</v>
      </c>
      <c r="W146" s="68" t="s">
        <v>62</v>
      </c>
      <c r="X146" s="68" t="s">
        <v>62</v>
      </c>
      <c r="Y146" s="68" t="s">
        <v>62</v>
      </c>
      <c r="Z146" s="68" t="s">
        <v>62</v>
      </c>
      <c r="AA146" s="68" t="s">
        <v>62</v>
      </c>
      <c r="AB146" s="68" t="s">
        <v>62</v>
      </c>
      <c r="AC146" s="68" t="s">
        <v>62</v>
      </c>
      <c r="AD146" s="68" t="s">
        <v>62</v>
      </c>
      <c r="AE146" s="97" t="s">
        <v>62</v>
      </c>
      <c r="AF146" s="174"/>
      <c r="AG146" s="2"/>
      <c r="AH146" s="2"/>
    </row>
    <row r="147" spans="2:34">
      <c r="B147" s="6"/>
      <c r="C147" s="7"/>
      <c r="D147" s="8"/>
      <c r="E147" s="8"/>
      <c r="F147" s="8"/>
      <c r="G147" s="8"/>
      <c r="H147" s="8"/>
      <c r="I147" s="8"/>
      <c r="J147" s="8"/>
      <c r="K147" s="8"/>
      <c r="L147" s="8"/>
      <c r="M147" s="8"/>
      <c r="N147" s="8"/>
      <c r="O147" s="8"/>
      <c r="P147" s="8"/>
      <c r="Q147" s="8"/>
      <c r="R147" s="8"/>
      <c r="S147" s="8"/>
      <c r="T147" s="8"/>
      <c r="U147" s="8"/>
      <c r="V147" s="8"/>
      <c r="W147" s="8"/>
      <c r="X147" s="8"/>
      <c r="Y147" s="8"/>
      <c r="Z147" s="8"/>
      <c r="AA147" s="8"/>
      <c r="AB147" s="8"/>
      <c r="AC147" s="8"/>
      <c r="AD147" s="8"/>
      <c r="AE147" s="8"/>
      <c r="AF147" s="8"/>
      <c r="AG147" s="7"/>
      <c r="AH147" s="7"/>
    </row>
    <row r="148" spans="2:34">
      <c r="C148" t="str">
        <f>CurYear&amp;":"</f>
        <v>2019:</v>
      </c>
      <c r="D148" s="5" t="str">
        <f>LEFT(TEXT(D149&amp;"-"&amp;$C$149&amp;"-"&amp;CurYear,"ddd"),2)</f>
        <v>Fr</v>
      </c>
      <c r="E148" s="5" t="str">
        <f t="shared" ref="E148:AH148" si="8">LEFT(TEXT(E149&amp;"-"&amp;$C$149&amp;"-"&amp;CurYear,"ddd"),2)</f>
        <v>Sa</v>
      </c>
      <c r="F148" s="5" t="str">
        <f t="shared" si="8"/>
        <v>Su</v>
      </c>
      <c r="G148" s="5" t="str">
        <f t="shared" si="8"/>
        <v>Mo</v>
      </c>
      <c r="H148" s="5" t="str">
        <f t="shared" si="8"/>
        <v>Tu</v>
      </c>
      <c r="I148" s="5" t="str">
        <f t="shared" si="8"/>
        <v>We</v>
      </c>
      <c r="J148" s="5" t="str">
        <f t="shared" si="8"/>
        <v>Th</v>
      </c>
      <c r="K148" s="5" t="str">
        <f t="shared" si="8"/>
        <v>Fr</v>
      </c>
      <c r="L148" s="5" t="str">
        <f t="shared" si="8"/>
        <v>Sa</v>
      </c>
      <c r="M148" s="5" t="str">
        <f t="shared" si="8"/>
        <v>Su</v>
      </c>
      <c r="N148" s="5" t="str">
        <f t="shared" si="8"/>
        <v>Mo</v>
      </c>
      <c r="O148" s="5" t="str">
        <f t="shared" si="8"/>
        <v>Tu</v>
      </c>
      <c r="P148" s="5" t="str">
        <f t="shared" si="8"/>
        <v>We</v>
      </c>
      <c r="Q148" s="5" t="str">
        <f t="shared" si="8"/>
        <v>Th</v>
      </c>
      <c r="R148" s="5" t="str">
        <f t="shared" si="8"/>
        <v>Fr</v>
      </c>
      <c r="S148" s="5" t="str">
        <f t="shared" si="8"/>
        <v>Sa</v>
      </c>
      <c r="T148" s="5" t="str">
        <f t="shared" si="8"/>
        <v>Su</v>
      </c>
      <c r="U148" s="5" t="str">
        <f t="shared" si="8"/>
        <v>Mo</v>
      </c>
      <c r="V148" s="5" t="str">
        <f t="shared" si="8"/>
        <v>Tu</v>
      </c>
      <c r="W148" s="5" t="str">
        <f t="shared" si="8"/>
        <v>We</v>
      </c>
      <c r="X148" s="5" t="str">
        <f t="shared" si="8"/>
        <v>Th</v>
      </c>
      <c r="Y148" s="5" t="str">
        <f t="shared" si="8"/>
        <v>Fr</v>
      </c>
      <c r="Z148" s="5" t="str">
        <f t="shared" si="8"/>
        <v>Sa</v>
      </c>
      <c r="AA148" s="5" t="str">
        <f t="shared" si="8"/>
        <v>Su</v>
      </c>
      <c r="AB148" s="5" t="str">
        <f t="shared" si="8"/>
        <v>Mo</v>
      </c>
      <c r="AC148" s="5" t="str">
        <f t="shared" si="8"/>
        <v>Tu</v>
      </c>
      <c r="AD148" s="5" t="str">
        <f t="shared" si="8"/>
        <v>We</v>
      </c>
      <c r="AE148" s="5" t="str">
        <f t="shared" si="8"/>
        <v>Th</v>
      </c>
      <c r="AF148" s="5" t="str">
        <f t="shared" si="8"/>
        <v>Fr</v>
      </c>
      <c r="AG148" s="5" t="str">
        <f t="shared" si="8"/>
        <v>Sa</v>
      </c>
      <c r="AH148" s="5" t="str">
        <f t="shared" si="8"/>
        <v>Su</v>
      </c>
    </row>
    <row r="149" spans="2:34">
      <c r="B149" s="88"/>
      <c r="C149" s="84" t="s">
        <v>14</v>
      </c>
      <c r="D149" s="176">
        <v>1</v>
      </c>
      <c r="E149" s="85">
        <v>2</v>
      </c>
      <c r="F149" s="85">
        <v>3</v>
      </c>
      <c r="G149" s="85">
        <v>4</v>
      </c>
      <c r="H149" s="85">
        <v>5</v>
      </c>
      <c r="I149" s="85">
        <v>6</v>
      </c>
      <c r="J149" s="85">
        <v>7</v>
      </c>
      <c r="K149" s="85">
        <v>8</v>
      </c>
      <c r="L149" s="85">
        <v>9</v>
      </c>
      <c r="M149" s="85">
        <v>10</v>
      </c>
      <c r="N149" s="85">
        <v>11</v>
      </c>
      <c r="O149" s="85">
        <v>12</v>
      </c>
      <c r="P149" s="85">
        <v>13</v>
      </c>
      <c r="Q149" s="85">
        <v>14</v>
      </c>
      <c r="R149" s="176">
        <v>15</v>
      </c>
      <c r="S149" s="85">
        <v>16</v>
      </c>
      <c r="T149" s="85">
        <v>17</v>
      </c>
      <c r="U149" s="85">
        <v>18</v>
      </c>
      <c r="V149" s="85">
        <v>19</v>
      </c>
      <c r="W149" s="85">
        <v>20</v>
      </c>
      <c r="X149" s="85">
        <v>21</v>
      </c>
      <c r="Y149" s="85">
        <v>22</v>
      </c>
      <c r="Z149" s="85">
        <v>23</v>
      </c>
      <c r="AA149" s="85">
        <v>24</v>
      </c>
      <c r="AB149" s="85">
        <v>25</v>
      </c>
      <c r="AC149" s="85">
        <v>26</v>
      </c>
      <c r="AD149" s="85">
        <v>27</v>
      </c>
      <c r="AE149" s="85">
        <v>28</v>
      </c>
      <c r="AF149" s="176">
        <v>29</v>
      </c>
      <c r="AG149" s="85">
        <v>30</v>
      </c>
      <c r="AH149" s="85">
        <v>31</v>
      </c>
    </row>
    <row r="150" spans="2:34">
      <c r="B150" s="83">
        <v>1</v>
      </c>
      <c r="C150" s="89" t="str">
        <f>LEFT(EmpGName01)&amp;" " &amp; EmpSName01</f>
        <v>L Marampon</v>
      </c>
      <c r="D150" s="4" t="s">
        <v>62</v>
      </c>
      <c r="E150" s="4" t="s">
        <v>62</v>
      </c>
      <c r="F150" s="82" t="s">
        <v>62</v>
      </c>
      <c r="G150" s="4" t="s">
        <v>62</v>
      </c>
      <c r="H150" s="4" t="s">
        <v>62</v>
      </c>
      <c r="I150" s="4" t="s">
        <v>62</v>
      </c>
      <c r="J150" s="4" t="s">
        <v>62</v>
      </c>
      <c r="K150" s="4" t="s">
        <v>62</v>
      </c>
      <c r="L150" s="4" t="s">
        <v>62</v>
      </c>
      <c r="M150" s="4" t="s">
        <v>62</v>
      </c>
      <c r="N150" s="4" t="s">
        <v>62</v>
      </c>
      <c r="O150" s="4" t="s">
        <v>62</v>
      </c>
      <c r="P150" s="4" t="s">
        <v>62</v>
      </c>
      <c r="Q150" s="4" t="s">
        <v>62</v>
      </c>
      <c r="R150" s="4" t="s">
        <v>62</v>
      </c>
      <c r="S150" s="4" t="s">
        <v>62</v>
      </c>
      <c r="T150" s="4" t="s">
        <v>62</v>
      </c>
      <c r="U150" s="4" t="s">
        <v>62</v>
      </c>
      <c r="V150" s="4" t="s">
        <v>62</v>
      </c>
      <c r="W150" s="4" t="s">
        <v>62</v>
      </c>
      <c r="X150" s="4" t="s">
        <v>62</v>
      </c>
      <c r="Y150" s="4" t="s">
        <v>62</v>
      </c>
      <c r="Z150" s="4" t="s">
        <v>62</v>
      </c>
      <c r="AA150" s="4" t="s">
        <v>62</v>
      </c>
      <c r="AB150" s="4" t="s">
        <v>62</v>
      </c>
      <c r="AC150" s="4" t="s">
        <v>62</v>
      </c>
      <c r="AD150" s="4" t="s">
        <v>62</v>
      </c>
      <c r="AE150" s="4" t="s">
        <v>62</v>
      </c>
      <c r="AF150" s="4" t="s">
        <v>62</v>
      </c>
      <c r="AG150" s="4" t="s">
        <v>62</v>
      </c>
      <c r="AH150" s="4" t="s">
        <v>62</v>
      </c>
    </row>
    <row r="151" spans="2:34">
      <c r="B151" s="83">
        <v>2</v>
      </c>
      <c r="C151" s="90" t="str">
        <f>LEFT(EmpGName02)&amp;" " &amp;EmpSName02</f>
        <v>K Stone</v>
      </c>
      <c r="D151" s="3" t="s">
        <v>62</v>
      </c>
      <c r="E151" s="3" t="s">
        <v>62</v>
      </c>
      <c r="F151" s="3" t="s">
        <v>62</v>
      </c>
      <c r="G151" s="3" t="s">
        <v>62</v>
      </c>
      <c r="H151" s="3" t="s">
        <v>62</v>
      </c>
      <c r="I151" s="3" t="s">
        <v>62</v>
      </c>
      <c r="J151" s="3" t="s">
        <v>62</v>
      </c>
      <c r="K151" s="3" t="s">
        <v>62</v>
      </c>
      <c r="L151" s="3" t="s">
        <v>62</v>
      </c>
      <c r="M151" s="3" t="s">
        <v>62</v>
      </c>
      <c r="N151" s="3" t="s">
        <v>62</v>
      </c>
      <c r="O151" s="3" t="s">
        <v>62</v>
      </c>
      <c r="P151" s="3" t="s">
        <v>62</v>
      </c>
      <c r="Q151" s="3" t="s">
        <v>62</v>
      </c>
      <c r="R151" s="3" t="s">
        <v>62</v>
      </c>
      <c r="S151" s="3" t="s">
        <v>62</v>
      </c>
      <c r="T151" s="3" t="s">
        <v>62</v>
      </c>
      <c r="U151" s="3" t="s">
        <v>62</v>
      </c>
      <c r="V151" s="3" t="s">
        <v>62</v>
      </c>
      <c r="W151" s="3" t="s">
        <v>62</v>
      </c>
      <c r="X151" s="3" t="s">
        <v>62</v>
      </c>
      <c r="Y151" s="3" t="s">
        <v>62</v>
      </c>
      <c r="Z151" s="3" t="s">
        <v>62</v>
      </c>
      <c r="AA151" s="3" t="s">
        <v>62</v>
      </c>
      <c r="AB151" s="3" t="s">
        <v>62</v>
      </c>
      <c r="AC151" s="3" t="s">
        <v>62</v>
      </c>
      <c r="AD151" s="3" t="s">
        <v>62</v>
      </c>
      <c r="AE151" s="3" t="s">
        <v>62</v>
      </c>
      <c r="AF151" s="3" t="s">
        <v>62</v>
      </c>
      <c r="AG151" s="3" t="s">
        <v>62</v>
      </c>
      <c r="AH151" s="3" t="s">
        <v>62</v>
      </c>
    </row>
    <row r="152" spans="2:34">
      <c r="B152" s="83">
        <v>3</v>
      </c>
      <c r="C152" s="89" t="str">
        <f>LEFT(EmpGName03)&amp;" " &amp;EmpSName03</f>
        <v>I Thelning</v>
      </c>
      <c r="D152" s="4" t="s">
        <v>62</v>
      </c>
      <c r="E152" s="4" t="s">
        <v>62</v>
      </c>
      <c r="F152" s="4" t="s">
        <v>62</v>
      </c>
      <c r="G152" s="4" t="s">
        <v>62</v>
      </c>
      <c r="H152" s="4" t="s">
        <v>62</v>
      </c>
      <c r="I152" s="4" t="s">
        <v>62</v>
      </c>
      <c r="J152" s="4" t="s">
        <v>62</v>
      </c>
      <c r="K152" s="4" t="s">
        <v>62</v>
      </c>
      <c r="L152" s="4" t="s">
        <v>62</v>
      </c>
      <c r="M152" s="4" t="s">
        <v>62</v>
      </c>
      <c r="N152" s="4" t="s">
        <v>62</v>
      </c>
      <c r="O152" s="4" t="s">
        <v>62</v>
      </c>
      <c r="P152" s="4" t="s">
        <v>62</v>
      </c>
      <c r="Q152" s="4" t="s">
        <v>62</v>
      </c>
      <c r="R152" s="4" t="s">
        <v>62</v>
      </c>
      <c r="S152" s="4" t="s">
        <v>62</v>
      </c>
      <c r="T152" s="4" t="s">
        <v>62</v>
      </c>
      <c r="U152" s="4" t="s">
        <v>62</v>
      </c>
      <c r="V152" s="4" t="s">
        <v>62</v>
      </c>
      <c r="W152" s="4" t="s">
        <v>62</v>
      </c>
      <c r="X152" s="4" t="s">
        <v>62</v>
      </c>
      <c r="Y152" s="4" t="s">
        <v>62</v>
      </c>
      <c r="Z152" s="4" t="s">
        <v>62</v>
      </c>
      <c r="AA152" s="4" t="s">
        <v>62</v>
      </c>
      <c r="AB152" s="4" t="s">
        <v>62</v>
      </c>
      <c r="AC152" s="4" t="s">
        <v>62</v>
      </c>
      <c r="AD152" s="4" t="s">
        <v>62</v>
      </c>
      <c r="AE152" s="4" t="s">
        <v>62</v>
      </c>
      <c r="AF152" s="4" t="s">
        <v>62</v>
      </c>
      <c r="AG152" s="4" t="s">
        <v>62</v>
      </c>
      <c r="AH152" s="4" t="s">
        <v>62</v>
      </c>
    </row>
    <row r="153" spans="2:34">
      <c r="B153" s="83">
        <v>4</v>
      </c>
      <c r="C153" s="90" t="str">
        <f>LEFT(EmpGName04)&amp;" " &amp;EmpSName04</f>
        <v>L King</v>
      </c>
      <c r="D153" s="3" t="s">
        <v>62</v>
      </c>
      <c r="E153" s="3" t="s">
        <v>62</v>
      </c>
      <c r="F153" s="3" t="s">
        <v>62</v>
      </c>
      <c r="G153" s="3" t="s">
        <v>62</v>
      </c>
      <c r="H153" s="3" t="s">
        <v>62</v>
      </c>
      <c r="I153" s="3" t="s">
        <v>62</v>
      </c>
      <c r="J153" s="3" t="s">
        <v>62</v>
      </c>
      <c r="K153" s="3" t="s">
        <v>62</v>
      </c>
      <c r="L153" s="3" t="s">
        <v>62</v>
      </c>
      <c r="M153" s="3" t="s">
        <v>62</v>
      </c>
      <c r="N153" s="3" t="s">
        <v>62</v>
      </c>
      <c r="O153" s="3" t="s">
        <v>62</v>
      </c>
      <c r="P153" s="3" t="s">
        <v>62</v>
      </c>
      <c r="Q153" s="3" t="s">
        <v>62</v>
      </c>
      <c r="R153" s="3" t="s">
        <v>62</v>
      </c>
      <c r="S153" s="3" t="s">
        <v>62</v>
      </c>
      <c r="T153" s="3" t="s">
        <v>62</v>
      </c>
      <c r="U153" s="3" t="s">
        <v>62</v>
      </c>
      <c r="V153" s="3" t="s">
        <v>62</v>
      </c>
      <c r="W153" s="3" t="s">
        <v>62</v>
      </c>
      <c r="X153" s="3" t="s">
        <v>62</v>
      </c>
      <c r="Y153" s="3" t="s">
        <v>62</v>
      </c>
      <c r="Z153" s="3" t="s">
        <v>62</v>
      </c>
      <c r="AA153" s="3" t="s">
        <v>62</v>
      </c>
      <c r="AB153" s="3" t="s">
        <v>62</v>
      </c>
      <c r="AC153" s="3" t="s">
        <v>62</v>
      </c>
      <c r="AD153" s="3" t="s">
        <v>62</v>
      </c>
      <c r="AE153" s="3" t="s">
        <v>62</v>
      </c>
      <c r="AF153" s="3" t="s">
        <v>62</v>
      </c>
      <c r="AG153" s="3" t="s">
        <v>62</v>
      </c>
      <c r="AH153" s="3" t="s">
        <v>62</v>
      </c>
    </row>
    <row r="154" spans="2:34">
      <c r="B154" s="83">
        <v>5</v>
      </c>
      <c r="C154" s="89" t="str">
        <f>LEFT(EmpGName05)&amp;" " &amp;EmpSName05</f>
        <v>D Castle</v>
      </c>
      <c r="D154" s="4" t="s">
        <v>62</v>
      </c>
      <c r="E154" s="4" t="s">
        <v>62</v>
      </c>
      <c r="F154" s="4" t="s">
        <v>62</v>
      </c>
      <c r="G154" s="4" t="s">
        <v>62</v>
      </c>
      <c r="H154" s="4" t="s">
        <v>62</v>
      </c>
      <c r="I154" s="4" t="s">
        <v>62</v>
      </c>
      <c r="J154" s="4" t="s">
        <v>62</v>
      </c>
      <c r="K154" s="4" t="s">
        <v>62</v>
      </c>
      <c r="L154" s="4" t="s">
        <v>62</v>
      </c>
      <c r="M154" s="4" t="s">
        <v>62</v>
      </c>
      <c r="N154" s="4" t="s">
        <v>62</v>
      </c>
      <c r="O154" s="4" t="s">
        <v>62</v>
      </c>
      <c r="P154" s="4" t="s">
        <v>62</v>
      </c>
      <c r="Q154" s="4" t="s">
        <v>62</v>
      </c>
      <c r="R154" s="4" t="s">
        <v>62</v>
      </c>
      <c r="S154" s="4" t="s">
        <v>62</v>
      </c>
      <c r="T154" s="4" t="s">
        <v>62</v>
      </c>
      <c r="U154" s="4" t="s">
        <v>62</v>
      </c>
      <c r="V154" s="4" t="s">
        <v>62</v>
      </c>
      <c r="W154" s="4" t="s">
        <v>62</v>
      </c>
      <c r="X154" s="4" t="s">
        <v>62</v>
      </c>
      <c r="Y154" s="4" t="s">
        <v>62</v>
      </c>
      <c r="Z154" s="4" t="s">
        <v>62</v>
      </c>
      <c r="AA154" s="4" t="s">
        <v>62</v>
      </c>
      <c r="AB154" s="4" t="s">
        <v>62</v>
      </c>
      <c r="AC154" s="4" t="s">
        <v>62</v>
      </c>
      <c r="AD154" s="4" t="s">
        <v>62</v>
      </c>
      <c r="AE154" s="4" t="s">
        <v>62</v>
      </c>
      <c r="AF154" s="4" t="s">
        <v>62</v>
      </c>
      <c r="AG154" s="4" t="s">
        <v>62</v>
      </c>
      <c r="AH154" s="4" t="s">
        <v>62</v>
      </c>
    </row>
    <row r="155" spans="2:34">
      <c r="B155" s="83">
        <v>6</v>
      </c>
      <c r="C155" s="90" t="str">
        <f>LEFT(EmpGName06)&amp;" " &amp;EmpSName06</f>
        <v>R Fielding</v>
      </c>
      <c r="D155" s="3" t="s">
        <v>62</v>
      </c>
      <c r="E155" s="3" t="s">
        <v>62</v>
      </c>
      <c r="F155" s="3" t="s">
        <v>62</v>
      </c>
      <c r="G155" s="3" t="s">
        <v>62</v>
      </c>
      <c r="H155" s="3" t="s">
        <v>62</v>
      </c>
      <c r="I155" s="3" t="s">
        <v>62</v>
      </c>
      <c r="J155" s="3" t="s">
        <v>62</v>
      </c>
      <c r="K155" s="3" t="s">
        <v>62</v>
      </c>
      <c r="L155" s="3" t="s">
        <v>62</v>
      </c>
      <c r="M155" s="3" t="s">
        <v>62</v>
      </c>
      <c r="N155" s="3" t="s">
        <v>62</v>
      </c>
      <c r="O155" s="3" t="s">
        <v>62</v>
      </c>
      <c r="P155" s="3" t="s">
        <v>62</v>
      </c>
      <c r="Q155" s="3" t="s">
        <v>62</v>
      </c>
      <c r="R155" s="3" t="s">
        <v>62</v>
      </c>
      <c r="S155" s="3" t="s">
        <v>62</v>
      </c>
      <c r="T155" s="3" t="s">
        <v>62</v>
      </c>
      <c r="U155" s="3" t="s">
        <v>62</v>
      </c>
      <c r="V155" s="3" t="s">
        <v>62</v>
      </c>
      <c r="W155" s="3" t="s">
        <v>62</v>
      </c>
      <c r="X155" s="3" t="s">
        <v>62</v>
      </c>
      <c r="Y155" s="3" t="s">
        <v>62</v>
      </c>
      <c r="Z155" s="3" t="s">
        <v>62</v>
      </c>
      <c r="AA155" s="3" t="s">
        <v>62</v>
      </c>
      <c r="AB155" s="3" t="s">
        <v>62</v>
      </c>
      <c r="AC155" s="3" t="s">
        <v>62</v>
      </c>
      <c r="AD155" s="3" t="s">
        <v>62</v>
      </c>
      <c r="AE155" s="3" t="s">
        <v>62</v>
      </c>
      <c r="AF155" s="3" t="s">
        <v>62</v>
      </c>
      <c r="AG155" s="3" t="s">
        <v>62</v>
      </c>
      <c r="AH155" s="3" t="s">
        <v>62</v>
      </c>
    </row>
    <row r="156" spans="2:34">
      <c r="B156" s="83">
        <v>7</v>
      </c>
      <c r="C156" s="89" t="str">
        <f>LEFT(EmpGName07)&amp;" " &amp;EmpSName07</f>
        <v>T Sorensen</v>
      </c>
      <c r="D156" s="4" t="s">
        <v>62</v>
      </c>
      <c r="E156" s="4" t="s">
        <v>62</v>
      </c>
      <c r="F156" s="4" t="s">
        <v>62</v>
      </c>
      <c r="G156" s="4" t="s">
        <v>62</v>
      </c>
      <c r="H156" s="4" t="s">
        <v>62</v>
      </c>
      <c r="I156" s="4" t="s">
        <v>62</v>
      </c>
      <c r="J156" s="4" t="s">
        <v>62</v>
      </c>
      <c r="K156" s="4" t="s">
        <v>62</v>
      </c>
      <c r="L156" s="4" t="s">
        <v>62</v>
      </c>
      <c r="M156" s="4" t="s">
        <v>62</v>
      </c>
      <c r="N156" s="4" t="s">
        <v>62</v>
      </c>
      <c r="O156" s="4" t="s">
        <v>62</v>
      </c>
      <c r="P156" s="4" t="s">
        <v>62</v>
      </c>
      <c r="Q156" s="4" t="s">
        <v>62</v>
      </c>
      <c r="R156" s="4" t="s">
        <v>62</v>
      </c>
      <c r="S156" s="4" t="s">
        <v>62</v>
      </c>
      <c r="T156" s="4" t="s">
        <v>62</v>
      </c>
      <c r="U156" s="4" t="s">
        <v>62</v>
      </c>
      <c r="V156" s="4" t="s">
        <v>62</v>
      </c>
      <c r="W156" s="4" t="s">
        <v>62</v>
      </c>
      <c r="X156" s="4" t="s">
        <v>62</v>
      </c>
      <c r="Y156" s="4" t="s">
        <v>62</v>
      </c>
      <c r="Z156" s="4" t="s">
        <v>62</v>
      </c>
      <c r="AA156" s="4" t="s">
        <v>62</v>
      </c>
      <c r="AB156" s="4" t="s">
        <v>62</v>
      </c>
      <c r="AC156" s="4" t="s">
        <v>62</v>
      </c>
      <c r="AD156" s="4" t="s">
        <v>62</v>
      </c>
      <c r="AE156" s="4" t="s">
        <v>62</v>
      </c>
      <c r="AF156" s="4" t="s">
        <v>62</v>
      </c>
      <c r="AG156" s="4" t="s">
        <v>62</v>
      </c>
      <c r="AH156" s="4" t="s">
        <v>62</v>
      </c>
    </row>
    <row r="157" spans="2:34">
      <c r="B157" s="83">
        <v>8</v>
      </c>
      <c r="C157" s="90" t="str">
        <f>LEFT(EmpGName08)&amp;" " &amp;EmpSName08</f>
        <v xml:space="preserve">B Odd </v>
      </c>
      <c r="D157" s="3" t="s">
        <v>62</v>
      </c>
      <c r="E157" s="3" t="s">
        <v>62</v>
      </c>
      <c r="F157" s="3" t="s">
        <v>62</v>
      </c>
      <c r="G157" s="3" t="s">
        <v>62</v>
      </c>
      <c r="H157" s="3" t="s">
        <v>62</v>
      </c>
      <c r="I157" s="3" t="s">
        <v>62</v>
      </c>
      <c r="J157" s="3" t="s">
        <v>62</v>
      </c>
      <c r="K157" s="3" t="s">
        <v>62</v>
      </c>
      <c r="L157" s="3" t="s">
        <v>62</v>
      </c>
      <c r="M157" s="3" t="s">
        <v>62</v>
      </c>
      <c r="N157" s="3" t="s">
        <v>62</v>
      </c>
      <c r="O157" s="3" t="s">
        <v>62</v>
      </c>
      <c r="P157" s="3" t="s">
        <v>62</v>
      </c>
      <c r="Q157" s="3" t="s">
        <v>62</v>
      </c>
      <c r="R157" s="3" t="s">
        <v>62</v>
      </c>
      <c r="S157" s="3" t="s">
        <v>62</v>
      </c>
      <c r="T157" s="3" t="s">
        <v>62</v>
      </c>
      <c r="U157" s="3" t="s">
        <v>62</v>
      </c>
      <c r="V157" s="3" t="s">
        <v>62</v>
      </c>
      <c r="W157" s="3" t="s">
        <v>62</v>
      </c>
      <c r="X157" s="3" t="s">
        <v>62</v>
      </c>
      <c r="Y157" s="3" t="s">
        <v>62</v>
      </c>
      <c r="Z157" s="3" t="s">
        <v>62</v>
      </c>
      <c r="AA157" s="3" t="s">
        <v>62</v>
      </c>
      <c r="AB157" s="3" t="s">
        <v>62</v>
      </c>
      <c r="AC157" s="3" t="s">
        <v>62</v>
      </c>
      <c r="AD157" s="3" t="s">
        <v>62</v>
      </c>
      <c r="AE157" s="3" t="s">
        <v>62</v>
      </c>
      <c r="AF157" s="3" t="s">
        <v>62</v>
      </c>
      <c r="AG157" s="3" t="s">
        <v>62</v>
      </c>
      <c r="AH157" s="3" t="s">
        <v>62</v>
      </c>
    </row>
    <row r="158" spans="2:34">
      <c r="B158" s="83">
        <v>9</v>
      </c>
      <c r="C158" s="89" t="str">
        <f>LEFT(EmpGName09)&amp;" " &amp;EmpSName09</f>
        <v>1 Odd1</v>
      </c>
      <c r="D158" s="4" t="s">
        <v>62</v>
      </c>
      <c r="E158" s="4" t="s">
        <v>62</v>
      </c>
      <c r="F158" s="4" t="s">
        <v>62</v>
      </c>
      <c r="G158" s="4" t="s">
        <v>62</v>
      </c>
      <c r="H158" s="4" t="s">
        <v>62</v>
      </c>
      <c r="I158" s="4" t="s">
        <v>62</v>
      </c>
      <c r="J158" s="4" t="s">
        <v>62</v>
      </c>
      <c r="K158" s="4" t="s">
        <v>62</v>
      </c>
      <c r="L158" s="4" t="s">
        <v>62</v>
      </c>
      <c r="M158" s="4" t="s">
        <v>62</v>
      </c>
      <c r="N158" s="4" t="s">
        <v>62</v>
      </c>
      <c r="O158" s="4" t="s">
        <v>62</v>
      </c>
      <c r="P158" s="4" t="s">
        <v>62</v>
      </c>
      <c r="Q158" s="4" t="s">
        <v>62</v>
      </c>
      <c r="R158" s="4" t="s">
        <v>62</v>
      </c>
      <c r="S158" s="4" t="s">
        <v>62</v>
      </c>
      <c r="T158" s="4" t="s">
        <v>62</v>
      </c>
      <c r="U158" s="4" t="s">
        <v>62</v>
      </c>
      <c r="V158" s="4" t="s">
        <v>62</v>
      </c>
      <c r="W158" s="4" t="s">
        <v>62</v>
      </c>
      <c r="X158" s="4" t="s">
        <v>62</v>
      </c>
      <c r="Y158" s="4" t="s">
        <v>62</v>
      </c>
      <c r="Z158" s="4" t="s">
        <v>62</v>
      </c>
      <c r="AA158" s="4" t="s">
        <v>62</v>
      </c>
      <c r="AB158" s="4" t="s">
        <v>62</v>
      </c>
      <c r="AC158" s="4" t="s">
        <v>62</v>
      </c>
      <c r="AD158" s="4" t="s">
        <v>62</v>
      </c>
      <c r="AE158" s="4" t="s">
        <v>62</v>
      </c>
      <c r="AF158" s="4" t="s">
        <v>62</v>
      </c>
      <c r="AG158" s="4" t="s">
        <v>62</v>
      </c>
      <c r="AH158" s="4" t="s">
        <v>62</v>
      </c>
    </row>
    <row r="159" spans="2:34">
      <c r="B159" s="149">
        <v>10</v>
      </c>
      <c r="C159" s="91" t="str">
        <f>LEFT(EmpGName10)&amp;" " &amp;EmpSName10</f>
        <v>2 Odd2</v>
      </c>
      <c r="D159" s="68" t="s">
        <v>62</v>
      </c>
      <c r="E159" s="68" t="s">
        <v>62</v>
      </c>
      <c r="F159" s="68" t="s">
        <v>62</v>
      </c>
      <c r="G159" s="68" t="s">
        <v>62</v>
      </c>
      <c r="H159" s="68" t="s">
        <v>62</v>
      </c>
      <c r="I159" s="68" t="s">
        <v>62</v>
      </c>
      <c r="J159" s="68" t="s">
        <v>62</v>
      </c>
      <c r="K159" s="68" t="s">
        <v>62</v>
      </c>
      <c r="L159" s="68" t="s">
        <v>62</v>
      </c>
      <c r="M159" s="68" t="s">
        <v>62</v>
      </c>
      <c r="N159" s="68" t="s">
        <v>62</v>
      </c>
      <c r="O159" s="68" t="s">
        <v>62</v>
      </c>
      <c r="P159" s="68" t="s">
        <v>62</v>
      </c>
      <c r="Q159" s="68" t="s">
        <v>62</v>
      </c>
      <c r="R159" s="68" t="s">
        <v>62</v>
      </c>
      <c r="S159" s="68" t="s">
        <v>62</v>
      </c>
      <c r="T159" s="68" t="s">
        <v>62</v>
      </c>
      <c r="U159" s="68" t="s">
        <v>62</v>
      </c>
      <c r="V159" s="68" t="s">
        <v>62</v>
      </c>
      <c r="W159" s="68" t="s">
        <v>62</v>
      </c>
      <c r="X159" s="68" t="s">
        <v>62</v>
      </c>
      <c r="Y159" s="68" t="s">
        <v>62</v>
      </c>
      <c r="Z159" s="68" t="s">
        <v>62</v>
      </c>
      <c r="AA159" s="68" t="s">
        <v>62</v>
      </c>
      <c r="AB159" s="68" t="s">
        <v>62</v>
      </c>
      <c r="AC159" s="68" t="s">
        <v>62</v>
      </c>
      <c r="AD159" s="68" t="s">
        <v>62</v>
      </c>
      <c r="AE159" s="68" t="s">
        <v>62</v>
      </c>
      <c r="AF159" s="68" t="s">
        <v>62</v>
      </c>
      <c r="AG159" s="68" t="s">
        <v>62</v>
      </c>
      <c r="AH159" s="68" t="s">
        <v>62</v>
      </c>
    </row>
    <row r="160" spans="2:34">
      <c r="B160" s="149">
        <v>11</v>
      </c>
      <c r="C160" s="89" t="str">
        <f>LEFT(EmpGName11)&amp;" " &amp;EmpSName11</f>
        <v>2 Odd3</v>
      </c>
      <c r="D160" s="4" t="s">
        <v>62</v>
      </c>
      <c r="E160" s="4" t="s">
        <v>62</v>
      </c>
      <c r="F160" s="4" t="s">
        <v>62</v>
      </c>
      <c r="G160" s="4" t="s">
        <v>62</v>
      </c>
      <c r="H160" s="4" t="s">
        <v>62</v>
      </c>
      <c r="I160" s="4" t="s">
        <v>62</v>
      </c>
      <c r="J160" s="4" t="s">
        <v>62</v>
      </c>
      <c r="K160" s="4" t="s">
        <v>62</v>
      </c>
      <c r="L160" s="4" t="s">
        <v>62</v>
      </c>
      <c r="M160" s="4" t="s">
        <v>62</v>
      </c>
      <c r="N160" s="4" t="s">
        <v>62</v>
      </c>
      <c r="O160" s="4" t="s">
        <v>62</v>
      </c>
      <c r="P160" s="4" t="s">
        <v>62</v>
      </c>
      <c r="Q160" s="4" t="s">
        <v>62</v>
      </c>
      <c r="R160" s="4" t="s">
        <v>62</v>
      </c>
      <c r="S160" s="4" t="s">
        <v>62</v>
      </c>
      <c r="T160" s="4" t="s">
        <v>62</v>
      </c>
      <c r="U160" s="4" t="s">
        <v>62</v>
      </c>
      <c r="V160" s="4" t="s">
        <v>62</v>
      </c>
      <c r="W160" s="4" t="s">
        <v>62</v>
      </c>
      <c r="X160" s="4" t="s">
        <v>62</v>
      </c>
      <c r="Y160" s="4" t="s">
        <v>62</v>
      </c>
      <c r="Z160" s="4" t="s">
        <v>62</v>
      </c>
      <c r="AA160" s="4" t="s">
        <v>62</v>
      </c>
      <c r="AB160" s="4" t="s">
        <v>62</v>
      </c>
      <c r="AC160" s="4" t="s">
        <v>62</v>
      </c>
      <c r="AD160" s="4" t="s">
        <v>62</v>
      </c>
      <c r="AE160" s="4" t="s">
        <v>62</v>
      </c>
      <c r="AF160" s="4" t="s">
        <v>62</v>
      </c>
      <c r="AG160" s="4" t="s">
        <v>62</v>
      </c>
      <c r="AH160" s="4" t="s">
        <v>62</v>
      </c>
    </row>
    <row r="161" spans="2:34">
      <c r="B161" s="149">
        <v>12</v>
      </c>
      <c r="C161" s="91" t="str">
        <f>LEFT(EmpGName12)&amp;" " &amp;EmpSName12</f>
        <v>4 Odd4</v>
      </c>
      <c r="D161" s="68" t="s">
        <v>62</v>
      </c>
      <c r="E161" s="68" t="s">
        <v>62</v>
      </c>
      <c r="F161" s="68" t="s">
        <v>62</v>
      </c>
      <c r="G161" s="68" t="s">
        <v>62</v>
      </c>
      <c r="H161" s="68" t="s">
        <v>62</v>
      </c>
      <c r="I161" s="68" t="s">
        <v>62</v>
      </c>
      <c r="J161" s="68" t="s">
        <v>62</v>
      </c>
      <c r="K161" s="68" t="s">
        <v>62</v>
      </c>
      <c r="L161" s="68" t="s">
        <v>62</v>
      </c>
      <c r="M161" s="68" t="s">
        <v>62</v>
      </c>
      <c r="N161" s="68" t="s">
        <v>62</v>
      </c>
      <c r="O161" s="68" t="s">
        <v>62</v>
      </c>
      <c r="P161" s="68" t="s">
        <v>62</v>
      </c>
      <c r="Q161" s="68" t="s">
        <v>62</v>
      </c>
      <c r="R161" s="68" t="s">
        <v>62</v>
      </c>
      <c r="S161" s="68" t="s">
        <v>62</v>
      </c>
      <c r="T161" s="68" t="s">
        <v>62</v>
      </c>
      <c r="U161" s="68" t="s">
        <v>62</v>
      </c>
      <c r="V161" s="68" t="s">
        <v>62</v>
      </c>
      <c r="W161" s="68" t="s">
        <v>62</v>
      </c>
      <c r="X161" s="68" t="s">
        <v>62</v>
      </c>
      <c r="Y161" s="68" t="s">
        <v>62</v>
      </c>
      <c r="Z161" s="68" t="s">
        <v>62</v>
      </c>
      <c r="AA161" s="68" t="s">
        <v>62</v>
      </c>
      <c r="AB161" s="68" t="s">
        <v>62</v>
      </c>
      <c r="AC161" s="68" t="s">
        <v>62</v>
      </c>
      <c r="AD161" s="68" t="s">
        <v>62</v>
      </c>
      <c r="AE161" s="68" t="s">
        <v>62</v>
      </c>
      <c r="AF161" s="68" t="s">
        <v>62</v>
      </c>
      <c r="AG161" s="68" t="s">
        <v>62</v>
      </c>
      <c r="AH161" s="68" t="s">
        <v>62</v>
      </c>
    </row>
    <row r="162" spans="2:34">
      <c r="B162" s="71"/>
      <c r="C162" s="72"/>
      <c r="D162" s="73"/>
      <c r="E162" s="73"/>
      <c r="F162" s="73"/>
      <c r="G162" s="73"/>
      <c r="H162" s="73"/>
      <c r="I162" s="73"/>
      <c r="J162" s="73"/>
      <c r="K162" s="73"/>
      <c r="L162" s="73"/>
      <c r="M162" s="73"/>
      <c r="N162" s="73"/>
      <c r="O162" s="73"/>
      <c r="P162" s="73"/>
      <c r="Q162" s="73"/>
      <c r="R162" s="73"/>
      <c r="S162" s="73"/>
      <c r="T162" s="73"/>
      <c r="U162" s="73"/>
      <c r="V162" s="73"/>
      <c r="W162" s="73"/>
      <c r="X162" s="73"/>
      <c r="Y162" s="73"/>
      <c r="Z162" s="73"/>
      <c r="AA162" s="73"/>
      <c r="AB162" s="73"/>
      <c r="AC162" s="73"/>
      <c r="AD162" s="73"/>
      <c r="AE162" s="73"/>
      <c r="AF162" s="73"/>
      <c r="AG162" s="73"/>
      <c r="AH162" s="73"/>
    </row>
    <row r="163" spans="2:34">
      <c r="C163" t="str">
        <f>CurYear&amp;":"</f>
        <v>2019:</v>
      </c>
      <c r="D163" s="5" t="str">
        <f>LEFT(TEXT(D164&amp;"-"&amp;$C164&amp;"-"&amp;$B$4,"ddd"),2)</f>
        <v>Mo</v>
      </c>
      <c r="E163" s="5" t="str">
        <f t="shared" ref="E163:AG163" si="9">LEFT(TEXT(E164&amp;"-"&amp;$C164&amp;"-"&amp;$B$4,"ddd"),2)</f>
        <v>Tu</v>
      </c>
      <c r="F163" s="5" t="str">
        <f t="shared" si="9"/>
        <v>We</v>
      </c>
      <c r="G163" s="5" t="str">
        <f t="shared" si="9"/>
        <v>Th</v>
      </c>
      <c r="H163" s="5" t="str">
        <f t="shared" si="9"/>
        <v>Fr</v>
      </c>
      <c r="I163" s="5" t="str">
        <f t="shared" si="9"/>
        <v>Sa</v>
      </c>
      <c r="J163" s="5" t="str">
        <f t="shared" si="9"/>
        <v>Su</v>
      </c>
      <c r="K163" s="5" t="str">
        <f t="shared" si="9"/>
        <v>Mo</v>
      </c>
      <c r="L163" s="5" t="str">
        <f t="shared" si="9"/>
        <v>Tu</v>
      </c>
      <c r="M163" s="5" t="str">
        <f t="shared" si="9"/>
        <v>We</v>
      </c>
      <c r="N163" s="5" t="str">
        <f t="shared" si="9"/>
        <v>Th</v>
      </c>
      <c r="O163" s="5" t="str">
        <f t="shared" si="9"/>
        <v>Fr</v>
      </c>
      <c r="P163" s="5" t="str">
        <f t="shared" si="9"/>
        <v>Sa</v>
      </c>
      <c r="Q163" s="5" t="str">
        <f t="shared" si="9"/>
        <v>Su</v>
      </c>
      <c r="R163" s="5" t="str">
        <f t="shared" si="9"/>
        <v>Mo</v>
      </c>
      <c r="S163" s="5" t="str">
        <f t="shared" si="9"/>
        <v>Tu</v>
      </c>
      <c r="T163" s="5" t="str">
        <f t="shared" si="9"/>
        <v>We</v>
      </c>
      <c r="U163" s="5" t="str">
        <f t="shared" si="9"/>
        <v>Th</v>
      </c>
      <c r="V163" s="5" t="str">
        <f t="shared" si="9"/>
        <v>Fr</v>
      </c>
      <c r="W163" s="5" t="str">
        <f t="shared" si="9"/>
        <v>Sa</v>
      </c>
      <c r="X163" s="5" t="str">
        <f t="shared" si="9"/>
        <v>Su</v>
      </c>
      <c r="Y163" s="5" t="str">
        <f t="shared" si="9"/>
        <v>Mo</v>
      </c>
      <c r="Z163" s="5" t="str">
        <f t="shared" si="9"/>
        <v>Tu</v>
      </c>
      <c r="AA163" s="5" t="str">
        <f t="shared" si="9"/>
        <v>We</v>
      </c>
      <c r="AB163" s="5" t="str">
        <f t="shared" si="9"/>
        <v>Th</v>
      </c>
      <c r="AC163" s="5" t="str">
        <f t="shared" si="9"/>
        <v>Fr</v>
      </c>
      <c r="AD163" s="5" t="str">
        <f t="shared" si="9"/>
        <v>Sa</v>
      </c>
      <c r="AE163" s="5" t="str">
        <f t="shared" si="9"/>
        <v>Su</v>
      </c>
      <c r="AF163" s="5" t="str">
        <f t="shared" si="9"/>
        <v>Mo</v>
      </c>
      <c r="AG163" s="5" t="str">
        <f t="shared" si="9"/>
        <v>Tu</v>
      </c>
      <c r="AH163" s="1"/>
    </row>
    <row r="164" spans="2:34">
      <c r="B164" s="87"/>
      <c r="C164" s="84" t="s">
        <v>15</v>
      </c>
      <c r="D164" s="85">
        <v>1</v>
      </c>
      <c r="E164" s="85">
        <v>2</v>
      </c>
      <c r="F164" s="85">
        <v>3</v>
      </c>
      <c r="G164" s="85">
        <v>4</v>
      </c>
      <c r="H164" s="85">
        <v>5</v>
      </c>
      <c r="I164" s="85">
        <v>6</v>
      </c>
      <c r="J164" s="85">
        <v>7</v>
      </c>
      <c r="K164" s="85">
        <v>8</v>
      </c>
      <c r="L164" s="85">
        <v>9</v>
      </c>
      <c r="M164" s="85">
        <v>10</v>
      </c>
      <c r="N164" s="85">
        <v>11</v>
      </c>
      <c r="O164" s="176">
        <v>12</v>
      </c>
      <c r="P164" s="85">
        <v>13</v>
      </c>
      <c r="Q164" s="85">
        <v>14</v>
      </c>
      <c r="R164" s="85">
        <v>15</v>
      </c>
      <c r="S164" s="85">
        <v>16</v>
      </c>
      <c r="T164" s="85">
        <v>17</v>
      </c>
      <c r="U164" s="85">
        <v>18</v>
      </c>
      <c r="V164" s="85">
        <v>19</v>
      </c>
      <c r="W164" s="85">
        <v>20</v>
      </c>
      <c r="X164" s="85">
        <v>21</v>
      </c>
      <c r="Y164" s="85">
        <v>22</v>
      </c>
      <c r="Z164" s="85">
        <v>23</v>
      </c>
      <c r="AA164" s="85">
        <v>24</v>
      </c>
      <c r="AB164" s="85">
        <v>25</v>
      </c>
      <c r="AC164" s="176">
        <v>26</v>
      </c>
      <c r="AD164" s="85">
        <v>27</v>
      </c>
      <c r="AE164" s="85">
        <v>28</v>
      </c>
      <c r="AF164" s="85">
        <v>29</v>
      </c>
      <c r="AG164" s="85">
        <v>30</v>
      </c>
      <c r="AH164" s="92"/>
    </row>
    <row r="165" spans="2:34">
      <c r="B165" s="83">
        <v>1</v>
      </c>
      <c r="C165" s="89" t="str">
        <f>LEFT(EmpGName01)&amp;" " &amp; EmpSName01</f>
        <v>L Marampon</v>
      </c>
      <c r="D165" s="4" t="s">
        <v>62</v>
      </c>
      <c r="E165" s="4" t="s">
        <v>62</v>
      </c>
      <c r="F165" s="4" t="s">
        <v>62</v>
      </c>
      <c r="G165" s="4" t="s">
        <v>62</v>
      </c>
      <c r="H165" s="4" t="s">
        <v>62</v>
      </c>
      <c r="I165" s="4" t="s">
        <v>62</v>
      </c>
      <c r="J165" s="4" t="s">
        <v>62</v>
      </c>
      <c r="K165" s="4" t="s">
        <v>62</v>
      </c>
      <c r="L165" s="4" t="s">
        <v>62</v>
      </c>
      <c r="M165" s="4" t="s">
        <v>62</v>
      </c>
      <c r="N165" s="4" t="s">
        <v>62</v>
      </c>
      <c r="O165" s="4" t="s">
        <v>62</v>
      </c>
      <c r="P165" s="4" t="s">
        <v>62</v>
      </c>
      <c r="Q165" s="4" t="s">
        <v>62</v>
      </c>
      <c r="R165" s="4" t="s">
        <v>62</v>
      </c>
      <c r="S165" s="4" t="s">
        <v>62</v>
      </c>
      <c r="T165" s="4" t="s">
        <v>62</v>
      </c>
      <c r="U165" s="4" t="s">
        <v>62</v>
      </c>
      <c r="V165" s="4" t="s">
        <v>62</v>
      </c>
      <c r="W165" s="4" t="s">
        <v>62</v>
      </c>
      <c r="X165" s="4" t="s">
        <v>62</v>
      </c>
      <c r="Y165" s="4" t="s">
        <v>62</v>
      </c>
      <c r="Z165" s="4" t="s">
        <v>62</v>
      </c>
      <c r="AA165" s="4" t="s">
        <v>62</v>
      </c>
      <c r="AB165" s="4" t="s">
        <v>62</v>
      </c>
      <c r="AC165" s="4" t="s">
        <v>62</v>
      </c>
      <c r="AD165" s="4" t="s">
        <v>62</v>
      </c>
      <c r="AE165" s="4" t="s">
        <v>62</v>
      </c>
      <c r="AF165" s="4" t="s">
        <v>62</v>
      </c>
      <c r="AG165" s="4" t="s">
        <v>62</v>
      </c>
      <c r="AH165" s="8"/>
    </row>
    <row r="166" spans="2:34">
      <c r="B166" s="83">
        <v>2</v>
      </c>
      <c r="C166" s="90" t="str">
        <f>LEFT(EmpGName02)&amp;" " &amp;EmpSName02</f>
        <v>K Stone</v>
      </c>
      <c r="D166" s="3" t="s">
        <v>62</v>
      </c>
      <c r="E166" s="3" t="s">
        <v>62</v>
      </c>
      <c r="F166" s="3" t="s">
        <v>62</v>
      </c>
      <c r="G166" s="3" t="s">
        <v>62</v>
      </c>
      <c r="H166" s="3" t="s">
        <v>62</v>
      </c>
      <c r="I166" s="3" t="s">
        <v>62</v>
      </c>
      <c r="J166" s="3" t="s">
        <v>62</v>
      </c>
      <c r="K166" s="3" t="s">
        <v>62</v>
      </c>
      <c r="L166" s="3" t="s">
        <v>62</v>
      </c>
      <c r="M166" s="3" t="s">
        <v>62</v>
      </c>
      <c r="N166" s="3" t="s">
        <v>62</v>
      </c>
      <c r="O166" s="3" t="s">
        <v>62</v>
      </c>
      <c r="P166" s="3" t="s">
        <v>62</v>
      </c>
      <c r="Q166" s="3" t="s">
        <v>62</v>
      </c>
      <c r="R166" s="3" t="s">
        <v>62</v>
      </c>
      <c r="S166" s="3" t="s">
        <v>62</v>
      </c>
      <c r="T166" s="3" t="s">
        <v>62</v>
      </c>
      <c r="U166" s="3" t="s">
        <v>62</v>
      </c>
      <c r="V166" s="3" t="s">
        <v>62</v>
      </c>
      <c r="W166" s="3" t="s">
        <v>62</v>
      </c>
      <c r="X166" s="3" t="s">
        <v>62</v>
      </c>
      <c r="Y166" s="3" t="s">
        <v>62</v>
      </c>
      <c r="Z166" s="3" t="s">
        <v>62</v>
      </c>
      <c r="AA166" s="3" t="s">
        <v>62</v>
      </c>
      <c r="AB166" s="3" t="s">
        <v>62</v>
      </c>
      <c r="AC166" s="3" t="s">
        <v>62</v>
      </c>
      <c r="AD166" s="3" t="s">
        <v>62</v>
      </c>
      <c r="AE166" s="3" t="s">
        <v>62</v>
      </c>
      <c r="AF166" s="3" t="s">
        <v>62</v>
      </c>
      <c r="AG166" s="3" t="s">
        <v>62</v>
      </c>
      <c r="AH166" s="8"/>
    </row>
    <row r="167" spans="2:34">
      <c r="B167" s="83">
        <v>3</v>
      </c>
      <c r="C167" s="89" t="str">
        <f>LEFT(EmpGName03)&amp;" " &amp;EmpSName03</f>
        <v>I Thelning</v>
      </c>
      <c r="D167" s="4" t="s">
        <v>62</v>
      </c>
      <c r="E167" s="4" t="s">
        <v>62</v>
      </c>
      <c r="F167" s="4" t="s">
        <v>62</v>
      </c>
      <c r="G167" s="4" t="s">
        <v>62</v>
      </c>
      <c r="H167" s="4" t="s">
        <v>62</v>
      </c>
      <c r="I167" s="4" t="s">
        <v>62</v>
      </c>
      <c r="J167" s="4" t="s">
        <v>62</v>
      </c>
      <c r="K167" s="4" t="s">
        <v>62</v>
      </c>
      <c r="L167" s="4" t="s">
        <v>62</v>
      </c>
      <c r="M167" s="4" t="s">
        <v>62</v>
      </c>
      <c r="N167" s="4" t="s">
        <v>62</v>
      </c>
      <c r="O167" s="4" t="s">
        <v>62</v>
      </c>
      <c r="P167" s="4" t="s">
        <v>62</v>
      </c>
      <c r="Q167" s="4" t="s">
        <v>62</v>
      </c>
      <c r="R167" s="4" t="s">
        <v>62</v>
      </c>
      <c r="S167" s="4" t="s">
        <v>62</v>
      </c>
      <c r="T167" s="4" t="s">
        <v>62</v>
      </c>
      <c r="U167" s="4" t="s">
        <v>62</v>
      </c>
      <c r="V167" s="4" t="s">
        <v>62</v>
      </c>
      <c r="W167" s="4" t="s">
        <v>62</v>
      </c>
      <c r="X167" s="4" t="s">
        <v>62</v>
      </c>
      <c r="Y167" s="4" t="s">
        <v>62</v>
      </c>
      <c r="Z167" s="4" t="s">
        <v>62</v>
      </c>
      <c r="AA167" s="4" t="s">
        <v>62</v>
      </c>
      <c r="AB167" s="4" t="s">
        <v>62</v>
      </c>
      <c r="AC167" s="4" t="s">
        <v>62</v>
      </c>
      <c r="AD167" s="4" t="s">
        <v>62</v>
      </c>
      <c r="AE167" s="4" t="s">
        <v>62</v>
      </c>
      <c r="AF167" s="4" t="s">
        <v>62</v>
      </c>
      <c r="AG167" s="4" t="s">
        <v>62</v>
      </c>
      <c r="AH167" s="8"/>
    </row>
    <row r="168" spans="2:34">
      <c r="B168" s="83">
        <v>4</v>
      </c>
      <c r="C168" s="90" t="str">
        <f>LEFT(EmpGName04)&amp;" " &amp;EmpSName04</f>
        <v>L King</v>
      </c>
      <c r="D168" s="3" t="s">
        <v>62</v>
      </c>
      <c r="E168" s="3" t="s">
        <v>62</v>
      </c>
      <c r="F168" s="3" t="s">
        <v>62</v>
      </c>
      <c r="G168" s="3" t="s">
        <v>62</v>
      </c>
      <c r="H168" s="3" t="s">
        <v>62</v>
      </c>
      <c r="I168" s="3" t="s">
        <v>62</v>
      </c>
      <c r="J168" s="3" t="s">
        <v>62</v>
      </c>
      <c r="K168" s="3" t="s">
        <v>62</v>
      </c>
      <c r="L168" s="3" t="s">
        <v>62</v>
      </c>
      <c r="M168" s="3" t="s">
        <v>62</v>
      </c>
      <c r="N168" s="3" t="s">
        <v>62</v>
      </c>
      <c r="O168" s="3" t="s">
        <v>62</v>
      </c>
      <c r="P168" s="3" t="s">
        <v>62</v>
      </c>
      <c r="Q168" s="3" t="s">
        <v>62</v>
      </c>
      <c r="R168" s="3" t="s">
        <v>62</v>
      </c>
      <c r="S168" s="3" t="s">
        <v>62</v>
      </c>
      <c r="T168" s="3" t="s">
        <v>62</v>
      </c>
      <c r="U168" s="3" t="s">
        <v>62</v>
      </c>
      <c r="V168" s="3" t="s">
        <v>62</v>
      </c>
      <c r="W168" s="3" t="s">
        <v>62</v>
      </c>
      <c r="X168" s="3" t="s">
        <v>62</v>
      </c>
      <c r="Y168" s="3" t="s">
        <v>62</v>
      </c>
      <c r="Z168" s="3" t="s">
        <v>62</v>
      </c>
      <c r="AA168" s="3" t="s">
        <v>62</v>
      </c>
      <c r="AB168" s="3" t="s">
        <v>62</v>
      </c>
      <c r="AC168" s="3" t="s">
        <v>62</v>
      </c>
      <c r="AD168" s="3" t="s">
        <v>62</v>
      </c>
      <c r="AE168" s="3" t="s">
        <v>62</v>
      </c>
      <c r="AF168" s="3" t="s">
        <v>62</v>
      </c>
      <c r="AG168" s="3" t="s">
        <v>62</v>
      </c>
      <c r="AH168" s="8"/>
    </row>
    <row r="169" spans="2:34">
      <c r="B169" s="83">
        <v>5</v>
      </c>
      <c r="C169" s="89" t="str">
        <f>LEFT(EmpGName05)&amp;" " &amp;EmpSName05</f>
        <v>D Castle</v>
      </c>
      <c r="D169" s="4" t="s">
        <v>62</v>
      </c>
      <c r="E169" s="4" t="s">
        <v>62</v>
      </c>
      <c r="F169" s="4" t="s">
        <v>62</v>
      </c>
      <c r="G169" s="4" t="s">
        <v>62</v>
      </c>
      <c r="H169" s="4" t="s">
        <v>62</v>
      </c>
      <c r="I169" s="4" t="s">
        <v>62</v>
      </c>
      <c r="J169" s="4" t="s">
        <v>62</v>
      </c>
      <c r="K169" s="4" t="s">
        <v>62</v>
      </c>
      <c r="L169" s="4" t="s">
        <v>62</v>
      </c>
      <c r="M169" s="4" t="s">
        <v>62</v>
      </c>
      <c r="N169" s="4" t="s">
        <v>62</v>
      </c>
      <c r="O169" s="4" t="s">
        <v>62</v>
      </c>
      <c r="P169" s="4" t="s">
        <v>62</v>
      </c>
      <c r="Q169" s="4" t="s">
        <v>62</v>
      </c>
      <c r="R169" s="4" t="s">
        <v>62</v>
      </c>
      <c r="S169" s="4" t="s">
        <v>62</v>
      </c>
      <c r="T169" s="4" t="s">
        <v>62</v>
      </c>
      <c r="U169" s="4" t="s">
        <v>62</v>
      </c>
      <c r="V169" s="4" t="s">
        <v>62</v>
      </c>
      <c r="W169" s="4" t="s">
        <v>62</v>
      </c>
      <c r="X169" s="4" t="s">
        <v>62</v>
      </c>
      <c r="Y169" s="4" t="s">
        <v>62</v>
      </c>
      <c r="Z169" s="4" t="s">
        <v>62</v>
      </c>
      <c r="AA169" s="4" t="s">
        <v>62</v>
      </c>
      <c r="AB169" s="4" t="s">
        <v>62</v>
      </c>
      <c r="AC169" s="4" t="s">
        <v>62</v>
      </c>
      <c r="AD169" s="4" t="s">
        <v>62</v>
      </c>
      <c r="AE169" s="4" t="s">
        <v>62</v>
      </c>
      <c r="AF169" s="4" t="s">
        <v>62</v>
      </c>
      <c r="AG169" s="4" t="s">
        <v>62</v>
      </c>
      <c r="AH169" s="8"/>
    </row>
    <row r="170" spans="2:34">
      <c r="B170" s="83">
        <v>6</v>
      </c>
      <c r="C170" s="90" t="str">
        <f>LEFT(EmpGName06)&amp;" " &amp;EmpSName06</f>
        <v>R Fielding</v>
      </c>
      <c r="D170" s="3" t="s">
        <v>62</v>
      </c>
      <c r="E170" s="3" t="s">
        <v>62</v>
      </c>
      <c r="F170" s="3" t="s">
        <v>62</v>
      </c>
      <c r="G170" s="3" t="s">
        <v>62</v>
      </c>
      <c r="H170" s="3" t="s">
        <v>62</v>
      </c>
      <c r="I170" s="3" t="s">
        <v>62</v>
      </c>
      <c r="J170" s="3" t="s">
        <v>62</v>
      </c>
      <c r="K170" s="3" t="s">
        <v>62</v>
      </c>
      <c r="L170" s="3" t="s">
        <v>62</v>
      </c>
      <c r="M170" s="3" t="s">
        <v>62</v>
      </c>
      <c r="N170" s="3" t="s">
        <v>62</v>
      </c>
      <c r="O170" s="3" t="s">
        <v>62</v>
      </c>
      <c r="P170" s="3" t="s">
        <v>62</v>
      </c>
      <c r="Q170" s="3" t="s">
        <v>62</v>
      </c>
      <c r="R170" s="3" t="s">
        <v>62</v>
      </c>
      <c r="S170" s="3" t="s">
        <v>62</v>
      </c>
      <c r="T170" s="3" t="s">
        <v>62</v>
      </c>
      <c r="U170" s="3" t="s">
        <v>62</v>
      </c>
      <c r="V170" s="3" t="s">
        <v>62</v>
      </c>
      <c r="W170" s="3" t="s">
        <v>62</v>
      </c>
      <c r="X170" s="3" t="s">
        <v>62</v>
      </c>
      <c r="Y170" s="3" t="s">
        <v>62</v>
      </c>
      <c r="Z170" s="3" t="s">
        <v>62</v>
      </c>
      <c r="AA170" s="3" t="s">
        <v>62</v>
      </c>
      <c r="AB170" s="3" t="s">
        <v>62</v>
      </c>
      <c r="AC170" s="3" t="s">
        <v>62</v>
      </c>
      <c r="AD170" s="3" t="s">
        <v>62</v>
      </c>
      <c r="AE170" s="3" t="s">
        <v>62</v>
      </c>
      <c r="AF170" s="3" t="s">
        <v>62</v>
      </c>
      <c r="AG170" s="3" t="s">
        <v>62</v>
      </c>
      <c r="AH170" s="8"/>
    </row>
    <row r="171" spans="2:34">
      <c r="B171" s="83">
        <v>7</v>
      </c>
      <c r="C171" s="89" t="str">
        <f>LEFT(EmpGName07)&amp;" " &amp;EmpSName07</f>
        <v>T Sorensen</v>
      </c>
      <c r="D171" s="4" t="s">
        <v>62</v>
      </c>
      <c r="E171" s="4" t="s">
        <v>62</v>
      </c>
      <c r="F171" s="4" t="s">
        <v>62</v>
      </c>
      <c r="G171" s="4" t="s">
        <v>62</v>
      </c>
      <c r="H171" s="4" t="s">
        <v>62</v>
      </c>
      <c r="I171" s="4" t="s">
        <v>62</v>
      </c>
      <c r="J171" s="4" t="s">
        <v>62</v>
      </c>
      <c r="K171" s="4" t="s">
        <v>62</v>
      </c>
      <c r="L171" s="4" t="s">
        <v>62</v>
      </c>
      <c r="M171" s="4" t="s">
        <v>62</v>
      </c>
      <c r="N171" s="4" t="s">
        <v>62</v>
      </c>
      <c r="O171" s="4" t="s">
        <v>62</v>
      </c>
      <c r="P171" s="4" t="s">
        <v>62</v>
      </c>
      <c r="Q171" s="4" t="s">
        <v>62</v>
      </c>
      <c r="R171" s="4" t="s">
        <v>62</v>
      </c>
      <c r="S171" s="4" t="s">
        <v>62</v>
      </c>
      <c r="T171" s="4" t="s">
        <v>62</v>
      </c>
      <c r="U171" s="4" t="s">
        <v>62</v>
      </c>
      <c r="V171" s="4" t="s">
        <v>62</v>
      </c>
      <c r="W171" s="4" t="s">
        <v>62</v>
      </c>
      <c r="X171" s="4" t="s">
        <v>62</v>
      </c>
      <c r="Y171" s="4" t="s">
        <v>62</v>
      </c>
      <c r="Z171" s="4" t="s">
        <v>62</v>
      </c>
      <c r="AA171" s="4" t="s">
        <v>62</v>
      </c>
      <c r="AB171" s="4" t="s">
        <v>62</v>
      </c>
      <c r="AC171" s="4" t="s">
        <v>62</v>
      </c>
      <c r="AD171" s="4" t="s">
        <v>62</v>
      </c>
      <c r="AE171" s="4" t="s">
        <v>62</v>
      </c>
      <c r="AF171" s="4" t="s">
        <v>62</v>
      </c>
      <c r="AG171" s="4" t="s">
        <v>62</v>
      </c>
      <c r="AH171" s="8"/>
    </row>
    <row r="172" spans="2:34">
      <c r="B172" s="83">
        <v>8</v>
      </c>
      <c r="C172" s="90" t="str">
        <f>LEFT(EmpGName08)&amp;" " &amp;EmpSName08</f>
        <v xml:space="preserve">B Odd </v>
      </c>
      <c r="D172" s="3" t="s">
        <v>62</v>
      </c>
      <c r="E172" s="3" t="s">
        <v>62</v>
      </c>
      <c r="F172" s="3" t="s">
        <v>62</v>
      </c>
      <c r="G172" s="3" t="s">
        <v>62</v>
      </c>
      <c r="H172" s="3" t="s">
        <v>62</v>
      </c>
      <c r="I172" s="3" t="s">
        <v>62</v>
      </c>
      <c r="J172" s="3" t="s">
        <v>62</v>
      </c>
      <c r="K172" s="3" t="s">
        <v>62</v>
      </c>
      <c r="L172" s="3" t="s">
        <v>62</v>
      </c>
      <c r="M172" s="3" t="s">
        <v>62</v>
      </c>
      <c r="N172" s="3" t="s">
        <v>62</v>
      </c>
      <c r="O172" s="3" t="s">
        <v>62</v>
      </c>
      <c r="P172" s="3" t="s">
        <v>62</v>
      </c>
      <c r="Q172" s="3" t="s">
        <v>62</v>
      </c>
      <c r="R172" s="3" t="s">
        <v>62</v>
      </c>
      <c r="S172" s="3" t="s">
        <v>62</v>
      </c>
      <c r="T172" s="3" t="s">
        <v>62</v>
      </c>
      <c r="U172" s="3" t="s">
        <v>62</v>
      </c>
      <c r="V172" s="3" t="s">
        <v>62</v>
      </c>
      <c r="W172" s="3" t="s">
        <v>62</v>
      </c>
      <c r="X172" s="3" t="s">
        <v>62</v>
      </c>
      <c r="Y172" s="3" t="s">
        <v>62</v>
      </c>
      <c r="Z172" s="3" t="s">
        <v>62</v>
      </c>
      <c r="AA172" s="3" t="s">
        <v>62</v>
      </c>
      <c r="AB172" s="3" t="s">
        <v>62</v>
      </c>
      <c r="AC172" s="3" t="s">
        <v>62</v>
      </c>
      <c r="AD172" s="3" t="s">
        <v>62</v>
      </c>
      <c r="AE172" s="3" t="s">
        <v>62</v>
      </c>
      <c r="AF172" s="3" t="s">
        <v>62</v>
      </c>
      <c r="AG172" s="3" t="s">
        <v>62</v>
      </c>
      <c r="AH172" s="8"/>
    </row>
    <row r="173" spans="2:34">
      <c r="B173" s="83">
        <v>9</v>
      </c>
      <c r="C173" s="89" t="str">
        <f>LEFT(EmpGName09)&amp;" " &amp;EmpSName09</f>
        <v>1 Odd1</v>
      </c>
      <c r="D173" s="4" t="s">
        <v>62</v>
      </c>
      <c r="E173" s="4" t="s">
        <v>62</v>
      </c>
      <c r="F173" s="4" t="s">
        <v>62</v>
      </c>
      <c r="G173" s="4" t="s">
        <v>62</v>
      </c>
      <c r="H173" s="4" t="s">
        <v>62</v>
      </c>
      <c r="I173" s="4" t="s">
        <v>62</v>
      </c>
      <c r="J173" s="4" t="s">
        <v>62</v>
      </c>
      <c r="K173" s="4" t="s">
        <v>62</v>
      </c>
      <c r="L173" s="4" t="s">
        <v>62</v>
      </c>
      <c r="M173" s="4" t="s">
        <v>62</v>
      </c>
      <c r="N173" s="4" t="s">
        <v>62</v>
      </c>
      <c r="O173" s="4" t="s">
        <v>62</v>
      </c>
      <c r="P173" s="4" t="s">
        <v>62</v>
      </c>
      <c r="Q173" s="4" t="s">
        <v>62</v>
      </c>
      <c r="R173" s="4" t="s">
        <v>62</v>
      </c>
      <c r="S173" s="4" t="s">
        <v>62</v>
      </c>
      <c r="T173" s="4" t="s">
        <v>62</v>
      </c>
      <c r="U173" s="4" t="s">
        <v>62</v>
      </c>
      <c r="V173" s="4" t="s">
        <v>62</v>
      </c>
      <c r="W173" s="4" t="s">
        <v>62</v>
      </c>
      <c r="X173" s="4" t="s">
        <v>62</v>
      </c>
      <c r="Y173" s="4" t="s">
        <v>62</v>
      </c>
      <c r="Z173" s="4" t="s">
        <v>62</v>
      </c>
      <c r="AA173" s="4" t="s">
        <v>62</v>
      </c>
      <c r="AB173" s="4" t="s">
        <v>62</v>
      </c>
      <c r="AC173" s="4" t="s">
        <v>62</v>
      </c>
      <c r="AD173" s="4" t="s">
        <v>62</v>
      </c>
      <c r="AE173" s="4" t="s">
        <v>62</v>
      </c>
      <c r="AF173" s="4" t="s">
        <v>62</v>
      </c>
      <c r="AG173" s="4" t="s">
        <v>62</v>
      </c>
      <c r="AH173" s="8"/>
    </row>
    <row r="174" spans="2:34">
      <c r="B174" s="149">
        <v>10</v>
      </c>
      <c r="C174" s="90" t="str">
        <f>LEFT(EmpGName10)&amp;" " &amp;EmpSName10</f>
        <v>2 Odd2</v>
      </c>
      <c r="D174" s="3" t="s">
        <v>62</v>
      </c>
      <c r="E174" s="3" t="s">
        <v>62</v>
      </c>
      <c r="F174" s="3" t="s">
        <v>62</v>
      </c>
      <c r="G174" s="3" t="s">
        <v>62</v>
      </c>
      <c r="H174" s="3" t="s">
        <v>62</v>
      </c>
      <c r="I174" s="3" t="s">
        <v>62</v>
      </c>
      <c r="J174" s="3" t="s">
        <v>62</v>
      </c>
      <c r="K174" s="3" t="s">
        <v>62</v>
      </c>
      <c r="L174" s="3" t="s">
        <v>62</v>
      </c>
      <c r="M174" s="3" t="s">
        <v>62</v>
      </c>
      <c r="N174" s="3" t="s">
        <v>62</v>
      </c>
      <c r="O174" s="3" t="s">
        <v>62</v>
      </c>
      <c r="P174" s="3" t="s">
        <v>62</v>
      </c>
      <c r="Q174" s="3" t="s">
        <v>62</v>
      </c>
      <c r="R174" s="3" t="s">
        <v>62</v>
      </c>
      <c r="S174" s="3" t="s">
        <v>62</v>
      </c>
      <c r="T174" s="3" t="s">
        <v>62</v>
      </c>
      <c r="U174" s="3" t="s">
        <v>62</v>
      </c>
      <c r="V174" s="3" t="s">
        <v>62</v>
      </c>
      <c r="W174" s="3" t="s">
        <v>62</v>
      </c>
      <c r="X174" s="3" t="s">
        <v>62</v>
      </c>
      <c r="Y174" s="3" t="s">
        <v>62</v>
      </c>
      <c r="Z174" s="3" t="s">
        <v>62</v>
      </c>
      <c r="AA174" s="3" t="s">
        <v>62</v>
      </c>
      <c r="AB174" s="3" t="s">
        <v>62</v>
      </c>
      <c r="AC174" s="3" t="s">
        <v>62</v>
      </c>
      <c r="AD174" s="3" t="s">
        <v>62</v>
      </c>
      <c r="AE174" s="3" t="s">
        <v>62</v>
      </c>
      <c r="AF174" s="3" t="s">
        <v>62</v>
      </c>
      <c r="AG174" s="3" t="s">
        <v>62</v>
      </c>
      <c r="AH174" s="74"/>
    </row>
    <row r="175" spans="2:34">
      <c r="B175" s="149">
        <v>11</v>
      </c>
      <c r="C175" s="89" t="str">
        <f>LEFT(EmpGName11)&amp;" " &amp;EmpSName11</f>
        <v>2 Odd3</v>
      </c>
      <c r="D175" s="4" t="s">
        <v>62</v>
      </c>
      <c r="E175" s="4" t="s">
        <v>62</v>
      </c>
      <c r="F175" s="4" t="s">
        <v>62</v>
      </c>
      <c r="G175" s="4" t="s">
        <v>62</v>
      </c>
      <c r="H175" s="4" t="s">
        <v>62</v>
      </c>
      <c r="I175" s="4" t="s">
        <v>62</v>
      </c>
      <c r="J175" s="4" t="s">
        <v>62</v>
      </c>
      <c r="K175" s="4" t="s">
        <v>62</v>
      </c>
      <c r="L175" s="4" t="s">
        <v>62</v>
      </c>
      <c r="M175" s="4" t="s">
        <v>62</v>
      </c>
      <c r="N175" s="4" t="s">
        <v>62</v>
      </c>
      <c r="O175" s="4" t="s">
        <v>62</v>
      </c>
      <c r="P175" s="4" t="s">
        <v>62</v>
      </c>
      <c r="Q175" s="4" t="s">
        <v>62</v>
      </c>
      <c r="R175" s="4" t="s">
        <v>62</v>
      </c>
      <c r="S175" s="4" t="s">
        <v>62</v>
      </c>
      <c r="T175" s="4" t="s">
        <v>62</v>
      </c>
      <c r="U175" s="4" t="s">
        <v>62</v>
      </c>
      <c r="V175" s="4" t="s">
        <v>62</v>
      </c>
      <c r="W175" s="4" t="s">
        <v>62</v>
      </c>
      <c r="X175" s="4" t="s">
        <v>62</v>
      </c>
      <c r="Y175" s="4" t="s">
        <v>62</v>
      </c>
      <c r="Z175" s="4" t="s">
        <v>62</v>
      </c>
      <c r="AA175" s="4" t="s">
        <v>62</v>
      </c>
      <c r="AB175" s="4" t="s">
        <v>62</v>
      </c>
      <c r="AC175" s="4" t="s">
        <v>62</v>
      </c>
      <c r="AD175" s="4" t="s">
        <v>62</v>
      </c>
      <c r="AE175" s="4" t="s">
        <v>62</v>
      </c>
      <c r="AF175" s="4" t="s">
        <v>62</v>
      </c>
      <c r="AG175" s="4" t="s">
        <v>62</v>
      </c>
      <c r="AH175" s="74"/>
    </row>
    <row r="176" spans="2:34">
      <c r="B176" s="149">
        <v>12</v>
      </c>
      <c r="C176" s="90" t="str">
        <f>LEFT(EmpGName12)&amp;" " &amp;EmpSName12</f>
        <v>4 Odd4</v>
      </c>
      <c r="D176" s="3" t="s">
        <v>62</v>
      </c>
      <c r="E176" s="3" t="s">
        <v>62</v>
      </c>
      <c r="F176" s="3" t="s">
        <v>62</v>
      </c>
      <c r="G176" s="3" t="s">
        <v>62</v>
      </c>
      <c r="H176" s="3" t="s">
        <v>62</v>
      </c>
      <c r="I176" s="3" t="s">
        <v>62</v>
      </c>
      <c r="J176" s="3" t="s">
        <v>62</v>
      </c>
      <c r="K176" s="3" t="s">
        <v>62</v>
      </c>
      <c r="L176" s="3" t="s">
        <v>62</v>
      </c>
      <c r="M176" s="3" t="s">
        <v>62</v>
      </c>
      <c r="N176" s="3" t="s">
        <v>62</v>
      </c>
      <c r="O176" s="3" t="s">
        <v>62</v>
      </c>
      <c r="P176" s="3" t="s">
        <v>62</v>
      </c>
      <c r="Q176" s="3" t="s">
        <v>62</v>
      </c>
      <c r="R176" s="3" t="s">
        <v>62</v>
      </c>
      <c r="S176" s="3" t="s">
        <v>62</v>
      </c>
      <c r="T176" s="3" t="s">
        <v>62</v>
      </c>
      <c r="U176" s="3" t="s">
        <v>62</v>
      </c>
      <c r="V176" s="3" t="s">
        <v>62</v>
      </c>
      <c r="W176" s="3" t="s">
        <v>62</v>
      </c>
      <c r="X176" s="3" t="s">
        <v>62</v>
      </c>
      <c r="Y176" s="3" t="s">
        <v>62</v>
      </c>
      <c r="Z176" s="3" t="s">
        <v>62</v>
      </c>
      <c r="AA176" s="3" t="s">
        <v>62</v>
      </c>
      <c r="AB176" s="3" t="s">
        <v>62</v>
      </c>
      <c r="AC176" s="3" t="s">
        <v>62</v>
      </c>
      <c r="AD176" s="3" t="s">
        <v>62</v>
      </c>
      <c r="AE176" s="3" t="s">
        <v>62</v>
      </c>
      <c r="AF176" s="3" t="s">
        <v>62</v>
      </c>
      <c r="AG176" s="3" t="s">
        <v>62</v>
      </c>
      <c r="AH176" s="74"/>
    </row>
    <row r="177" spans="2:34">
      <c r="AH177" s="2"/>
    </row>
    <row r="178" spans="2:34">
      <c r="C178" t="str">
        <f>CurYear&amp;":"</f>
        <v>2019:</v>
      </c>
      <c r="D178" s="5" t="str">
        <f>LEFT(TEXT(D179&amp;"-"&amp;$C179&amp;"-"&amp; CurYear,"ddd"),2)</f>
        <v>We</v>
      </c>
      <c r="E178" s="5" t="str">
        <f t="shared" ref="E178:AH178" si="10">LEFT(TEXT(E179&amp;"-"&amp;$C179&amp;"-"&amp; CurYear,"ddd"),2)</f>
        <v>Th</v>
      </c>
      <c r="F178" s="5" t="str">
        <f t="shared" si="10"/>
        <v>Fr</v>
      </c>
      <c r="G178" s="5" t="str">
        <f t="shared" si="10"/>
        <v>Sa</v>
      </c>
      <c r="H178" s="5" t="str">
        <f t="shared" si="10"/>
        <v>Su</v>
      </c>
      <c r="I178" s="5" t="str">
        <f t="shared" si="10"/>
        <v>Mo</v>
      </c>
      <c r="J178" s="5" t="str">
        <f t="shared" si="10"/>
        <v>Tu</v>
      </c>
      <c r="K178" s="5" t="str">
        <f t="shared" si="10"/>
        <v>We</v>
      </c>
      <c r="L178" s="5" t="str">
        <f t="shared" si="10"/>
        <v>Th</v>
      </c>
      <c r="M178" s="5" t="str">
        <f t="shared" si="10"/>
        <v>Fr</v>
      </c>
      <c r="N178" s="5" t="str">
        <f t="shared" si="10"/>
        <v>Sa</v>
      </c>
      <c r="O178" s="5" t="str">
        <f t="shared" si="10"/>
        <v>Su</v>
      </c>
      <c r="P178" s="5" t="str">
        <f t="shared" si="10"/>
        <v>Mo</v>
      </c>
      <c r="Q178" s="5" t="str">
        <f t="shared" si="10"/>
        <v>Tu</v>
      </c>
      <c r="R178" s="5" t="str">
        <f t="shared" si="10"/>
        <v>We</v>
      </c>
      <c r="S178" s="5" t="str">
        <f t="shared" si="10"/>
        <v>Th</v>
      </c>
      <c r="T178" s="5" t="str">
        <f t="shared" si="10"/>
        <v>Fr</v>
      </c>
      <c r="U178" s="5" t="str">
        <f t="shared" si="10"/>
        <v>Sa</v>
      </c>
      <c r="V178" s="5" t="str">
        <f t="shared" si="10"/>
        <v>Su</v>
      </c>
      <c r="W178" s="5" t="str">
        <f t="shared" si="10"/>
        <v>Mo</v>
      </c>
      <c r="X178" s="5" t="str">
        <f t="shared" si="10"/>
        <v>Tu</v>
      </c>
      <c r="Y178" s="5" t="str">
        <f t="shared" si="10"/>
        <v>We</v>
      </c>
      <c r="Z178" s="5" t="str">
        <f t="shared" si="10"/>
        <v>Th</v>
      </c>
      <c r="AA178" s="5" t="str">
        <f t="shared" si="10"/>
        <v>Fr</v>
      </c>
      <c r="AB178" s="5" t="str">
        <f t="shared" si="10"/>
        <v>Sa</v>
      </c>
      <c r="AC178" s="5" t="str">
        <f t="shared" si="10"/>
        <v>Su</v>
      </c>
      <c r="AD178" s="5" t="str">
        <f t="shared" si="10"/>
        <v>Mo</v>
      </c>
      <c r="AE178" s="5" t="str">
        <f t="shared" si="10"/>
        <v>Tu</v>
      </c>
      <c r="AF178" s="5" t="str">
        <f t="shared" si="10"/>
        <v>We</v>
      </c>
      <c r="AG178" s="5" t="str">
        <f t="shared" si="10"/>
        <v>Th</v>
      </c>
      <c r="AH178" s="5" t="str">
        <f t="shared" si="10"/>
        <v>Fr</v>
      </c>
    </row>
    <row r="179" spans="2:34">
      <c r="B179" s="88"/>
      <c r="C179" s="84" t="s">
        <v>16</v>
      </c>
      <c r="D179" s="85">
        <v>1</v>
      </c>
      <c r="E179" s="85">
        <v>2</v>
      </c>
      <c r="F179" s="85">
        <v>3</v>
      </c>
      <c r="G179" s="85">
        <v>4</v>
      </c>
      <c r="H179" s="85">
        <v>5</v>
      </c>
      <c r="I179" s="85">
        <v>6</v>
      </c>
      <c r="J179" s="85">
        <v>7</v>
      </c>
      <c r="K179" s="85">
        <v>8</v>
      </c>
      <c r="L179" s="85">
        <v>9</v>
      </c>
      <c r="M179" s="176">
        <v>10</v>
      </c>
      <c r="N179" s="85">
        <v>11</v>
      </c>
      <c r="O179" s="85">
        <v>12</v>
      </c>
      <c r="P179" s="85">
        <v>13</v>
      </c>
      <c r="Q179" s="85">
        <v>14</v>
      </c>
      <c r="R179" s="85">
        <v>15</v>
      </c>
      <c r="S179" s="85">
        <v>16</v>
      </c>
      <c r="T179" s="85">
        <v>17</v>
      </c>
      <c r="U179" s="85">
        <v>18</v>
      </c>
      <c r="V179" s="85">
        <v>19</v>
      </c>
      <c r="W179" s="85">
        <v>20</v>
      </c>
      <c r="X179" s="85">
        <v>21</v>
      </c>
      <c r="Y179" s="85">
        <v>22</v>
      </c>
      <c r="Z179" s="85">
        <v>23</v>
      </c>
      <c r="AA179" s="176">
        <v>24</v>
      </c>
      <c r="AB179" s="85">
        <v>25</v>
      </c>
      <c r="AC179" s="85">
        <v>26</v>
      </c>
      <c r="AD179" s="85">
        <v>27</v>
      </c>
      <c r="AE179" s="85">
        <v>28</v>
      </c>
      <c r="AF179" s="85">
        <v>29</v>
      </c>
      <c r="AG179" s="85">
        <v>30</v>
      </c>
      <c r="AH179" s="85">
        <v>31</v>
      </c>
    </row>
    <row r="180" spans="2:34">
      <c r="B180" s="85">
        <v>1</v>
      </c>
      <c r="C180" s="89" t="str">
        <f>LEFT(EmpGName01)&amp;" " &amp; EmpSName01</f>
        <v>L Marampon</v>
      </c>
      <c r="D180" s="4" t="s">
        <v>62</v>
      </c>
      <c r="E180" s="4" t="s">
        <v>62</v>
      </c>
      <c r="F180" s="4" t="s">
        <v>62</v>
      </c>
      <c r="G180" s="4" t="s">
        <v>62</v>
      </c>
      <c r="H180" s="4" t="s">
        <v>62</v>
      </c>
      <c r="I180" s="4" t="s">
        <v>62</v>
      </c>
      <c r="J180" s="4" t="s">
        <v>62</v>
      </c>
      <c r="K180" s="4" t="s">
        <v>62</v>
      </c>
      <c r="L180" s="4" t="s">
        <v>62</v>
      </c>
      <c r="M180" s="4" t="s">
        <v>62</v>
      </c>
      <c r="N180" s="4" t="s">
        <v>62</v>
      </c>
      <c r="O180" s="4" t="s">
        <v>62</v>
      </c>
      <c r="P180" s="4" t="s">
        <v>62</v>
      </c>
      <c r="Q180" s="4" t="s">
        <v>62</v>
      </c>
      <c r="R180" s="4" t="s">
        <v>62</v>
      </c>
      <c r="S180" s="4" t="s">
        <v>62</v>
      </c>
      <c r="T180" s="4" t="s">
        <v>62</v>
      </c>
      <c r="U180" s="4" t="s">
        <v>62</v>
      </c>
      <c r="V180" s="4" t="s">
        <v>62</v>
      </c>
      <c r="W180" s="4" t="s">
        <v>62</v>
      </c>
      <c r="X180" s="4" t="s">
        <v>62</v>
      </c>
      <c r="Y180" s="4" t="s">
        <v>62</v>
      </c>
      <c r="Z180" s="4" t="s">
        <v>62</v>
      </c>
      <c r="AA180" s="4" t="s">
        <v>62</v>
      </c>
      <c r="AB180" s="4" t="s">
        <v>62</v>
      </c>
      <c r="AC180" s="4" t="s">
        <v>62</v>
      </c>
      <c r="AD180" s="4" t="s">
        <v>62</v>
      </c>
      <c r="AE180" s="4" t="s">
        <v>62</v>
      </c>
      <c r="AF180" s="4" t="s">
        <v>62</v>
      </c>
      <c r="AG180" s="4" t="s">
        <v>62</v>
      </c>
      <c r="AH180" s="4" t="s">
        <v>62</v>
      </c>
    </row>
    <row r="181" spans="2:34">
      <c r="B181" s="85">
        <v>2</v>
      </c>
      <c r="C181" s="90" t="str">
        <f>LEFT(EmpGName02)&amp;" " &amp;EmpSName02</f>
        <v>K Stone</v>
      </c>
      <c r="D181" s="3" t="s">
        <v>62</v>
      </c>
      <c r="E181" s="3" t="s">
        <v>62</v>
      </c>
      <c r="F181" s="3" t="s">
        <v>62</v>
      </c>
      <c r="G181" s="3" t="s">
        <v>62</v>
      </c>
      <c r="H181" s="3" t="s">
        <v>62</v>
      </c>
      <c r="I181" s="3" t="s">
        <v>62</v>
      </c>
      <c r="J181" s="3" t="s">
        <v>62</v>
      </c>
      <c r="K181" s="3" t="s">
        <v>62</v>
      </c>
      <c r="L181" s="3" t="s">
        <v>62</v>
      </c>
      <c r="M181" s="3" t="s">
        <v>62</v>
      </c>
      <c r="N181" s="3" t="s">
        <v>62</v>
      </c>
      <c r="O181" s="3" t="s">
        <v>62</v>
      </c>
      <c r="P181" s="3" t="s">
        <v>62</v>
      </c>
      <c r="Q181" s="3" t="s">
        <v>62</v>
      </c>
      <c r="R181" s="3" t="s">
        <v>62</v>
      </c>
      <c r="S181" s="3" t="s">
        <v>62</v>
      </c>
      <c r="T181" s="3" t="s">
        <v>62</v>
      </c>
      <c r="U181" s="3" t="s">
        <v>62</v>
      </c>
      <c r="V181" s="3" t="s">
        <v>62</v>
      </c>
      <c r="W181" s="3" t="s">
        <v>62</v>
      </c>
      <c r="X181" s="3" t="s">
        <v>62</v>
      </c>
      <c r="Y181" s="3" t="s">
        <v>62</v>
      </c>
      <c r="Z181" s="3" t="s">
        <v>62</v>
      </c>
      <c r="AA181" s="3" t="s">
        <v>62</v>
      </c>
      <c r="AB181" s="3" t="s">
        <v>62</v>
      </c>
      <c r="AC181" s="3" t="s">
        <v>62</v>
      </c>
      <c r="AD181" s="3" t="s">
        <v>62</v>
      </c>
      <c r="AE181" s="3" t="s">
        <v>62</v>
      </c>
      <c r="AF181" s="3" t="s">
        <v>62</v>
      </c>
      <c r="AG181" s="3" t="s">
        <v>62</v>
      </c>
      <c r="AH181" s="3" t="s">
        <v>62</v>
      </c>
    </row>
    <row r="182" spans="2:34">
      <c r="B182" s="85">
        <v>3</v>
      </c>
      <c r="C182" s="89" t="str">
        <f>LEFT(EmpGName03)&amp;" " &amp;EmpSName03</f>
        <v>I Thelning</v>
      </c>
      <c r="D182" s="4" t="s">
        <v>62</v>
      </c>
      <c r="E182" s="4" t="s">
        <v>62</v>
      </c>
      <c r="F182" s="4" t="s">
        <v>62</v>
      </c>
      <c r="G182" s="4" t="s">
        <v>62</v>
      </c>
      <c r="H182" s="4" t="s">
        <v>62</v>
      </c>
      <c r="I182" s="4" t="s">
        <v>62</v>
      </c>
      <c r="J182" s="4" t="s">
        <v>62</v>
      </c>
      <c r="K182" s="4" t="s">
        <v>62</v>
      </c>
      <c r="L182" s="4" t="s">
        <v>62</v>
      </c>
      <c r="M182" s="4" t="s">
        <v>62</v>
      </c>
      <c r="N182" s="4" t="s">
        <v>62</v>
      </c>
      <c r="O182" s="4" t="s">
        <v>62</v>
      </c>
      <c r="P182" s="4" t="s">
        <v>62</v>
      </c>
      <c r="Q182" s="4" t="s">
        <v>62</v>
      </c>
      <c r="R182" s="4" t="s">
        <v>62</v>
      </c>
      <c r="S182" s="4" t="s">
        <v>62</v>
      </c>
      <c r="T182" s="4" t="s">
        <v>62</v>
      </c>
      <c r="U182" s="4" t="s">
        <v>62</v>
      </c>
      <c r="V182" s="4" t="s">
        <v>62</v>
      </c>
      <c r="W182" s="4" t="s">
        <v>62</v>
      </c>
      <c r="X182" s="4" t="s">
        <v>62</v>
      </c>
      <c r="Y182" s="4" t="s">
        <v>62</v>
      </c>
      <c r="Z182" s="4" t="s">
        <v>62</v>
      </c>
      <c r="AA182" s="4" t="s">
        <v>62</v>
      </c>
      <c r="AB182" s="4" t="s">
        <v>62</v>
      </c>
      <c r="AC182" s="4" t="s">
        <v>62</v>
      </c>
      <c r="AD182" s="4" t="s">
        <v>62</v>
      </c>
      <c r="AE182" s="4" t="s">
        <v>62</v>
      </c>
      <c r="AF182" s="4" t="s">
        <v>62</v>
      </c>
      <c r="AG182" s="4" t="s">
        <v>62</v>
      </c>
      <c r="AH182" s="4" t="s">
        <v>62</v>
      </c>
    </row>
    <row r="183" spans="2:34">
      <c r="B183" s="85">
        <v>4</v>
      </c>
      <c r="C183" s="90" t="str">
        <f>LEFT(EmpGName04)&amp;" " &amp;EmpSName04</f>
        <v>L King</v>
      </c>
      <c r="D183" s="3" t="s">
        <v>62</v>
      </c>
      <c r="E183" s="3" t="s">
        <v>62</v>
      </c>
      <c r="F183" s="3" t="s">
        <v>62</v>
      </c>
      <c r="G183" s="3" t="s">
        <v>62</v>
      </c>
      <c r="H183" s="3" t="s">
        <v>62</v>
      </c>
      <c r="I183" s="3" t="s">
        <v>62</v>
      </c>
      <c r="J183" s="3" t="s">
        <v>62</v>
      </c>
      <c r="K183" s="3" t="s">
        <v>62</v>
      </c>
      <c r="L183" s="3" t="s">
        <v>62</v>
      </c>
      <c r="M183" s="3" t="s">
        <v>62</v>
      </c>
      <c r="N183" s="3" t="s">
        <v>62</v>
      </c>
      <c r="O183" s="3" t="s">
        <v>62</v>
      </c>
      <c r="P183" s="3" t="s">
        <v>62</v>
      </c>
      <c r="Q183" s="3" t="s">
        <v>62</v>
      </c>
      <c r="R183" s="3" t="s">
        <v>62</v>
      </c>
      <c r="S183" s="3" t="s">
        <v>62</v>
      </c>
      <c r="T183" s="3" t="s">
        <v>62</v>
      </c>
      <c r="U183" s="3" t="s">
        <v>62</v>
      </c>
      <c r="V183" s="3" t="s">
        <v>62</v>
      </c>
      <c r="W183" s="3" t="s">
        <v>62</v>
      </c>
      <c r="X183" s="3" t="s">
        <v>62</v>
      </c>
      <c r="Y183" s="3" t="s">
        <v>62</v>
      </c>
      <c r="Z183" s="3" t="s">
        <v>62</v>
      </c>
      <c r="AA183" s="3" t="s">
        <v>62</v>
      </c>
      <c r="AB183" s="3" t="s">
        <v>62</v>
      </c>
      <c r="AC183" s="3" t="s">
        <v>62</v>
      </c>
      <c r="AD183" s="3" t="s">
        <v>62</v>
      </c>
      <c r="AE183" s="3" t="s">
        <v>62</v>
      </c>
      <c r="AF183" s="3" t="s">
        <v>62</v>
      </c>
      <c r="AG183" s="3" t="s">
        <v>62</v>
      </c>
      <c r="AH183" s="3" t="s">
        <v>62</v>
      </c>
    </row>
    <row r="184" spans="2:34">
      <c r="B184" s="85">
        <v>5</v>
      </c>
      <c r="C184" s="89" t="str">
        <f>LEFT(EmpGName05)&amp;" " &amp;EmpSName05</f>
        <v>D Castle</v>
      </c>
      <c r="D184" s="4" t="s">
        <v>62</v>
      </c>
      <c r="E184" s="4" t="s">
        <v>62</v>
      </c>
      <c r="F184" s="4" t="s">
        <v>62</v>
      </c>
      <c r="G184" s="4" t="s">
        <v>62</v>
      </c>
      <c r="H184" s="4" t="s">
        <v>62</v>
      </c>
      <c r="I184" s="4" t="s">
        <v>62</v>
      </c>
      <c r="J184" s="4" t="s">
        <v>62</v>
      </c>
      <c r="K184" s="4" t="s">
        <v>62</v>
      </c>
      <c r="L184" s="4" t="s">
        <v>62</v>
      </c>
      <c r="M184" s="4" t="s">
        <v>62</v>
      </c>
      <c r="N184" s="4" t="s">
        <v>62</v>
      </c>
      <c r="O184" s="4" t="s">
        <v>62</v>
      </c>
      <c r="P184" s="4" t="s">
        <v>62</v>
      </c>
      <c r="Q184" s="4" t="s">
        <v>62</v>
      </c>
      <c r="R184" s="4" t="s">
        <v>62</v>
      </c>
      <c r="S184" s="4" t="s">
        <v>62</v>
      </c>
      <c r="T184" s="4" t="s">
        <v>62</v>
      </c>
      <c r="U184" s="4" t="s">
        <v>62</v>
      </c>
      <c r="V184" s="4" t="s">
        <v>62</v>
      </c>
      <c r="W184" s="4" t="s">
        <v>62</v>
      </c>
      <c r="X184" s="4" t="s">
        <v>62</v>
      </c>
      <c r="Y184" s="4" t="s">
        <v>62</v>
      </c>
      <c r="Z184" s="4" t="s">
        <v>62</v>
      </c>
      <c r="AA184" s="4" t="s">
        <v>62</v>
      </c>
      <c r="AB184" s="4" t="s">
        <v>62</v>
      </c>
      <c r="AC184" s="4" t="s">
        <v>62</v>
      </c>
      <c r="AD184" s="4" t="s">
        <v>62</v>
      </c>
      <c r="AE184" s="4" t="s">
        <v>62</v>
      </c>
      <c r="AF184" s="4" t="s">
        <v>62</v>
      </c>
      <c r="AG184" s="4" t="s">
        <v>62</v>
      </c>
      <c r="AH184" s="4" t="s">
        <v>62</v>
      </c>
    </row>
    <row r="185" spans="2:34">
      <c r="B185" s="85">
        <v>6</v>
      </c>
      <c r="C185" s="90" t="str">
        <f>LEFT(EmpGName06)&amp;" " &amp;EmpSName06</f>
        <v>R Fielding</v>
      </c>
      <c r="D185" s="3" t="s">
        <v>62</v>
      </c>
      <c r="E185" s="3" t="s">
        <v>62</v>
      </c>
      <c r="F185" s="3" t="s">
        <v>62</v>
      </c>
      <c r="G185" s="3" t="s">
        <v>62</v>
      </c>
      <c r="H185" s="3" t="s">
        <v>62</v>
      </c>
      <c r="I185" s="3" t="s">
        <v>62</v>
      </c>
      <c r="J185" s="3" t="s">
        <v>62</v>
      </c>
      <c r="K185" s="3" t="s">
        <v>62</v>
      </c>
      <c r="L185" s="3" t="s">
        <v>62</v>
      </c>
      <c r="M185" s="3" t="s">
        <v>62</v>
      </c>
      <c r="N185" s="3" t="s">
        <v>62</v>
      </c>
      <c r="O185" s="3" t="s">
        <v>62</v>
      </c>
      <c r="P185" s="3" t="s">
        <v>62</v>
      </c>
      <c r="Q185" s="3" t="s">
        <v>62</v>
      </c>
      <c r="R185" s="3" t="s">
        <v>62</v>
      </c>
      <c r="S185" s="3" t="s">
        <v>62</v>
      </c>
      <c r="T185" s="3" t="s">
        <v>62</v>
      </c>
      <c r="U185" s="3" t="s">
        <v>62</v>
      </c>
      <c r="V185" s="3" t="s">
        <v>62</v>
      </c>
      <c r="W185" s="3" t="s">
        <v>62</v>
      </c>
      <c r="X185" s="3" t="s">
        <v>62</v>
      </c>
      <c r="Y185" s="3" t="s">
        <v>62</v>
      </c>
      <c r="Z185" s="3" t="s">
        <v>62</v>
      </c>
      <c r="AA185" s="3" t="s">
        <v>62</v>
      </c>
      <c r="AB185" s="3" t="s">
        <v>62</v>
      </c>
      <c r="AC185" s="3" t="s">
        <v>62</v>
      </c>
      <c r="AD185" s="3" t="s">
        <v>62</v>
      </c>
      <c r="AE185" s="3" t="s">
        <v>62</v>
      </c>
      <c r="AF185" s="3" t="s">
        <v>62</v>
      </c>
      <c r="AG185" s="3" t="s">
        <v>62</v>
      </c>
      <c r="AH185" s="3" t="s">
        <v>62</v>
      </c>
    </row>
    <row r="186" spans="2:34">
      <c r="B186" s="85">
        <v>7</v>
      </c>
      <c r="C186" s="89" t="str">
        <f>LEFT(EmpGName07)&amp;" " &amp;EmpSName07</f>
        <v>T Sorensen</v>
      </c>
      <c r="D186" s="4" t="s">
        <v>62</v>
      </c>
      <c r="E186" s="4" t="s">
        <v>62</v>
      </c>
      <c r="F186" s="4" t="s">
        <v>62</v>
      </c>
      <c r="G186" s="4" t="s">
        <v>62</v>
      </c>
      <c r="H186" s="4" t="s">
        <v>62</v>
      </c>
      <c r="I186" s="4" t="s">
        <v>62</v>
      </c>
      <c r="J186" s="4" t="s">
        <v>62</v>
      </c>
      <c r="K186" s="4" t="s">
        <v>62</v>
      </c>
      <c r="L186" s="4" t="s">
        <v>62</v>
      </c>
      <c r="M186" s="4" t="s">
        <v>62</v>
      </c>
      <c r="N186" s="4" t="s">
        <v>62</v>
      </c>
      <c r="O186" s="4" t="s">
        <v>62</v>
      </c>
      <c r="P186" s="4" t="s">
        <v>62</v>
      </c>
      <c r="Q186" s="4" t="s">
        <v>62</v>
      </c>
      <c r="R186" s="4" t="s">
        <v>62</v>
      </c>
      <c r="S186" s="4" t="s">
        <v>62</v>
      </c>
      <c r="T186" s="4" t="s">
        <v>62</v>
      </c>
      <c r="U186" s="4" t="s">
        <v>62</v>
      </c>
      <c r="V186" s="4" t="s">
        <v>62</v>
      </c>
      <c r="W186" s="4" t="s">
        <v>62</v>
      </c>
      <c r="X186" s="4" t="s">
        <v>62</v>
      </c>
      <c r="Y186" s="4" t="s">
        <v>62</v>
      </c>
      <c r="Z186" s="4" t="s">
        <v>62</v>
      </c>
      <c r="AA186" s="4" t="s">
        <v>62</v>
      </c>
      <c r="AB186" s="4" t="s">
        <v>62</v>
      </c>
      <c r="AC186" s="4" t="s">
        <v>62</v>
      </c>
      <c r="AD186" s="4" t="s">
        <v>62</v>
      </c>
      <c r="AE186" s="4" t="s">
        <v>62</v>
      </c>
      <c r="AF186" s="4" t="s">
        <v>62</v>
      </c>
      <c r="AG186" s="4" t="s">
        <v>62</v>
      </c>
      <c r="AH186" s="4" t="s">
        <v>62</v>
      </c>
    </row>
    <row r="187" spans="2:34">
      <c r="B187" s="85">
        <v>8</v>
      </c>
      <c r="C187" s="90" t="str">
        <f>LEFT(EmpGName08)&amp;" " &amp;EmpSName08</f>
        <v xml:space="preserve">B Odd </v>
      </c>
      <c r="D187" s="3" t="s">
        <v>62</v>
      </c>
      <c r="E187" s="3" t="s">
        <v>62</v>
      </c>
      <c r="F187" s="3" t="s">
        <v>62</v>
      </c>
      <c r="G187" s="3" t="s">
        <v>62</v>
      </c>
      <c r="H187" s="3" t="s">
        <v>62</v>
      </c>
      <c r="I187" s="3" t="s">
        <v>62</v>
      </c>
      <c r="J187" s="3" t="s">
        <v>62</v>
      </c>
      <c r="K187" s="3" t="s">
        <v>62</v>
      </c>
      <c r="L187" s="3" t="s">
        <v>62</v>
      </c>
      <c r="M187" s="3" t="s">
        <v>62</v>
      </c>
      <c r="N187" s="3" t="s">
        <v>62</v>
      </c>
      <c r="O187" s="3" t="s">
        <v>62</v>
      </c>
      <c r="P187" s="3" t="s">
        <v>62</v>
      </c>
      <c r="Q187" s="3" t="s">
        <v>62</v>
      </c>
      <c r="R187" s="3" t="s">
        <v>62</v>
      </c>
      <c r="S187" s="3" t="s">
        <v>62</v>
      </c>
      <c r="T187" s="3" t="s">
        <v>62</v>
      </c>
      <c r="U187" s="3" t="s">
        <v>62</v>
      </c>
      <c r="V187" s="3" t="s">
        <v>62</v>
      </c>
      <c r="W187" s="3" t="s">
        <v>62</v>
      </c>
      <c r="X187" s="3" t="s">
        <v>62</v>
      </c>
      <c r="Y187" s="3" t="s">
        <v>62</v>
      </c>
      <c r="Z187" s="3" t="s">
        <v>62</v>
      </c>
      <c r="AA187" s="3" t="s">
        <v>62</v>
      </c>
      <c r="AB187" s="3" t="s">
        <v>62</v>
      </c>
      <c r="AC187" s="3" t="s">
        <v>62</v>
      </c>
      <c r="AD187" s="3" t="s">
        <v>62</v>
      </c>
      <c r="AE187" s="3" t="s">
        <v>62</v>
      </c>
      <c r="AF187" s="3" t="s">
        <v>62</v>
      </c>
      <c r="AG187" s="3" t="s">
        <v>62</v>
      </c>
      <c r="AH187" s="3" t="s">
        <v>62</v>
      </c>
    </row>
    <row r="188" spans="2:34">
      <c r="B188" s="85">
        <v>9</v>
      </c>
      <c r="C188" s="89" t="str">
        <f>LEFT(EmpGName09)&amp;" " &amp;EmpSName09</f>
        <v>1 Odd1</v>
      </c>
      <c r="D188" s="4" t="s">
        <v>62</v>
      </c>
      <c r="E188" s="4" t="s">
        <v>62</v>
      </c>
      <c r="F188" s="4" t="s">
        <v>62</v>
      </c>
      <c r="G188" s="4" t="s">
        <v>62</v>
      </c>
      <c r="H188" s="4" t="s">
        <v>62</v>
      </c>
      <c r="I188" s="4" t="s">
        <v>62</v>
      </c>
      <c r="J188" s="4" t="s">
        <v>62</v>
      </c>
      <c r="K188" s="4" t="s">
        <v>62</v>
      </c>
      <c r="L188" s="4" t="s">
        <v>62</v>
      </c>
      <c r="M188" s="4" t="s">
        <v>62</v>
      </c>
      <c r="N188" s="4" t="s">
        <v>62</v>
      </c>
      <c r="O188" s="4" t="s">
        <v>62</v>
      </c>
      <c r="P188" s="4" t="s">
        <v>62</v>
      </c>
      <c r="Q188" s="4" t="s">
        <v>62</v>
      </c>
      <c r="R188" s="4" t="s">
        <v>62</v>
      </c>
      <c r="S188" s="4" t="s">
        <v>62</v>
      </c>
      <c r="T188" s="4" t="s">
        <v>62</v>
      </c>
      <c r="U188" s="4" t="s">
        <v>62</v>
      </c>
      <c r="V188" s="4" t="s">
        <v>62</v>
      </c>
      <c r="W188" s="4" t="s">
        <v>62</v>
      </c>
      <c r="X188" s="4" t="s">
        <v>62</v>
      </c>
      <c r="Y188" s="4" t="s">
        <v>62</v>
      </c>
      <c r="Z188" s="4" t="s">
        <v>62</v>
      </c>
      <c r="AA188" s="4" t="s">
        <v>62</v>
      </c>
      <c r="AB188" s="4" t="s">
        <v>62</v>
      </c>
      <c r="AC188" s="4" t="s">
        <v>62</v>
      </c>
      <c r="AD188" s="4" t="s">
        <v>62</v>
      </c>
      <c r="AE188" s="4" t="s">
        <v>62</v>
      </c>
      <c r="AF188" s="4" t="s">
        <v>62</v>
      </c>
      <c r="AG188" s="4" t="s">
        <v>62</v>
      </c>
      <c r="AH188" s="4" t="s">
        <v>62</v>
      </c>
    </row>
    <row r="189" spans="2:34">
      <c r="B189" s="148">
        <v>10</v>
      </c>
      <c r="C189" s="90" t="str">
        <f>LEFT(EmpGName10)&amp;" " &amp;EmpSName10</f>
        <v>2 Odd2</v>
      </c>
      <c r="D189" s="3" t="s">
        <v>62</v>
      </c>
      <c r="E189" s="3" t="s">
        <v>62</v>
      </c>
      <c r="F189" s="3" t="s">
        <v>62</v>
      </c>
      <c r="G189" s="3" t="s">
        <v>62</v>
      </c>
      <c r="H189" s="3" t="s">
        <v>62</v>
      </c>
      <c r="I189" s="3" t="s">
        <v>62</v>
      </c>
      <c r="J189" s="3" t="s">
        <v>62</v>
      </c>
      <c r="K189" s="3" t="s">
        <v>62</v>
      </c>
      <c r="L189" s="3" t="s">
        <v>62</v>
      </c>
      <c r="M189" s="3" t="s">
        <v>62</v>
      </c>
      <c r="N189" s="3" t="s">
        <v>62</v>
      </c>
      <c r="O189" s="3" t="s">
        <v>62</v>
      </c>
      <c r="P189" s="3" t="s">
        <v>62</v>
      </c>
      <c r="Q189" s="3" t="s">
        <v>62</v>
      </c>
      <c r="R189" s="3" t="s">
        <v>62</v>
      </c>
      <c r="S189" s="3" t="s">
        <v>62</v>
      </c>
      <c r="T189" s="3" t="s">
        <v>62</v>
      </c>
      <c r="U189" s="3" t="s">
        <v>62</v>
      </c>
      <c r="V189" s="3" t="s">
        <v>62</v>
      </c>
      <c r="W189" s="3" t="s">
        <v>62</v>
      </c>
      <c r="X189" s="3" t="s">
        <v>62</v>
      </c>
      <c r="Y189" s="3" t="s">
        <v>62</v>
      </c>
      <c r="Z189" s="3" t="s">
        <v>62</v>
      </c>
      <c r="AA189" s="3" t="s">
        <v>62</v>
      </c>
      <c r="AB189" s="3" t="s">
        <v>62</v>
      </c>
      <c r="AC189" s="3" t="s">
        <v>62</v>
      </c>
      <c r="AD189" s="3" t="s">
        <v>62</v>
      </c>
      <c r="AE189" s="3" t="s">
        <v>62</v>
      </c>
      <c r="AF189" s="3" t="s">
        <v>62</v>
      </c>
      <c r="AG189" s="3" t="s">
        <v>62</v>
      </c>
      <c r="AH189" s="3" t="s">
        <v>62</v>
      </c>
    </row>
    <row r="190" spans="2:34">
      <c r="B190" s="148">
        <v>11</v>
      </c>
      <c r="C190" s="89" t="str">
        <f>LEFT(EmpGName11)&amp;" " &amp;EmpSName11</f>
        <v>2 Odd3</v>
      </c>
      <c r="D190" s="4" t="s">
        <v>62</v>
      </c>
      <c r="E190" s="4" t="s">
        <v>62</v>
      </c>
      <c r="F190" s="4" t="s">
        <v>62</v>
      </c>
      <c r="G190" s="4" t="s">
        <v>62</v>
      </c>
      <c r="H190" s="4" t="s">
        <v>62</v>
      </c>
      <c r="I190" s="4" t="s">
        <v>62</v>
      </c>
      <c r="J190" s="4" t="s">
        <v>62</v>
      </c>
      <c r="K190" s="4" t="s">
        <v>62</v>
      </c>
      <c r="L190" s="4" t="s">
        <v>62</v>
      </c>
      <c r="M190" s="4" t="s">
        <v>62</v>
      </c>
      <c r="N190" s="4" t="s">
        <v>62</v>
      </c>
      <c r="O190" s="4" t="s">
        <v>62</v>
      </c>
      <c r="P190" s="4" t="s">
        <v>62</v>
      </c>
      <c r="Q190" s="4" t="s">
        <v>62</v>
      </c>
      <c r="R190" s="4" t="s">
        <v>62</v>
      </c>
      <c r="S190" s="4" t="s">
        <v>62</v>
      </c>
      <c r="T190" s="4" t="s">
        <v>62</v>
      </c>
      <c r="U190" s="4" t="s">
        <v>62</v>
      </c>
      <c r="V190" s="4" t="s">
        <v>62</v>
      </c>
      <c r="W190" s="4" t="s">
        <v>62</v>
      </c>
      <c r="X190" s="4" t="s">
        <v>62</v>
      </c>
      <c r="Y190" s="4" t="s">
        <v>62</v>
      </c>
      <c r="Z190" s="4" t="s">
        <v>62</v>
      </c>
      <c r="AA190" s="4" t="s">
        <v>62</v>
      </c>
      <c r="AB190" s="4" t="s">
        <v>62</v>
      </c>
      <c r="AC190" s="4" t="s">
        <v>62</v>
      </c>
      <c r="AD190" s="4" t="s">
        <v>62</v>
      </c>
      <c r="AE190" s="4" t="s">
        <v>62</v>
      </c>
      <c r="AF190" s="4" t="s">
        <v>62</v>
      </c>
      <c r="AG190" s="4" t="s">
        <v>62</v>
      </c>
      <c r="AH190" s="4" t="s">
        <v>62</v>
      </c>
    </row>
    <row r="191" spans="2:34">
      <c r="B191" s="148">
        <v>12</v>
      </c>
      <c r="C191" s="90" t="str">
        <f>LEFT(EmpGName12)&amp;" " &amp;EmpSName12</f>
        <v>4 Odd4</v>
      </c>
      <c r="D191" s="3" t="s">
        <v>62</v>
      </c>
      <c r="E191" s="3" t="s">
        <v>62</v>
      </c>
      <c r="F191" s="3" t="s">
        <v>62</v>
      </c>
      <c r="G191" s="3" t="s">
        <v>62</v>
      </c>
      <c r="H191" s="3" t="s">
        <v>62</v>
      </c>
      <c r="I191" s="3" t="s">
        <v>62</v>
      </c>
      <c r="J191" s="3" t="s">
        <v>62</v>
      </c>
      <c r="K191" s="3" t="s">
        <v>62</v>
      </c>
      <c r="L191" s="3" t="s">
        <v>62</v>
      </c>
      <c r="M191" s="3" t="s">
        <v>62</v>
      </c>
      <c r="N191" s="3" t="s">
        <v>62</v>
      </c>
      <c r="O191" s="3" t="s">
        <v>62</v>
      </c>
      <c r="P191" s="3" t="s">
        <v>62</v>
      </c>
      <c r="Q191" s="3" t="s">
        <v>62</v>
      </c>
      <c r="R191" s="3" t="s">
        <v>62</v>
      </c>
      <c r="S191" s="3" t="s">
        <v>62</v>
      </c>
      <c r="T191" s="3" t="s">
        <v>62</v>
      </c>
      <c r="U191" s="3" t="s">
        <v>62</v>
      </c>
      <c r="V191" s="3" t="s">
        <v>62</v>
      </c>
      <c r="W191" s="3" t="s">
        <v>62</v>
      </c>
      <c r="X191" s="3" t="s">
        <v>62</v>
      </c>
      <c r="Y191" s="3" t="s">
        <v>62</v>
      </c>
      <c r="Z191" s="3" t="s">
        <v>62</v>
      </c>
      <c r="AA191" s="3" t="s">
        <v>62</v>
      </c>
      <c r="AB191" s="3" t="s">
        <v>62</v>
      </c>
      <c r="AC191" s="3" t="s">
        <v>62</v>
      </c>
      <c r="AD191" s="3" t="s">
        <v>62</v>
      </c>
      <c r="AE191" s="3" t="s">
        <v>62</v>
      </c>
      <c r="AF191" s="3" t="s">
        <v>62</v>
      </c>
      <c r="AG191" s="3" t="s">
        <v>62</v>
      </c>
      <c r="AH191" s="3" t="s">
        <v>62</v>
      </c>
    </row>
    <row r="193" spans="2:34">
      <c r="C193" t="str">
        <f>CurYear&amp;":"</f>
        <v>2019:</v>
      </c>
      <c r="D193" s="5" t="str">
        <f>LEFT(TEXT(D194&amp;"-"&amp;$C194&amp;"-"&amp;CurYear,"ddd"),2)</f>
        <v>Sa</v>
      </c>
      <c r="E193" s="5" t="str">
        <f t="shared" ref="E193:AG193" si="11">LEFT(TEXT(E194&amp;"-"&amp;$C194&amp;"-"&amp;CurYear,"ddd"),2)</f>
        <v>Su</v>
      </c>
      <c r="F193" s="5" t="str">
        <f t="shared" si="11"/>
        <v>Mo</v>
      </c>
      <c r="G193" s="5" t="str">
        <f t="shared" si="11"/>
        <v>Tu</v>
      </c>
      <c r="H193" s="5" t="str">
        <f t="shared" si="11"/>
        <v>We</v>
      </c>
      <c r="I193" s="5" t="str">
        <f t="shared" si="11"/>
        <v>Th</v>
      </c>
      <c r="J193" s="5" t="str">
        <f t="shared" si="11"/>
        <v>Fr</v>
      </c>
      <c r="K193" s="5" t="str">
        <f t="shared" si="11"/>
        <v>Sa</v>
      </c>
      <c r="L193" s="5" t="str">
        <f t="shared" si="11"/>
        <v>Su</v>
      </c>
      <c r="M193" s="5" t="str">
        <f t="shared" si="11"/>
        <v>Mo</v>
      </c>
      <c r="N193" s="5" t="str">
        <f t="shared" si="11"/>
        <v>Tu</v>
      </c>
      <c r="O193" s="5" t="str">
        <f t="shared" si="11"/>
        <v>We</v>
      </c>
      <c r="P193" s="5" t="str">
        <f t="shared" si="11"/>
        <v>Th</v>
      </c>
      <c r="Q193" s="5" t="str">
        <f t="shared" si="11"/>
        <v>Fr</v>
      </c>
      <c r="R193" s="5" t="str">
        <f t="shared" si="11"/>
        <v>Sa</v>
      </c>
      <c r="S193" s="5" t="str">
        <f t="shared" si="11"/>
        <v>Su</v>
      </c>
      <c r="T193" s="5" t="str">
        <f t="shared" si="11"/>
        <v>Mo</v>
      </c>
      <c r="U193" s="5" t="str">
        <f t="shared" si="11"/>
        <v>Tu</v>
      </c>
      <c r="V193" s="5" t="str">
        <f t="shared" si="11"/>
        <v>We</v>
      </c>
      <c r="W193" s="5" t="str">
        <f t="shared" si="11"/>
        <v>Th</v>
      </c>
      <c r="X193" s="5" t="str">
        <f t="shared" si="11"/>
        <v>Fr</v>
      </c>
      <c r="Y193" s="5" t="str">
        <f t="shared" si="11"/>
        <v>Sa</v>
      </c>
      <c r="Z193" s="5" t="str">
        <f t="shared" si="11"/>
        <v>Su</v>
      </c>
      <c r="AA193" s="5" t="str">
        <f t="shared" si="11"/>
        <v>Mo</v>
      </c>
      <c r="AB193" s="5" t="str">
        <f t="shared" si="11"/>
        <v>Tu</v>
      </c>
      <c r="AC193" s="5" t="str">
        <f t="shared" si="11"/>
        <v>We</v>
      </c>
      <c r="AD193" s="5" t="str">
        <f t="shared" si="11"/>
        <v>Th</v>
      </c>
      <c r="AE193" s="5" t="str">
        <f t="shared" si="11"/>
        <v>Fr</v>
      </c>
      <c r="AF193" s="5" t="str">
        <f t="shared" si="11"/>
        <v>Sa</v>
      </c>
      <c r="AG193" s="5" t="str">
        <f t="shared" si="11"/>
        <v>Su</v>
      </c>
      <c r="AH193" s="5"/>
    </row>
    <row r="194" spans="2:34">
      <c r="B194" s="88"/>
      <c r="C194" s="84" t="s">
        <v>17</v>
      </c>
      <c r="D194" s="85">
        <v>1</v>
      </c>
      <c r="E194" s="85">
        <v>2</v>
      </c>
      <c r="F194" s="85">
        <v>3</v>
      </c>
      <c r="G194" s="85">
        <v>4</v>
      </c>
      <c r="H194" s="85">
        <v>5</v>
      </c>
      <c r="I194" s="85">
        <v>6</v>
      </c>
      <c r="J194" s="176">
        <v>7</v>
      </c>
      <c r="K194" s="85">
        <v>8</v>
      </c>
      <c r="L194" s="85">
        <v>9</v>
      </c>
      <c r="M194" s="85">
        <v>10</v>
      </c>
      <c r="N194" s="85">
        <v>11</v>
      </c>
      <c r="O194" s="85">
        <v>12</v>
      </c>
      <c r="P194" s="85">
        <v>13</v>
      </c>
      <c r="Q194" s="85">
        <v>14</v>
      </c>
      <c r="R194" s="85">
        <v>15</v>
      </c>
      <c r="S194" s="85">
        <v>16</v>
      </c>
      <c r="T194" s="85">
        <v>17</v>
      </c>
      <c r="U194" s="85">
        <v>18</v>
      </c>
      <c r="V194" s="85">
        <v>19</v>
      </c>
      <c r="W194" s="85">
        <v>20</v>
      </c>
      <c r="X194" s="176">
        <v>21</v>
      </c>
      <c r="Y194" s="85">
        <v>22</v>
      </c>
      <c r="Z194" s="85">
        <v>23</v>
      </c>
      <c r="AA194" s="85">
        <v>24</v>
      </c>
      <c r="AB194" s="85">
        <v>25</v>
      </c>
      <c r="AC194" s="85">
        <v>26</v>
      </c>
      <c r="AD194" s="85">
        <v>27</v>
      </c>
      <c r="AE194" s="85">
        <v>28</v>
      </c>
      <c r="AF194" s="85">
        <v>29</v>
      </c>
      <c r="AG194" s="85">
        <v>30</v>
      </c>
      <c r="AH194" s="92"/>
    </row>
    <row r="195" spans="2:34">
      <c r="B195" s="85">
        <v>1</v>
      </c>
      <c r="C195" s="89" t="str">
        <f>LEFT(EmpGName01)&amp;" " &amp; EmpSName01</f>
        <v>L Marampon</v>
      </c>
      <c r="D195" s="4" t="s">
        <v>62</v>
      </c>
      <c r="E195" s="4" t="s">
        <v>62</v>
      </c>
      <c r="F195" s="4" t="s">
        <v>62</v>
      </c>
      <c r="G195" s="4" t="s">
        <v>62</v>
      </c>
      <c r="H195" s="4" t="s">
        <v>62</v>
      </c>
      <c r="I195" s="4" t="s">
        <v>62</v>
      </c>
      <c r="J195" s="4" t="s">
        <v>62</v>
      </c>
      <c r="K195" s="4" t="s">
        <v>62</v>
      </c>
      <c r="L195" s="4" t="s">
        <v>62</v>
      </c>
      <c r="M195" s="4" t="s">
        <v>62</v>
      </c>
      <c r="N195" s="4" t="s">
        <v>62</v>
      </c>
      <c r="O195" s="4" t="s">
        <v>62</v>
      </c>
      <c r="P195" s="4" t="s">
        <v>62</v>
      </c>
      <c r="Q195" s="4" t="s">
        <v>62</v>
      </c>
      <c r="R195" s="4" t="s">
        <v>62</v>
      </c>
      <c r="S195" s="4" t="s">
        <v>62</v>
      </c>
      <c r="T195" s="4" t="s">
        <v>62</v>
      </c>
      <c r="U195" s="4" t="s">
        <v>62</v>
      </c>
      <c r="V195" s="4" t="s">
        <v>62</v>
      </c>
      <c r="W195" s="4" t="s">
        <v>62</v>
      </c>
      <c r="X195" s="4" t="s">
        <v>62</v>
      </c>
      <c r="Y195" s="4" t="s">
        <v>62</v>
      </c>
      <c r="Z195" s="4" t="s">
        <v>62</v>
      </c>
      <c r="AA195" s="4" t="s">
        <v>62</v>
      </c>
      <c r="AB195" s="4" t="s">
        <v>62</v>
      </c>
      <c r="AC195" s="4" t="s">
        <v>62</v>
      </c>
      <c r="AD195" s="4" t="s">
        <v>62</v>
      </c>
      <c r="AE195" s="4" t="s">
        <v>62</v>
      </c>
      <c r="AF195" s="4" t="s">
        <v>62</v>
      </c>
      <c r="AG195" s="4" t="s">
        <v>62</v>
      </c>
      <c r="AH195" s="8"/>
    </row>
    <row r="196" spans="2:34">
      <c r="B196" s="85">
        <v>2</v>
      </c>
      <c r="C196" s="90" t="str">
        <f>LEFT(EmpGName02)&amp;" " &amp;EmpSName02</f>
        <v>K Stone</v>
      </c>
      <c r="D196" s="3" t="s">
        <v>62</v>
      </c>
      <c r="E196" s="3" t="s">
        <v>62</v>
      </c>
      <c r="F196" s="3" t="s">
        <v>62</v>
      </c>
      <c r="G196" s="3" t="s">
        <v>62</v>
      </c>
      <c r="H196" s="3" t="s">
        <v>62</v>
      </c>
      <c r="I196" s="3" t="s">
        <v>62</v>
      </c>
      <c r="J196" s="3" t="s">
        <v>62</v>
      </c>
      <c r="K196" s="3" t="s">
        <v>62</v>
      </c>
      <c r="L196" s="3" t="s">
        <v>62</v>
      </c>
      <c r="M196" s="3" t="s">
        <v>62</v>
      </c>
      <c r="N196" s="3" t="s">
        <v>62</v>
      </c>
      <c r="O196" s="3" t="s">
        <v>62</v>
      </c>
      <c r="P196" s="3" t="s">
        <v>62</v>
      </c>
      <c r="Q196" s="3" t="s">
        <v>62</v>
      </c>
      <c r="R196" s="3" t="s">
        <v>62</v>
      </c>
      <c r="S196" s="3" t="s">
        <v>62</v>
      </c>
      <c r="T196" s="3" t="s">
        <v>62</v>
      </c>
      <c r="U196" s="3" t="s">
        <v>62</v>
      </c>
      <c r="V196" s="3" t="s">
        <v>62</v>
      </c>
      <c r="W196" s="3" t="s">
        <v>62</v>
      </c>
      <c r="X196" s="3" t="s">
        <v>62</v>
      </c>
      <c r="Y196" s="3" t="s">
        <v>62</v>
      </c>
      <c r="Z196" s="3" t="s">
        <v>62</v>
      </c>
      <c r="AA196" s="3" t="s">
        <v>62</v>
      </c>
      <c r="AB196" s="3" t="s">
        <v>62</v>
      </c>
      <c r="AC196" s="3" t="s">
        <v>62</v>
      </c>
      <c r="AD196" s="3" t="s">
        <v>62</v>
      </c>
      <c r="AE196" s="3" t="s">
        <v>62</v>
      </c>
      <c r="AF196" s="3" t="s">
        <v>62</v>
      </c>
      <c r="AG196" s="3" t="s">
        <v>62</v>
      </c>
      <c r="AH196" s="8"/>
    </row>
    <row r="197" spans="2:34">
      <c r="B197" s="85">
        <v>3</v>
      </c>
      <c r="C197" s="89" t="str">
        <f>LEFT(EmpGName03)&amp;" " &amp;EmpSName03</f>
        <v>I Thelning</v>
      </c>
      <c r="D197" s="4" t="s">
        <v>62</v>
      </c>
      <c r="E197" s="4" t="s">
        <v>62</v>
      </c>
      <c r="F197" s="4" t="s">
        <v>62</v>
      </c>
      <c r="G197" s="4" t="s">
        <v>62</v>
      </c>
      <c r="H197" s="4" t="s">
        <v>62</v>
      </c>
      <c r="I197" s="4" t="s">
        <v>62</v>
      </c>
      <c r="J197" s="4" t="s">
        <v>62</v>
      </c>
      <c r="K197" s="4" t="s">
        <v>62</v>
      </c>
      <c r="L197" s="4" t="s">
        <v>62</v>
      </c>
      <c r="M197" s="4" t="s">
        <v>62</v>
      </c>
      <c r="N197" s="4" t="s">
        <v>62</v>
      </c>
      <c r="O197" s="4" t="s">
        <v>62</v>
      </c>
      <c r="P197" s="4" t="s">
        <v>62</v>
      </c>
      <c r="Q197" s="4" t="s">
        <v>62</v>
      </c>
      <c r="R197" s="4" t="s">
        <v>62</v>
      </c>
      <c r="S197" s="4" t="s">
        <v>62</v>
      </c>
      <c r="T197" s="4" t="s">
        <v>62</v>
      </c>
      <c r="U197" s="4" t="s">
        <v>62</v>
      </c>
      <c r="V197" s="4" t="s">
        <v>62</v>
      </c>
      <c r="W197" s="4" t="s">
        <v>62</v>
      </c>
      <c r="X197" s="4" t="s">
        <v>62</v>
      </c>
      <c r="Y197" s="4" t="s">
        <v>62</v>
      </c>
      <c r="Z197" s="4" t="s">
        <v>62</v>
      </c>
      <c r="AA197" s="4" t="s">
        <v>62</v>
      </c>
      <c r="AB197" s="4" t="s">
        <v>62</v>
      </c>
      <c r="AC197" s="4" t="s">
        <v>62</v>
      </c>
      <c r="AD197" s="4" t="s">
        <v>62</v>
      </c>
      <c r="AE197" s="4" t="s">
        <v>62</v>
      </c>
      <c r="AF197" s="4" t="s">
        <v>62</v>
      </c>
      <c r="AG197" s="4" t="s">
        <v>62</v>
      </c>
      <c r="AH197" s="8"/>
    </row>
    <row r="198" spans="2:34">
      <c r="B198" s="85">
        <v>4</v>
      </c>
      <c r="C198" s="90" t="str">
        <f>LEFT(EmpGName04)&amp;" " &amp;EmpSName04</f>
        <v>L King</v>
      </c>
      <c r="D198" s="3" t="s">
        <v>62</v>
      </c>
      <c r="E198" s="3" t="s">
        <v>62</v>
      </c>
      <c r="F198" s="3" t="s">
        <v>62</v>
      </c>
      <c r="G198" s="3" t="s">
        <v>62</v>
      </c>
      <c r="H198" s="3" t="s">
        <v>62</v>
      </c>
      <c r="I198" s="3" t="s">
        <v>62</v>
      </c>
      <c r="J198" s="3" t="s">
        <v>62</v>
      </c>
      <c r="K198" s="3" t="s">
        <v>62</v>
      </c>
      <c r="L198" s="3" t="s">
        <v>62</v>
      </c>
      <c r="M198" s="3" t="s">
        <v>62</v>
      </c>
      <c r="N198" s="3" t="s">
        <v>62</v>
      </c>
      <c r="O198" s="3" t="s">
        <v>62</v>
      </c>
      <c r="P198" s="3" t="s">
        <v>62</v>
      </c>
      <c r="Q198" s="3" t="s">
        <v>62</v>
      </c>
      <c r="R198" s="3" t="s">
        <v>62</v>
      </c>
      <c r="S198" s="3" t="s">
        <v>62</v>
      </c>
      <c r="T198" s="3" t="s">
        <v>62</v>
      </c>
      <c r="U198" s="3" t="s">
        <v>62</v>
      </c>
      <c r="V198" s="3" t="s">
        <v>62</v>
      </c>
      <c r="W198" s="3" t="s">
        <v>62</v>
      </c>
      <c r="X198" s="3" t="s">
        <v>62</v>
      </c>
      <c r="Y198" s="3" t="s">
        <v>62</v>
      </c>
      <c r="Z198" s="3" t="s">
        <v>62</v>
      </c>
      <c r="AA198" s="3" t="s">
        <v>62</v>
      </c>
      <c r="AB198" s="3" t="s">
        <v>62</v>
      </c>
      <c r="AC198" s="3" t="s">
        <v>62</v>
      </c>
      <c r="AD198" s="3" t="s">
        <v>62</v>
      </c>
      <c r="AE198" s="3" t="s">
        <v>62</v>
      </c>
      <c r="AF198" s="3" t="s">
        <v>62</v>
      </c>
      <c r="AG198" s="3" t="s">
        <v>62</v>
      </c>
      <c r="AH198" s="8"/>
    </row>
    <row r="199" spans="2:34">
      <c r="B199" s="85">
        <v>5</v>
      </c>
      <c r="C199" s="89" t="str">
        <f>LEFT(EmpGName05)&amp;" " &amp;EmpSName05</f>
        <v>D Castle</v>
      </c>
      <c r="D199" s="4" t="s">
        <v>62</v>
      </c>
      <c r="E199" s="4" t="s">
        <v>62</v>
      </c>
      <c r="F199" s="4" t="s">
        <v>62</v>
      </c>
      <c r="G199" s="4" t="s">
        <v>62</v>
      </c>
      <c r="H199" s="4" t="s">
        <v>62</v>
      </c>
      <c r="I199" s="4" t="s">
        <v>62</v>
      </c>
      <c r="J199" s="4" t="s">
        <v>62</v>
      </c>
      <c r="K199" s="4" t="s">
        <v>62</v>
      </c>
      <c r="L199" s="4" t="s">
        <v>62</v>
      </c>
      <c r="M199" s="4" t="s">
        <v>62</v>
      </c>
      <c r="N199" s="4" t="s">
        <v>62</v>
      </c>
      <c r="O199" s="4" t="s">
        <v>62</v>
      </c>
      <c r="P199" s="4" t="s">
        <v>62</v>
      </c>
      <c r="Q199" s="4" t="s">
        <v>62</v>
      </c>
      <c r="R199" s="4" t="s">
        <v>62</v>
      </c>
      <c r="S199" s="4" t="s">
        <v>62</v>
      </c>
      <c r="T199" s="4" t="s">
        <v>62</v>
      </c>
      <c r="U199" s="4" t="s">
        <v>62</v>
      </c>
      <c r="V199" s="4" t="s">
        <v>62</v>
      </c>
      <c r="W199" s="4" t="s">
        <v>62</v>
      </c>
      <c r="X199" s="4" t="s">
        <v>62</v>
      </c>
      <c r="Y199" s="4" t="s">
        <v>62</v>
      </c>
      <c r="Z199" s="4" t="s">
        <v>62</v>
      </c>
      <c r="AA199" s="4" t="s">
        <v>62</v>
      </c>
      <c r="AB199" s="4" t="s">
        <v>62</v>
      </c>
      <c r="AC199" s="4" t="s">
        <v>62</v>
      </c>
      <c r="AD199" s="4" t="s">
        <v>62</v>
      </c>
      <c r="AE199" s="4" t="s">
        <v>62</v>
      </c>
      <c r="AF199" s="4" t="s">
        <v>62</v>
      </c>
      <c r="AG199" s="4" t="s">
        <v>62</v>
      </c>
      <c r="AH199" s="8"/>
    </row>
    <row r="200" spans="2:34">
      <c r="B200" s="85">
        <v>6</v>
      </c>
      <c r="C200" s="90" t="str">
        <f>LEFT(EmpGName06)&amp;" " &amp;EmpSName06</f>
        <v>R Fielding</v>
      </c>
      <c r="D200" s="3" t="s">
        <v>62</v>
      </c>
      <c r="E200" s="3" t="s">
        <v>62</v>
      </c>
      <c r="F200" s="3" t="s">
        <v>62</v>
      </c>
      <c r="G200" s="3" t="s">
        <v>62</v>
      </c>
      <c r="H200" s="3" t="s">
        <v>62</v>
      </c>
      <c r="I200" s="3" t="s">
        <v>62</v>
      </c>
      <c r="J200" s="3" t="s">
        <v>62</v>
      </c>
      <c r="K200" s="3" t="s">
        <v>62</v>
      </c>
      <c r="L200" s="3" t="s">
        <v>62</v>
      </c>
      <c r="M200" s="3" t="s">
        <v>62</v>
      </c>
      <c r="N200" s="3" t="s">
        <v>62</v>
      </c>
      <c r="O200" s="3" t="s">
        <v>62</v>
      </c>
      <c r="P200" s="3" t="s">
        <v>62</v>
      </c>
      <c r="Q200" s="3" t="s">
        <v>62</v>
      </c>
      <c r="R200" s="3" t="s">
        <v>62</v>
      </c>
      <c r="S200" s="3" t="s">
        <v>62</v>
      </c>
      <c r="T200" s="3" t="s">
        <v>62</v>
      </c>
      <c r="U200" s="3" t="s">
        <v>62</v>
      </c>
      <c r="V200" s="3" t="s">
        <v>62</v>
      </c>
      <c r="W200" s="3" t="s">
        <v>62</v>
      </c>
      <c r="X200" s="3" t="s">
        <v>62</v>
      </c>
      <c r="Y200" s="3" t="s">
        <v>62</v>
      </c>
      <c r="Z200" s="3" t="s">
        <v>62</v>
      </c>
      <c r="AA200" s="3" t="s">
        <v>62</v>
      </c>
      <c r="AB200" s="3" t="s">
        <v>62</v>
      </c>
      <c r="AC200" s="3" t="s">
        <v>62</v>
      </c>
      <c r="AD200" s="3" t="s">
        <v>62</v>
      </c>
      <c r="AE200" s="3" t="s">
        <v>62</v>
      </c>
      <c r="AF200" s="3" t="s">
        <v>62</v>
      </c>
      <c r="AG200" s="3" t="s">
        <v>62</v>
      </c>
      <c r="AH200" s="8"/>
    </row>
    <row r="201" spans="2:34">
      <c r="B201" s="85">
        <v>7</v>
      </c>
      <c r="C201" s="89" t="str">
        <f>LEFT(EmpGName07)&amp;" " &amp;EmpSName07</f>
        <v>T Sorensen</v>
      </c>
      <c r="D201" s="4" t="s">
        <v>62</v>
      </c>
      <c r="E201" s="4" t="s">
        <v>62</v>
      </c>
      <c r="F201" s="4" t="s">
        <v>62</v>
      </c>
      <c r="G201" s="4" t="s">
        <v>62</v>
      </c>
      <c r="H201" s="4" t="s">
        <v>62</v>
      </c>
      <c r="I201" s="4" t="s">
        <v>62</v>
      </c>
      <c r="J201" s="4" t="s">
        <v>62</v>
      </c>
      <c r="K201" s="4" t="s">
        <v>62</v>
      </c>
      <c r="L201" s="4" t="s">
        <v>62</v>
      </c>
      <c r="M201" s="4" t="s">
        <v>62</v>
      </c>
      <c r="N201" s="4" t="s">
        <v>62</v>
      </c>
      <c r="O201" s="4" t="s">
        <v>62</v>
      </c>
      <c r="P201" s="4" t="s">
        <v>62</v>
      </c>
      <c r="Q201" s="4" t="s">
        <v>62</v>
      </c>
      <c r="R201" s="4" t="s">
        <v>62</v>
      </c>
      <c r="S201" s="4" t="s">
        <v>62</v>
      </c>
      <c r="T201" s="4" t="s">
        <v>62</v>
      </c>
      <c r="U201" s="4" t="s">
        <v>62</v>
      </c>
      <c r="V201" s="4" t="s">
        <v>62</v>
      </c>
      <c r="W201" s="4" t="s">
        <v>62</v>
      </c>
      <c r="X201" s="4" t="s">
        <v>62</v>
      </c>
      <c r="Y201" s="4" t="s">
        <v>62</v>
      </c>
      <c r="Z201" s="4" t="s">
        <v>62</v>
      </c>
      <c r="AA201" s="4" t="s">
        <v>62</v>
      </c>
      <c r="AB201" s="4" t="s">
        <v>62</v>
      </c>
      <c r="AC201" s="4" t="s">
        <v>62</v>
      </c>
      <c r="AD201" s="4" t="s">
        <v>62</v>
      </c>
      <c r="AE201" s="4" t="s">
        <v>62</v>
      </c>
      <c r="AF201" s="4" t="s">
        <v>62</v>
      </c>
      <c r="AG201" s="4" t="s">
        <v>62</v>
      </c>
      <c r="AH201" s="8"/>
    </row>
    <row r="202" spans="2:34">
      <c r="B202" s="85">
        <v>8</v>
      </c>
      <c r="C202" s="90" t="str">
        <f>LEFT(EmpGName08)&amp;" " &amp;EmpSName08</f>
        <v xml:space="preserve">B Odd </v>
      </c>
      <c r="D202" s="3" t="s">
        <v>62</v>
      </c>
      <c r="E202" s="3" t="s">
        <v>62</v>
      </c>
      <c r="F202" s="3" t="s">
        <v>62</v>
      </c>
      <c r="G202" s="3" t="s">
        <v>62</v>
      </c>
      <c r="H202" s="3" t="s">
        <v>62</v>
      </c>
      <c r="I202" s="3" t="s">
        <v>62</v>
      </c>
      <c r="J202" s="3" t="s">
        <v>62</v>
      </c>
      <c r="K202" s="3" t="s">
        <v>62</v>
      </c>
      <c r="L202" s="3" t="s">
        <v>62</v>
      </c>
      <c r="M202" s="3" t="s">
        <v>62</v>
      </c>
      <c r="N202" s="3" t="s">
        <v>62</v>
      </c>
      <c r="O202" s="3" t="s">
        <v>62</v>
      </c>
      <c r="P202" s="3" t="s">
        <v>62</v>
      </c>
      <c r="Q202" s="3" t="s">
        <v>62</v>
      </c>
      <c r="R202" s="3" t="s">
        <v>62</v>
      </c>
      <c r="S202" s="3" t="s">
        <v>62</v>
      </c>
      <c r="T202" s="3" t="s">
        <v>62</v>
      </c>
      <c r="U202" s="3" t="s">
        <v>62</v>
      </c>
      <c r="V202" s="3" t="s">
        <v>62</v>
      </c>
      <c r="W202" s="3" t="s">
        <v>62</v>
      </c>
      <c r="X202" s="3" t="s">
        <v>62</v>
      </c>
      <c r="Y202" s="3" t="s">
        <v>62</v>
      </c>
      <c r="Z202" s="3" t="s">
        <v>62</v>
      </c>
      <c r="AA202" s="3" t="s">
        <v>62</v>
      </c>
      <c r="AB202" s="3" t="s">
        <v>62</v>
      </c>
      <c r="AC202" s="3" t="s">
        <v>62</v>
      </c>
      <c r="AD202" s="3" t="s">
        <v>62</v>
      </c>
      <c r="AE202" s="3" t="s">
        <v>62</v>
      </c>
      <c r="AF202" s="3" t="s">
        <v>62</v>
      </c>
      <c r="AG202" s="3" t="s">
        <v>62</v>
      </c>
      <c r="AH202" s="8"/>
    </row>
    <row r="203" spans="2:34">
      <c r="B203" s="85">
        <v>9</v>
      </c>
      <c r="C203" s="89" t="str">
        <f>LEFT(EmpGName09)&amp;" " &amp;EmpSName09</f>
        <v>1 Odd1</v>
      </c>
      <c r="D203" s="4" t="s">
        <v>62</v>
      </c>
      <c r="E203" s="4" t="s">
        <v>62</v>
      </c>
      <c r="F203" s="4" t="s">
        <v>62</v>
      </c>
      <c r="G203" s="4" t="s">
        <v>62</v>
      </c>
      <c r="H203" s="4" t="s">
        <v>62</v>
      </c>
      <c r="I203" s="4" t="s">
        <v>62</v>
      </c>
      <c r="J203" s="4" t="s">
        <v>62</v>
      </c>
      <c r="K203" s="4" t="s">
        <v>62</v>
      </c>
      <c r="L203" s="4" t="s">
        <v>62</v>
      </c>
      <c r="M203" s="4" t="s">
        <v>62</v>
      </c>
      <c r="N203" s="4" t="s">
        <v>62</v>
      </c>
      <c r="O203" s="4" t="s">
        <v>62</v>
      </c>
      <c r="P203" s="4" t="s">
        <v>62</v>
      </c>
      <c r="Q203" s="4" t="s">
        <v>62</v>
      </c>
      <c r="R203" s="4" t="s">
        <v>62</v>
      </c>
      <c r="S203" s="4" t="s">
        <v>62</v>
      </c>
      <c r="T203" s="4" t="s">
        <v>62</v>
      </c>
      <c r="U203" s="4" t="s">
        <v>62</v>
      </c>
      <c r="V203" s="4" t="s">
        <v>62</v>
      </c>
      <c r="W203" s="4" t="s">
        <v>62</v>
      </c>
      <c r="X203" s="4" t="s">
        <v>62</v>
      </c>
      <c r="Y203" s="4" t="s">
        <v>62</v>
      </c>
      <c r="Z203" s="4" t="s">
        <v>62</v>
      </c>
      <c r="AA203" s="4" t="s">
        <v>62</v>
      </c>
      <c r="AB203" s="4" t="s">
        <v>62</v>
      </c>
      <c r="AC203" s="4" t="s">
        <v>62</v>
      </c>
      <c r="AD203" s="4" t="s">
        <v>62</v>
      </c>
      <c r="AE203" s="4" t="s">
        <v>62</v>
      </c>
      <c r="AF203" s="4" t="s">
        <v>62</v>
      </c>
      <c r="AG203" s="4" t="s">
        <v>62</v>
      </c>
      <c r="AH203" s="8"/>
    </row>
    <row r="204" spans="2:34">
      <c r="B204" s="148">
        <v>10</v>
      </c>
      <c r="C204" s="90" t="str">
        <f>LEFT(EmpGName10)&amp;" " &amp;EmpSName10</f>
        <v>2 Odd2</v>
      </c>
      <c r="D204" s="3" t="s">
        <v>62</v>
      </c>
      <c r="E204" s="3" t="s">
        <v>62</v>
      </c>
      <c r="F204" s="3" t="s">
        <v>62</v>
      </c>
      <c r="G204" s="3" t="s">
        <v>62</v>
      </c>
      <c r="H204" s="3" t="s">
        <v>62</v>
      </c>
      <c r="I204" s="3" t="s">
        <v>62</v>
      </c>
      <c r="J204" s="3" t="s">
        <v>62</v>
      </c>
      <c r="K204" s="3" t="s">
        <v>62</v>
      </c>
      <c r="L204" s="3" t="s">
        <v>62</v>
      </c>
      <c r="M204" s="3" t="s">
        <v>62</v>
      </c>
      <c r="N204" s="3" t="s">
        <v>62</v>
      </c>
      <c r="O204" s="3" t="s">
        <v>62</v>
      </c>
      <c r="P204" s="3" t="s">
        <v>62</v>
      </c>
      <c r="Q204" s="3" t="s">
        <v>62</v>
      </c>
      <c r="R204" s="3" t="s">
        <v>62</v>
      </c>
      <c r="S204" s="3" t="s">
        <v>62</v>
      </c>
      <c r="T204" s="3" t="s">
        <v>62</v>
      </c>
      <c r="U204" s="3" t="s">
        <v>62</v>
      </c>
      <c r="V204" s="3" t="s">
        <v>62</v>
      </c>
      <c r="W204" s="3" t="s">
        <v>62</v>
      </c>
      <c r="X204" s="3" t="s">
        <v>62</v>
      </c>
      <c r="Y204" s="3" t="s">
        <v>62</v>
      </c>
      <c r="Z204" s="3" t="s">
        <v>62</v>
      </c>
      <c r="AA204" s="3" t="s">
        <v>62</v>
      </c>
      <c r="AB204" s="3" t="s">
        <v>62</v>
      </c>
      <c r="AC204" s="3" t="s">
        <v>62</v>
      </c>
      <c r="AD204" s="3" t="s">
        <v>62</v>
      </c>
      <c r="AE204" s="3" t="s">
        <v>62</v>
      </c>
      <c r="AF204" s="3" t="s">
        <v>62</v>
      </c>
      <c r="AG204" s="3" t="s">
        <v>62</v>
      </c>
      <c r="AH204" s="74"/>
    </row>
    <row r="205" spans="2:34">
      <c r="B205" s="148">
        <v>11</v>
      </c>
      <c r="C205" s="89" t="str">
        <f>LEFT(EmpGName11)&amp;" " &amp;EmpSName11</f>
        <v>2 Odd3</v>
      </c>
      <c r="D205" s="4" t="s">
        <v>62</v>
      </c>
      <c r="E205" s="4" t="s">
        <v>62</v>
      </c>
      <c r="F205" s="4" t="s">
        <v>62</v>
      </c>
      <c r="G205" s="4" t="s">
        <v>62</v>
      </c>
      <c r="H205" s="4" t="s">
        <v>62</v>
      </c>
      <c r="I205" s="4" t="s">
        <v>62</v>
      </c>
      <c r="J205" s="4" t="s">
        <v>62</v>
      </c>
      <c r="K205" s="4" t="s">
        <v>62</v>
      </c>
      <c r="L205" s="4" t="s">
        <v>62</v>
      </c>
      <c r="M205" s="4" t="s">
        <v>62</v>
      </c>
      <c r="N205" s="4" t="s">
        <v>62</v>
      </c>
      <c r="O205" s="4" t="s">
        <v>62</v>
      </c>
      <c r="P205" s="4" t="s">
        <v>62</v>
      </c>
      <c r="Q205" s="4" t="s">
        <v>62</v>
      </c>
      <c r="R205" s="4" t="s">
        <v>62</v>
      </c>
      <c r="S205" s="4" t="s">
        <v>62</v>
      </c>
      <c r="T205" s="4" t="s">
        <v>62</v>
      </c>
      <c r="U205" s="4" t="s">
        <v>62</v>
      </c>
      <c r="V205" s="4" t="s">
        <v>62</v>
      </c>
      <c r="W205" s="4" t="s">
        <v>62</v>
      </c>
      <c r="X205" s="4" t="s">
        <v>62</v>
      </c>
      <c r="Y205" s="4" t="s">
        <v>62</v>
      </c>
      <c r="Z205" s="4" t="s">
        <v>62</v>
      </c>
      <c r="AA205" s="4" t="s">
        <v>62</v>
      </c>
      <c r="AB205" s="4" t="s">
        <v>62</v>
      </c>
      <c r="AC205" s="4" t="s">
        <v>62</v>
      </c>
      <c r="AD205" s="4" t="s">
        <v>62</v>
      </c>
      <c r="AE205" s="4" t="s">
        <v>62</v>
      </c>
      <c r="AF205" s="4" t="s">
        <v>62</v>
      </c>
      <c r="AG205" s="4" t="s">
        <v>62</v>
      </c>
      <c r="AH205" s="74"/>
    </row>
    <row r="206" spans="2:34">
      <c r="B206" s="148">
        <v>12</v>
      </c>
      <c r="C206" s="90" t="str">
        <f>LEFT(EmpGName12)&amp;" " &amp;EmpSName12</f>
        <v>4 Odd4</v>
      </c>
      <c r="D206" s="3" t="s">
        <v>62</v>
      </c>
      <c r="E206" s="3" t="s">
        <v>62</v>
      </c>
      <c r="F206" s="3" t="s">
        <v>62</v>
      </c>
      <c r="G206" s="3" t="s">
        <v>62</v>
      </c>
      <c r="H206" s="3" t="s">
        <v>62</v>
      </c>
      <c r="I206" s="3" t="s">
        <v>62</v>
      </c>
      <c r="J206" s="3" t="s">
        <v>62</v>
      </c>
      <c r="K206" s="3" t="s">
        <v>62</v>
      </c>
      <c r="L206" s="3" t="s">
        <v>62</v>
      </c>
      <c r="M206" s="3" t="s">
        <v>62</v>
      </c>
      <c r="N206" s="3" t="s">
        <v>62</v>
      </c>
      <c r="O206" s="3" t="s">
        <v>62</v>
      </c>
      <c r="P206" s="3" t="s">
        <v>62</v>
      </c>
      <c r="Q206" s="3" t="s">
        <v>62</v>
      </c>
      <c r="R206" s="3" t="s">
        <v>62</v>
      </c>
      <c r="S206" s="3" t="s">
        <v>62</v>
      </c>
      <c r="T206" s="3" t="s">
        <v>62</v>
      </c>
      <c r="U206" s="3" t="s">
        <v>62</v>
      </c>
      <c r="V206" s="3" t="s">
        <v>62</v>
      </c>
      <c r="W206" s="3" t="s">
        <v>62</v>
      </c>
      <c r="X206" s="3" t="s">
        <v>62</v>
      </c>
      <c r="Y206" s="3" t="s">
        <v>62</v>
      </c>
      <c r="Z206" s="3" t="s">
        <v>62</v>
      </c>
      <c r="AA206" s="3" t="s">
        <v>62</v>
      </c>
      <c r="AB206" s="3" t="s">
        <v>62</v>
      </c>
      <c r="AC206" s="3" t="s">
        <v>62</v>
      </c>
      <c r="AD206" s="3" t="s">
        <v>62</v>
      </c>
      <c r="AE206" s="3" t="s">
        <v>62</v>
      </c>
      <c r="AF206" s="3" t="s">
        <v>62</v>
      </c>
      <c r="AG206" s="3" t="s">
        <v>62</v>
      </c>
      <c r="AH206" s="74"/>
    </row>
  </sheetData>
  <sheetProtection sheet="1" objects="1" scenarios="1" selectLockedCells="1"/>
  <customSheetViews>
    <customSheetView guid="{9CC23DA7-DD7F-416D-ABE1-6A68EF4528AC}" scale="95" showGridLines="0" showRowCol="0" showRuler="0">
      <pane ySplit="5" topLeftCell="A6" activePane="bottomLeft" state="frozen"/>
      <selection pane="bottomLeft" activeCell="AH33" sqref="AH33"/>
    </customSheetView>
    <customSheetView guid="{AD9D0CFE-E6C4-49DD-B2D2-304A3BF30C6C}" scale="110" showGridLines="0" showRowCol="0" showRuler="0">
      <pane ySplit="5" topLeftCell="A12" activePane="bottomLeft" state="frozen"/>
      <selection pane="bottomLeft" activeCell="H14" sqref="H14"/>
      <pageMargins left="0.75" right="0.75" top="1" bottom="1" header="0.5" footer="0.5"/>
      <pageSetup paperSize="9" orientation="portrait" horizontalDpi="4294967293" verticalDpi="4294967293" r:id="rId1"/>
      <headerFooter alignWithMargins="0"/>
    </customSheetView>
  </customSheetViews>
  <mergeCells count="3">
    <mergeCell ref="C4:D4"/>
    <mergeCell ref="J3:AD3"/>
    <mergeCell ref="J1:AD2"/>
  </mergeCells>
  <phoneticPr fontId="0" type="noConversion"/>
  <conditionalFormatting sqref="D14:AH25 D45:AH56 D60:AG71 D75:AH86 D90:AG101 D105:AH116 D120:AH131 D135:AF146 D150:AH161 D165:AG176 D180:AH191 D195:AG206">
    <cfRule type="cellIs" dxfId="126" priority="123" operator="equal">
      <formula>"AL"</formula>
    </cfRule>
    <cfRule type="cellIs" dxfId="125" priority="124" operator="equal">
      <formula>"NA"</formula>
    </cfRule>
    <cfRule type="cellIs" dxfId="124" priority="125" operator="equal">
      <formula>"SL"</formula>
    </cfRule>
    <cfRule type="cellIs" dxfId="123" priority="127" stopIfTrue="1" operator="equal">
      <formula>"X"</formula>
    </cfRule>
    <cfRule type="cellIs" dxfId="122" priority="128" operator="equal">
      <formula>"H"</formula>
    </cfRule>
  </conditionalFormatting>
  <conditionalFormatting sqref="D12:AH12 D43:AH43 D58:AG58 D73:AH73 D88:AG88 D103:AH103 D118:AH118 D133:AF133 D148:AH148 D163:AG163 D178:AH178 D193:AG193">
    <cfRule type="cellIs" dxfId="121" priority="122" stopIfTrue="1" operator="equal">
      <formula>"Tu"</formula>
    </cfRule>
  </conditionalFormatting>
  <conditionalFormatting sqref="D120:AH131 D135:AF146 D150:AH161 D165:AG176 D180:AH191 D195:AG206 D14:AH25 D45:AH56 D60:AG71 D75:AH86 D90:AG101 D105:AH116">
    <cfRule type="cellIs" dxfId="120" priority="120" operator="equal">
      <formula>"SP"</formula>
    </cfRule>
    <cfRule type="cellIs" dxfId="119" priority="121" operator="equal">
      <formula>"."</formula>
    </cfRule>
  </conditionalFormatting>
  <conditionalFormatting sqref="D26:AH26">
    <cfRule type="cellIs" dxfId="118" priority="115" operator="equal">
      <formula>"AL"</formula>
    </cfRule>
    <cfRule type="cellIs" dxfId="117" priority="116" operator="equal">
      <formula>"NA"</formula>
    </cfRule>
    <cfRule type="cellIs" dxfId="116" priority="117" operator="equal">
      <formula>"SL"</formula>
    </cfRule>
    <cfRule type="cellIs" dxfId="115" priority="118" stopIfTrue="1" operator="equal">
      <formula>"X"</formula>
    </cfRule>
    <cfRule type="cellIs" dxfId="114" priority="119" operator="equal">
      <formula>"H"</formula>
    </cfRule>
  </conditionalFormatting>
  <conditionalFormatting sqref="D26:AH26">
    <cfRule type="cellIs" dxfId="113" priority="113" operator="equal">
      <formula>"SP"</formula>
    </cfRule>
    <cfRule type="cellIs" dxfId="112" priority="114" operator="equal">
      <formula>"."</formula>
    </cfRule>
  </conditionalFormatting>
  <conditionalFormatting sqref="D28:AH28">
    <cfRule type="cellIs" dxfId="111" priority="108" operator="equal">
      <formula>"AL"</formula>
    </cfRule>
    <cfRule type="cellIs" dxfId="110" priority="109" operator="equal">
      <formula>"NA"</formula>
    </cfRule>
    <cfRule type="cellIs" dxfId="109" priority="110" operator="equal">
      <formula>"SL"</formula>
    </cfRule>
    <cfRule type="cellIs" dxfId="108" priority="111" stopIfTrue="1" operator="equal">
      <formula>"X"</formula>
    </cfRule>
    <cfRule type="cellIs" dxfId="107" priority="112" operator="equal">
      <formula>"H"</formula>
    </cfRule>
  </conditionalFormatting>
  <conditionalFormatting sqref="D28:AH28">
    <cfRule type="cellIs" dxfId="106" priority="106" operator="equal">
      <formula>"SP"</formula>
    </cfRule>
    <cfRule type="cellIs" dxfId="105" priority="107" operator="equal">
      <formula>"."</formula>
    </cfRule>
  </conditionalFormatting>
  <conditionalFormatting sqref="D30:AH30">
    <cfRule type="cellIs" dxfId="104" priority="101" operator="equal">
      <formula>"AL"</formula>
    </cfRule>
    <cfRule type="cellIs" dxfId="103" priority="102" operator="equal">
      <formula>"NA"</formula>
    </cfRule>
    <cfRule type="cellIs" dxfId="102" priority="103" operator="equal">
      <formula>"SL"</formula>
    </cfRule>
    <cfRule type="cellIs" dxfId="101" priority="104" stopIfTrue="1" operator="equal">
      <formula>"X"</formula>
    </cfRule>
    <cfRule type="cellIs" dxfId="100" priority="105" operator="equal">
      <formula>"H"</formula>
    </cfRule>
  </conditionalFormatting>
  <conditionalFormatting sqref="D30:AH30">
    <cfRule type="cellIs" dxfId="99" priority="99" operator="equal">
      <formula>"SP"</formula>
    </cfRule>
    <cfRule type="cellIs" dxfId="98" priority="100" operator="equal">
      <formula>"."</formula>
    </cfRule>
  </conditionalFormatting>
  <conditionalFormatting sqref="D32:AH32">
    <cfRule type="cellIs" dxfId="97" priority="94" operator="equal">
      <formula>"AL"</formula>
    </cfRule>
    <cfRule type="cellIs" dxfId="96" priority="95" operator="equal">
      <formula>"NA"</formula>
    </cfRule>
    <cfRule type="cellIs" dxfId="95" priority="96" operator="equal">
      <formula>"SL"</formula>
    </cfRule>
    <cfRule type="cellIs" dxfId="94" priority="97" stopIfTrue="1" operator="equal">
      <formula>"X"</formula>
    </cfRule>
    <cfRule type="cellIs" dxfId="93" priority="98" operator="equal">
      <formula>"H"</formula>
    </cfRule>
  </conditionalFormatting>
  <conditionalFormatting sqref="D32:AH32">
    <cfRule type="cellIs" dxfId="92" priority="92" operator="equal">
      <formula>"SP"</formula>
    </cfRule>
    <cfRule type="cellIs" dxfId="91" priority="93" operator="equal">
      <formula>"."</formula>
    </cfRule>
  </conditionalFormatting>
  <conditionalFormatting sqref="D34:AH34">
    <cfRule type="cellIs" dxfId="90" priority="87" operator="equal">
      <formula>"AL"</formula>
    </cfRule>
    <cfRule type="cellIs" dxfId="89" priority="88" operator="equal">
      <formula>"NA"</formula>
    </cfRule>
    <cfRule type="cellIs" dxfId="88" priority="89" operator="equal">
      <formula>"SL"</formula>
    </cfRule>
    <cfRule type="cellIs" dxfId="87" priority="90" stopIfTrue="1" operator="equal">
      <formula>"X"</formula>
    </cfRule>
    <cfRule type="cellIs" dxfId="86" priority="91" operator="equal">
      <formula>"H"</formula>
    </cfRule>
  </conditionalFormatting>
  <conditionalFormatting sqref="D34:AH34">
    <cfRule type="cellIs" dxfId="85" priority="85" operator="equal">
      <formula>"SP"</formula>
    </cfRule>
    <cfRule type="cellIs" dxfId="84" priority="86" operator="equal">
      <formula>"."</formula>
    </cfRule>
  </conditionalFormatting>
  <conditionalFormatting sqref="D36:AH36">
    <cfRule type="cellIs" dxfId="83" priority="80" operator="equal">
      <formula>"AL"</formula>
    </cfRule>
    <cfRule type="cellIs" dxfId="82" priority="81" operator="equal">
      <formula>"NA"</formula>
    </cfRule>
    <cfRule type="cellIs" dxfId="81" priority="82" operator="equal">
      <formula>"SL"</formula>
    </cfRule>
    <cfRule type="cellIs" dxfId="80" priority="83" stopIfTrue="1" operator="equal">
      <formula>"X"</formula>
    </cfRule>
    <cfRule type="cellIs" dxfId="79" priority="84" operator="equal">
      <formula>"H"</formula>
    </cfRule>
  </conditionalFormatting>
  <conditionalFormatting sqref="D36:AH36">
    <cfRule type="cellIs" dxfId="78" priority="78" operator="equal">
      <formula>"SP"</formula>
    </cfRule>
    <cfRule type="cellIs" dxfId="77" priority="79" operator="equal">
      <formula>"."</formula>
    </cfRule>
  </conditionalFormatting>
  <conditionalFormatting sqref="D38:AH38">
    <cfRule type="cellIs" dxfId="76" priority="73" operator="equal">
      <formula>"AL"</formula>
    </cfRule>
    <cfRule type="cellIs" dxfId="75" priority="74" operator="equal">
      <formula>"NA"</formula>
    </cfRule>
    <cfRule type="cellIs" dxfId="74" priority="75" operator="equal">
      <formula>"SL"</formula>
    </cfRule>
    <cfRule type="cellIs" dxfId="73" priority="76" stopIfTrue="1" operator="equal">
      <formula>"X"</formula>
    </cfRule>
    <cfRule type="cellIs" dxfId="72" priority="77" operator="equal">
      <formula>"H"</formula>
    </cfRule>
  </conditionalFormatting>
  <conditionalFormatting sqref="D38:AH38">
    <cfRule type="cellIs" dxfId="71" priority="71" operator="equal">
      <formula>"SP"</formula>
    </cfRule>
    <cfRule type="cellIs" dxfId="70" priority="72" operator="equal">
      <formula>"."</formula>
    </cfRule>
  </conditionalFormatting>
  <conditionalFormatting sqref="D40:AH40">
    <cfRule type="cellIs" dxfId="69" priority="66" operator="equal">
      <formula>"AL"</formula>
    </cfRule>
    <cfRule type="cellIs" dxfId="68" priority="67" operator="equal">
      <formula>"NA"</formula>
    </cfRule>
    <cfRule type="cellIs" dxfId="67" priority="68" operator="equal">
      <formula>"SL"</formula>
    </cfRule>
    <cfRule type="cellIs" dxfId="66" priority="69" stopIfTrue="1" operator="equal">
      <formula>"X"</formula>
    </cfRule>
    <cfRule type="cellIs" dxfId="65" priority="70" operator="equal">
      <formula>"H"</formula>
    </cfRule>
  </conditionalFormatting>
  <conditionalFormatting sqref="D40:AH40">
    <cfRule type="cellIs" dxfId="64" priority="64" operator="equal">
      <formula>"SP"</formula>
    </cfRule>
    <cfRule type="cellIs" dxfId="63" priority="65" operator="equal">
      <formula>"."</formula>
    </cfRule>
  </conditionalFormatting>
  <conditionalFormatting sqref="D27:AH27">
    <cfRule type="cellIs" dxfId="55" priority="52" operator="equal">
      <formula>"AL"</formula>
    </cfRule>
    <cfRule type="cellIs" dxfId="54" priority="53" operator="equal">
      <formula>"NA"</formula>
    </cfRule>
    <cfRule type="cellIs" dxfId="53" priority="54" operator="equal">
      <formula>"SL"</formula>
    </cfRule>
    <cfRule type="cellIs" dxfId="52" priority="55" stopIfTrue="1" operator="equal">
      <formula>"X"</formula>
    </cfRule>
    <cfRule type="cellIs" dxfId="51" priority="56" operator="equal">
      <formula>"H"</formula>
    </cfRule>
  </conditionalFormatting>
  <conditionalFormatting sqref="D27:AH27">
    <cfRule type="cellIs" dxfId="50" priority="50" operator="equal">
      <formula>"SP"</formula>
    </cfRule>
    <cfRule type="cellIs" dxfId="49" priority="51" operator="equal">
      <formula>"."</formula>
    </cfRule>
  </conditionalFormatting>
  <conditionalFormatting sqref="D29:AH29">
    <cfRule type="cellIs" dxfId="48" priority="45" operator="equal">
      <formula>"AL"</formula>
    </cfRule>
    <cfRule type="cellIs" dxfId="47" priority="46" operator="equal">
      <formula>"NA"</formula>
    </cfRule>
    <cfRule type="cellIs" dxfId="46" priority="47" operator="equal">
      <formula>"SL"</formula>
    </cfRule>
    <cfRule type="cellIs" dxfId="45" priority="48" stopIfTrue="1" operator="equal">
      <formula>"X"</formula>
    </cfRule>
    <cfRule type="cellIs" dxfId="44" priority="49" operator="equal">
      <formula>"H"</formula>
    </cfRule>
  </conditionalFormatting>
  <conditionalFormatting sqref="D29:AH29">
    <cfRule type="cellIs" dxfId="43" priority="43" operator="equal">
      <formula>"SP"</formula>
    </cfRule>
    <cfRule type="cellIs" dxfId="42" priority="44" operator="equal">
      <formula>"."</formula>
    </cfRule>
  </conditionalFormatting>
  <conditionalFormatting sqref="D31:AH31">
    <cfRule type="cellIs" dxfId="41" priority="38" operator="equal">
      <formula>"AL"</formula>
    </cfRule>
    <cfRule type="cellIs" dxfId="40" priority="39" operator="equal">
      <formula>"NA"</formula>
    </cfRule>
    <cfRule type="cellIs" dxfId="39" priority="40" operator="equal">
      <formula>"SL"</formula>
    </cfRule>
    <cfRule type="cellIs" dxfId="38" priority="41" stopIfTrue="1" operator="equal">
      <formula>"X"</formula>
    </cfRule>
    <cfRule type="cellIs" dxfId="37" priority="42" operator="equal">
      <formula>"H"</formula>
    </cfRule>
  </conditionalFormatting>
  <conditionalFormatting sqref="D31:AH31">
    <cfRule type="cellIs" dxfId="36" priority="36" operator="equal">
      <formula>"SP"</formula>
    </cfRule>
    <cfRule type="cellIs" dxfId="35" priority="37" operator="equal">
      <formula>"."</formula>
    </cfRule>
  </conditionalFormatting>
  <conditionalFormatting sqref="D33:AH33">
    <cfRule type="cellIs" dxfId="34" priority="31" operator="equal">
      <formula>"AL"</formula>
    </cfRule>
    <cfRule type="cellIs" dxfId="33" priority="32" operator="equal">
      <formula>"NA"</formula>
    </cfRule>
    <cfRule type="cellIs" dxfId="32" priority="33" operator="equal">
      <formula>"SL"</formula>
    </cfRule>
    <cfRule type="cellIs" dxfId="31" priority="34" stopIfTrue="1" operator="equal">
      <formula>"X"</formula>
    </cfRule>
    <cfRule type="cellIs" dxfId="30" priority="35" operator="equal">
      <formula>"H"</formula>
    </cfRule>
  </conditionalFormatting>
  <conditionalFormatting sqref="D33:AH33">
    <cfRule type="cellIs" dxfId="29" priority="29" operator="equal">
      <formula>"SP"</formula>
    </cfRule>
    <cfRule type="cellIs" dxfId="28" priority="30" operator="equal">
      <formula>"."</formula>
    </cfRule>
  </conditionalFormatting>
  <conditionalFormatting sqref="D35:AH35">
    <cfRule type="cellIs" dxfId="27" priority="24" operator="equal">
      <formula>"AL"</formula>
    </cfRule>
    <cfRule type="cellIs" dxfId="26" priority="25" operator="equal">
      <formula>"NA"</formula>
    </cfRule>
    <cfRule type="cellIs" dxfId="25" priority="26" operator="equal">
      <formula>"SL"</formula>
    </cfRule>
    <cfRule type="cellIs" dxfId="24" priority="27" stopIfTrue="1" operator="equal">
      <formula>"X"</formula>
    </cfRule>
    <cfRule type="cellIs" dxfId="23" priority="28" operator="equal">
      <formula>"H"</formula>
    </cfRule>
  </conditionalFormatting>
  <conditionalFormatting sqref="D35:AH35">
    <cfRule type="cellIs" dxfId="22" priority="22" operator="equal">
      <formula>"SP"</formula>
    </cfRule>
    <cfRule type="cellIs" dxfId="21" priority="23" operator="equal">
      <formula>"."</formula>
    </cfRule>
  </conditionalFormatting>
  <conditionalFormatting sqref="D37:AH37">
    <cfRule type="cellIs" dxfId="20" priority="17" operator="equal">
      <formula>"AL"</formula>
    </cfRule>
    <cfRule type="cellIs" dxfId="19" priority="18" operator="equal">
      <formula>"NA"</formula>
    </cfRule>
    <cfRule type="cellIs" dxfId="18" priority="19" operator="equal">
      <formula>"SL"</formula>
    </cfRule>
    <cfRule type="cellIs" dxfId="17" priority="20" stopIfTrue="1" operator="equal">
      <formula>"X"</formula>
    </cfRule>
    <cfRule type="cellIs" dxfId="16" priority="21" operator="equal">
      <formula>"H"</formula>
    </cfRule>
  </conditionalFormatting>
  <conditionalFormatting sqref="D37:AH37">
    <cfRule type="cellIs" dxfId="15" priority="15" operator="equal">
      <formula>"SP"</formula>
    </cfRule>
    <cfRule type="cellIs" dxfId="14" priority="16" operator="equal">
      <formula>"."</formula>
    </cfRule>
  </conditionalFormatting>
  <conditionalFormatting sqref="D39:AH39">
    <cfRule type="cellIs" dxfId="13" priority="10" operator="equal">
      <formula>"AL"</formula>
    </cfRule>
    <cfRule type="cellIs" dxfId="12" priority="11" operator="equal">
      <formula>"NA"</formula>
    </cfRule>
    <cfRule type="cellIs" dxfId="11" priority="12" operator="equal">
      <formula>"SL"</formula>
    </cfRule>
    <cfRule type="cellIs" dxfId="10" priority="13" stopIfTrue="1" operator="equal">
      <formula>"X"</formula>
    </cfRule>
    <cfRule type="cellIs" dxfId="9" priority="14" operator="equal">
      <formula>"H"</formula>
    </cfRule>
  </conditionalFormatting>
  <conditionalFormatting sqref="D39:AH39">
    <cfRule type="cellIs" dxfId="8" priority="8" operator="equal">
      <formula>"SP"</formula>
    </cfRule>
    <cfRule type="cellIs" dxfId="7" priority="9" operator="equal">
      <formula>"."</formula>
    </cfRule>
  </conditionalFormatting>
  <conditionalFormatting sqref="D41:AH41">
    <cfRule type="cellIs" dxfId="6" priority="3" operator="equal">
      <formula>"AL"</formula>
    </cfRule>
    <cfRule type="cellIs" dxfId="5" priority="4" operator="equal">
      <formula>"NA"</formula>
    </cfRule>
    <cfRule type="cellIs" dxfId="4" priority="5" operator="equal">
      <formula>"SL"</formula>
    </cfRule>
    <cfRule type="cellIs" dxfId="3" priority="6" stopIfTrue="1" operator="equal">
      <formula>"X"</formula>
    </cfRule>
    <cfRule type="cellIs" dxfId="2" priority="7" operator="equal">
      <formula>"H"</formula>
    </cfRule>
  </conditionalFormatting>
  <conditionalFormatting sqref="D41:AH41">
    <cfRule type="cellIs" dxfId="1" priority="1" operator="equal">
      <formula>"SP"</formula>
    </cfRule>
    <cfRule type="cellIs" dxfId="0" priority="2" operator="equal">
      <formula>"."</formula>
    </cfRule>
  </conditionalFormatting>
  <dataValidations count="5">
    <dataValidation type="list" allowBlank="1" showInputMessage="1" showErrorMessage="1" sqref="AH165:AH176 AH195:AH206 AG135:AH147">
      <formula1>Shifts</formula1>
    </dataValidation>
    <dataValidation type="list" allowBlank="1" showInputMessage="1" showErrorMessage="1" errorTitle="Invalid Entry" error="Entry can be D,A,N,RO,SL,AL or blank only!" sqref="D162:AH162">
      <formula1>Shifts</formula1>
    </dataValidation>
    <dataValidation type="list" allowBlank="1" showDropDown="1" showInputMessage="1" showErrorMessage="1" sqref="D147:AF147 D132:AH132">
      <formula1>Shifts</formula1>
    </dataValidation>
    <dataValidation type="list" allowBlank="1" showInputMessage="1" showErrorMessage="1" errorTitle="Invalid Entry" error="Entry can be D,A,N,H,RO,SL,AL,NA or blank only!" sqref="D26:AH41">
      <formula1>Shifts</formula1>
    </dataValidation>
    <dataValidation type="list" allowBlank="1" showDropDown="1" showInputMessage="1" showErrorMessage="1" errorTitle="Invalid Entry" error="Entry can be D,A,N,H,RO,SL,AL,NA or blank only!" sqref="D120:AH131 D135:AF146 D150:AH161 D165:AG176 D180:AH191 D195:AG206 D14:AH25 D45:AH56 D60:AG71 D75:AH86 D90:AG101 D105:AH116">
      <formula1>Shifts</formula1>
    </dataValidation>
  </dataValidations>
  <pageMargins left="0.55000000000000004" right="0.23" top="0.5" bottom="0.48" header="0.5" footer="0.5"/>
  <pageSetup paperSize="9" scale="75" orientation="portrait" horizontalDpi="4294967293" verticalDpi="4294967293" r:id="rId2"/>
  <headerFooter alignWithMargins="0"/>
  <drawing r:id="rId3"/>
  <legacyDrawing r:id="rId4"/>
  <controls>
    <mc:AlternateContent xmlns:mc="http://schemas.openxmlformats.org/markup-compatibility/2006">
      <mc:Choice Requires="x14">
        <control shapeId="1114" r:id="rId5" name="optNA">
          <controlPr defaultSize="0" autoLine="0" r:id="rId6">
            <anchor moveWithCells="1">
              <from>
                <xdr:col>27</xdr:col>
                <xdr:colOff>182880</xdr:colOff>
                <xdr:row>4</xdr:row>
                <xdr:rowOff>358140</xdr:rowOff>
              </from>
              <to>
                <xdr:col>33</xdr:col>
                <xdr:colOff>53340</xdr:colOff>
                <xdr:row>4</xdr:row>
                <xdr:rowOff>548640</xdr:rowOff>
              </to>
            </anchor>
          </controlPr>
        </control>
      </mc:Choice>
      <mc:Fallback>
        <control shapeId="1114" r:id="rId5" name="optNA"/>
      </mc:Fallback>
    </mc:AlternateContent>
    <mc:AlternateContent xmlns:mc="http://schemas.openxmlformats.org/markup-compatibility/2006">
      <mc:Choice Requires="x14">
        <control shapeId="1105" r:id="rId7" name="cboYears">
          <controlPr defaultSize="0" autoLine="0" linkedCell="$B$4" listFillRange="Years" r:id="rId8">
            <anchor moveWithCells="1">
              <from>
                <xdr:col>2</xdr:col>
                <xdr:colOff>30480</xdr:colOff>
                <xdr:row>4</xdr:row>
                <xdr:rowOff>53340</xdr:rowOff>
              </from>
              <to>
                <xdr:col>2</xdr:col>
                <xdr:colOff>800100</xdr:colOff>
                <xdr:row>4</xdr:row>
                <xdr:rowOff>304800</xdr:rowOff>
              </to>
            </anchor>
          </controlPr>
        </control>
      </mc:Choice>
      <mc:Fallback>
        <control shapeId="1105" r:id="rId7" name="cboYears"/>
      </mc:Fallback>
    </mc:AlternateContent>
    <mc:AlternateContent xmlns:mc="http://schemas.openxmlformats.org/markup-compatibility/2006">
      <mc:Choice Requires="x14">
        <control shapeId="1104" r:id="rId9" name="optAnnualLeave">
          <controlPr defaultSize="0" print="0" autoLine="0" r:id="rId10">
            <anchor moveWithCells="1">
              <from>
                <xdr:col>15</xdr:col>
                <xdr:colOff>30480</xdr:colOff>
                <xdr:row>4</xdr:row>
                <xdr:rowOff>358140</xdr:rowOff>
              </from>
              <to>
                <xdr:col>20</xdr:col>
                <xdr:colOff>129540</xdr:colOff>
                <xdr:row>4</xdr:row>
                <xdr:rowOff>548640</xdr:rowOff>
              </to>
            </anchor>
          </controlPr>
        </control>
      </mc:Choice>
      <mc:Fallback>
        <control shapeId="1104" r:id="rId9" name="optAnnualLeave"/>
      </mc:Fallback>
    </mc:AlternateContent>
    <mc:AlternateContent xmlns:mc="http://schemas.openxmlformats.org/markup-compatibility/2006">
      <mc:Choice Requires="x14">
        <control shapeId="1095" r:id="rId11" name="optSickLeave">
          <controlPr defaultSize="0" print="0" autoLine="0" r:id="rId12">
            <anchor moveWithCells="1">
              <from>
                <xdr:col>9</xdr:col>
                <xdr:colOff>114300</xdr:colOff>
                <xdr:row>4</xdr:row>
                <xdr:rowOff>358140</xdr:rowOff>
              </from>
              <to>
                <xdr:col>13</xdr:col>
                <xdr:colOff>220980</xdr:colOff>
                <xdr:row>4</xdr:row>
                <xdr:rowOff>548640</xdr:rowOff>
              </to>
            </anchor>
          </controlPr>
        </control>
      </mc:Choice>
      <mc:Fallback>
        <control shapeId="1095" r:id="rId11" name="optSickLeave"/>
      </mc:Fallback>
    </mc:AlternateContent>
    <mc:AlternateContent xmlns:mc="http://schemas.openxmlformats.org/markup-compatibility/2006">
      <mc:Choice Requires="x14">
        <control shapeId="1047" r:id="rId13" name="optClear">
          <controlPr defaultSize="0" print="0" autoLine="0" r:id="rId14">
            <anchor moveWithCells="1">
              <from>
                <xdr:col>4</xdr:col>
                <xdr:colOff>99060</xdr:colOff>
                <xdr:row>4</xdr:row>
                <xdr:rowOff>53340</xdr:rowOff>
              </from>
              <to>
                <xdr:col>7</xdr:col>
                <xdr:colOff>121920</xdr:colOff>
                <xdr:row>4</xdr:row>
                <xdr:rowOff>243840</xdr:rowOff>
              </to>
            </anchor>
          </controlPr>
        </control>
      </mc:Choice>
      <mc:Fallback>
        <control shapeId="1047" r:id="rId13" name="optClear"/>
      </mc:Fallback>
    </mc:AlternateContent>
    <mc:AlternateContent xmlns:mc="http://schemas.openxmlformats.org/markup-compatibility/2006">
      <mc:Choice Requires="x14">
        <control shapeId="1030" r:id="rId15" name="chkUseAutoMark">
          <controlPr defaultSize="0" autoLine="0" r:id="rId16">
            <anchor moveWithCells="1">
              <from>
                <xdr:col>2</xdr:col>
                <xdr:colOff>30480</xdr:colOff>
                <xdr:row>4</xdr:row>
                <xdr:rowOff>358140</xdr:rowOff>
              </from>
              <to>
                <xdr:col>3</xdr:col>
                <xdr:colOff>60960</xdr:colOff>
                <xdr:row>4</xdr:row>
                <xdr:rowOff>556260</xdr:rowOff>
              </to>
            </anchor>
          </controlPr>
        </control>
      </mc:Choice>
      <mc:Fallback>
        <control shapeId="1030" r:id="rId15" name="chkUseAutoMark"/>
      </mc:Fallback>
    </mc:AlternateContent>
    <mc:AlternateContent xmlns:mc="http://schemas.openxmlformats.org/markup-compatibility/2006">
      <mc:Choice Requires="x14">
        <control shapeId="1029" r:id="rId17" name="optRDO">
          <controlPr defaultSize="0" print="0" autoLine="0" r:id="rId18">
            <anchor moveWithCells="1">
              <from>
                <xdr:col>4</xdr:col>
                <xdr:colOff>99060</xdr:colOff>
                <xdr:row>4</xdr:row>
                <xdr:rowOff>358140</xdr:rowOff>
              </from>
              <to>
                <xdr:col>7</xdr:col>
                <xdr:colOff>60960</xdr:colOff>
                <xdr:row>4</xdr:row>
                <xdr:rowOff>548640</xdr:rowOff>
              </to>
            </anchor>
          </controlPr>
        </control>
      </mc:Choice>
      <mc:Fallback>
        <control shapeId="1029" r:id="rId17" name="optRDO"/>
      </mc:Fallback>
    </mc:AlternateContent>
    <mc:AlternateContent xmlns:mc="http://schemas.openxmlformats.org/markup-compatibility/2006">
      <mc:Choice Requires="x14">
        <control shapeId="1028" r:id="rId19" name="optNight">
          <controlPr defaultSize="0" autoLine="0" r:id="rId20">
            <anchor moveWithCells="1">
              <from>
                <xdr:col>9</xdr:col>
                <xdr:colOff>114300</xdr:colOff>
                <xdr:row>4</xdr:row>
                <xdr:rowOff>53340</xdr:rowOff>
              </from>
              <to>
                <xdr:col>12</xdr:col>
                <xdr:colOff>160020</xdr:colOff>
                <xdr:row>4</xdr:row>
                <xdr:rowOff>243840</xdr:rowOff>
              </to>
            </anchor>
          </controlPr>
        </control>
      </mc:Choice>
      <mc:Fallback>
        <control shapeId="1028" r:id="rId19" name="optNight"/>
      </mc:Fallback>
    </mc:AlternateContent>
    <mc:AlternateContent xmlns:mc="http://schemas.openxmlformats.org/markup-compatibility/2006">
      <mc:Choice Requires="x14">
        <control shapeId="1027" r:id="rId21" name="optAfterNoon">
          <controlPr defaultSize="0" print="0" autoLine="0" r:id="rId22">
            <anchor moveWithCells="1">
              <from>
                <xdr:col>21</xdr:col>
                <xdr:colOff>60960</xdr:colOff>
                <xdr:row>4</xdr:row>
                <xdr:rowOff>53340</xdr:rowOff>
              </from>
              <to>
                <xdr:col>26</xdr:col>
                <xdr:colOff>83820</xdr:colOff>
                <xdr:row>4</xdr:row>
                <xdr:rowOff>243840</xdr:rowOff>
              </to>
            </anchor>
          </controlPr>
        </control>
      </mc:Choice>
      <mc:Fallback>
        <control shapeId="1027" r:id="rId21" name="optAfterNoon"/>
      </mc:Fallback>
    </mc:AlternateContent>
    <mc:AlternateContent xmlns:mc="http://schemas.openxmlformats.org/markup-compatibility/2006">
      <mc:Choice Requires="x14">
        <control shapeId="1026" r:id="rId23" name="optDay">
          <controlPr defaultSize="0" print="0" autoLine="0" r:id="rId24">
            <anchor moveWithCells="1">
              <from>
                <xdr:col>15</xdr:col>
                <xdr:colOff>30480</xdr:colOff>
                <xdr:row>4</xdr:row>
                <xdr:rowOff>53340</xdr:rowOff>
              </from>
              <to>
                <xdr:col>18</xdr:col>
                <xdr:colOff>7620</xdr:colOff>
                <xdr:row>4</xdr:row>
                <xdr:rowOff>259080</xdr:rowOff>
              </to>
            </anchor>
          </controlPr>
        </control>
      </mc:Choice>
      <mc:Fallback>
        <control shapeId="1026" r:id="rId23" name="optDay"/>
      </mc:Fallback>
    </mc:AlternateContent>
    <mc:AlternateContent xmlns:mc="http://schemas.openxmlformats.org/markup-compatibility/2006">
      <mc:Choice Requires="x14">
        <control shapeId="1110" r:id="rId25" name="optHeatPolicy">
          <controlPr defaultSize="0" autoLine="0" r:id="rId26">
            <anchor moveWithCells="1">
              <from>
                <xdr:col>27</xdr:col>
                <xdr:colOff>182880</xdr:colOff>
                <xdr:row>4</xdr:row>
                <xdr:rowOff>53340</xdr:rowOff>
              </from>
              <to>
                <xdr:col>33</xdr:col>
                <xdr:colOff>53340</xdr:colOff>
                <xdr:row>4</xdr:row>
                <xdr:rowOff>236220</xdr:rowOff>
              </to>
            </anchor>
          </controlPr>
        </control>
      </mc:Choice>
      <mc:Fallback>
        <control shapeId="1110" r:id="rId25" name="optHeatPolicy"/>
      </mc:Fallback>
    </mc:AlternateContent>
    <mc:AlternateContent xmlns:mc="http://schemas.openxmlformats.org/markup-compatibility/2006">
      <mc:Choice Requires="x14">
        <control shapeId="1111" r:id="rId27" name="optSpecial">
          <controlPr defaultSize="0" autoLine="0" r:id="rId28">
            <anchor moveWithCells="1">
              <from>
                <xdr:col>21</xdr:col>
                <xdr:colOff>60960</xdr:colOff>
                <xdr:row>4</xdr:row>
                <xdr:rowOff>358140</xdr:rowOff>
              </from>
              <to>
                <xdr:col>26</xdr:col>
                <xdr:colOff>83820</xdr:colOff>
                <xdr:row>4</xdr:row>
                <xdr:rowOff>548640</xdr:rowOff>
              </to>
            </anchor>
          </controlPr>
        </control>
      </mc:Choice>
      <mc:Fallback>
        <control shapeId="1111" r:id="rId27" name="optSpecial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ata">
    <pageSetUpPr autoPageBreaks="0"/>
  </sheetPr>
  <dimension ref="B2:M35"/>
  <sheetViews>
    <sheetView topLeftCell="A6" workbookViewId="0">
      <selection activeCell="G20" sqref="G20"/>
    </sheetView>
  </sheetViews>
  <sheetFormatPr defaultRowHeight="13.2"/>
  <cols>
    <col min="1" max="1" width="5.44140625" customWidth="1"/>
    <col min="2" max="2" width="7.44140625" customWidth="1"/>
    <col min="3" max="4" width="16.6640625" customWidth="1"/>
    <col min="7" max="7" width="14.5546875" customWidth="1"/>
    <col min="9" max="9" width="12" customWidth="1"/>
    <col min="11" max="11" width="17.21875" customWidth="1"/>
    <col min="13" max="13" width="13.5546875" customWidth="1"/>
  </cols>
  <sheetData>
    <row r="2" spans="2:13" ht="39" customHeight="1"/>
    <row r="3" spans="2:13" ht="17.399999999999999">
      <c r="C3" s="146" t="s">
        <v>24</v>
      </c>
      <c r="D3" s="147" t="s">
        <v>53</v>
      </c>
    </row>
    <row r="4" spans="2:13">
      <c r="G4" s="20" t="s">
        <v>52</v>
      </c>
    </row>
    <row r="5" spans="2:13" ht="13.8" thickBot="1"/>
    <row r="6" spans="2:13" ht="14.4" customHeight="1" thickBot="1">
      <c r="B6" s="186" t="s">
        <v>0</v>
      </c>
      <c r="C6" s="187"/>
      <c r="D6" s="187"/>
      <c r="E6" s="188"/>
      <c r="G6" s="184" t="s">
        <v>7</v>
      </c>
      <c r="I6" s="184" t="s">
        <v>12</v>
      </c>
      <c r="K6" s="184" t="s">
        <v>72</v>
      </c>
      <c r="M6" s="189" t="s">
        <v>73</v>
      </c>
    </row>
    <row r="7" spans="2:13" ht="14.4" customHeight="1" thickBot="1">
      <c r="B7" s="64"/>
      <c r="C7" s="65" t="s">
        <v>1</v>
      </c>
      <c r="D7" s="65" t="s">
        <v>2</v>
      </c>
      <c r="E7" s="65" t="s">
        <v>3</v>
      </c>
      <c r="G7" s="185"/>
      <c r="I7" s="185"/>
      <c r="K7" s="185"/>
      <c r="M7" s="189"/>
    </row>
    <row r="8" spans="2:13" ht="14.4" thickBot="1">
      <c r="B8" s="50" t="s">
        <v>30</v>
      </c>
      <c r="C8" s="58" t="s">
        <v>4</v>
      </c>
      <c r="D8" s="58" t="s">
        <v>28</v>
      </c>
      <c r="E8" s="63" t="str">
        <f>LEFT(EmpGName01)&amp;" " &amp; LEFT(EmpSName01)</f>
        <v>L M</v>
      </c>
      <c r="G8" s="59">
        <v>2016</v>
      </c>
      <c r="I8" s="168" t="s">
        <v>10</v>
      </c>
      <c r="K8" s="172">
        <v>43287</v>
      </c>
      <c r="M8" s="171">
        <f>InitialPeriodEnding</f>
        <v>43287</v>
      </c>
    </row>
    <row r="9" spans="2:13" ht="14.4" thickBot="1">
      <c r="B9" s="50" t="s">
        <v>31</v>
      </c>
      <c r="C9" s="58" t="s">
        <v>6</v>
      </c>
      <c r="D9" s="58" t="s">
        <v>26</v>
      </c>
      <c r="E9" s="63" t="str">
        <f>LEFT(EmpGName02)&amp;" " &amp; LEFT(EmpSName02)</f>
        <v>K S</v>
      </c>
      <c r="G9" s="60">
        <v>2017</v>
      </c>
      <c r="I9" s="169" t="s">
        <v>11</v>
      </c>
      <c r="M9" s="171">
        <f>M8+7*2</f>
        <v>43301</v>
      </c>
    </row>
    <row r="10" spans="2:13" ht="14.4" thickBot="1">
      <c r="B10" s="50" t="s">
        <v>32</v>
      </c>
      <c r="C10" s="58" t="s">
        <v>5</v>
      </c>
      <c r="D10" s="58" t="s">
        <v>27</v>
      </c>
      <c r="E10" s="63" t="str">
        <f>LEFT(EmpGName03)&amp;" " &amp; LEFT(EmpSName03)</f>
        <v>I T</v>
      </c>
      <c r="G10" s="60">
        <v>2018</v>
      </c>
      <c r="I10" s="169" t="s">
        <v>9</v>
      </c>
      <c r="M10" s="171">
        <f t="shared" ref="M10:M34" si="0">M9+7*2</f>
        <v>43315</v>
      </c>
    </row>
    <row r="11" spans="2:13" ht="14.4" thickBot="1">
      <c r="B11" s="50" t="s">
        <v>33</v>
      </c>
      <c r="C11" s="58" t="s">
        <v>42</v>
      </c>
      <c r="D11" s="58" t="s">
        <v>41</v>
      </c>
      <c r="E11" s="63" t="str">
        <f>LEFT(EmpGName04)&amp;" " &amp; LEFT(EmpSName04)</f>
        <v>L K</v>
      </c>
      <c r="G11" s="60">
        <v>2019</v>
      </c>
      <c r="I11" s="169" t="s">
        <v>58</v>
      </c>
      <c r="M11" s="171">
        <f t="shared" si="0"/>
        <v>43329</v>
      </c>
    </row>
    <row r="12" spans="2:13" ht="14.4" thickBot="1">
      <c r="B12" s="50" t="s">
        <v>34</v>
      </c>
      <c r="C12" s="58" t="s">
        <v>44</v>
      </c>
      <c r="D12" s="58" t="s">
        <v>43</v>
      </c>
      <c r="E12" s="63" t="str">
        <f>LEFT(EmpGName05)&amp;" " &amp; LEFT(EmpSName05)</f>
        <v>D C</v>
      </c>
      <c r="G12" s="60">
        <v>2020</v>
      </c>
      <c r="I12" s="169" t="s">
        <v>39</v>
      </c>
      <c r="M12" s="171">
        <f t="shared" si="0"/>
        <v>43343</v>
      </c>
    </row>
    <row r="13" spans="2:13" ht="14.4" thickBot="1">
      <c r="B13" s="50" t="s">
        <v>35</v>
      </c>
      <c r="C13" s="58" t="s">
        <v>56</v>
      </c>
      <c r="D13" s="58" t="s">
        <v>57</v>
      </c>
      <c r="E13" s="63" t="str">
        <f>LEFT(EmpGName06)&amp;" " &amp; LEFT(EmpSName06)</f>
        <v>R F</v>
      </c>
      <c r="G13" s="60">
        <v>2021</v>
      </c>
      <c r="I13" s="169" t="s">
        <v>40</v>
      </c>
      <c r="M13" s="171">
        <f t="shared" si="0"/>
        <v>43357</v>
      </c>
    </row>
    <row r="14" spans="2:13" ht="14.4" thickBot="1">
      <c r="B14" s="50" t="s">
        <v>36</v>
      </c>
      <c r="C14" s="58" t="s">
        <v>54</v>
      </c>
      <c r="D14" s="58" t="s">
        <v>55</v>
      </c>
      <c r="E14" s="63" t="str">
        <f>LEFT(EmpGName07)&amp;" " &amp; LEFT(EmpSName07)</f>
        <v>T S</v>
      </c>
      <c r="G14" s="61">
        <v>2022</v>
      </c>
      <c r="I14" s="169" t="s">
        <v>45</v>
      </c>
      <c r="M14" s="171">
        <f t="shared" si="0"/>
        <v>43371</v>
      </c>
    </row>
    <row r="15" spans="2:13" ht="14.4" thickBot="1">
      <c r="B15" s="50" t="s">
        <v>37</v>
      </c>
      <c r="C15" s="58" t="s">
        <v>91</v>
      </c>
      <c r="D15" s="58" t="s">
        <v>92</v>
      </c>
      <c r="E15" s="63" t="str">
        <f>LEFT(EmpGName08)&amp;" " &amp; LEFT(EmpSName08)</f>
        <v>B O</v>
      </c>
      <c r="I15" s="169" t="s">
        <v>46</v>
      </c>
      <c r="M15" s="171">
        <f t="shared" si="0"/>
        <v>43385</v>
      </c>
    </row>
    <row r="16" spans="2:13" ht="14.4" thickBot="1">
      <c r="B16" s="50" t="s">
        <v>38</v>
      </c>
      <c r="C16" s="58" t="s">
        <v>93</v>
      </c>
      <c r="D16" s="58" t="s">
        <v>113</v>
      </c>
      <c r="E16" s="63" t="str">
        <f>LEFT(EmpGName09)&amp;" " &amp; LEFT(EmpSName09)</f>
        <v>1 O</v>
      </c>
      <c r="I16" s="169" t="s">
        <v>51</v>
      </c>
      <c r="M16" s="171">
        <f t="shared" si="0"/>
        <v>43399</v>
      </c>
    </row>
    <row r="17" spans="2:13" ht="14.4" thickBot="1">
      <c r="B17" s="66" t="s">
        <v>47</v>
      </c>
      <c r="C17" s="58" t="s">
        <v>94</v>
      </c>
      <c r="D17" s="58" t="s">
        <v>114</v>
      </c>
      <c r="E17" s="63" t="str">
        <f>LEFT(EmpGName10)&amp;" " &amp; LEFT(EmpSName10)</f>
        <v>2 O</v>
      </c>
      <c r="I17" s="169" t="s">
        <v>62</v>
      </c>
      <c r="M17" s="171">
        <f t="shared" si="0"/>
        <v>43413</v>
      </c>
    </row>
    <row r="18" spans="2:13" ht="14.4" thickBot="1">
      <c r="B18" s="66" t="s">
        <v>48</v>
      </c>
      <c r="C18" s="58" t="s">
        <v>95</v>
      </c>
      <c r="D18" s="58" t="s">
        <v>114</v>
      </c>
      <c r="E18" s="63" t="str">
        <f>LEFT(EmpGName11)&amp;" " &amp; LEFT(EmpSName11)</f>
        <v>2 O</v>
      </c>
      <c r="I18" s="170"/>
      <c r="M18" s="171">
        <f t="shared" si="0"/>
        <v>43427</v>
      </c>
    </row>
    <row r="19" spans="2:13" ht="14.4" thickBot="1">
      <c r="B19" s="66" t="s">
        <v>49</v>
      </c>
      <c r="C19" s="177" t="s">
        <v>96</v>
      </c>
      <c r="D19" s="177" t="s">
        <v>115</v>
      </c>
      <c r="E19" s="63" t="str">
        <f>LEFT(EmpGName12)&amp;" " &amp; LEFT(EmpSName12)</f>
        <v>4 O</v>
      </c>
      <c r="M19" s="171">
        <f>M18+7*2</f>
        <v>43441</v>
      </c>
    </row>
    <row r="20" spans="2:13" ht="14.4" thickBot="1">
      <c r="B20" s="66" t="s">
        <v>75</v>
      </c>
      <c r="C20" s="177" t="s">
        <v>97</v>
      </c>
      <c r="D20" s="177" t="s">
        <v>116</v>
      </c>
      <c r="E20" s="63" t="str">
        <f>LEFT(EmpGName13)&amp;" " &amp; LEFT(EmpSName13)</f>
        <v>5 O</v>
      </c>
      <c r="M20" s="171">
        <f t="shared" si="0"/>
        <v>43455</v>
      </c>
    </row>
    <row r="21" spans="2:13" ht="14.4" thickBot="1">
      <c r="B21" s="66" t="s">
        <v>76</v>
      </c>
      <c r="C21" s="177" t="s">
        <v>98</v>
      </c>
      <c r="D21" s="177" t="s">
        <v>117</v>
      </c>
      <c r="E21" s="63" t="str">
        <f>LEFT(EmpGName14)&amp;" " &amp; LEFT(EmpSName14)</f>
        <v>6 O</v>
      </c>
      <c r="M21" s="171">
        <f t="shared" si="0"/>
        <v>43469</v>
      </c>
    </row>
    <row r="22" spans="2:13" ht="14.4" thickBot="1">
      <c r="B22" s="66" t="s">
        <v>77</v>
      </c>
      <c r="C22" s="177" t="s">
        <v>99</v>
      </c>
      <c r="D22" s="177" t="s">
        <v>118</v>
      </c>
      <c r="E22" s="63" t="str">
        <f>LEFT(EmpGName15)&amp;" " &amp; LEFT(EmpSName15)</f>
        <v>7 O</v>
      </c>
      <c r="M22" s="171">
        <f t="shared" si="0"/>
        <v>43483</v>
      </c>
    </row>
    <row r="23" spans="2:13" ht="14.4" thickBot="1">
      <c r="B23" s="66" t="s">
        <v>78</v>
      </c>
      <c r="C23" s="177" t="s">
        <v>100</v>
      </c>
      <c r="D23" s="177" t="s">
        <v>119</v>
      </c>
      <c r="E23" s="63" t="str">
        <f>LEFT(EmpGName16)&amp;" " &amp; LEFT(EmpSName16)</f>
        <v>8 O</v>
      </c>
      <c r="M23" s="171">
        <f t="shared" si="0"/>
        <v>43497</v>
      </c>
    </row>
    <row r="24" spans="2:13" ht="14.4" thickBot="1">
      <c r="B24" s="66" t="s">
        <v>79</v>
      </c>
      <c r="C24" s="177" t="s">
        <v>101</v>
      </c>
      <c r="D24" s="177" t="s">
        <v>120</v>
      </c>
      <c r="E24" s="63" t="str">
        <f>LEFT(EmpGName17)&amp;" " &amp; LEFT(EmpSName17)</f>
        <v>9 O</v>
      </c>
      <c r="M24" s="171">
        <f t="shared" si="0"/>
        <v>43511</v>
      </c>
    </row>
    <row r="25" spans="2:13" ht="14.4" thickBot="1">
      <c r="B25" s="66" t="s">
        <v>80</v>
      </c>
      <c r="C25" s="177" t="s">
        <v>102</v>
      </c>
      <c r="D25" s="177" t="s">
        <v>121</v>
      </c>
      <c r="E25" s="63" t="str">
        <f>LEFT(EmpGName18)&amp;" " &amp; LEFT(EmpSName18)</f>
        <v>1 O</v>
      </c>
      <c r="M25" s="171">
        <f t="shared" si="0"/>
        <v>43525</v>
      </c>
    </row>
    <row r="26" spans="2:13" ht="14.4" thickBot="1">
      <c r="B26" s="66" t="s">
        <v>81</v>
      </c>
      <c r="C26" s="177" t="s">
        <v>103</v>
      </c>
      <c r="D26" s="177" t="s">
        <v>122</v>
      </c>
      <c r="E26" s="63" t="str">
        <f>LEFT(EmpGName19)&amp;" " &amp; LEFT(EmpSName19)</f>
        <v>1 O</v>
      </c>
      <c r="M26" s="171">
        <f t="shared" si="0"/>
        <v>43539</v>
      </c>
    </row>
    <row r="27" spans="2:13" ht="14.4" thickBot="1">
      <c r="B27" s="66" t="s">
        <v>82</v>
      </c>
      <c r="C27" s="177" t="s">
        <v>104</v>
      </c>
      <c r="D27" s="177" t="s">
        <v>123</v>
      </c>
      <c r="E27" s="63" t="str">
        <f>LEFT(EmpGName20)&amp;" " &amp; LEFT(EmpSName20)</f>
        <v>1 O</v>
      </c>
      <c r="M27" s="171">
        <f t="shared" si="0"/>
        <v>43553</v>
      </c>
    </row>
    <row r="28" spans="2:13" ht="14.4" thickBot="1">
      <c r="B28" s="66" t="s">
        <v>83</v>
      </c>
      <c r="C28" s="177" t="s">
        <v>105</v>
      </c>
      <c r="D28" s="177" t="s">
        <v>124</v>
      </c>
      <c r="E28" s="63" t="str">
        <f>LEFT(EmpGName21)&amp;" " &amp; LEFT(EmpSName21)</f>
        <v>1 O</v>
      </c>
      <c r="M28" s="171">
        <f t="shared" si="0"/>
        <v>43567</v>
      </c>
    </row>
    <row r="29" spans="2:13" ht="14.4" thickBot="1">
      <c r="B29" s="66" t="s">
        <v>84</v>
      </c>
      <c r="C29" s="177" t="s">
        <v>106</v>
      </c>
      <c r="D29" s="177" t="s">
        <v>125</v>
      </c>
      <c r="E29" s="63" t="str">
        <f>LEFT(EmpGName22)&amp;" " &amp; LEFT(EmpSName22)</f>
        <v>1 O</v>
      </c>
      <c r="M29" s="171">
        <f t="shared" si="0"/>
        <v>43581</v>
      </c>
    </row>
    <row r="30" spans="2:13" ht="14.4" thickBot="1">
      <c r="B30" s="66" t="s">
        <v>85</v>
      </c>
      <c r="C30" s="177" t="s">
        <v>107</v>
      </c>
      <c r="D30" s="177" t="s">
        <v>126</v>
      </c>
      <c r="E30" s="63" t="str">
        <f>LEFT(EmpGName23)&amp;" " &amp; LEFT(EmpSName23)</f>
        <v>1 O</v>
      </c>
      <c r="M30" s="171">
        <f t="shared" si="0"/>
        <v>43595</v>
      </c>
    </row>
    <row r="31" spans="2:13" ht="14.4" thickBot="1">
      <c r="B31" s="66" t="s">
        <v>86</v>
      </c>
      <c r="C31" s="177" t="s">
        <v>108</v>
      </c>
      <c r="D31" s="177" t="s">
        <v>127</v>
      </c>
      <c r="E31" s="63" t="str">
        <f>LEFT(EmpGName24)&amp;" " &amp; LEFT(EmpSName24)</f>
        <v>1 O</v>
      </c>
      <c r="M31" s="171">
        <f t="shared" si="0"/>
        <v>43609</v>
      </c>
    </row>
    <row r="32" spans="2:13" ht="14.4" thickBot="1">
      <c r="B32" s="66" t="s">
        <v>87</v>
      </c>
      <c r="C32" s="177" t="s">
        <v>109</v>
      </c>
      <c r="D32" s="177" t="s">
        <v>128</v>
      </c>
      <c r="E32" s="63" t="str">
        <f>LEFT(EmpGName25)&amp;" " &amp; LEFT(EmpSName25)</f>
        <v>1 O</v>
      </c>
      <c r="M32" s="171">
        <f t="shared" si="0"/>
        <v>43623</v>
      </c>
    </row>
    <row r="33" spans="2:13" ht="14.4" thickBot="1">
      <c r="B33" s="66" t="s">
        <v>88</v>
      </c>
      <c r="C33" s="177" t="s">
        <v>110</v>
      </c>
      <c r="D33" s="177" t="s">
        <v>129</v>
      </c>
      <c r="E33" s="63" t="str">
        <f>LEFT(EmpGName26)&amp;" " &amp; LEFT(EmpSName26)</f>
        <v>1 O</v>
      </c>
      <c r="M33" s="171">
        <f t="shared" si="0"/>
        <v>43637</v>
      </c>
    </row>
    <row r="34" spans="2:13" ht="14.4" thickBot="1">
      <c r="B34" s="66" t="s">
        <v>89</v>
      </c>
      <c r="C34" s="177" t="s">
        <v>111</v>
      </c>
      <c r="D34" s="177" t="s">
        <v>130</v>
      </c>
      <c r="E34" s="63" t="str">
        <f>LEFT(EmpGName27)&amp;" " &amp; LEFT(EmpSName27)</f>
        <v>1 O</v>
      </c>
      <c r="M34" s="171">
        <f t="shared" si="0"/>
        <v>43651</v>
      </c>
    </row>
    <row r="35" spans="2:13" ht="14.4" thickBot="1">
      <c r="B35" s="67" t="s">
        <v>90</v>
      </c>
      <c r="C35" s="178" t="s">
        <v>112</v>
      </c>
      <c r="D35" s="178" t="s">
        <v>131</v>
      </c>
      <c r="E35" s="93" t="str">
        <f>LEFT(EmpGName28)&amp;" " &amp; LEFT(EmpSName28)</f>
        <v>2 O</v>
      </c>
    </row>
  </sheetData>
  <sheetProtection selectLockedCells="1"/>
  <customSheetViews>
    <customSheetView guid="{9CC23DA7-DD7F-416D-ABE1-6A68EF4528AC}" showGridLines="0" showRowCol="0" showRuler="0">
      <selection activeCell="D14" sqref="D14"/>
    </customSheetView>
    <customSheetView guid="{AD9D0CFE-E6C4-49DD-B2D2-304A3BF30C6C}" showGridLines="0" showRowCol="0" showRuler="0">
      <selection activeCell="B8" sqref="B8"/>
      <pageMargins left="0.75" right="0.75" top="1" bottom="1" header="0.5" footer="0.5"/>
      <pageSetup paperSize="9" orientation="portrait" horizontalDpi="4294967293" verticalDpi="4294967293" r:id="rId1"/>
      <headerFooter alignWithMargins="0"/>
    </customSheetView>
  </customSheetViews>
  <mergeCells count="5">
    <mergeCell ref="G6:G7"/>
    <mergeCell ref="I6:I7"/>
    <mergeCell ref="B6:E6"/>
    <mergeCell ref="K6:K7"/>
    <mergeCell ref="M6:M7"/>
  </mergeCells>
  <phoneticPr fontId="0" type="noConversion"/>
  <pageMargins left="0.75" right="0.75" top="1" bottom="1" header="0.5" footer="0.5"/>
  <pageSetup paperSize="9" orientation="portrait" horizontalDpi="4294967293" verticalDpi="4294967293" r:id="rId2"/>
  <headerFooter alignWithMargins="0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1">
    <pageSetUpPr autoPageBreaks="0"/>
  </sheetPr>
  <dimension ref="B1:AG40"/>
  <sheetViews>
    <sheetView showGridLines="0" showRowColHeaders="0" showZeros="0" topLeftCell="B2" zoomScale="113" zoomScaleNormal="113" workbookViewId="0">
      <selection activeCell="B2" sqref="B2:AG39"/>
    </sheetView>
  </sheetViews>
  <sheetFormatPr defaultColWidth="9.109375" defaultRowHeight="13.2"/>
  <cols>
    <col min="1" max="1" width="4.44140625" style="20" customWidth="1"/>
    <col min="2" max="2" width="10.109375" style="46" customWidth="1"/>
    <col min="3" max="33" width="4.109375" style="20" customWidth="1"/>
    <col min="34" max="16384" width="9.109375" style="20"/>
  </cols>
  <sheetData>
    <row r="1" spans="2:33" s="26" customFormat="1">
      <c r="B1" s="47"/>
    </row>
    <row r="2" spans="2:33" s="26" customFormat="1" ht="24.75" customHeight="1">
      <c r="B2" s="47"/>
      <c r="I2" s="126" t="str">
        <f>Location</f>
        <v>Oodlawirra Quarantine Station</v>
      </c>
      <c r="J2" s="109"/>
      <c r="K2" s="109"/>
      <c r="L2" s="109"/>
      <c r="M2" s="109"/>
      <c r="N2" s="109"/>
      <c r="O2" s="109"/>
      <c r="P2" s="109"/>
      <c r="Q2" s="109"/>
      <c r="R2" s="126" t="str">
        <f xml:space="preserve"> "Financial Year Commencing 1st July, " &amp; CurYear -1</f>
        <v>Financial Year Commencing 1st July, 2018</v>
      </c>
      <c r="S2" s="34"/>
      <c r="T2" s="109"/>
      <c r="U2" s="109"/>
      <c r="V2" s="34"/>
      <c r="W2" s="109"/>
      <c r="X2" s="109"/>
      <c r="Y2" s="109"/>
      <c r="Z2" s="109"/>
      <c r="AA2" s="109"/>
      <c r="AB2" s="109"/>
      <c r="AC2" s="109"/>
      <c r="AD2" s="109"/>
      <c r="AE2" s="109"/>
      <c r="AF2" s="109"/>
    </row>
    <row r="3" spans="2:33" s="26" customFormat="1" ht="27" customHeight="1">
      <c r="B3" s="47"/>
      <c r="I3" s="127" t="s">
        <v>25</v>
      </c>
      <c r="R3" s="127" t="str">
        <f>EmpGName01 &amp;" " &amp; EmpSName01</f>
        <v>Luciano Marampon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s="106" customFormat="1" ht="13.8" thickBot="1">
      <c r="B4" s="107"/>
      <c r="C4" s="28" t="str">
        <f>LEFT(TEXT(C5&amp;"-"&amp;$B5&amp;"-"&amp;CurYear-1,"ddd"),2)</f>
        <v>Su</v>
      </c>
      <c r="D4" s="28" t="str">
        <f t="shared" ref="D4:AG4" si="0">LEFT(TEXT(D5&amp;"-"&amp;$B5&amp;"-"&amp;CurYear-1,"ddd"),2)</f>
        <v>Mo</v>
      </c>
      <c r="E4" s="28" t="str">
        <f t="shared" si="0"/>
        <v>Tu</v>
      </c>
      <c r="F4" s="28" t="str">
        <f t="shared" si="0"/>
        <v>We</v>
      </c>
      <c r="G4" s="28" t="str">
        <f t="shared" si="0"/>
        <v>Th</v>
      </c>
      <c r="H4" s="28" t="str">
        <f t="shared" si="0"/>
        <v>Fr</v>
      </c>
      <c r="I4" s="28" t="str">
        <f t="shared" si="0"/>
        <v>Sa</v>
      </c>
      <c r="J4" s="28" t="str">
        <f t="shared" si="0"/>
        <v>Su</v>
      </c>
      <c r="K4" s="28" t="str">
        <f t="shared" si="0"/>
        <v>Mo</v>
      </c>
      <c r="L4" s="28" t="str">
        <f t="shared" si="0"/>
        <v>Tu</v>
      </c>
      <c r="M4" s="28" t="str">
        <f t="shared" si="0"/>
        <v>We</v>
      </c>
      <c r="N4" s="28" t="str">
        <f t="shared" si="0"/>
        <v>Th</v>
      </c>
      <c r="O4" s="28" t="str">
        <f t="shared" si="0"/>
        <v>Fr</v>
      </c>
      <c r="P4" s="28" t="str">
        <f t="shared" si="0"/>
        <v>Sa</v>
      </c>
      <c r="Q4" s="28" t="str">
        <f t="shared" si="0"/>
        <v>Su</v>
      </c>
      <c r="R4" s="28" t="str">
        <f t="shared" si="0"/>
        <v>Mo</v>
      </c>
      <c r="S4" s="28" t="str">
        <f t="shared" si="0"/>
        <v>Tu</v>
      </c>
      <c r="T4" s="28" t="str">
        <f t="shared" si="0"/>
        <v>We</v>
      </c>
      <c r="U4" s="28" t="str">
        <f t="shared" si="0"/>
        <v>Th</v>
      </c>
      <c r="V4" s="28" t="str">
        <f t="shared" si="0"/>
        <v>Fr</v>
      </c>
      <c r="W4" s="28" t="str">
        <f t="shared" si="0"/>
        <v>Sa</v>
      </c>
      <c r="X4" s="28" t="str">
        <f t="shared" si="0"/>
        <v>Su</v>
      </c>
      <c r="Y4" s="28" t="str">
        <f t="shared" si="0"/>
        <v>Mo</v>
      </c>
      <c r="Z4" s="28" t="str">
        <f t="shared" si="0"/>
        <v>Tu</v>
      </c>
      <c r="AA4" s="28" t="str">
        <f t="shared" si="0"/>
        <v>We</v>
      </c>
      <c r="AB4" s="28" t="str">
        <f t="shared" si="0"/>
        <v>Th</v>
      </c>
      <c r="AC4" s="28" t="str">
        <f t="shared" si="0"/>
        <v>Fr</v>
      </c>
      <c r="AD4" s="28" t="str">
        <f t="shared" si="0"/>
        <v>Sa</v>
      </c>
      <c r="AE4" s="28" t="str">
        <f t="shared" si="0"/>
        <v>Su</v>
      </c>
      <c r="AF4" s="28" t="str">
        <f t="shared" si="0"/>
        <v>Mo</v>
      </c>
      <c r="AG4" s="106" t="str">
        <f t="shared" si="0"/>
        <v>Tu</v>
      </c>
    </row>
    <row r="5" spans="2:33" ht="14.4" thickTop="1" thickBot="1">
      <c r="B5" s="110" t="str">
        <f>Roster!C13</f>
        <v>July</v>
      </c>
      <c r="C5" s="111">
        <v>1</v>
      </c>
      <c r="D5" s="112">
        <v>2</v>
      </c>
      <c r="E5" s="112">
        <v>3</v>
      </c>
      <c r="F5" s="112">
        <v>4</v>
      </c>
      <c r="G5" s="112">
        <v>5</v>
      </c>
      <c r="H5" s="112">
        <v>6</v>
      </c>
      <c r="I5" s="112">
        <v>7</v>
      </c>
      <c r="J5" s="112">
        <v>8</v>
      </c>
      <c r="K5" s="112">
        <v>9</v>
      </c>
      <c r="L5" s="112">
        <v>10</v>
      </c>
      <c r="M5" s="112">
        <v>11</v>
      </c>
      <c r="N5" s="112">
        <v>12</v>
      </c>
      <c r="O5" s="112">
        <v>13</v>
      </c>
      <c r="P5" s="112">
        <v>14</v>
      </c>
      <c r="Q5" s="112">
        <v>15</v>
      </c>
      <c r="R5" s="112">
        <v>16</v>
      </c>
      <c r="S5" s="112">
        <v>17</v>
      </c>
      <c r="T5" s="112">
        <v>18</v>
      </c>
      <c r="U5" s="112">
        <v>19</v>
      </c>
      <c r="V5" s="112">
        <v>20</v>
      </c>
      <c r="W5" s="112">
        <v>21</v>
      </c>
      <c r="X5" s="112">
        <v>22</v>
      </c>
      <c r="Y5" s="112">
        <v>23</v>
      </c>
      <c r="Z5" s="112">
        <v>24</v>
      </c>
      <c r="AA5" s="112">
        <v>25</v>
      </c>
      <c r="AB5" s="112">
        <v>26</v>
      </c>
      <c r="AC5" s="112">
        <v>27</v>
      </c>
      <c r="AD5" s="112">
        <v>28</v>
      </c>
      <c r="AE5" s="112">
        <v>29</v>
      </c>
      <c r="AF5" s="112">
        <v>30</v>
      </c>
      <c r="AG5" s="113">
        <v>31</v>
      </c>
    </row>
    <row r="6" spans="2:33" ht="14.4" thickTop="1" thickBot="1">
      <c r="B6" s="110">
        <f>CurYear-1</f>
        <v>2018</v>
      </c>
      <c r="C6" s="36" t="str">
        <f>Roster!D14</f>
        <v>.</v>
      </c>
      <c r="D6" s="37" t="str">
        <f>Roster!E14</f>
        <v>.</v>
      </c>
      <c r="E6" s="37" t="str">
        <f>Roster!F14</f>
        <v>.</v>
      </c>
      <c r="F6" s="37" t="str">
        <f>Roster!G14</f>
        <v>.</v>
      </c>
      <c r="G6" s="37" t="str">
        <f>Roster!H14</f>
        <v>.</v>
      </c>
      <c r="H6" s="37" t="str">
        <f>Roster!I14</f>
        <v>.</v>
      </c>
      <c r="I6" s="37" t="str">
        <f>Roster!J14</f>
        <v>.</v>
      </c>
      <c r="J6" s="37" t="str">
        <f>Roster!K14</f>
        <v>.</v>
      </c>
      <c r="K6" s="37" t="str">
        <f>Roster!L14</f>
        <v>.</v>
      </c>
      <c r="L6" s="37" t="str">
        <f>Roster!M14</f>
        <v>.</v>
      </c>
      <c r="M6" s="37" t="str">
        <f>Roster!N14</f>
        <v>.</v>
      </c>
      <c r="N6" s="37" t="str">
        <f>Roster!O14</f>
        <v>.</v>
      </c>
      <c r="O6" s="37" t="str">
        <f>Roster!P14</f>
        <v>.</v>
      </c>
      <c r="P6" s="37" t="str">
        <f>Roster!Q14</f>
        <v>.</v>
      </c>
      <c r="Q6" s="37" t="str">
        <f>Roster!R14</f>
        <v>.</v>
      </c>
      <c r="R6" s="37" t="str">
        <f>Roster!S14</f>
        <v>.</v>
      </c>
      <c r="S6" s="37" t="str">
        <f>Roster!T14</f>
        <v>.</v>
      </c>
      <c r="T6" s="37" t="str">
        <f>Roster!U14</f>
        <v>.</v>
      </c>
      <c r="U6" s="37" t="str">
        <f>Roster!V14</f>
        <v>.</v>
      </c>
      <c r="V6" s="37" t="str">
        <f>Roster!W14</f>
        <v>.</v>
      </c>
      <c r="W6" s="37" t="str">
        <f>Roster!X14</f>
        <v>.</v>
      </c>
      <c r="X6" s="37" t="str">
        <f>Roster!Y14</f>
        <v>.</v>
      </c>
      <c r="Y6" s="37" t="str">
        <f>Roster!Z14</f>
        <v>.</v>
      </c>
      <c r="Z6" s="37" t="str">
        <f>Roster!AA14</f>
        <v>.</v>
      </c>
      <c r="AA6" s="37" t="str">
        <f>Roster!AB14</f>
        <v>.</v>
      </c>
      <c r="AB6" s="37" t="str">
        <f>Roster!AC14</f>
        <v>.</v>
      </c>
      <c r="AC6" s="37" t="str">
        <f>Roster!AD14</f>
        <v>.</v>
      </c>
      <c r="AD6" s="37" t="str">
        <f>Roster!AE14</f>
        <v>.</v>
      </c>
      <c r="AE6" s="37" t="str">
        <f>Roster!AF14</f>
        <v>.</v>
      </c>
      <c r="AF6" s="37" t="str">
        <f>Roster!AG14</f>
        <v>.</v>
      </c>
      <c r="AG6" s="38" t="str">
        <f>Roster!AH14</f>
        <v>.</v>
      </c>
    </row>
    <row r="7" spans="2:33" ht="14.4" thickTop="1" thickBot="1">
      <c r="C7" s="21" t="str">
        <f t="shared" ref="C7:AG7" si="1">LEFT(TEXT(C8&amp;"-"&amp;$B8&amp;"-"&amp;CurYear-1,"ddd"),2)</f>
        <v>We</v>
      </c>
      <c r="D7" s="21" t="str">
        <f t="shared" si="1"/>
        <v>Th</v>
      </c>
      <c r="E7" s="21" t="str">
        <f t="shared" si="1"/>
        <v>Fr</v>
      </c>
      <c r="F7" s="21" t="str">
        <f t="shared" si="1"/>
        <v>Sa</v>
      </c>
      <c r="G7" s="21" t="str">
        <f t="shared" si="1"/>
        <v>Su</v>
      </c>
      <c r="H7" s="21" t="str">
        <f t="shared" si="1"/>
        <v>Mo</v>
      </c>
      <c r="I7" s="21" t="str">
        <f t="shared" si="1"/>
        <v>Tu</v>
      </c>
      <c r="J7" s="21" t="str">
        <f t="shared" si="1"/>
        <v>We</v>
      </c>
      <c r="K7" s="21" t="str">
        <f t="shared" si="1"/>
        <v>Th</v>
      </c>
      <c r="L7" s="21" t="str">
        <f t="shared" si="1"/>
        <v>Fr</v>
      </c>
      <c r="M7" s="21" t="str">
        <f t="shared" si="1"/>
        <v>Sa</v>
      </c>
      <c r="N7" s="21" t="str">
        <f t="shared" si="1"/>
        <v>Su</v>
      </c>
      <c r="O7" s="21" t="str">
        <f t="shared" si="1"/>
        <v>Mo</v>
      </c>
      <c r="P7" s="21" t="str">
        <f t="shared" si="1"/>
        <v>Tu</v>
      </c>
      <c r="Q7" s="21" t="str">
        <f t="shared" si="1"/>
        <v>We</v>
      </c>
      <c r="R7" s="21" t="str">
        <f t="shared" si="1"/>
        <v>Th</v>
      </c>
      <c r="S7" s="21" t="str">
        <f t="shared" si="1"/>
        <v>Fr</v>
      </c>
      <c r="T7" s="21" t="str">
        <f t="shared" si="1"/>
        <v>Sa</v>
      </c>
      <c r="U7" s="21" t="str">
        <f t="shared" si="1"/>
        <v>Su</v>
      </c>
      <c r="V7" s="21" t="str">
        <f t="shared" si="1"/>
        <v>Mo</v>
      </c>
      <c r="W7" s="21" t="str">
        <f t="shared" si="1"/>
        <v>Tu</v>
      </c>
      <c r="X7" s="21" t="str">
        <f t="shared" si="1"/>
        <v>We</v>
      </c>
      <c r="Y7" s="21" t="str">
        <f t="shared" si="1"/>
        <v>Th</v>
      </c>
      <c r="Z7" s="21" t="str">
        <f t="shared" si="1"/>
        <v>Fr</v>
      </c>
      <c r="AA7" s="21" t="str">
        <f t="shared" si="1"/>
        <v>Sa</v>
      </c>
      <c r="AB7" s="21" t="str">
        <f t="shared" si="1"/>
        <v>Su</v>
      </c>
      <c r="AC7" s="21" t="str">
        <f t="shared" si="1"/>
        <v>Mo</v>
      </c>
      <c r="AD7" s="21" t="str">
        <f t="shared" si="1"/>
        <v>Tu</v>
      </c>
      <c r="AE7" s="21" t="str">
        <f t="shared" si="1"/>
        <v>We</v>
      </c>
      <c r="AF7" s="21" t="str">
        <f t="shared" si="1"/>
        <v>Th</v>
      </c>
      <c r="AG7" s="21" t="str">
        <f t="shared" si="1"/>
        <v>Fr</v>
      </c>
    </row>
    <row r="8" spans="2:33" ht="14.4" thickTop="1" thickBot="1">
      <c r="B8" s="110" t="str">
        <f>Roster!C44</f>
        <v>August</v>
      </c>
      <c r="C8" s="111">
        <v>1</v>
      </c>
      <c r="D8" s="112">
        <v>2</v>
      </c>
      <c r="E8" s="112">
        <v>3</v>
      </c>
      <c r="F8" s="112">
        <v>4</v>
      </c>
      <c r="G8" s="112">
        <v>5</v>
      </c>
      <c r="H8" s="112">
        <v>6</v>
      </c>
      <c r="I8" s="112">
        <v>7</v>
      </c>
      <c r="J8" s="112">
        <v>8</v>
      </c>
      <c r="K8" s="112">
        <v>9</v>
      </c>
      <c r="L8" s="112">
        <v>10</v>
      </c>
      <c r="M8" s="112">
        <v>11</v>
      </c>
      <c r="N8" s="112">
        <v>12</v>
      </c>
      <c r="O8" s="112">
        <v>13</v>
      </c>
      <c r="P8" s="112">
        <v>14</v>
      </c>
      <c r="Q8" s="112">
        <v>15</v>
      </c>
      <c r="R8" s="112">
        <v>16</v>
      </c>
      <c r="S8" s="112">
        <v>17</v>
      </c>
      <c r="T8" s="112">
        <v>18</v>
      </c>
      <c r="U8" s="112">
        <v>19</v>
      </c>
      <c r="V8" s="112">
        <v>20</v>
      </c>
      <c r="W8" s="112">
        <v>21</v>
      </c>
      <c r="X8" s="112">
        <v>22</v>
      </c>
      <c r="Y8" s="112">
        <v>23</v>
      </c>
      <c r="Z8" s="112">
        <v>24</v>
      </c>
      <c r="AA8" s="112">
        <v>25</v>
      </c>
      <c r="AB8" s="112">
        <v>26</v>
      </c>
      <c r="AC8" s="112">
        <v>27</v>
      </c>
      <c r="AD8" s="115">
        <v>28</v>
      </c>
      <c r="AE8" s="112">
        <v>29</v>
      </c>
      <c r="AF8" s="116">
        <v>30</v>
      </c>
      <c r="AG8" s="113">
        <v>31</v>
      </c>
    </row>
    <row r="9" spans="2:33" ht="14.4" thickTop="1" thickBot="1">
      <c r="B9" s="110">
        <f>CurYear-1</f>
        <v>2018</v>
      </c>
      <c r="C9" s="36" t="str">
        <f>Roster!D45</f>
        <v>.</v>
      </c>
      <c r="D9" s="39" t="str">
        <f>Roster!E45</f>
        <v>.</v>
      </c>
      <c r="E9" s="37" t="str">
        <f>Roster!F45</f>
        <v>.</v>
      </c>
      <c r="F9" s="37" t="str">
        <f>Roster!G45</f>
        <v>.</v>
      </c>
      <c r="G9" s="37" t="str">
        <f>Roster!H45</f>
        <v>.</v>
      </c>
      <c r="H9" s="37" t="str">
        <f>Roster!I45</f>
        <v>.</v>
      </c>
      <c r="I9" s="37" t="str">
        <f>Roster!J45</f>
        <v>.</v>
      </c>
      <c r="J9" s="37" t="str">
        <f>Roster!K45</f>
        <v>.</v>
      </c>
      <c r="K9" s="37" t="str">
        <f>Roster!L45</f>
        <v>.</v>
      </c>
      <c r="L9" s="37" t="str">
        <f>Roster!M45</f>
        <v>.</v>
      </c>
      <c r="M9" s="37" t="str">
        <f>Roster!N45</f>
        <v>.</v>
      </c>
      <c r="N9" s="37" t="str">
        <f>Roster!O45</f>
        <v>.</v>
      </c>
      <c r="O9" s="37" t="str">
        <f>Roster!P45</f>
        <v>.</v>
      </c>
      <c r="P9" s="37" t="str">
        <f>Roster!Q45</f>
        <v>.</v>
      </c>
      <c r="Q9" s="37" t="str">
        <f>Roster!R45</f>
        <v>.</v>
      </c>
      <c r="R9" s="37" t="str">
        <f>Roster!S45</f>
        <v>.</v>
      </c>
      <c r="S9" s="37" t="str">
        <f>Roster!T45</f>
        <v>.</v>
      </c>
      <c r="T9" s="37" t="str">
        <f>Roster!U45</f>
        <v>.</v>
      </c>
      <c r="U9" s="37" t="str">
        <f>Roster!V45</f>
        <v>.</v>
      </c>
      <c r="V9" s="37" t="str">
        <f>Roster!W45</f>
        <v>.</v>
      </c>
      <c r="W9" s="37" t="str">
        <f>Roster!X45</f>
        <v>.</v>
      </c>
      <c r="X9" s="37" t="str">
        <f>Roster!Y45</f>
        <v>.</v>
      </c>
      <c r="Y9" s="37" t="str">
        <f>Roster!Z45</f>
        <v>.</v>
      </c>
      <c r="Z9" s="37" t="str">
        <f>Roster!AA45</f>
        <v>.</v>
      </c>
      <c r="AA9" s="37" t="str">
        <f>Roster!AB45</f>
        <v>.</v>
      </c>
      <c r="AB9" s="37" t="str">
        <f>Roster!AC45</f>
        <v>.</v>
      </c>
      <c r="AC9" s="37" t="str">
        <f>Roster!AD45</f>
        <v>.</v>
      </c>
      <c r="AD9" s="43" t="str">
        <f>Roster!AE45</f>
        <v>.</v>
      </c>
      <c r="AE9" s="37" t="str">
        <f>Roster!AF45</f>
        <v>.</v>
      </c>
      <c r="AF9" s="39" t="str">
        <f>Roster!AG45</f>
        <v>.</v>
      </c>
      <c r="AG9" s="38" t="str">
        <f>Roster!AH45</f>
        <v>.</v>
      </c>
    </row>
    <row r="10" spans="2:33" ht="14.4" thickTop="1" thickBot="1">
      <c r="C10" s="21" t="str">
        <f t="shared" ref="C10:AF10" si="2">LEFT(TEXT(C11&amp;"-"&amp;$B11&amp;"-"&amp;CurYear-1,"ddd"),2)</f>
        <v>Sa</v>
      </c>
      <c r="D10" s="21" t="str">
        <f t="shared" si="2"/>
        <v>Su</v>
      </c>
      <c r="E10" s="21" t="str">
        <f t="shared" si="2"/>
        <v>Mo</v>
      </c>
      <c r="F10" s="21" t="str">
        <f t="shared" si="2"/>
        <v>Tu</v>
      </c>
      <c r="G10" s="21" t="str">
        <f t="shared" si="2"/>
        <v>We</v>
      </c>
      <c r="H10" s="21" t="str">
        <f t="shared" si="2"/>
        <v>Th</v>
      </c>
      <c r="I10" s="21" t="str">
        <f t="shared" si="2"/>
        <v>Fr</v>
      </c>
      <c r="J10" s="21" t="str">
        <f t="shared" si="2"/>
        <v>Sa</v>
      </c>
      <c r="K10" s="21" t="str">
        <f t="shared" si="2"/>
        <v>Su</v>
      </c>
      <c r="L10" s="21" t="str">
        <f t="shared" si="2"/>
        <v>Mo</v>
      </c>
      <c r="M10" s="21" t="str">
        <f t="shared" si="2"/>
        <v>Tu</v>
      </c>
      <c r="N10" s="21" t="str">
        <f t="shared" si="2"/>
        <v>We</v>
      </c>
      <c r="O10" s="21" t="str">
        <f t="shared" si="2"/>
        <v>Th</v>
      </c>
      <c r="P10" s="21" t="str">
        <f t="shared" si="2"/>
        <v>Fr</v>
      </c>
      <c r="Q10" s="21" t="str">
        <f t="shared" si="2"/>
        <v>Sa</v>
      </c>
      <c r="R10" s="21" t="str">
        <f t="shared" si="2"/>
        <v>Su</v>
      </c>
      <c r="S10" s="21" t="str">
        <f t="shared" si="2"/>
        <v>Mo</v>
      </c>
      <c r="T10" s="21" t="str">
        <f t="shared" si="2"/>
        <v>Tu</v>
      </c>
      <c r="U10" s="21" t="str">
        <f t="shared" si="2"/>
        <v>We</v>
      </c>
      <c r="V10" s="21" t="str">
        <f t="shared" si="2"/>
        <v>Th</v>
      </c>
      <c r="W10" s="21" t="str">
        <f t="shared" si="2"/>
        <v>Fr</v>
      </c>
      <c r="X10" s="21" t="str">
        <f t="shared" si="2"/>
        <v>Sa</v>
      </c>
      <c r="Y10" s="21" t="str">
        <f t="shared" si="2"/>
        <v>Su</v>
      </c>
      <c r="Z10" s="21" t="str">
        <f t="shared" si="2"/>
        <v>Mo</v>
      </c>
      <c r="AA10" s="21" t="str">
        <f t="shared" si="2"/>
        <v>Tu</v>
      </c>
      <c r="AB10" s="21" t="str">
        <f t="shared" si="2"/>
        <v>We</v>
      </c>
      <c r="AC10" s="21" t="str">
        <f t="shared" si="2"/>
        <v>Th</v>
      </c>
      <c r="AD10" s="21" t="str">
        <f t="shared" si="2"/>
        <v>Fr</v>
      </c>
      <c r="AE10" s="28" t="str">
        <f t="shared" si="2"/>
        <v>Sa</v>
      </c>
      <c r="AF10" s="21" t="str">
        <f t="shared" si="2"/>
        <v>Su</v>
      </c>
      <c r="AG10" s="117"/>
    </row>
    <row r="11" spans="2:33" ht="14.4" thickTop="1" thickBot="1">
      <c r="B11" s="110" t="str">
        <f>Roster!C59</f>
        <v>September</v>
      </c>
      <c r="C11" s="118">
        <v>1</v>
      </c>
      <c r="D11" s="119">
        <v>2</v>
      </c>
      <c r="E11" s="119">
        <v>3</v>
      </c>
      <c r="F11" s="119">
        <v>4</v>
      </c>
      <c r="G11" s="119">
        <v>5</v>
      </c>
      <c r="H11" s="119">
        <v>6</v>
      </c>
      <c r="I11" s="119">
        <v>7</v>
      </c>
      <c r="J11" s="119">
        <v>8</v>
      </c>
      <c r="K11" s="119">
        <v>9</v>
      </c>
      <c r="L11" s="119">
        <v>10</v>
      </c>
      <c r="M11" s="119">
        <v>11</v>
      </c>
      <c r="N11" s="119">
        <v>12</v>
      </c>
      <c r="O11" s="119">
        <v>13</v>
      </c>
      <c r="P11" s="119">
        <v>14</v>
      </c>
      <c r="Q11" s="119">
        <v>15</v>
      </c>
      <c r="R11" s="119">
        <v>16</v>
      </c>
      <c r="S11" s="119">
        <v>17</v>
      </c>
      <c r="T11" s="119">
        <v>18</v>
      </c>
      <c r="U11" s="119">
        <v>19</v>
      </c>
      <c r="V11" s="119">
        <v>20</v>
      </c>
      <c r="W11" s="119">
        <v>21</v>
      </c>
      <c r="X11" s="119">
        <v>22</v>
      </c>
      <c r="Y11" s="119">
        <v>23</v>
      </c>
      <c r="Z11" s="119">
        <v>24</v>
      </c>
      <c r="AA11" s="119">
        <v>25</v>
      </c>
      <c r="AB11" s="119">
        <v>26</v>
      </c>
      <c r="AC11" s="119">
        <v>27</v>
      </c>
      <c r="AD11" s="119">
        <v>28</v>
      </c>
      <c r="AE11" s="119">
        <v>29</v>
      </c>
      <c r="AF11" s="120">
        <v>30</v>
      </c>
    </row>
    <row r="12" spans="2:33" ht="14.4" thickTop="1" thickBot="1">
      <c r="B12" s="110">
        <f>CurYear-1</f>
        <v>2018</v>
      </c>
      <c r="C12" s="36" t="str">
        <f>Roster!D60</f>
        <v>.</v>
      </c>
      <c r="D12" s="37" t="str">
        <f>Roster!E60</f>
        <v>.</v>
      </c>
      <c r="E12" s="37" t="str">
        <f>Roster!F60</f>
        <v>.</v>
      </c>
      <c r="F12" s="37" t="str">
        <f>Roster!G60</f>
        <v>.</v>
      </c>
      <c r="G12" s="37" t="str">
        <f>Roster!H60</f>
        <v>.</v>
      </c>
      <c r="H12" s="37" t="str">
        <f>Roster!I60</f>
        <v>.</v>
      </c>
      <c r="I12" s="37" t="str">
        <f>Roster!J60</f>
        <v>.</v>
      </c>
      <c r="J12" s="37" t="str">
        <f>Roster!K60</f>
        <v>.</v>
      </c>
      <c r="K12" s="37" t="str">
        <f>Roster!L60</f>
        <v>.</v>
      </c>
      <c r="L12" s="37" t="str">
        <f>Roster!M60</f>
        <v>.</v>
      </c>
      <c r="M12" s="37" t="str">
        <f>Roster!N60</f>
        <v>.</v>
      </c>
      <c r="N12" s="37" t="str">
        <f>Roster!O60</f>
        <v>.</v>
      </c>
      <c r="O12" s="37" t="str">
        <f>Roster!P60</f>
        <v>.</v>
      </c>
      <c r="P12" s="37" t="str">
        <f>Roster!Q60</f>
        <v>.</v>
      </c>
      <c r="Q12" s="37" t="str">
        <f>Roster!R60</f>
        <v>.</v>
      </c>
      <c r="R12" s="37" t="str">
        <f>Roster!S60</f>
        <v>.</v>
      </c>
      <c r="S12" s="37" t="str">
        <f>Roster!T60</f>
        <v>.</v>
      </c>
      <c r="T12" s="37" t="str">
        <f>Roster!U60</f>
        <v>.</v>
      </c>
      <c r="U12" s="37" t="str">
        <f>Roster!V60</f>
        <v>.</v>
      </c>
      <c r="V12" s="37" t="str">
        <f>Roster!W60</f>
        <v>.</v>
      </c>
      <c r="W12" s="37" t="str">
        <f>Roster!X60</f>
        <v>.</v>
      </c>
      <c r="X12" s="37" t="str">
        <f>Roster!Y60</f>
        <v>.</v>
      </c>
      <c r="Y12" s="37" t="str">
        <f>Roster!Z60</f>
        <v>.</v>
      </c>
      <c r="Z12" s="37" t="str">
        <f>Roster!AA60</f>
        <v>.</v>
      </c>
      <c r="AA12" s="37" t="str">
        <f>Roster!AB60</f>
        <v>.</v>
      </c>
      <c r="AB12" s="37" t="str">
        <f>Roster!AC60</f>
        <v>.</v>
      </c>
      <c r="AC12" s="37" t="str">
        <f>Roster!AD60</f>
        <v>.</v>
      </c>
      <c r="AD12" s="37" t="str">
        <f>Roster!AE60</f>
        <v>.</v>
      </c>
      <c r="AE12" s="37" t="str">
        <f>Roster!AF60</f>
        <v>.</v>
      </c>
      <c r="AF12" s="38" t="str">
        <f>Roster!AG60</f>
        <v>.</v>
      </c>
    </row>
    <row r="13" spans="2:33" ht="14.4" thickTop="1" thickBot="1">
      <c r="C13" s="21" t="str">
        <f t="shared" ref="C13:AG13" si="3">LEFT(TEXT(C14&amp;"-"&amp;$B14&amp;"-"&amp;CurYear-1,"ddd"),2)</f>
        <v>Mo</v>
      </c>
      <c r="D13" s="21" t="str">
        <f t="shared" si="3"/>
        <v>Tu</v>
      </c>
      <c r="E13" s="21" t="str">
        <f t="shared" si="3"/>
        <v>We</v>
      </c>
      <c r="F13" s="21" t="str">
        <f t="shared" si="3"/>
        <v>Th</v>
      </c>
      <c r="G13" s="21" t="str">
        <f t="shared" si="3"/>
        <v>Fr</v>
      </c>
      <c r="H13" s="21" t="str">
        <f t="shared" si="3"/>
        <v>Sa</v>
      </c>
      <c r="I13" s="21" t="str">
        <f t="shared" si="3"/>
        <v>Su</v>
      </c>
      <c r="J13" s="21" t="str">
        <f t="shared" si="3"/>
        <v>Mo</v>
      </c>
      <c r="K13" s="21" t="str">
        <f t="shared" si="3"/>
        <v>Tu</v>
      </c>
      <c r="L13" s="21" t="str">
        <f t="shared" si="3"/>
        <v>We</v>
      </c>
      <c r="M13" s="21" t="str">
        <f t="shared" si="3"/>
        <v>Th</v>
      </c>
      <c r="N13" s="21" t="str">
        <f t="shared" si="3"/>
        <v>Fr</v>
      </c>
      <c r="O13" s="21" t="str">
        <f t="shared" si="3"/>
        <v>Sa</v>
      </c>
      <c r="P13" s="21" t="str">
        <f t="shared" si="3"/>
        <v>Su</v>
      </c>
      <c r="Q13" s="21" t="str">
        <f t="shared" si="3"/>
        <v>Mo</v>
      </c>
      <c r="R13" s="21" t="str">
        <f t="shared" si="3"/>
        <v>Tu</v>
      </c>
      <c r="S13" s="21" t="str">
        <f t="shared" si="3"/>
        <v>We</v>
      </c>
      <c r="T13" s="21" t="str">
        <f t="shared" si="3"/>
        <v>Th</v>
      </c>
      <c r="U13" s="21" t="str">
        <f t="shared" si="3"/>
        <v>Fr</v>
      </c>
      <c r="V13" s="21" t="str">
        <f t="shared" si="3"/>
        <v>Sa</v>
      </c>
      <c r="W13" s="21" t="str">
        <f t="shared" si="3"/>
        <v>Su</v>
      </c>
      <c r="X13" s="21" t="str">
        <f t="shared" si="3"/>
        <v>Mo</v>
      </c>
      <c r="Y13" s="21" t="str">
        <f t="shared" si="3"/>
        <v>Tu</v>
      </c>
      <c r="Z13" s="21" t="str">
        <f t="shared" si="3"/>
        <v>We</v>
      </c>
      <c r="AA13" s="21" t="str">
        <f t="shared" si="3"/>
        <v>Th</v>
      </c>
      <c r="AB13" s="21" t="str">
        <f t="shared" si="3"/>
        <v>Fr</v>
      </c>
      <c r="AC13" s="21" t="str">
        <f t="shared" si="3"/>
        <v>Sa</v>
      </c>
      <c r="AD13" s="21" t="str">
        <f t="shared" si="3"/>
        <v>Su</v>
      </c>
      <c r="AE13" s="21" t="str">
        <f t="shared" si="3"/>
        <v>Mo</v>
      </c>
      <c r="AF13" s="21" t="str">
        <f t="shared" si="3"/>
        <v>Tu</v>
      </c>
      <c r="AG13" s="20" t="str">
        <f t="shared" si="3"/>
        <v>We</v>
      </c>
    </row>
    <row r="14" spans="2:33" ht="14.4" thickTop="1" thickBot="1">
      <c r="B14" s="110" t="str">
        <f>Roster!C74</f>
        <v>October</v>
      </c>
      <c r="C14" s="111">
        <v>1</v>
      </c>
      <c r="D14" s="112">
        <v>2</v>
      </c>
      <c r="E14" s="112">
        <v>3</v>
      </c>
      <c r="F14" s="112">
        <v>4</v>
      </c>
      <c r="G14" s="112">
        <v>5</v>
      </c>
      <c r="H14" s="112">
        <v>6</v>
      </c>
      <c r="I14" s="112">
        <v>7</v>
      </c>
      <c r="J14" s="112">
        <v>8</v>
      </c>
      <c r="K14" s="112">
        <v>9</v>
      </c>
      <c r="L14" s="112">
        <v>10</v>
      </c>
      <c r="M14" s="112">
        <v>11</v>
      </c>
      <c r="N14" s="112">
        <v>12</v>
      </c>
      <c r="O14" s="112">
        <v>13</v>
      </c>
      <c r="P14" s="112">
        <v>14</v>
      </c>
      <c r="Q14" s="112">
        <v>15</v>
      </c>
      <c r="R14" s="112">
        <v>16</v>
      </c>
      <c r="S14" s="112">
        <v>17</v>
      </c>
      <c r="T14" s="112">
        <v>18</v>
      </c>
      <c r="U14" s="112">
        <v>19</v>
      </c>
      <c r="V14" s="112">
        <v>20</v>
      </c>
      <c r="W14" s="112">
        <v>21</v>
      </c>
      <c r="X14" s="112">
        <v>22</v>
      </c>
      <c r="Y14" s="112">
        <v>23</v>
      </c>
      <c r="Z14" s="112">
        <v>24</v>
      </c>
      <c r="AA14" s="112">
        <v>25</v>
      </c>
      <c r="AB14" s="112">
        <v>26</v>
      </c>
      <c r="AC14" s="112">
        <v>27</v>
      </c>
      <c r="AD14" s="112">
        <v>28</v>
      </c>
      <c r="AE14" s="112">
        <v>29</v>
      </c>
      <c r="AF14" s="112">
        <v>30</v>
      </c>
      <c r="AG14" s="113">
        <v>31</v>
      </c>
    </row>
    <row r="15" spans="2:33" ht="14.4" thickTop="1" thickBot="1">
      <c r="B15" s="110">
        <f>CurYear-1</f>
        <v>2018</v>
      </c>
      <c r="C15" s="36" t="str">
        <f>Roster!D75</f>
        <v>.</v>
      </c>
      <c r="D15" s="37" t="str">
        <f>Roster!E75</f>
        <v>.</v>
      </c>
      <c r="E15" s="37" t="str">
        <f>Roster!F75</f>
        <v>.</v>
      </c>
      <c r="F15" s="37" t="str">
        <f>Roster!G75</f>
        <v>.</v>
      </c>
      <c r="G15" s="37" t="str">
        <f>Roster!H75</f>
        <v>.</v>
      </c>
      <c r="H15" s="37" t="str">
        <f>Roster!I75</f>
        <v>.</v>
      </c>
      <c r="I15" s="37" t="str">
        <f>Roster!J75</f>
        <v>.</v>
      </c>
      <c r="J15" s="37" t="str">
        <f>Roster!K75</f>
        <v>.</v>
      </c>
      <c r="K15" s="37" t="str">
        <f>Roster!L75</f>
        <v>.</v>
      </c>
      <c r="L15" s="37" t="str">
        <f>Roster!M75</f>
        <v>.</v>
      </c>
      <c r="M15" s="37" t="str">
        <f>Roster!N75</f>
        <v>.</v>
      </c>
      <c r="N15" s="37" t="str">
        <f>Roster!O75</f>
        <v>.</v>
      </c>
      <c r="O15" s="37" t="str">
        <f>Roster!P75</f>
        <v>.</v>
      </c>
      <c r="P15" s="37" t="str">
        <f>Roster!Q75</f>
        <v>.</v>
      </c>
      <c r="Q15" s="37" t="str">
        <f>Roster!R75</f>
        <v>.</v>
      </c>
      <c r="R15" s="37" t="str">
        <f>Roster!S75</f>
        <v>.</v>
      </c>
      <c r="S15" s="37" t="str">
        <f>Roster!T75</f>
        <v>.</v>
      </c>
      <c r="T15" s="37" t="str">
        <f>Roster!U75</f>
        <v>.</v>
      </c>
      <c r="U15" s="37" t="str">
        <f>Roster!V75</f>
        <v>.</v>
      </c>
      <c r="V15" s="37" t="str">
        <f>Roster!W75</f>
        <v>.</v>
      </c>
      <c r="W15" s="37" t="str">
        <f>Roster!X75</f>
        <v>.</v>
      </c>
      <c r="X15" s="37" t="str">
        <f>Roster!Y75</f>
        <v>.</v>
      </c>
      <c r="Y15" s="37" t="str">
        <f>Roster!Z75</f>
        <v>.</v>
      </c>
      <c r="Z15" s="37" t="str">
        <f>Roster!AA75</f>
        <v>.</v>
      </c>
      <c r="AA15" s="37" t="str">
        <f>Roster!AB75</f>
        <v>.</v>
      </c>
      <c r="AB15" s="37" t="str">
        <f>Roster!AC75</f>
        <v>.</v>
      </c>
      <c r="AC15" s="37" t="str">
        <f>Roster!AD75</f>
        <v>.</v>
      </c>
      <c r="AD15" s="37" t="str">
        <f>Roster!AE75</f>
        <v>.</v>
      </c>
      <c r="AE15" s="37" t="str">
        <f>Roster!AF75</f>
        <v>.</v>
      </c>
      <c r="AF15" s="37" t="str">
        <f>Roster!AG75</f>
        <v>.</v>
      </c>
      <c r="AG15" s="38" t="str">
        <f>Roster!AH75</f>
        <v>.</v>
      </c>
    </row>
    <row r="16" spans="2:33" ht="14.4" thickTop="1" thickBot="1">
      <c r="C16" s="21" t="str">
        <f t="shared" ref="C16:AF16" si="4">LEFT(TEXT(C17&amp;"-"&amp;$B17&amp;"-"&amp;CurYear-1,"ddd"),2)</f>
        <v>Th</v>
      </c>
      <c r="D16" s="21" t="str">
        <f t="shared" si="4"/>
        <v>Fr</v>
      </c>
      <c r="E16" s="21" t="str">
        <f t="shared" si="4"/>
        <v>Sa</v>
      </c>
      <c r="F16" s="21" t="str">
        <f t="shared" si="4"/>
        <v>Su</v>
      </c>
      <c r="G16" s="21" t="str">
        <f t="shared" si="4"/>
        <v>Mo</v>
      </c>
      <c r="H16" s="21" t="str">
        <f t="shared" si="4"/>
        <v>Tu</v>
      </c>
      <c r="I16" s="21" t="str">
        <f t="shared" si="4"/>
        <v>We</v>
      </c>
      <c r="J16" s="21" t="str">
        <f t="shared" si="4"/>
        <v>Th</v>
      </c>
      <c r="K16" s="21" t="str">
        <f t="shared" si="4"/>
        <v>Fr</v>
      </c>
      <c r="L16" s="21" t="str">
        <f t="shared" si="4"/>
        <v>Sa</v>
      </c>
      <c r="M16" s="21" t="str">
        <f t="shared" si="4"/>
        <v>Su</v>
      </c>
      <c r="N16" s="21" t="str">
        <f t="shared" si="4"/>
        <v>Mo</v>
      </c>
      <c r="O16" s="21" t="str">
        <f t="shared" si="4"/>
        <v>Tu</v>
      </c>
      <c r="P16" s="21" t="str">
        <f t="shared" si="4"/>
        <v>We</v>
      </c>
      <c r="Q16" s="21" t="str">
        <f t="shared" si="4"/>
        <v>Th</v>
      </c>
      <c r="R16" s="21" t="str">
        <f t="shared" si="4"/>
        <v>Fr</v>
      </c>
      <c r="S16" s="21" t="str">
        <f t="shared" si="4"/>
        <v>Sa</v>
      </c>
      <c r="T16" s="21" t="str">
        <f t="shared" si="4"/>
        <v>Su</v>
      </c>
      <c r="U16" s="21" t="str">
        <f t="shared" si="4"/>
        <v>Mo</v>
      </c>
      <c r="V16" s="21" t="str">
        <f t="shared" si="4"/>
        <v>Tu</v>
      </c>
      <c r="W16" s="21" t="str">
        <f t="shared" si="4"/>
        <v>We</v>
      </c>
      <c r="X16" s="21" t="str">
        <f t="shared" si="4"/>
        <v>Th</v>
      </c>
      <c r="Y16" s="21" t="str">
        <f t="shared" si="4"/>
        <v>Fr</v>
      </c>
      <c r="Z16" s="21" t="str">
        <f t="shared" si="4"/>
        <v>Sa</v>
      </c>
      <c r="AA16" s="21" t="str">
        <f t="shared" si="4"/>
        <v>Su</v>
      </c>
      <c r="AB16" s="21" t="str">
        <f t="shared" si="4"/>
        <v>Mo</v>
      </c>
      <c r="AC16" s="21" t="str">
        <f t="shared" si="4"/>
        <v>Tu</v>
      </c>
      <c r="AD16" s="21" t="str">
        <f t="shared" si="4"/>
        <v>We</v>
      </c>
      <c r="AE16" s="21" t="str">
        <f t="shared" si="4"/>
        <v>Th</v>
      </c>
      <c r="AF16" s="21" t="str">
        <f t="shared" si="4"/>
        <v>Fr</v>
      </c>
      <c r="AG16" s="117"/>
    </row>
    <row r="17" spans="2:33" ht="14.4" thickTop="1" thickBot="1">
      <c r="B17" s="110" t="str">
        <f>Roster!C89</f>
        <v>November</v>
      </c>
      <c r="C17" s="118">
        <v>1</v>
      </c>
      <c r="D17" s="119">
        <v>2</v>
      </c>
      <c r="E17" s="119">
        <v>3</v>
      </c>
      <c r="F17" s="119">
        <v>4</v>
      </c>
      <c r="G17" s="119">
        <v>5</v>
      </c>
      <c r="H17" s="119">
        <v>6</v>
      </c>
      <c r="I17" s="119">
        <v>7</v>
      </c>
      <c r="J17" s="119">
        <v>8</v>
      </c>
      <c r="K17" s="119">
        <v>9</v>
      </c>
      <c r="L17" s="119">
        <v>10</v>
      </c>
      <c r="M17" s="119">
        <v>11</v>
      </c>
      <c r="N17" s="119">
        <v>12</v>
      </c>
      <c r="O17" s="119">
        <v>13</v>
      </c>
      <c r="P17" s="119">
        <v>14</v>
      </c>
      <c r="Q17" s="119">
        <v>15</v>
      </c>
      <c r="R17" s="119">
        <v>16</v>
      </c>
      <c r="S17" s="119">
        <v>17</v>
      </c>
      <c r="T17" s="119">
        <v>18</v>
      </c>
      <c r="U17" s="119">
        <v>19</v>
      </c>
      <c r="V17" s="119">
        <v>20</v>
      </c>
      <c r="W17" s="119">
        <v>21</v>
      </c>
      <c r="X17" s="119">
        <v>22</v>
      </c>
      <c r="Y17" s="119">
        <v>23</v>
      </c>
      <c r="Z17" s="119">
        <v>24</v>
      </c>
      <c r="AA17" s="119">
        <v>25</v>
      </c>
      <c r="AB17" s="119">
        <v>26</v>
      </c>
      <c r="AC17" s="119">
        <v>27</v>
      </c>
      <c r="AD17" s="119">
        <v>28</v>
      </c>
      <c r="AE17" s="119">
        <v>29</v>
      </c>
      <c r="AF17" s="120">
        <v>30</v>
      </c>
    </row>
    <row r="18" spans="2:33" ht="14.4" thickTop="1" thickBot="1">
      <c r="B18" s="110">
        <f>CurYear-1</f>
        <v>2018</v>
      </c>
      <c r="C18" s="36" t="str">
        <f>Roster!D90</f>
        <v>.</v>
      </c>
      <c r="D18" s="37" t="str">
        <f>Roster!E90</f>
        <v>.</v>
      </c>
      <c r="E18" s="37" t="str">
        <f>Roster!F90</f>
        <v>.</v>
      </c>
      <c r="F18" s="37" t="str">
        <f>Roster!G90</f>
        <v>.</v>
      </c>
      <c r="G18" s="37" t="str">
        <f>Roster!H90</f>
        <v>.</v>
      </c>
      <c r="H18" s="37" t="str">
        <f>Roster!I90</f>
        <v>.</v>
      </c>
      <c r="I18" s="37" t="str">
        <f>Roster!J90</f>
        <v>.</v>
      </c>
      <c r="J18" s="37" t="str">
        <f>Roster!K90</f>
        <v>.</v>
      </c>
      <c r="K18" s="37" t="str">
        <f>Roster!L90</f>
        <v>.</v>
      </c>
      <c r="L18" s="37" t="str">
        <f>Roster!M90</f>
        <v>.</v>
      </c>
      <c r="M18" s="37" t="str">
        <f>Roster!N90</f>
        <v>.</v>
      </c>
      <c r="N18" s="37" t="str">
        <f>Roster!O90</f>
        <v>.</v>
      </c>
      <c r="O18" s="37" t="str">
        <f>Roster!P90</f>
        <v>.</v>
      </c>
      <c r="P18" s="37" t="str">
        <f>Roster!Q90</f>
        <v>.</v>
      </c>
      <c r="Q18" s="37" t="str">
        <f>Roster!R90</f>
        <v>.</v>
      </c>
      <c r="R18" s="37" t="str">
        <f>Roster!S90</f>
        <v>.</v>
      </c>
      <c r="S18" s="37" t="str">
        <f>Roster!T90</f>
        <v>.</v>
      </c>
      <c r="T18" s="37" t="str">
        <f>Roster!U90</f>
        <v>.</v>
      </c>
      <c r="U18" s="37" t="str">
        <f>Roster!V90</f>
        <v>.</v>
      </c>
      <c r="V18" s="37" t="str">
        <f>Roster!W90</f>
        <v>.</v>
      </c>
      <c r="W18" s="37" t="str">
        <f>Roster!X90</f>
        <v>.</v>
      </c>
      <c r="X18" s="37" t="str">
        <f>Roster!Y90</f>
        <v>.</v>
      </c>
      <c r="Y18" s="37" t="str">
        <f>Roster!Z90</f>
        <v>.</v>
      </c>
      <c r="Z18" s="37" t="str">
        <f>Roster!AA90</f>
        <v>.</v>
      </c>
      <c r="AA18" s="37" t="str">
        <f>Roster!AB90</f>
        <v>.</v>
      </c>
      <c r="AB18" s="37" t="str">
        <f>Roster!AC90</f>
        <v>.</v>
      </c>
      <c r="AC18" s="37" t="str">
        <f>Roster!AD90</f>
        <v>.</v>
      </c>
      <c r="AD18" s="37" t="str">
        <f>Roster!AE90</f>
        <v>.</v>
      </c>
      <c r="AE18" s="37" t="str">
        <f>Roster!AF90</f>
        <v>.</v>
      </c>
      <c r="AF18" s="38" t="str">
        <f>Roster!AG90</f>
        <v>.</v>
      </c>
      <c r="AG18" s="121"/>
    </row>
    <row r="19" spans="2:33" ht="14.4" thickTop="1" thickBot="1">
      <c r="C19" s="21" t="str">
        <f t="shared" ref="C19:AG19" si="5">LEFT(TEXT(C20&amp;"-"&amp;$B20&amp;"-"&amp;CurYear-1,"ddd"),2)</f>
        <v>Sa</v>
      </c>
      <c r="D19" s="21" t="str">
        <f t="shared" si="5"/>
        <v>Su</v>
      </c>
      <c r="E19" s="21" t="str">
        <f t="shared" si="5"/>
        <v>Mo</v>
      </c>
      <c r="F19" s="21" t="str">
        <f t="shared" si="5"/>
        <v>Tu</v>
      </c>
      <c r="G19" s="21" t="str">
        <f t="shared" si="5"/>
        <v>We</v>
      </c>
      <c r="H19" s="21" t="str">
        <f t="shared" si="5"/>
        <v>Th</v>
      </c>
      <c r="I19" s="21" t="str">
        <f t="shared" si="5"/>
        <v>Fr</v>
      </c>
      <c r="J19" s="21" t="str">
        <f t="shared" si="5"/>
        <v>Sa</v>
      </c>
      <c r="K19" s="21" t="str">
        <f t="shared" si="5"/>
        <v>Su</v>
      </c>
      <c r="L19" s="21" t="str">
        <f t="shared" si="5"/>
        <v>Mo</v>
      </c>
      <c r="M19" s="21" t="str">
        <f t="shared" si="5"/>
        <v>Tu</v>
      </c>
      <c r="N19" s="21" t="str">
        <f t="shared" si="5"/>
        <v>We</v>
      </c>
      <c r="O19" s="21" t="str">
        <f t="shared" si="5"/>
        <v>Th</v>
      </c>
      <c r="P19" s="21" t="str">
        <f t="shared" si="5"/>
        <v>Fr</v>
      </c>
      <c r="Q19" s="21" t="str">
        <f t="shared" si="5"/>
        <v>Sa</v>
      </c>
      <c r="R19" s="21" t="str">
        <f t="shared" si="5"/>
        <v>Su</v>
      </c>
      <c r="S19" s="21" t="str">
        <f t="shared" si="5"/>
        <v>Mo</v>
      </c>
      <c r="T19" s="21" t="str">
        <f t="shared" si="5"/>
        <v>Tu</v>
      </c>
      <c r="U19" s="21" t="str">
        <f t="shared" si="5"/>
        <v>We</v>
      </c>
      <c r="V19" s="21" t="str">
        <f t="shared" si="5"/>
        <v>Th</v>
      </c>
      <c r="W19" s="21" t="str">
        <f t="shared" si="5"/>
        <v>Fr</v>
      </c>
      <c r="X19" s="21" t="str">
        <f t="shared" si="5"/>
        <v>Sa</v>
      </c>
      <c r="Y19" s="21" t="str">
        <f t="shared" si="5"/>
        <v>Su</v>
      </c>
      <c r="Z19" s="21" t="str">
        <f t="shared" si="5"/>
        <v>Mo</v>
      </c>
      <c r="AA19" s="21" t="str">
        <f t="shared" si="5"/>
        <v>Tu</v>
      </c>
      <c r="AB19" s="21" t="str">
        <f t="shared" si="5"/>
        <v>We</v>
      </c>
      <c r="AC19" s="21" t="str">
        <f t="shared" si="5"/>
        <v>Th</v>
      </c>
      <c r="AD19" s="21" t="str">
        <f t="shared" si="5"/>
        <v>Fr</v>
      </c>
      <c r="AE19" s="21" t="str">
        <f t="shared" si="5"/>
        <v>Sa</v>
      </c>
      <c r="AF19" s="21" t="str">
        <f t="shared" si="5"/>
        <v>Su</v>
      </c>
      <c r="AG19" s="28" t="str">
        <f t="shared" si="5"/>
        <v>Mo</v>
      </c>
    </row>
    <row r="20" spans="2:33" ht="14.4" thickTop="1" thickBot="1">
      <c r="B20" s="110" t="str">
        <f>Roster!C104</f>
        <v>December</v>
      </c>
      <c r="C20" s="111">
        <v>1</v>
      </c>
      <c r="D20" s="112">
        <v>2</v>
      </c>
      <c r="E20" s="112">
        <v>3</v>
      </c>
      <c r="F20" s="112">
        <v>4</v>
      </c>
      <c r="G20" s="112">
        <v>5</v>
      </c>
      <c r="H20" s="112">
        <v>6</v>
      </c>
      <c r="I20" s="112">
        <v>7</v>
      </c>
      <c r="J20" s="112">
        <v>8</v>
      </c>
      <c r="K20" s="112">
        <v>9</v>
      </c>
      <c r="L20" s="112">
        <v>10</v>
      </c>
      <c r="M20" s="112">
        <v>11</v>
      </c>
      <c r="N20" s="112">
        <v>12</v>
      </c>
      <c r="O20" s="112">
        <v>13</v>
      </c>
      <c r="P20" s="112">
        <v>14</v>
      </c>
      <c r="Q20" s="112">
        <v>15</v>
      </c>
      <c r="R20" s="112">
        <v>16</v>
      </c>
      <c r="S20" s="112">
        <v>17</v>
      </c>
      <c r="T20" s="112">
        <v>18</v>
      </c>
      <c r="U20" s="112">
        <v>19</v>
      </c>
      <c r="V20" s="112">
        <v>20</v>
      </c>
      <c r="W20" s="112">
        <v>21</v>
      </c>
      <c r="X20" s="112">
        <v>22</v>
      </c>
      <c r="Y20" s="112">
        <v>23</v>
      </c>
      <c r="Z20" s="112">
        <v>24</v>
      </c>
      <c r="AA20" s="112">
        <v>25</v>
      </c>
      <c r="AB20" s="112">
        <v>26</v>
      </c>
      <c r="AC20" s="112">
        <v>27</v>
      </c>
      <c r="AD20" s="112">
        <v>28</v>
      </c>
      <c r="AE20" s="112">
        <v>29</v>
      </c>
      <c r="AF20" s="112">
        <v>30</v>
      </c>
      <c r="AG20" s="113">
        <v>31</v>
      </c>
    </row>
    <row r="21" spans="2:33" ht="14.4" thickTop="1" thickBot="1">
      <c r="B21" s="110">
        <f>CurYear-1</f>
        <v>2018</v>
      </c>
      <c r="C21" s="36" t="str">
        <f>Roster!D105</f>
        <v>.</v>
      </c>
      <c r="D21" s="37" t="str">
        <f>Roster!E105</f>
        <v>.</v>
      </c>
      <c r="E21" s="37" t="str">
        <f>Roster!F105</f>
        <v>.</v>
      </c>
      <c r="F21" s="37" t="str">
        <f>Roster!G105</f>
        <v>.</v>
      </c>
      <c r="G21" s="37" t="str">
        <f>Roster!H105</f>
        <v>.</v>
      </c>
      <c r="H21" s="37" t="str">
        <f>Roster!I105</f>
        <v>.</v>
      </c>
      <c r="I21" s="37" t="str">
        <f>Roster!J105</f>
        <v>.</v>
      </c>
      <c r="J21" s="37" t="str">
        <f>Roster!K105</f>
        <v>.</v>
      </c>
      <c r="K21" s="37" t="str">
        <f>Roster!L105</f>
        <v>.</v>
      </c>
      <c r="L21" s="37" t="str">
        <f>Roster!M105</f>
        <v>.</v>
      </c>
      <c r="M21" s="37" t="str">
        <f>Roster!N105</f>
        <v>.</v>
      </c>
      <c r="N21" s="37" t="str">
        <f>Roster!O105</f>
        <v>.</v>
      </c>
      <c r="O21" s="37" t="str">
        <f>Roster!P105</f>
        <v>.</v>
      </c>
      <c r="P21" s="37" t="str">
        <f>Roster!Q105</f>
        <v>.</v>
      </c>
      <c r="Q21" s="37" t="str">
        <f>Roster!R105</f>
        <v>.</v>
      </c>
      <c r="R21" s="37" t="str">
        <f>Roster!S105</f>
        <v>.</v>
      </c>
      <c r="S21" s="37" t="str">
        <f>Roster!T105</f>
        <v>.</v>
      </c>
      <c r="T21" s="37" t="str">
        <f>Roster!U105</f>
        <v>.</v>
      </c>
      <c r="U21" s="37" t="str">
        <f>Roster!V105</f>
        <v>.</v>
      </c>
      <c r="V21" s="37" t="str">
        <f>Roster!W105</f>
        <v>.</v>
      </c>
      <c r="W21" s="37" t="str">
        <f>Roster!X105</f>
        <v>.</v>
      </c>
      <c r="X21" s="37" t="str">
        <f>Roster!Y105</f>
        <v>.</v>
      </c>
      <c r="Y21" s="37" t="str">
        <f>Roster!Z105</f>
        <v>.</v>
      </c>
      <c r="Z21" s="37" t="str">
        <f>Roster!AA105</f>
        <v>.</v>
      </c>
      <c r="AA21" s="37" t="str">
        <f>Roster!AB105</f>
        <v>.</v>
      </c>
      <c r="AB21" s="37" t="str">
        <f>Roster!AC105</f>
        <v>.</v>
      </c>
      <c r="AC21" s="37" t="str">
        <f>Roster!AD105</f>
        <v>.</v>
      </c>
      <c r="AD21" s="37" t="str">
        <f>Roster!AE105</f>
        <v>.</v>
      </c>
      <c r="AE21" s="37" t="str">
        <f>Roster!AF105</f>
        <v>.</v>
      </c>
      <c r="AF21" s="37" t="str">
        <f>Roster!AG105</f>
        <v>.</v>
      </c>
      <c r="AG21" s="38" t="str">
        <f>Roster!AH105</f>
        <v>.</v>
      </c>
    </row>
    <row r="22" spans="2:33" s="26" customFormat="1" ht="14.4" thickTop="1" thickBot="1">
      <c r="B22" s="47"/>
      <c r="C22" s="47" t="str">
        <f t="shared" ref="C22:AG22" si="6">LEFT(TEXT(C23&amp;"-"&amp;$B23&amp;"-"&amp;CurYear,"ddd"),2)</f>
        <v>Tu</v>
      </c>
      <c r="D22" s="47" t="str">
        <f t="shared" si="6"/>
        <v>We</v>
      </c>
      <c r="E22" s="47" t="str">
        <f t="shared" si="6"/>
        <v>Th</v>
      </c>
      <c r="F22" s="47" t="str">
        <f t="shared" si="6"/>
        <v>Fr</v>
      </c>
      <c r="G22" s="47" t="str">
        <f t="shared" si="6"/>
        <v>Sa</v>
      </c>
      <c r="H22" s="47" t="str">
        <f t="shared" si="6"/>
        <v>Su</v>
      </c>
      <c r="I22" s="47" t="str">
        <f t="shared" si="6"/>
        <v>Mo</v>
      </c>
      <c r="J22" s="47" t="str">
        <f t="shared" si="6"/>
        <v>Tu</v>
      </c>
      <c r="K22" s="47" t="str">
        <f t="shared" si="6"/>
        <v>We</v>
      </c>
      <c r="L22" s="47" t="str">
        <f t="shared" si="6"/>
        <v>Th</v>
      </c>
      <c r="M22" s="47" t="str">
        <f t="shared" si="6"/>
        <v>Fr</v>
      </c>
      <c r="N22" s="47" t="str">
        <f t="shared" si="6"/>
        <v>Sa</v>
      </c>
      <c r="O22" s="47" t="str">
        <f t="shared" si="6"/>
        <v>Su</v>
      </c>
      <c r="P22" s="47" t="str">
        <f t="shared" si="6"/>
        <v>Mo</v>
      </c>
      <c r="Q22" s="47" t="str">
        <f t="shared" si="6"/>
        <v>Tu</v>
      </c>
      <c r="R22" s="47" t="str">
        <f t="shared" si="6"/>
        <v>We</v>
      </c>
      <c r="S22" s="47" t="str">
        <f t="shared" si="6"/>
        <v>Th</v>
      </c>
      <c r="T22" s="47" t="str">
        <f t="shared" si="6"/>
        <v>Fr</v>
      </c>
      <c r="U22" s="47" t="str">
        <f t="shared" si="6"/>
        <v>Sa</v>
      </c>
      <c r="V22" s="47" t="str">
        <f t="shared" si="6"/>
        <v>Su</v>
      </c>
      <c r="W22" s="47" t="str">
        <f t="shared" si="6"/>
        <v>Mo</v>
      </c>
      <c r="X22" s="47" t="str">
        <f t="shared" si="6"/>
        <v>Tu</v>
      </c>
      <c r="Y22" s="47" t="str">
        <f t="shared" si="6"/>
        <v>We</v>
      </c>
      <c r="Z22" s="47" t="str">
        <f t="shared" si="6"/>
        <v>Th</v>
      </c>
      <c r="AA22" s="47" t="str">
        <f t="shared" si="6"/>
        <v>Fr</v>
      </c>
      <c r="AB22" s="47" t="str">
        <f t="shared" si="6"/>
        <v>Sa</v>
      </c>
      <c r="AC22" s="47" t="str">
        <f t="shared" si="6"/>
        <v>Su</v>
      </c>
      <c r="AD22" s="47" t="str">
        <f t="shared" si="6"/>
        <v>Mo</v>
      </c>
      <c r="AE22" s="47" t="str">
        <f t="shared" si="6"/>
        <v>Tu</v>
      </c>
      <c r="AF22" s="47" t="str">
        <f t="shared" si="6"/>
        <v>We</v>
      </c>
      <c r="AG22" s="47" t="str">
        <f t="shared" si="6"/>
        <v>Th</v>
      </c>
    </row>
    <row r="23" spans="2:33" ht="14.4" thickTop="1" thickBot="1">
      <c r="B23" s="110" t="str">
        <f>Roster!$C$119</f>
        <v>January</v>
      </c>
      <c r="C23" s="111">
        <v>1</v>
      </c>
      <c r="D23" s="112">
        <v>2</v>
      </c>
      <c r="E23" s="112">
        <v>3</v>
      </c>
      <c r="F23" s="112">
        <v>4</v>
      </c>
      <c r="G23" s="112">
        <v>5</v>
      </c>
      <c r="H23" s="112">
        <v>6</v>
      </c>
      <c r="I23" s="112">
        <v>7</v>
      </c>
      <c r="J23" s="112">
        <v>8</v>
      </c>
      <c r="K23" s="112">
        <v>9</v>
      </c>
      <c r="L23" s="112">
        <v>10</v>
      </c>
      <c r="M23" s="112">
        <v>11</v>
      </c>
      <c r="N23" s="112">
        <v>12</v>
      </c>
      <c r="O23" s="112">
        <v>13</v>
      </c>
      <c r="P23" s="112">
        <v>14</v>
      </c>
      <c r="Q23" s="112">
        <v>15</v>
      </c>
      <c r="R23" s="112">
        <v>16</v>
      </c>
      <c r="S23" s="112">
        <v>17</v>
      </c>
      <c r="T23" s="112">
        <v>18</v>
      </c>
      <c r="U23" s="112">
        <v>19</v>
      </c>
      <c r="V23" s="112">
        <v>20</v>
      </c>
      <c r="W23" s="112">
        <v>21</v>
      </c>
      <c r="X23" s="112">
        <v>22</v>
      </c>
      <c r="Y23" s="112">
        <v>23</v>
      </c>
      <c r="Z23" s="112">
        <v>24</v>
      </c>
      <c r="AA23" s="112">
        <v>25</v>
      </c>
      <c r="AB23" s="112">
        <v>26</v>
      </c>
      <c r="AC23" s="112">
        <v>27</v>
      </c>
      <c r="AD23" s="112">
        <v>28</v>
      </c>
      <c r="AE23" s="112">
        <v>29</v>
      </c>
      <c r="AF23" s="112">
        <v>30</v>
      </c>
      <c r="AG23" s="113">
        <v>31</v>
      </c>
    </row>
    <row r="24" spans="2:33" ht="14.4" thickTop="1" thickBot="1">
      <c r="B24" s="110" t="str">
        <f>CurYear</f>
        <v>2019</v>
      </c>
      <c r="C24" s="36" t="str">
        <f>Roster!D$120</f>
        <v>.</v>
      </c>
      <c r="D24" s="37" t="str">
        <f>Roster!E$120</f>
        <v>.</v>
      </c>
      <c r="E24" s="37" t="str">
        <f>Roster!F$120</f>
        <v>.</v>
      </c>
      <c r="F24" s="37" t="str">
        <f>Roster!G$120</f>
        <v>.</v>
      </c>
      <c r="G24" s="37" t="str">
        <f>Roster!H$120</f>
        <v>.</v>
      </c>
      <c r="H24" s="37" t="str">
        <f>Roster!I120</f>
        <v>.</v>
      </c>
      <c r="I24" s="37" t="str">
        <f>Roster!J120</f>
        <v>.</v>
      </c>
      <c r="J24" s="37" t="str">
        <f>Roster!K120</f>
        <v>.</v>
      </c>
      <c r="K24" s="37" t="str">
        <f>Roster!L120</f>
        <v>.</v>
      </c>
      <c r="L24" s="37" t="str">
        <f>Roster!M120</f>
        <v>.</v>
      </c>
      <c r="M24" s="37" t="str">
        <f>Roster!N120</f>
        <v>.</v>
      </c>
      <c r="N24" s="37" t="str">
        <f>Roster!O120</f>
        <v>.</v>
      </c>
      <c r="O24" s="37" t="str">
        <f>Roster!P120</f>
        <v>.</v>
      </c>
      <c r="P24" s="37" t="str">
        <f>Roster!Q120</f>
        <v>.</v>
      </c>
      <c r="Q24" s="37" t="str">
        <f>Roster!R120</f>
        <v>.</v>
      </c>
      <c r="R24" s="37" t="str">
        <f>Roster!S120</f>
        <v>.</v>
      </c>
      <c r="S24" s="37" t="str">
        <f>Roster!T120</f>
        <v>.</v>
      </c>
      <c r="T24" s="37" t="str">
        <f>Roster!U120</f>
        <v>.</v>
      </c>
      <c r="U24" s="37" t="str">
        <f>Roster!V120</f>
        <v>.</v>
      </c>
      <c r="V24" s="37" t="str">
        <f>Roster!W120</f>
        <v>.</v>
      </c>
      <c r="W24" s="37" t="str">
        <f>Roster!X120</f>
        <v>.</v>
      </c>
      <c r="X24" s="37" t="str">
        <f>Roster!Y120</f>
        <v>.</v>
      </c>
      <c r="Y24" s="37" t="str">
        <f>Roster!Z120</f>
        <v>.</v>
      </c>
      <c r="Z24" s="37" t="str">
        <f>Roster!AA120</f>
        <v>.</v>
      </c>
      <c r="AA24" s="37" t="str">
        <f>Roster!AB120</f>
        <v>.</v>
      </c>
      <c r="AB24" s="37" t="str">
        <f>Roster!AC120</f>
        <v>.</v>
      </c>
      <c r="AC24" s="37" t="str">
        <f>Roster!AD120</f>
        <v>.</v>
      </c>
      <c r="AD24" s="37" t="str">
        <f>Roster!AE120</f>
        <v>.</v>
      </c>
      <c r="AE24" s="37" t="str">
        <f>Roster!AF120</f>
        <v>.</v>
      </c>
      <c r="AF24" s="37" t="str">
        <f>Roster!AG120</f>
        <v>.</v>
      </c>
      <c r="AG24" s="38" t="str">
        <f>Roster!AH120</f>
        <v>.</v>
      </c>
    </row>
    <row r="25" spans="2:33" s="26" customFormat="1" ht="14.4" thickTop="1" thickBot="1">
      <c r="B25" s="47"/>
      <c r="C25" s="47" t="str">
        <f t="shared" ref="C25:AE25" si="7">LEFT(TEXT(C26&amp;"-"&amp;$B26&amp;"-"&amp;CurYear,"ddd"),2)</f>
        <v>Fr</v>
      </c>
      <c r="D25" s="128" t="str">
        <f t="shared" si="7"/>
        <v>Sa</v>
      </c>
      <c r="E25" s="128" t="str">
        <f t="shared" si="7"/>
        <v>Su</v>
      </c>
      <c r="F25" s="128" t="str">
        <f t="shared" si="7"/>
        <v>Mo</v>
      </c>
      <c r="G25" s="128" t="str">
        <f t="shared" si="7"/>
        <v>Tu</v>
      </c>
      <c r="H25" s="128" t="str">
        <f t="shared" si="7"/>
        <v>We</v>
      </c>
      <c r="I25" s="128" t="str">
        <f t="shared" si="7"/>
        <v>Th</v>
      </c>
      <c r="J25" s="128" t="str">
        <f t="shared" si="7"/>
        <v>Fr</v>
      </c>
      <c r="K25" s="128" t="str">
        <f t="shared" si="7"/>
        <v>Sa</v>
      </c>
      <c r="L25" s="128" t="str">
        <f t="shared" si="7"/>
        <v>Su</v>
      </c>
      <c r="M25" s="128" t="str">
        <f t="shared" si="7"/>
        <v>Mo</v>
      </c>
      <c r="N25" s="128" t="str">
        <f t="shared" si="7"/>
        <v>Tu</v>
      </c>
      <c r="O25" s="128" t="str">
        <f t="shared" si="7"/>
        <v>We</v>
      </c>
      <c r="P25" s="128" t="str">
        <f t="shared" si="7"/>
        <v>Th</v>
      </c>
      <c r="Q25" s="128" t="str">
        <f t="shared" si="7"/>
        <v>Fr</v>
      </c>
      <c r="R25" s="128" t="str">
        <f t="shared" si="7"/>
        <v>Sa</v>
      </c>
      <c r="S25" s="128" t="str">
        <f t="shared" si="7"/>
        <v>Su</v>
      </c>
      <c r="T25" s="128" t="str">
        <f t="shared" si="7"/>
        <v>Mo</v>
      </c>
      <c r="U25" s="128" t="str">
        <f t="shared" si="7"/>
        <v>Tu</v>
      </c>
      <c r="V25" s="128" t="str">
        <f t="shared" si="7"/>
        <v>We</v>
      </c>
      <c r="W25" s="128" t="str">
        <f t="shared" si="7"/>
        <v>Th</v>
      </c>
      <c r="X25" s="128" t="str">
        <f t="shared" si="7"/>
        <v>Fr</v>
      </c>
      <c r="Y25" s="128" t="str">
        <f t="shared" si="7"/>
        <v>Sa</v>
      </c>
      <c r="Z25" s="128" t="str">
        <f t="shared" si="7"/>
        <v>Su</v>
      </c>
      <c r="AA25" s="128" t="str">
        <f t="shared" si="7"/>
        <v>Mo</v>
      </c>
      <c r="AB25" s="128" t="str">
        <f t="shared" si="7"/>
        <v>Tu</v>
      </c>
      <c r="AC25" s="128" t="str">
        <f t="shared" si="7"/>
        <v>We</v>
      </c>
      <c r="AD25" s="128" t="str">
        <f t="shared" si="7"/>
        <v>Th</v>
      </c>
      <c r="AE25" s="144" t="str">
        <f t="shared" si="7"/>
        <v>29</v>
      </c>
      <c r="AF25" s="123"/>
      <c r="AG25" s="123"/>
    </row>
    <row r="26" spans="2:33" ht="14.4" thickTop="1" thickBot="1">
      <c r="B26" s="110" t="str">
        <f>Roster!$C$134</f>
        <v>February</v>
      </c>
      <c r="C26" s="111">
        <v>1</v>
      </c>
      <c r="D26" s="119">
        <v>2</v>
      </c>
      <c r="E26" s="119">
        <v>3</v>
      </c>
      <c r="F26" s="119">
        <v>4</v>
      </c>
      <c r="G26" s="119">
        <v>5</v>
      </c>
      <c r="H26" s="119">
        <v>6</v>
      </c>
      <c r="I26" s="119">
        <v>7</v>
      </c>
      <c r="J26" s="119">
        <v>8</v>
      </c>
      <c r="K26" s="119">
        <v>9</v>
      </c>
      <c r="L26" s="119">
        <v>10</v>
      </c>
      <c r="M26" s="119">
        <v>11</v>
      </c>
      <c r="N26" s="119">
        <v>12</v>
      </c>
      <c r="O26" s="119">
        <v>13</v>
      </c>
      <c r="P26" s="119">
        <v>14</v>
      </c>
      <c r="Q26" s="119">
        <v>15</v>
      </c>
      <c r="R26" s="119">
        <v>16</v>
      </c>
      <c r="S26" s="119">
        <v>17</v>
      </c>
      <c r="T26" s="119">
        <v>18</v>
      </c>
      <c r="U26" s="119">
        <v>19</v>
      </c>
      <c r="V26" s="119">
        <v>20</v>
      </c>
      <c r="W26" s="119">
        <v>21</v>
      </c>
      <c r="X26" s="119">
        <v>22</v>
      </c>
      <c r="Y26" s="119">
        <v>23</v>
      </c>
      <c r="Z26" s="119">
        <v>24</v>
      </c>
      <c r="AA26" s="119">
        <v>25</v>
      </c>
      <c r="AB26" s="119">
        <v>26</v>
      </c>
      <c r="AC26" s="119">
        <v>27</v>
      </c>
      <c r="AD26" s="124">
        <v>28</v>
      </c>
      <c r="AE26" s="129">
        <v>29</v>
      </c>
      <c r="AF26" s="106"/>
    </row>
    <row r="27" spans="2:33" ht="14.4" thickTop="1" thickBot="1">
      <c r="B27" s="110" t="str">
        <f>CurYear</f>
        <v>2019</v>
      </c>
      <c r="C27" s="36" t="str">
        <f>Roster!$D$135</f>
        <v>.</v>
      </c>
      <c r="D27" s="37" t="str">
        <f>Roster!E135</f>
        <v>.</v>
      </c>
      <c r="E27" s="37" t="str">
        <f>Roster!F135</f>
        <v>.</v>
      </c>
      <c r="F27" s="37" t="str">
        <f>Roster!G135</f>
        <v>.</v>
      </c>
      <c r="G27" s="37" t="str">
        <f>Roster!H135</f>
        <v>.</v>
      </c>
      <c r="H27" s="37" t="str">
        <f>Roster!I135</f>
        <v>.</v>
      </c>
      <c r="I27" s="37" t="str">
        <f>Roster!J135</f>
        <v>.</v>
      </c>
      <c r="J27" s="37" t="str">
        <f>Roster!K135</f>
        <v>.</v>
      </c>
      <c r="K27" s="37" t="str">
        <f>Roster!L135</f>
        <v>.</v>
      </c>
      <c r="L27" s="37" t="str">
        <f>Roster!M135</f>
        <v>.</v>
      </c>
      <c r="M27" s="37" t="str">
        <f>Roster!N135</f>
        <v>.</v>
      </c>
      <c r="N27" s="37" t="str">
        <f>Roster!O135</f>
        <v>.</v>
      </c>
      <c r="O27" s="37" t="str">
        <f>Roster!P135</f>
        <v>.</v>
      </c>
      <c r="P27" s="37" t="str">
        <f>Roster!Q135</f>
        <v>.</v>
      </c>
      <c r="Q27" s="37" t="str">
        <f>Roster!R135</f>
        <v>.</v>
      </c>
      <c r="R27" s="37" t="str">
        <f>Roster!S135</f>
        <v>.</v>
      </c>
      <c r="S27" s="37" t="str">
        <f>Roster!T135</f>
        <v>.</v>
      </c>
      <c r="T27" s="37" t="str">
        <f>Roster!U135</f>
        <v>.</v>
      </c>
      <c r="U27" s="37" t="str">
        <f>Roster!V135</f>
        <v>.</v>
      </c>
      <c r="V27" s="37" t="str">
        <f>Roster!W135</f>
        <v>.</v>
      </c>
      <c r="W27" s="37" t="str">
        <f>Roster!X135</f>
        <v>.</v>
      </c>
      <c r="X27" s="37" t="str">
        <f>Roster!Y135</f>
        <v>.</v>
      </c>
      <c r="Y27" s="37" t="str">
        <f>Roster!Z135</f>
        <v>.</v>
      </c>
      <c r="Z27" s="37" t="str">
        <f>Roster!AA135</f>
        <v>.</v>
      </c>
      <c r="AA27" s="37" t="str">
        <f>Roster!AB135</f>
        <v>.</v>
      </c>
      <c r="AB27" s="37" t="str">
        <f>Roster!AC135</f>
        <v>.</v>
      </c>
      <c r="AC27" s="37" t="str">
        <f>Roster!AD135</f>
        <v>.</v>
      </c>
      <c r="AD27" s="43" t="str">
        <f>Roster!AE135</f>
        <v>.</v>
      </c>
      <c r="AE27" s="130">
        <f>Roster!AF135</f>
        <v>0</v>
      </c>
    </row>
    <row r="28" spans="2:33" s="26" customFormat="1" ht="14.4" thickTop="1" thickBot="1">
      <c r="B28" s="47"/>
      <c r="C28" s="47" t="str">
        <f t="shared" ref="C28:AG28" si="8">LEFT(TEXT(C29&amp;"-"&amp;$B29&amp;"-"&amp;CurYear,"ddd"),2)</f>
        <v>Fr</v>
      </c>
      <c r="D28" s="25" t="str">
        <f t="shared" si="8"/>
        <v>Sa</v>
      </c>
      <c r="E28" s="25" t="str">
        <f t="shared" si="8"/>
        <v>Su</v>
      </c>
      <c r="F28" s="25" t="str">
        <f t="shared" si="8"/>
        <v>Mo</v>
      </c>
      <c r="G28" s="25" t="str">
        <f t="shared" si="8"/>
        <v>Tu</v>
      </c>
      <c r="H28" s="25" t="str">
        <f t="shared" si="8"/>
        <v>We</v>
      </c>
      <c r="I28" s="25" t="str">
        <f t="shared" si="8"/>
        <v>Th</v>
      </c>
      <c r="J28" s="25" t="str">
        <f t="shared" si="8"/>
        <v>Fr</v>
      </c>
      <c r="K28" s="25" t="str">
        <f t="shared" si="8"/>
        <v>Sa</v>
      </c>
      <c r="L28" s="25" t="str">
        <f t="shared" si="8"/>
        <v>Su</v>
      </c>
      <c r="M28" s="25" t="str">
        <f t="shared" si="8"/>
        <v>Mo</v>
      </c>
      <c r="N28" s="25" t="str">
        <f t="shared" si="8"/>
        <v>Tu</v>
      </c>
      <c r="O28" s="25" t="str">
        <f t="shared" si="8"/>
        <v>We</v>
      </c>
      <c r="P28" s="25" t="str">
        <f t="shared" si="8"/>
        <v>Th</v>
      </c>
      <c r="Q28" s="25" t="str">
        <f t="shared" si="8"/>
        <v>Fr</v>
      </c>
      <c r="R28" s="25" t="str">
        <f t="shared" si="8"/>
        <v>Sa</v>
      </c>
      <c r="S28" s="25" t="str">
        <f t="shared" si="8"/>
        <v>Su</v>
      </c>
      <c r="T28" s="25" t="str">
        <f t="shared" si="8"/>
        <v>Mo</v>
      </c>
      <c r="U28" s="25" t="str">
        <f t="shared" si="8"/>
        <v>Tu</v>
      </c>
      <c r="V28" s="25" t="str">
        <f t="shared" si="8"/>
        <v>We</v>
      </c>
      <c r="W28" s="25" t="str">
        <f t="shared" si="8"/>
        <v>Th</v>
      </c>
      <c r="X28" s="25" t="str">
        <f t="shared" si="8"/>
        <v>Fr</v>
      </c>
      <c r="Y28" s="25" t="str">
        <f t="shared" si="8"/>
        <v>Sa</v>
      </c>
      <c r="Z28" s="25" t="str">
        <f t="shared" si="8"/>
        <v>Su</v>
      </c>
      <c r="AA28" s="25" t="str">
        <f t="shared" si="8"/>
        <v>Mo</v>
      </c>
      <c r="AB28" s="25" t="str">
        <f t="shared" si="8"/>
        <v>Tu</v>
      </c>
      <c r="AC28" s="25" t="str">
        <f t="shared" si="8"/>
        <v>We</v>
      </c>
      <c r="AD28" s="25" t="str">
        <f t="shared" si="8"/>
        <v>Th</v>
      </c>
      <c r="AE28" s="45" t="str">
        <f t="shared" si="8"/>
        <v>Fr</v>
      </c>
      <c r="AF28" s="26" t="str">
        <f t="shared" si="8"/>
        <v>Sa</v>
      </c>
      <c r="AG28" s="26" t="str">
        <f t="shared" si="8"/>
        <v>Su</v>
      </c>
    </row>
    <row r="29" spans="2:33" ht="14.4" thickTop="1" thickBot="1">
      <c r="B29" s="110" t="str">
        <f>Roster!$C$149</f>
        <v>March</v>
      </c>
      <c r="C29" s="111">
        <v>1</v>
      </c>
      <c r="D29" s="112">
        <v>2</v>
      </c>
      <c r="E29" s="112">
        <v>3</v>
      </c>
      <c r="F29" s="112">
        <v>4</v>
      </c>
      <c r="G29" s="112">
        <v>5</v>
      </c>
      <c r="H29" s="112">
        <v>6</v>
      </c>
      <c r="I29" s="112">
        <v>7</v>
      </c>
      <c r="J29" s="112">
        <v>8</v>
      </c>
      <c r="K29" s="112">
        <v>9</v>
      </c>
      <c r="L29" s="112">
        <v>10</v>
      </c>
      <c r="M29" s="112">
        <v>11</v>
      </c>
      <c r="N29" s="112">
        <v>12</v>
      </c>
      <c r="O29" s="112">
        <v>13</v>
      </c>
      <c r="P29" s="112">
        <v>14</v>
      </c>
      <c r="Q29" s="112">
        <v>15</v>
      </c>
      <c r="R29" s="112">
        <v>16</v>
      </c>
      <c r="S29" s="112">
        <v>17</v>
      </c>
      <c r="T29" s="112">
        <v>18</v>
      </c>
      <c r="U29" s="112">
        <v>19</v>
      </c>
      <c r="V29" s="112">
        <v>20</v>
      </c>
      <c r="W29" s="112">
        <v>21</v>
      </c>
      <c r="X29" s="112">
        <v>22</v>
      </c>
      <c r="Y29" s="112">
        <v>23</v>
      </c>
      <c r="Z29" s="112">
        <v>24</v>
      </c>
      <c r="AA29" s="112">
        <v>25</v>
      </c>
      <c r="AB29" s="112">
        <v>26</v>
      </c>
      <c r="AC29" s="112">
        <v>27</v>
      </c>
      <c r="AD29" s="112">
        <v>28</v>
      </c>
      <c r="AE29" s="112">
        <v>29</v>
      </c>
      <c r="AF29" s="112">
        <v>30</v>
      </c>
      <c r="AG29" s="113">
        <v>31</v>
      </c>
    </row>
    <row r="30" spans="2:33" ht="14.4" thickTop="1" thickBot="1">
      <c r="B30" s="110" t="str">
        <f>CurYear</f>
        <v>2019</v>
      </c>
      <c r="C30" s="36" t="str">
        <f>Roster!D150</f>
        <v>.</v>
      </c>
      <c r="D30" s="37" t="str">
        <f>Roster!E150</f>
        <v>.</v>
      </c>
      <c r="E30" s="37" t="str">
        <f>Roster!F150</f>
        <v>.</v>
      </c>
      <c r="F30" s="37" t="str">
        <f>Roster!G150</f>
        <v>.</v>
      </c>
      <c r="G30" s="37" t="str">
        <f>Roster!H150</f>
        <v>.</v>
      </c>
      <c r="H30" s="37" t="str">
        <f>Roster!I150</f>
        <v>.</v>
      </c>
      <c r="I30" s="37" t="str">
        <f>Roster!J150</f>
        <v>.</v>
      </c>
      <c r="J30" s="37" t="str">
        <f>Roster!K150</f>
        <v>.</v>
      </c>
      <c r="K30" s="37" t="str">
        <f>Roster!L150</f>
        <v>.</v>
      </c>
      <c r="L30" s="37" t="str">
        <f>Roster!M150</f>
        <v>.</v>
      </c>
      <c r="M30" s="37" t="str">
        <f>Roster!N150</f>
        <v>.</v>
      </c>
      <c r="N30" s="37" t="str">
        <f>Roster!O150</f>
        <v>.</v>
      </c>
      <c r="O30" s="37" t="str">
        <f>Roster!P150</f>
        <v>.</v>
      </c>
      <c r="P30" s="37" t="str">
        <f>Roster!Q150</f>
        <v>.</v>
      </c>
      <c r="Q30" s="37" t="str">
        <f>Roster!R150</f>
        <v>.</v>
      </c>
      <c r="R30" s="37" t="str">
        <f>Roster!S150</f>
        <v>.</v>
      </c>
      <c r="S30" s="37" t="str">
        <f>Roster!T150</f>
        <v>.</v>
      </c>
      <c r="T30" s="37" t="str">
        <f>Roster!U150</f>
        <v>.</v>
      </c>
      <c r="U30" s="37" t="str">
        <f>Roster!V150</f>
        <v>.</v>
      </c>
      <c r="V30" s="37" t="str">
        <f>Roster!W150</f>
        <v>.</v>
      </c>
      <c r="W30" s="37" t="str">
        <f>Roster!X150</f>
        <v>.</v>
      </c>
      <c r="X30" s="37" t="str">
        <f>Roster!Y150</f>
        <v>.</v>
      </c>
      <c r="Y30" s="37" t="str">
        <f>Roster!Z150</f>
        <v>.</v>
      </c>
      <c r="Z30" s="37" t="str">
        <f>Roster!AA150</f>
        <v>.</v>
      </c>
      <c r="AA30" s="37" t="str">
        <f>Roster!AB150</f>
        <v>.</v>
      </c>
      <c r="AB30" s="37" t="str">
        <f>Roster!AC150</f>
        <v>.</v>
      </c>
      <c r="AC30" s="37" t="str">
        <f>Roster!AD150</f>
        <v>.</v>
      </c>
      <c r="AD30" s="37" t="str">
        <f>Roster!AE150</f>
        <v>.</v>
      </c>
      <c r="AE30" s="37" t="str">
        <f>Roster!AF150</f>
        <v>.</v>
      </c>
      <c r="AF30" s="37" t="str">
        <f>Roster!AG150</f>
        <v>.</v>
      </c>
      <c r="AG30" s="38" t="str">
        <f>Roster!AH150</f>
        <v>.</v>
      </c>
    </row>
    <row r="31" spans="2:33" s="26" customFormat="1" ht="14.4" thickTop="1" thickBot="1">
      <c r="B31" s="47"/>
      <c r="C31" s="47" t="str">
        <f t="shared" ref="C31:AF31" si="9">LEFT(TEXT(C32&amp;"-"&amp;$B32&amp;"-"&amp;CurYear,"ddd"),2)</f>
        <v>Mo</v>
      </c>
      <c r="D31" s="25" t="str">
        <f t="shared" si="9"/>
        <v>Tu</v>
      </c>
      <c r="E31" s="25" t="str">
        <f t="shared" si="9"/>
        <v>We</v>
      </c>
      <c r="F31" s="25" t="str">
        <f t="shared" si="9"/>
        <v>Th</v>
      </c>
      <c r="G31" s="25" t="str">
        <f t="shared" si="9"/>
        <v>Fr</v>
      </c>
      <c r="H31" s="25" t="str">
        <f t="shared" si="9"/>
        <v>Sa</v>
      </c>
      <c r="I31" s="25" t="str">
        <f t="shared" si="9"/>
        <v>Su</v>
      </c>
      <c r="J31" s="25" t="str">
        <f t="shared" si="9"/>
        <v>Mo</v>
      </c>
      <c r="K31" s="25" t="str">
        <f t="shared" si="9"/>
        <v>Tu</v>
      </c>
      <c r="L31" s="25" t="str">
        <f t="shared" si="9"/>
        <v>We</v>
      </c>
      <c r="M31" s="25" t="str">
        <f t="shared" si="9"/>
        <v>Th</v>
      </c>
      <c r="N31" s="25" t="str">
        <f t="shared" si="9"/>
        <v>Fr</v>
      </c>
      <c r="O31" s="25" t="str">
        <f t="shared" si="9"/>
        <v>Sa</v>
      </c>
      <c r="P31" s="25" t="str">
        <f t="shared" si="9"/>
        <v>Su</v>
      </c>
      <c r="Q31" s="25" t="str">
        <f t="shared" si="9"/>
        <v>Mo</v>
      </c>
      <c r="R31" s="25" t="str">
        <f t="shared" si="9"/>
        <v>Tu</v>
      </c>
      <c r="S31" s="25" t="str">
        <f t="shared" si="9"/>
        <v>We</v>
      </c>
      <c r="T31" s="25" t="str">
        <f t="shared" si="9"/>
        <v>Th</v>
      </c>
      <c r="U31" s="25" t="str">
        <f t="shared" si="9"/>
        <v>Fr</v>
      </c>
      <c r="V31" s="25" t="str">
        <f t="shared" si="9"/>
        <v>Sa</v>
      </c>
      <c r="W31" s="25" t="str">
        <f t="shared" si="9"/>
        <v>Su</v>
      </c>
      <c r="X31" s="25" t="str">
        <f t="shared" si="9"/>
        <v>Mo</v>
      </c>
      <c r="Y31" s="25" t="str">
        <f t="shared" si="9"/>
        <v>Tu</v>
      </c>
      <c r="Z31" s="25" t="str">
        <f t="shared" si="9"/>
        <v>We</v>
      </c>
      <c r="AA31" s="25" t="str">
        <f t="shared" si="9"/>
        <v>Th</v>
      </c>
      <c r="AB31" s="25" t="str">
        <f t="shared" si="9"/>
        <v>Fr</v>
      </c>
      <c r="AC31" s="25" t="str">
        <f t="shared" si="9"/>
        <v>Sa</v>
      </c>
      <c r="AD31" s="25" t="str">
        <f t="shared" si="9"/>
        <v>Su</v>
      </c>
      <c r="AE31" s="25" t="str">
        <f t="shared" si="9"/>
        <v>Mo</v>
      </c>
      <c r="AF31" s="25" t="str">
        <f t="shared" si="9"/>
        <v>Tu</v>
      </c>
      <c r="AG31" s="125"/>
    </row>
    <row r="32" spans="2:33" ht="14.4" thickTop="1" thickBot="1">
      <c r="B32" s="110" t="str">
        <f>Roster!$C$164</f>
        <v>April</v>
      </c>
      <c r="C32" s="111">
        <v>1</v>
      </c>
      <c r="D32" s="112">
        <v>2</v>
      </c>
      <c r="E32" s="112">
        <v>3</v>
      </c>
      <c r="F32" s="112">
        <v>4</v>
      </c>
      <c r="G32" s="112">
        <v>5</v>
      </c>
      <c r="H32" s="112">
        <v>6</v>
      </c>
      <c r="I32" s="112">
        <v>7</v>
      </c>
      <c r="J32" s="112">
        <v>8</v>
      </c>
      <c r="K32" s="112">
        <v>9</v>
      </c>
      <c r="L32" s="112">
        <v>10</v>
      </c>
      <c r="M32" s="112">
        <v>11</v>
      </c>
      <c r="N32" s="112">
        <v>12</v>
      </c>
      <c r="O32" s="112">
        <v>13</v>
      </c>
      <c r="P32" s="112">
        <v>14</v>
      </c>
      <c r="Q32" s="112">
        <v>15</v>
      </c>
      <c r="R32" s="112">
        <v>16</v>
      </c>
      <c r="S32" s="112">
        <v>17</v>
      </c>
      <c r="T32" s="112">
        <v>18</v>
      </c>
      <c r="U32" s="112">
        <v>19</v>
      </c>
      <c r="V32" s="112">
        <v>20</v>
      </c>
      <c r="W32" s="112">
        <v>21</v>
      </c>
      <c r="X32" s="112">
        <v>22</v>
      </c>
      <c r="Y32" s="112">
        <v>23</v>
      </c>
      <c r="Z32" s="112">
        <v>24</v>
      </c>
      <c r="AA32" s="112">
        <v>25</v>
      </c>
      <c r="AB32" s="112">
        <v>26</v>
      </c>
      <c r="AC32" s="112">
        <v>27</v>
      </c>
      <c r="AD32" s="112">
        <v>28</v>
      </c>
      <c r="AE32" s="112">
        <v>29</v>
      </c>
      <c r="AF32" s="113">
        <v>30</v>
      </c>
    </row>
    <row r="33" spans="2:33" ht="14.4" thickTop="1" thickBot="1">
      <c r="B33" s="110" t="str">
        <f>CurYear</f>
        <v>2019</v>
      </c>
      <c r="C33" s="36" t="str">
        <f>Roster!D165</f>
        <v>.</v>
      </c>
      <c r="D33" s="37" t="str">
        <f>Roster!E165</f>
        <v>.</v>
      </c>
      <c r="E33" s="37" t="str">
        <f>Roster!F165</f>
        <v>.</v>
      </c>
      <c r="F33" s="37" t="str">
        <f>Roster!G165</f>
        <v>.</v>
      </c>
      <c r="G33" s="37" t="str">
        <f>Roster!H165</f>
        <v>.</v>
      </c>
      <c r="H33" s="37" t="str">
        <f>Roster!I165</f>
        <v>.</v>
      </c>
      <c r="I33" s="37" t="str">
        <f>Roster!J165</f>
        <v>.</v>
      </c>
      <c r="J33" s="37" t="str">
        <f>Roster!K165</f>
        <v>.</v>
      </c>
      <c r="K33" s="37" t="str">
        <f>Roster!L165</f>
        <v>.</v>
      </c>
      <c r="L33" s="37" t="str">
        <f>Roster!M165</f>
        <v>.</v>
      </c>
      <c r="M33" s="37" t="str">
        <f>Roster!N165</f>
        <v>.</v>
      </c>
      <c r="N33" s="37" t="str">
        <f>Roster!O165</f>
        <v>.</v>
      </c>
      <c r="O33" s="37" t="str">
        <f>Roster!P165</f>
        <v>.</v>
      </c>
      <c r="P33" s="37" t="str">
        <f>Roster!Q165</f>
        <v>.</v>
      </c>
      <c r="Q33" s="37" t="str">
        <f>Roster!R165</f>
        <v>.</v>
      </c>
      <c r="R33" s="37" t="str">
        <f>Roster!S165</f>
        <v>.</v>
      </c>
      <c r="S33" s="37" t="str">
        <f>Roster!T165</f>
        <v>.</v>
      </c>
      <c r="T33" s="37" t="str">
        <f>Roster!U165</f>
        <v>.</v>
      </c>
      <c r="U33" s="37" t="str">
        <f>Roster!V165</f>
        <v>.</v>
      </c>
      <c r="V33" s="37" t="str">
        <f>Roster!W165</f>
        <v>.</v>
      </c>
      <c r="W33" s="37" t="str">
        <f>Roster!X165</f>
        <v>.</v>
      </c>
      <c r="X33" s="37" t="str">
        <f>Roster!Y165</f>
        <v>.</v>
      </c>
      <c r="Y33" s="37" t="str">
        <f>Roster!Z165</f>
        <v>.</v>
      </c>
      <c r="Z33" s="37" t="str">
        <f>Roster!AA165</f>
        <v>.</v>
      </c>
      <c r="AA33" s="37" t="str">
        <f>Roster!AB165</f>
        <v>.</v>
      </c>
      <c r="AB33" s="37" t="str">
        <f>Roster!AC165</f>
        <v>.</v>
      </c>
      <c r="AC33" s="37" t="str">
        <f>Roster!AD165</f>
        <v>.</v>
      </c>
      <c r="AD33" s="37" t="str">
        <f>Roster!AE165</f>
        <v>.</v>
      </c>
      <c r="AE33" s="37" t="str">
        <f>Roster!AF165</f>
        <v>.</v>
      </c>
      <c r="AF33" s="38" t="str">
        <f>Roster!AG165</f>
        <v>.</v>
      </c>
    </row>
    <row r="34" spans="2:33" ht="14.4" thickTop="1" thickBot="1">
      <c r="C34" s="21" t="str">
        <f t="shared" ref="C34:AG34" si="10">LEFT(TEXT(C35&amp;"-"&amp;$B35&amp;"-"&amp;CurYear,"ddd"),2)</f>
        <v>We</v>
      </c>
      <c r="D34" s="21" t="str">
        <f t="shared" si="10"/>
        <v>Th</v>
      </c>
      <c r="E34" s="21" t="str">
        <f t="shared" si="10"/>
        <v>Fr</v>
      </c>
      <c r="F34" s="21" t="str">
        <f t="shared" si="10"/>
        <v>Sa</v>
      </c>
      <c r="G34" s="21" t="str">
        <f t="shared" si="10"/>
        <v>Su</v>
      </c>
      <c r="H34" s="21" t="str">
        <f t="shared" si="10"/>
        <v>Mo</v>
      </c>
      <c r="I34" s="21" t="str">
        <f t="shared" si="10"/>
        <v>Tu</v>
      </c>
      <c r="J34" s="21" t="str">
        <f t="shared" si="10"/>
        <v>We</v>
      </c>
      <c r="K34" s="21" t="str">
        <f t="shared" si="10"/>
        <v>Th</v>
      </c>
      <c r="L34" s="21" t="str">
        <f t="shared" si="10"/>
        <v>Fr</v>
      </c>
      <c r="M34" s="21" t="str">
        <f t="shared" si="10"/>
        <v>Sa</v>
      </c>
      <c r="N34" s="21" t="str">
        <f t="shared" si="10"/>
        <v>Su</v>
      </c>
      <c r="O34" s="21" t="str">
        <f t="shared" si="10"/>
        <v>Mo</v>
      </c>
      <c r="P34" s="21" t="str">
        <f t="shared" si="10"/>
        <v>Tu</v>
      </c>
      <c r="Q34" s="21" t="str">
        <f t="shared" si="10"/>
        <v>We</v>
      </c>
      <c r="R34" s="21" t="str">
        <f t="shared" si="10"/>
        <v>Th</v>
      </c>
      <c r="S34" s="21" t="str">
        <f t="shared" si="10"/>
        <v>Fr</v>
      </c>
      <c r="T34" s="21" t="str">
        <f t="shared" si="10"/>
        <v>Sa</v>
      </c>
      <c r="U34" s="21" t="str">
        <f t="shared" si="10"/>
        <v>Su</v>
      </c>
      <c r="V34" s="21" t="str">
        <f t="shared" si="10"/>
        <v>Mo</v>
      </c>
      <c r="W34" s="21" t="str">
        <f t="shared" si="10"/>
        <v>Tu</v>
      </c>
      <c r="X34" s="21" t="str">
        <f t="shared" si="10"/>
        <v>We</v>
      </c>
      <c r="Y34" s="21" t="str">
        <f t="shared" si="10"/>
        <v>Th</v>
      </c>
      <c r="Z34" s="21" t="str">
        <f t="shared" si="10"/>
        <v>Fr</v>
      </c>
      <c r="AA34" s="21" t="str">
        <f t="shared" si="10"/>
        <v>Sa</v>
      </c>
      <c r="AB34" s="21" t="str">
        <f t="shared" si="10"/>
        <v>Su</v>
      </c>
      <c r="AC34" s="21" t="str">
        <f t="shared" si="10"/>
        <v>Mo</v>
      </c>
      <c r="AD34" s="21" t="str">
        <f t="shared" si="10"/>
        <v>Tu</v>
      </c>
      <c r="AE34" s="21" t="str">
        <f t="shared" si="10"/>
        <v>We</v>
      </c>
      <c r="AF34" s="21" t="str">
        <f t="shared" si="10"/>
        <v>Th</v>
      </c>
      <c r="AG34" s="20" t="str">
        <f t="shared" si="10"/>
        <v>Fr</v>
      </c>
    </row>
    <row r="35" spans="2:33" ht="14.4" thickTop="1" thickBot="1">
      <c r="B35" s="110" t="str">
        <f>Roster!$C$179</f>
        <v>May</v>
      </c>
      <c r="C35" s="111">
        <v>1</v>
      </c>
      <c r="D35" s="112">
        <v>2</v>
      </c>
      <c r="E35" s="112">
        <v>3</v>
      </c>
      <c r="F35" s="112">
        <v>4</v>
      </c>
      <c r="G35" s="112">
        <v>5</v>
      </c>
      <c r="H35" s="112">
        <v>6</v>
      </c>
      <c r="I35" s="112">
        <v>7</v>
      </c>
      <c r="J35" s="112">
        <v>8</v>
      </c>
      <c r="K35" s="112">
        <v>9</v>
      </c>
      <c r="L35" s="112">
        <v>10</v>
      </c>
      <c r="M35" s="112">
        <v>11</v>
      </c>
      <c r="N35" s="112">
        <v>12</v>
      </c>
      <c r="O35" s="112">
        <v>13</v>
      </c>
      <c r="P35" s="112">
        <v>14</v>
      </c>
      <c r="Q35" s="112">
        <v>15</v>
      </c>
      <c r="R35" s="112">
        <v>16</v>
      </c>
      <c r="S35" s="112">
        <v>17</v>
      </c>
      <c r="T35" s="112">
        <v>18</v>
      </c>
      <c r="U35" s="112">
        <v>19</v>
      </c>
      <c r="V35" s="112">
        <v>20</v>
      </c>
      <c r="W35" s="112">
        <v>21</v>
      </c>
      <c r="X35" s="112">
        <v>22</v>
      </c>
      <c r="Y35" s="112">
        <v>23</v>
      </c>
      <c r="Z35" s="112">
        <v>24</v>
      </c>
      <c r="AA35" s="112">
        <v>25</v>
      </c>
      <c r="AB35" s="112">
        <v>26</v>
      </c>
      <c r="AC35" s="112">
        <v>27</v>
      </c>
      <c r="AD35" s="112">
        <v>28</v>
      </c>
      <c r="AE35" s="112">
        <v>29</v>
      </c>
      <c r="AF35" s="112">
        <v>30</v>
      </c>
      <c r="AG35" s="113">
        <v>31</v>
      </c>
    </row>
    <row r="36" spans="2:33" ht="14.4" thickTop="1" thickBot="1">
      <c r="B36" s="110" t="str">
        <f>CurYear</f>
        <v>2019</v>
      </c>
      <c r="C36" s="36" t="str">
        <f>Roster!D180</f>
        <v>.</v>
      </c>
      <c r="D36" s="37" t="str">
        <f>Roster!E180</f>
        <v>.</v>
      </c>
      <c r="E36" s="37" t="str">
        <f>Roster!F180</f>
        <v>.</v>
      </c>
      <c r="F36" s="37" t="str">
        <f>Roster!G180</f>
        <v>.</v>
      </c>
      <c r="G36" s="37" t="str">
        <f>Roster!H180</f>
        <v>.</v>
      </c>
      <c r="H36" s="37" t="str">
        <f>Roster!I180</f>
        <v>.</v>
      </c>
      <c r="I36" s="37" t="str">
        <f>Roster!J180</f>
        <v>.</v>
      </c>
      <c r="J36" s="37" t="str">
        <f>Roster!K180</f>
        <v>.</v>
      </c>
      <c r="K36" s="37" t="str">
        <f>Roster!L180</f>
        <v>.</v>
      </c>
      <c r="L36" s="37" t="str">
        <f>Roster!M180</f>
        <v>.</v>
      </c>
      <c r="M36" s="37" t="str">
        <f>Roster!N180</f>
        <v>.</v>
      </c>
      <c r="N36" s="37" t="str">
        <f>Roster!O180</f>
        <v>.</v>
      </c>
      <c r="O36" s="37" t="str">
        <f>Roster!P180</f>
        <v>.</v>
      </c>
      <c r="P36" s="37" t="str">
        <f>Roster!Q180</f>
        <v>.</v>
      </c>
      <c r="Q36" s="37" t="str">
        <f>Roster!R180</f>
        <v>.</v>
      </c>
      <c r="R36" s="37" t="str">
        <f>Roster!S180</f>
        <v>.</v>
      </c>
      <c r="S36" s="37" t="str">
        <f>Roster!T180</f>
        <v>.</v>
      </c>
      <c r="T36" s="37" t="str">
        <f>Roster!U180</f>
        <v>.</v>
      </c>
      <c r="U36" s="37" t="str">
        <f>Roster!V180</f>
        <v>.</v>
      </c>
      <c r="V36" s="37" t="str">
        <f>Roster!W180</f>
        <v>.</v>
      </c>
      <c r="W36" s="37" t="str">
        <f>Roster!X180</f>
        <v>.</v>
      </c>
      <c r="X36" s="37" t="str">
        <f>Roster!Y180</f>
        <v>.</v>
      </c>
      <c r="Y36" s="37" t="str">
        <f>Roster!Z180</f>
        <v>.</v>
      </c>
      <c r="Z36" s="37" t="str">
        <f>Roster!AA180</f>
        <v>.</v>
      </c>
      <c r="AA36" s="37" t="str">
        <f>Roster!AB180</f>
        <v>.</v>
      </c>
      <c r="AB36" s="37" t="str">
        <f>Roster!AC180</f>
        <v>.</v>
      </c>
      <c r="AC36" s="37" t="str">
        <f>Roster!AD180</f>
        <v>.</v>
      </c>
      <c r="AD36" s="37" t="str">
        <f>Roster!AE180</f>
        <v>.</v>
      </c>
      <c r="AE36" s="37" t="str">
        <f>Roster!AF180</f>
        <v>.</v>
      </c>
      <c r="AF36" s="37" t="str">
        <f>Roster!AG180</f>
        <v>.</v>
      </c>
      <c r="AG36" s="38" t="str">
        <f>Roster!AH180</f>
        <v>.</v>
      </c>
    </row>
    <row r="37" spans="2:33" ht="14.4" thickTop="1" thickBot="1">
      <c r="C37" s="21" t="str">
        <f t="shared" ref="C37:AF37" si="11">LEFT(TEXT(C38&amp;"-"&amp;$B38&amp;"-"&amp;CurYear,"ddd"),2)</f>
        <v>Sa</v>
      </c>
      <c r="D37" s="21" t="str">
        <f t="shared" si="11"/>
        <v>Su</v>
      </c>
      <c r="E37" s="21" t="str">
        <f t="shared" si="11"/>
        <v>Mo</v>
      </c>
      <c r="F37" s="21" t="str">
        <f t="shared" si="11"/>
        <v>Tu</v>
      </c>
      <c r="G37" s="21" t="str">
        <f t="shared" si="11"/>
        <v>We</v>
      </c>
      <c r="H37" s="21" t="str">
        <f t="shared" si="11"/>
        <v>Th</v>
      </c>
      <c r="I37" s="21" t="str">
        <f t="shared" si="11"/>
        <v>Fr</v>
      </c>
      <c r="J37" s="21" t="str">
        <f t="shared" si="11"/>
        <v>Sa</v>
      </c>
      <c r="K37" s="21" t="str">
        <f t="shared" si="11"/>
        <v>Su</v>
      </c>
      <c r="L37" s="21" t="str">
        <f t="shared" si="11"/>
        <v>Mo</v>
      </c>
      <c r="M37" s="21" t="str">
        <f t="shared" si="11"/>
        <v>Tu</v>
      </c>
      <c r="N37" s="21" t="str">
        <f t="shared" si="11"/>
        <v>We</v>
      </c>
      <c r="O37" s="21" t="str">
        <f t="shared" si="11"/>
        <v>Th</v>
      </c>
      <c r="P37" s="21" t="str">
        <f t="shared" si="11"/>
        <v>Fr</v>
      </c>
      <c r="Q37" s="21" t="str">
        <f t="shared" si="11"/>
        <v>Sa</v>
      </c>
      <c r="R37" s="21" t="str">
        <f t="shared" si="11"/>
        <v>Su</v>
      </c>
      <c r="S37" s="21" t="str">
        <f t="shared" si="11"/>
        <v>Mo</v>
      </c>
      <c r="T37" s="21" t="str">
        <f t="shared" si="11"/>
        <v>Tu</v>
      </c>
      <c r="U37" s="21" t="str">
        <f t="shared" si="11"/>
        <v>We</v>
      </c>
      <c r="V37" s="21" t="str">
        <f t="shared" si="11"/>
        <v>Th</v>
      </c>
      <c r="W37" s="21" t="str">
        <f t="shared" si="11"/>
        <v>Fr</v>
      </c>
      <c r="X37" s="21" t="str">
        <f t="shared" si="11"/>
        <v>Sa</v>
      </c>
      <c r="Y37" s="21" t="str">
        <f t="shared" si="11"/>
        <v>Su</v>
      </c>
      <c r="Z37" s="21" t="str">
        <f t="shared" si="11"/>
        <v>Mo</v>
      </c>
      <c r="AA37" s="21" t="str">
        <f t="shared" si="11"/>
        <v>Tu</v>
      </c>
      <c r="AB37" s="21" t="str">
        <f t="shared" si="11"/>
        <v>We</v>
      </c>
      <c r="AC37" s="21" t="str">
        <f t="shared" si="11"/>
        <v>Th</v>
      </c>
      <c r="AD37" s="21" t="str">
        <f t="shared" si="11"/>
        <v>Fr</v>
      </c>
      <c r="AE37" s="21" t="str">
        <f t="shared" si="11"/>
        <v>Sa</v>
      </c>
      <c r="AF37" s="21" t="str">
        <f t="shared" si="11"/>
        <v>Su</v>
      </c>
      <c r="AG37" s="117"/>
    </row>
    <row r="38" spans="2:33" ht="14.4" thickTop="1" thickBot="1">
      <c r="B38" s="110" t="str">
        <f>Roster!C194</f>
        <v>June</v>
      </c>
      <c r="C38" s="111">
        <v>1</v>
      </c>
      <c r="D38" s="112">
        <v>2</v>
      </c>
      <c r="E38" s="112">
        <v>3</v>
      </c>
      <c r="F38" s="112">
        <v>4</v>
      </c>
      <c r="G38" s="112">
        <v>5</v>
      </c>
      <c r="H38" s="112">
        <v>6</v>
      </c>
      <c r="I38" s="112">
        <v>7</v>
      </c>
      <c r="J38" s="112">
        <v>8</v>
      </c>
      <c r="K38" s="112">
        <v>9</v>
      </c>
      <c r="L38" s="112">
        <v>10</v>
      </c>
      <c r="M38" s="112">
        <v>11</v>
      </c>
      <c r="N38" s="112">
        <v>12</v>
      </c>
      <c r="O38" s="112">
        <v>13</v>
      </c>
      <c r="P38" s="112">
        <v>14</v>
      </c>
      <c r="Q38" s="112">
        <v>15</v>
      </c>
      <c r="R38" s="112">
        <v>16</v>
      </c>
      <c r="S38" s="112">
        <v>17</v>
      </c>
      <c r="T38" s="112">
        <v>18</v>
      </c>
      <c r="U38" s="112">
        <v>19</v>
      </c>
      <c r="V38" s="112">
        <v>20</v>
      </c>
      <c r="W38" s="112">
        <v>21</v>
      </c>
      <c r="X38" s="112">
        <v>22</v>
      </c>
      <c r="Y38" s="112">
        <v>23</v>
      </c>
      <c r="Z38" s="112">
        <v>24</v>
      </c>
      <c r="AA38" s="112">
        <v>25</v>
      </c>
      <c r="AB38" s="112">
        <v>26</v>
      </c>
      <c r="AC38" s="112">
        <v>27</v>
      </c>
      <c r="AD38" s="112">
        <v>28</v>
      </c>
      <c r="AE38" s="112">
        <v>29</v>
      </c>
      <c r="AF38" s="113">
        <v>30</v>
      </c>
    </row>
    <row r="39" spans="2:33" ht="14.4" thickTop="1" thickBot="1">
      <c r="B39" s="110" t="str">
        <f>CurYear</f>
        <v>2019</v>
      </c>
      <c r="C39" s="36" t="str">
        <f>Roster!D195</f>
        <v>.</v>
      </c>
      <c r="D39" s="37" t="str">
        <f>Roster!E195</f>
        <v>.</v>
      </c>
      <c r="E39" s="37" t="str">
        <f>Roster!F195</f>
        <v>.</v>
      </c>
      <c r="F39" s="37" t="str">
        <f>Roster!G195</f>
        <v>.</v>
      </c>
      <c r="G39" s="37" t="str">
        <f>Roster!H195</f>
        <v>.</v>
      </c>
      <c r="H39" s="37" t="str">
        <f>Roster!I195</f>
        <v>.</v>
      </c>
      <c r="I39" s="37" t="str">
        <f>Roster!J195</f>
        <v>.</v>
      </c>
      <c r="J39" s="37" t="str">
        <f>Roster!K195</f>
        <v>.</v>
      </c>
      <c r="K39" s="37" t="str">
        <f>Roster!L195</f>
        <v>.</v>
      </c>
      <c r="L39" s="37" t="str">
        <f>Roster!M195</f>
        <v>.</v>
      </c>
      <c r="M39" s="37" t="str">
        <f>Roster!N195</f>
        <v>.</v>
      </c>
      <c r="N39" s="37" t="str">
        <f>Roster!O195</f>
        <v>.</v>
      </c>
      <c r="O39" s="37" t="str">
        <f>Roster!P195</f>
        <v>.</v>
      </c>
      <c r="P39" s="37" t="str">
        <f>Roster!Q195</f>
        <v>.</v>
      </c>
      <c r="Q39" s="37" t="str">
        <f>Roster!R195</f>
        <v>.</v>
      </c>
      <c r="R39" s="37" t="str">
        <f>Roster!S195</f>
        <v>.</v>
      </c>
      <c r="S39" s="37" t="str">
        <f>Roster!T195</f>
        <v>.</v>
      </c>
      <c r="T39" s="37" t="str">
        <f>Roster!U195</f>
        <v>.</v>
      </c>
      <c r="U39" s="37" t="str">
        <f>Roster!V195</f>
        <v>.</v>
      </c>
      <c r="V39" s="37" t="str">
        <f>Roster!W195</f>
        <v>.</v>
      </c>
      <c r="W39" s="37" t="str">
        <f>Roster!X195</f>
        <v>.</v>
      </c>
      <c r="X39" s="37" t="str">
        <f>Roster!Y195</f>
        <v>.</v>
      </c>
      <c r="Y39" s="37" t="str">
        <f>Roster!Z195</f>
        <v>.</v>
      </c>
      <c r="Z39" s="37" t="str">
        <f>Roster!AA195</f>
        <v>.</v>
      </c>
      <c r="AA39" s="37" t="str">
        <f>Roster!AB195</f>
        <v>.</v>
      </c>
      <c r="AB39" s="37" t="str">
        <f>Roster!AC195</f>
        <v>.</v>
      </c>
      <c r="AC39" s="37" t="str">
        <f>Roster!AD195</f>
        <v>.</v>
      </c>
      <c r="AD39" s="37" t="str">
        <f>Roster!AE195</f>
        <v>.</v>
      </c>
      <c r="AE39" s="37" t="str">
        <f>Roster!AF195</f>
        <v>.</v>
      </c>
      <c r="AF39" s="38" t="str">
        <f>Roster!AG195</f>
        <v>.</v>
      </c>
    </row>
    <row r="40" spans="2:33" ht="13.8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2"/>
  <dimension ref="B1:AI40"/>
  <sheetViews>
    <sheetView showGridLines="0" showRowColHeaders="0" showZeros="0" topLeftCell="A2" zoomScale="113" zoomScaleNormal="113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5" s="134" customFormat="1" ht="17.399999999999999">
      <c r="B1" s="133"/>
    </row>
    <row r="2" spans="2:35" s="134" customFormat="1" ht="24.75" customHeight="1">
      <c r="B2" s="133"/>
      <c r="I2" s="138" t="str">
        <f>Location</f>
        <v>Oodlawirra Quarantine Station</v>
      </c>
      <c r="J2" s="136"/>
      <c r="K2" s="136"/>
      <c r="L2" s="136"/>
      <c r="M2" s="136"/>
      <c r="N2" s="136"/>
      <c r="O2" s="136"/>
      <c r="P2" s="136"/>
      <c r="Q2" s="136"/>
      <c r="R2" s="138" t="str">
        <f xml:space="preserve"> "Financial Year Commencing 1st July, " &amp; CurYear -1</f>
        <v>Financial Year Commencing 1st July, 2018</v>
      </c>
      <c r="S2" s="135"/>
      <c r="T2" s="136"/>
      <c r="U2" s="136"/>
      <c r="V2" s="135"/>
      <c r="W2" s="136"/>
      <c r="X2" s="136"/>
      <c r="Y2" s="136"/>
      <c r="Z2" s="136"/>
      <c r="AA2" s="136"/>
      <c r="AB2" s="136"/>
      <c r="AC2" s="136"/>
      <c r="AD2" s="136"/>
      <c r="AE2" s="136"/>
      <c r="AF2" s="136"/>
    </row>
    <row r="3" spans="2:35" s="134" customFormat="1" ht="27" customHeight="1">
      <c r="B3" s="133"/>
      <c r="I3" s="139" t="s">
        <v>25</v>
      </c>
      <c r="R3" s="139" t="str">
        <f>EmpGName02 &amp;" " &amp; EmpSName02</f>
        <v>Kevin Stone</v>
      </c>
      <c r="S3" s="137"/>
      <c r="T3" s="137"/>
      <c r="U3" s="137"/>
      <c r="V3" s="137"/>
      <c r="W3" s="137"/>
      <c r="X3" s="137"/>
      <c r="Y3" s="137"/>
      <c r="Z3" s="137"/>
      <c r="AA3" s="137"/>
      <c r="AB3" s="137"/>
      <c r="AC3" s="137"/>
    </row>
    <row r="4" spans="2:35" s="44" customFormat="1" ht="13.8" thickBot="1">
      <c r="B4" s="107"/>
      <c r="C4" s="28" t="str">
        <f t="shared" ref="C4:AG4" si="0">LEFT(TEXT(C5&amp;"-"&amp;$B5&amp;"-"&amp;CurYear-1,"ddd"),2)</f>
        <v>Su</v>
      </c>
      <c r="D4" s="28" t="str">
        <f t="shared" si="0"/>
        <v>Mo</v>
      </c>
      <c r="E4" s="28" t="str">
        <f t="shared" si="0"/>
        <v>Tu</v>
      </c>
      <c r="F4" s="28" t="str">
        <f t="shared" si="0"/>
        <v>We</v>
      </c>
      <c r="G4" s="28" t="str">
        <f t="shared" si="0"/>
        <v>Th</v>
      </c>
      <c r="H4" s="28" t="str">
        <f t="shared" si="0"/>
        <v>Fr</v>
      </c>
      <c r="I4" s="28" t="str">
        <f t="shared" si="0"/>
        <v>Sa</v>
      </c>
      <c r="J4" s="28" t="str">
        <f t="shared" si="0"/>
        <v>Su</v>
      </c>
      <c r="K4" s="28" t="str">
        <f t="shared" si="0"/>
        <v>Mo</v>
      </c>
      <c r="L4" s="28" t="str">
        <f t="shared" si="0"/>
        <v>Tu</v>
      </c>
      <c r="M4" s="28" t="str">
        <f t="shared" si="0"/>
        <v>We</v>
      </c>
      <c r="N4" s="28" t="str">
        <f t="shared" si="0"/>
        <v>Th</v>
      </c>
      <c r="O4" s="28" t="str">
        <f t="shared" si="0"/>
        <v>Fr</v>
      </c>
      <c r="P4" s="28" t="str">
        <f t="shared" si="0"/>
        <v>Sa</v>
      </c>
      <c r="Q4" s="28" t="str">
        <f t="shared" si="0"/>
        <v>Su</v>
      </c>
      <c r="R4" s="28" t="str">
        <f t="shared" si="0"/>
        <v>Mo</v>
      </c>
      <c r="S4" s="28" t="str">
        <f t="shared" si="0"/>
        <v>Tu</v>
      </c>
      <c r="T4" s="28" t="str">
        <f t="shared" si="0"/>
        <v>We</v>
      </c>
      <c r="U4" s="28" t="str">
        <f t="shared" si="0"/>
        <v>Th</v>
      </c>
      <c r="V4" s="28" t="str">
        <f t="shared" si="0"/>
        <v>Fr</v>
      </c>
      <c r="W4" s="28" t="str">
        <f t="shared" si="0"/>
        <v>Sa</v>
      </c>
      <c r="X4" s="28" t="str">
        <f t="shared" si="0"/>
        <v>Su</v>
      </c>
      <c r="Y4" s="28" t="str">
        <f t="shared" si="0"/>
        <v>Mo</v>
      </c>
      <c r="Z4" s="28" t="str">
        <f t="shared" si="0"/>
        <v>Tu</v>
      </c>
      <c r="AA4" s="28" t="str">
        <f t="shared" si="0"/>
        <v>We</v>
      </c>
      <c r="AB4" s="28" t="str">
        <f t="shared" si="0"/>
        <v>Th</v>
      </c>
      <c r="AC4" s="28" t="str">
        <f t="shared" si="0"/>
        <v>Fr</v>
      </c>
      <c r="AD4" s="28" t="str">
        <f t="shared" si="0"/>
        <v>Sa</v>
      </c>
      <c r="AE4" s="28" t="str">
        <f t="shared" si="0"/>
        <v>Su</v>
      </c>
      <c r="AF4" s="28" t="str">
        <f t="shared" si="0"/>
        <v>Mo</v>
      </c>
      <c r="AG4" s="107" t="str">
        <f t="shared" si="0"/>
        <v>Tu</v>
      </c>
    </row>
    <row r="5" spans="2:35" ht="14.4" thickTop="1" thickBot="1">
      <c r="B5" s="110" t="str">
        <f>Roster!C13</f>
        <v>July</v>
      </c>
      <c r="C5" s="111">
        <v>1</v>
      </c>
      <c r="D5" s="112">
        <v>2</v>
      </c>
      <c r="E5" s="112">
        <v>3</v>
      </c>
      <c r="F5" s="112">
        <v>4</v>
      </c>
      <c r="G5" s="112">
        <v>5</v>
      </c>
      <c r="H5" s="112">
        <v>6</v>
      </c>
      <c r="I5" s="112">
        <v>7</v>
      </c>
      <c r="J5" s="112">
        <v>8</v>
      </c>
      <c r="K5" s="112">
        <v>9</v>
      </c>
      <c r="L5" s="112">
        <v>10</v>
      </c>
      <c r="M5" s="112">
        <v>11</v>
      </c>
      <c r="N5" s="112">
        <v>12</v>
      </c>
      <c r="O5" s="112">
        <v>13</v>
      </c>
      <c r="P5" s="112">
        <v>14</v>
      </c>
      <c r="Q5" s="112">
        <v>15</v>
      </c>
      <c r="R5" s="112">
        <v>16</v>
      </c>
      <c r="S5" s="112">
        <v>17</v>
      </c>
      <c r="T5" s="112">
        <v>18</v>
      </c>
      <c r="U5" s="112">
        <v>19</v>
      </c>
      <c r="V5" s="112">
        <v>20</v>
      </c>
      <c r="W5" s="112">
        <v>21</v>
      </c>
      <c r="X5" s="112">
        <v>22</v>
      </c>
      <c r="Y5" s="112">
        <v>23</v>
      </c>
      <c r="Z5" s="112">
        <v>24</v>
      </c>
      <c r="AA5" s="112">
        <v>25</v>
      </c>
      <c r="AB5" s="112">
        <v>26</v>
      </c>
      <c r="AC5" s="112">
        <v>27</v>
      </c>
      <c r="AD5" s="112">
        <v>28</v>
      </c>
      <c r="AE5" s="112">
        <v>29</v>
      </c>
      <c r="AF5" s="112">
        <v>30</v>
      </c>
      <c r="AG5" s="113">
        <v>31</v>
      </c>
    </row>
    <row r="6" spans="2:35" ht="14.4" thickTop="1" thickBot="1">
      <c r="B6" s="110">
        <f>CurYear-1</f>
        <v>2018</v>
      </c>
      <c r="C6" s="36" t="str">
        <f>Roster!D15</f>
        <v>.</v>
      </c>
      <c r="D6" s="37" t="str">
        <f>Roster!E15</f>
        <v>.</v>
      </c>
      <c r="E6" s="37" t="str">
        <f>Roster!F15</f>
        <v>.</v>
      </c>
      <c r="F6" s="37" t="str">
        <f>Roster!G15</f>
        <v>.</v>
      </c>
      <c r="G6" s="37" t="str">
        <f>Roster!H15</f>
        <v>.</v>
      </c>
      <c r="H6" s="37" t="str">
        <f>Roster!I15</f>
        <v>.</v>
      </c>
      <c r="I6" s="37" t="str">
        <f>Roster!J15</f>
        <v>.</v>
      </c>
      <c r="J6" s="37" t="str">
        <f>Roster!K15</f>
        <v>.</v>
      </c>
      <c r="K6" s="37" t="str">
        <f>Roster!L15</f>
        <v>.</v>
      </c>
      <c r="L6" s="37" t="str">
        <f>Roster!M15</f>
        <v>.</v>
      </c>
      <c r="M6" s="37" t="str">
        <f>Roster!N15</f>
        <v>.</v>
      </c>
      <c r="N6" s="37" t="str">
        <f>Roster!O15</f>
        <v>.</v>
      </c>
      <c r="O6" s="37" t="str">
        <f>Roster!P15</f>
        <v>.</v>
      </c>
      <c r="P6" s="37" t="str">
        <f>Roster!Q15</f>
        <v>.</v>
      </c>
      <c r="Q6" s="37" t="str">
        <f>Roster!R15</f>
        <v>.</v>
      </c>
      <c r="R6" s="37" t="str">
        <f>Roster!S15</f>
        <v>.</v>
      </c>
      <c r="S6" s="37" t="str">
        <f>Roster!T15</f>
        <v>.</v>
      </c>
      <c r="T6" s="37" t="str">
        <f>Roster!U15</f>
        <v>.</v>
      </c>
      <c r="U6" s="37" t="str">
        <f>Roster!V15</f>
        <v>.</v>
      </c>
      <c r="V6" s="37" t="str">
        <f>Roster!W15</f>
        <v>.</v>
      </c>
      <c r="W6" s="37" t="str">
        <f>Roster!X15</f>
        <v>.</v>
      </c>
      <c r="X6" s="37" t="str">
        <f>Roster!Y15</f>
        <v>.</v>
      </c>
      <c r="Y6" s="37" t="str">
        <f>Roster!Z15</f>
        <v>.</v>
      </c>
      <c r="Z6" s="37" t="str">
        <f>Roster!AA15</f>
        <v>.</v>
      </c>
      <c r="AA6" s="37" t="str">
        <f>Roster!AB15</f>
        <v>.</v>
      </c>
      <c r="AB6" s="37" t="str">
        <f>Roster!AC15</f>
        <v>.</v>
      </c>
      <c r="AC6" s="37" t="str">
        <f>Roster!AD15</f>
        <v>.</v>
      </c>
      <c r="AD6" s="37" t="str">
        <f>Roster!AE15</f>
        <v>.</v>
      </c>
      <c r="AE6" s="37" t="str">
        <f>Roster!AF15</f>
        <v>.</v>
      </c>
      <c r="AF6" s="37" t="str">
        <f>Roster!AG15</f>
        <v>.</v>
      </c>
      <c r="AG6" s="38" t="str">
        <f>Roster!AH15</f>
        <v>.</v>
      </c>
    </row>
    <row r="7" spans="2:35" ht="14.4" thickTop="1" thickBot="1">
      <c r="B7" s="46"/>
      <c r="C7" s="21" t="str">
        <f t="shared" ref="C7:AG7" si="1">LEFT(TEXT(C8&amp;"-"&amp;$B8&amp;"-"&amp;CurYear-1,"ddd"),2)</f>
        <v>We</v>
      </c>
      <c r="D7" s="21" t="str">
        <f t="shared" si="1"/>
        <v>Th</v>
      </c>
      <c r="E7" s="21" t="str">
        <f t="shared" si="1"/>
        <v>Fr</v>
      </c>
      <c r="F7" s="21" t="str">
        <f t="shared" si="1"/>
        <v>Sa</v>
      </c>
      <c r="G7" s="21" t="str">
        <f t="shared" si="1"/>
        <v>Su</v>
      </c>
      <c r="H7" s="21" t="str">
        <f t="shared" si="1"/>
        <v>Mo</v>
      </c>
      <c r="I7" s="21" t="str">
        <f t="shared" si="1"/>
        <v>Tu</v>
      </c>
      <c r="J7" s="21" t="str">
        <f t="shared" si="1"/>
        <v>We</v>
      </c>
      <c r="K7" s="21" t="str">
        <f t="shared" si="1"/>
        <v>Th</v>
      </c>
      <c r="L7" s="21" t="str">
        <f t="shared" si="1"/>
        <v>Fr</v>
      </c>
      <c r="M7" s="21" t="str">
        <f t="shared" si="1"/>
        <v>Sa</v>
      </c>
      <c r="N7" s="21" t="str">
        <f t="shared" si="1"/>
        <v>Su</v>
      </c>
      <c r="O7" s="21" t="str">
        <f t="shared" si="1"/>
        <v>Mo</v>
      </c>
      <c r="P7" s="21" t="str">
        <f t="shared" si="1"/>
        <v>Tu</v>
      </c>
      <c r="Q7" s="21" t="str">
        <f t="shared" si="1"/>
        <v>We</v>
      </c>
      <c r="R7" s="21" t="str">
        <f t="shared" si="1"/>
        <v>Th</v>
      </c>
      <c r="S7" s="21" t="str">
        <f t="shared" si="1"/>
        <v>Fr</v>
      </c>
      <c r="T7" s="21" t="str">
        <f t="shared" si="1"/>
        <v>Sa</v>
      </c>
      <c r="U7" s="21" t="str">
        <f t="shared" si="1"/>
        <v>Su</v>
      </c>
      <c r="V7" s="21" t="str">
        <f t="shared" si="1"/>
        <v>Mo</v>
      </c>
      <c r="W7" s="21" t="str">
        <f t="shared" si="1"/>
        <v>Tu</v>
      </c>
      <c r="X7" s="21" t="str">
        <f t="shared" si="1"/>
        <v>We</v>
      </c>
      <c r="Y7" s="21" t="str">
        <f t="shared" si="1"/>
        <v>Th</v>
      </c>
      <c r="Z7" s="21" t="str">
        <f t="shared" si="1"/>
        <v>Fr</v>
      </c>
      <c r="AA7" s="21" t="str">
        <f t="shared" si="1"/>
        <v>Sa</v>
      </c>
      <c r="AB7" s="21" t="str">
        <f t="shared" si="1"/>
        <v>Su</v>
      </c>
      <c r="AC7" s="21" t="str">
        <f t="shared" si="1"/>
        <v>Mo</v>
      </c>
      <c r="AD7" s="21" t="str">
        <f t="shared" si="1"/>
        <v>Tu</v>
      </c>
      <c r="AE7" s="114" t="str">
        <f t="shared" si="1"/>
        <v>We</v>
      </c>
      <c r="AF7" s="21" t="str">
        <f t="shared" si="1"/>
        <v>Th</v>
      </c>
      <c r="AG7" s="21" t="str">
        <f t="shared" si="1"/>
        <v>Fr</v>
      </c>
    </row>
    <row r="8" spans="2:35" ht="14.4" thickTop="1" thickBot="1">
      <c r="B8" s="110" t="str">
        <f>Roster!C44</f>
        <v>August</v>
      </c>
      <c r="C8" s="111">
        <v>1</v>
      </c>
      <c r="D8" s="112">
        <v>2</v>
      </c>
      <c r="E8" s="112">
        <v>3</v>
      </c>
      <c r="F8" s="112">
        <v>4</v>
      </c>
      <c r="G8" s="112">
        <v>5</v>
      </c>
      <c r="H8" s="112">
        <v>6</v>
      </c>
      <c r="I8" s="112">
        <v>7</v>
      </c>
      <c r="J8" s="112">
        <v>8</v>
      </c>
      <c r="K8" s="112">
        <v>9</v>
      </c>
      <c r="L8" s="112">
        <v>10</v>
      </c>
      <c r="M8" s="112">
        <v>11</v>
      </c>
      <c r="N8" s="112">
        <v>12</v>
      </c>
      <c r="O8" s="112">
        <v>13</v>
      </c>
      <c r="P8" s="112">
        <v>14</v>
      </c>
      <c r="Q8" s="112">
        <v>15</v>
      </c>
      <c r="R8" s="112">
        <v>16</v>
      </c>
      <c r="S8" s="112">
        <v>17</v>
      </c>
      <c r="T8" s="112">
        <v>18</v>
      </c>
      <c r="U8" s="112">
        <v>19</v>
      </c>
      <c r="V8" s="112">
        <v>20</v>
      </c>
      <c r="W8" s="112">
        <v>21</v>
      </c>
      <c r="X8" s="112">
        <v>22</v>
      </c>
      <c r="Y8" s="112">
        <v>23</v>
      </c>
      <c r="Z8" s="112">
        <v>24</v>
      </c>
      <c r="AA8" s="112">
        <v>25</v>
      </c>
      <c r="AB8" s="112">
        <v>26</v>
      </c>
      <c r="AC8" s="112">
        <v>27</v>
      </c>
      <c r="AD8" s="115">
        <v>28</v>
      </c>
      <c r="AE8" s="112">
        <v>29</v>
      </c>
      <c r="AF8" s="116">
        <v>30</v>
      </c>
      <c r="AG8" s="113">
        <v>31</v>
      </c>
    </row>
    <row r="9" spans="2:35" ht="14.4" thickTop="1" thickBot="1">
      <c r="B9" s="110">
        <f>CurYear-1</f>
        <v>2018</v>
      </c>
      <c r="C9" s="36" t="str">
        <f>Roster!D46</f>
        <v>.</v>
      </c>
      <c r="D9" s="39" t="str">
        <f>Roster!E46</f>
        <v>.</v>
      </c>
      <c r="E9" s="37" t="str">
        <f>Roster!F46</f>
        <v>.</v>
      </c>
      <c r="F9" s="37" t="str">
        <f>Roster!G46</f>
        <v>.</v>
      </c>
      <c r="G9" s="37" t="str">
        <f>Roster!H46</f>
        <v>.</v>
      </c>
      <c r="H9" s="37" t="str">
        <f>Roster!I46</f>
        <v>.</v>
      </c>
      <c r="I9" s="37" t="str">
        <f>Roster!J46</f>
        <v>.</v>
      </c>
      <c r="J9" s="37" t="str">
        <f>Roster!K46</f>
        <v>.</v>
      </c>
      <c r="K9" s="37" t="str">
        <f>Roster!L46</f>
        <v>.</v>
      </c>
      <c r="L9" s="37" t="str">
        <f>Roster!M46</f>
        <v>.</v>
      </c>
      <c r="M9" s="37" t="str">
        <f>Roster!N46</f>
        <v>.</v>
      </c>
      <c r="N9" s="37" t="str">
        <f>Roster!O46</f>
        <v>.</v>
      </c>
      <c r="O9" s="37" t="str">
        <f>Roster!P46</f>
        <v>.</v>
      </c>
      <c r="P9" s="37" t="str">
        <f>Roster!Q46</f>
        <v>.</v>
      </c>
      <c r="Q9" s="37" t="str">
        <f>Roster!R46</f>
        <v>.</v>
      </c>
      <c r="R9" s="37" t="str">
        <f>Roster!S46</f>
        <v>.</v>
      </c>
      <c r="S9" s="37" t="str">
        <f>Roster!T46</f>
        <v>.</v>
      </c>
      <c r="T9" s="37" t="str">
        <f>Roster!U46</f>
        <v>.</v>
      </c>
      <c r="U9" s="37" t="str">
        <f>Roster!V46</f>
        <v>.</v>
      </c>
      <c r="V9" s="37" t="str">
        <f>Roster!W46</f>
        <v>.</v>
      </c>
      <c r="W9" s="37" t="str">
        <f>Roster!X46</f>
        <v>.</v>
      </c>
      <c r="X9" s="37" t="str">
        <f>Roster!Y46</f>
        <v>.</v>
      </c>
      <c r="Y9" s="37" t="str">
        <f>Roster!Z46</f>
        <v>.</v>
      </c>
      <c r="Z9" s="37" t="str">
        <f>Roster!AA46</f>
        <v>.</v>
      </c>
      <c r="AA9" s="37" t="str">
        <f>Roster!AB46</f>
        <v>.</v>
      </c>
      <c r="AB9" s="37" t="str">
        <f>Roster!AC46</f>
        <v>.</v>
      </c>
      <c r="AC9" s="37" t="str">
        <f>Roster!AD46</f>
        <v>.</v>
      </c>
      <c r="AD9" s="43" t="str">
        <f>Roster!AE46</f>
        <v>.</v>
      </c>
      <c r="AE9" s="37" t="str">
        <f>Roster!AF46</f>
        <v>.</v>
      </c>
      <c r="AF9" s="39" t="str">
        <f>Roster!AG46</f>
        <v>.</v>
      </c>
      <c r="AG9" s="38" t="str">
        <f>Roster!AH46</f>
        <v>.</v>
      </c>
    </row>
    <row r="10" spans="2:35" ht="14.4" thickTop="1" thickBot="1">
      <c r="B10" s="46"/>
      <c r="C10" s="21" t="str">
        <f t="shared" ref="C10:AF10" si="2">LEFT(TEXT(C11&amp;"-"&amp;$B11&amp;"-"&amp;CurYear-1,"ddd"),2)</f>
        <v>Sa</v>
      </c>
      <c r="D10" s="21" t="str">
        <f t="shared" si="2"/>
        <v>Su</v>
      </c>
      <c r="E10" s="21" t="str">
        <f t="shared" si="2"/>
        <v>Mo</v>
      </c>
      <c r="F10" s="21" t="str">
        <f t="shared" si="2"/>
        <v>Tu</v>
      </c>
      <c r="G10" s="21" t="str">
        <f t="shared" si="2"/>
        <v>We</v>
      </c>
      <c r="H10" s="21" t="str">
        <f t="shared" si="2"/>
        <v>Th</v>
      </c>
      <c r="I10" s="21" t="str">
        <f t="shared" si="2"/>
        <v>Fr</v>
      </c>
      <c r="J10" s="21" t="str">
        <f t="shared" si="2"/>
        <v>Sa</v>
      </c>
      <c r="K10" s="21" t="str">
        <f t="shared" si="2"/>
        <v>Su</v>
      </c>
      <c r="L10" s="21" t="str">
        <f t="shared" si="2"/>
        <v>Mo</v>
      </c>
      <c r="M10" s="21" t="str">
        <f t="shared" si="2"/>
        <v>Tu</v>
      </c>
      <c r="N10" s="21" t="str">
        <f t="shared" si="2"/>
        <v>We</v>
      </c>
      <c r="O10" s="21" t="str">
        <f t="shared" si="2"/>
        <v>Th</v>
      </c>
      <c r="P10" s="21" t="str">
        <f t="shared" si="2"/>
        <v>Fr</v>
      </c>
      <c r="Q10" s="21" t="str">
        <f t="shared" si="2"/>
        <v>Sa</v>
      </c>
      <c r="R10" s="21" t="str">
        <f t="shared" si="2"/>
        <v>Su</v>
      </c>
      <c r="S10" s="21" t="str">
        <f t="shared" si="2"/>
        <v>Mo</v>
      </c>
      <c r="T10" s="21" t="str">
        <f t="shared" si="2"/>
        <v>Tu</v>
      </c>
      <c r="U10" s="21" t="str">
        <f t="shared" si="2"/>
        <v>We</v>
      </c>
      <c r="V10" s="21" t="str">
        <f t="shared" si="2"/>
        <v>Th</v>
      </c>
      <c r="W10" s="21" t="str">
        <f t="shared" si="2"/>
        <v>Fr</v>
      </c>
      <c r="X10" s="21" t="str">
        <f t="shared" si="2"/>
        <v>Sa</v>
      </c>
      <c r="Y10" s="21" t="str">
        <f t="shared" si="2"/>
        <v>Su</v>
      </c>
      <c r="Z10" s="21" t="str">
        <f t="shared" si="2"/>
        <v>Mo</v>
      </c>
      <c r="AA10" s="21" t="str">
        <f t="shared" si="2"/>
        <v>Tu</v>
      </c>
      <c r="AB10" s="21" t="str">
        <f t="shared" si="2"/>
        <v>We</v>
      </c>
      <c r="AC10" s="21" t="str">
        <f t="shared" si="2"/>
        <v>Th</v>
      </c>
      <c r="AD10" s="21" t="str">
        <f t="shared" si="2"/>
        <v>Fr</v>
      </c>
      <c r="AE10" s="28" t="str">
        <f t="shared" si="2"/>
        <v>Sa</v>
      </c>
      <c r="AF10" s="21" t="str">
        <f t="shared" si="2"/>
        <v>Su</v>
      </c>
      <c r="AG10" s="117"/>
      <c r="AI10" s="108"/>
    </row>
    <row r="11" spans="2:35" ht="14.4" thickTop="1" thickBot="1">
      <c r="B11" s="110" t="str">
        <f>Roster!C59</f>
        <v>September</v>
      </c>
      <c r="C11" s="118">
        <v>1</v>
      </c>
      <c r="D11" s="119">
        <v>2</v>
      </c>
      <c r="E11" s="119">
        <v>3</v>
      </c>
      <c r="F11" s="119">
        <v>4</v>
      </c>
      <c r="G11" s="119">
        <v>5</v>
      </c>
      <c r="H11" s="119">
        <v>6</v>
      </c>
      <c r="I11" s="119">
        <v>7</v>
      </c>
      <c r="J11" s="119">
        <v>8</v>
      </c>
      <c r="K11" s="119">
        <v>9</v>
      </c>
      <c r="L11" s="119">
        <v>10</v>
      </c>
      <c r="M11" s="119">
        <v>11</v>
      </c>
      <c r="N11" s="119">
        <v>12</v>
      </c>
      <c r="O11" s="119">
        <v>13</v>
      </c>
      <c r="P11" s="119">
        <v>14</v>
      </c>
      <c r="Q11" s="119">
        <v>15</v>
      </c>
      <c r="R11" s="119">
        <v>16</v>
      </c>
      <c r="S11" s="119">
        <v>17</v>
      </c>
      <c r="T11" s="119">
        <v>18</v>
      </c>
      <c r="U11" s="119">
        <v>19</v>
      </c>
      <c r="V11" s="119">
        <v>20</v>
      </c>
      <c r="W11" s="119">
        <v>21</v>
      </c>
      <c r="X11" s="119">
        <v>22</v>
      </c>
      <c r="Y11" s="119">
        <v>23</v>
      </c>
      <c r="Z11" s="119">
        <v>24</v>
      </c>
      <c r="AA11" s="119">
        <v>25</v>
      </c>
      <c r="AB11" s="119">
        <v>26</v>
      </c>
      <c r="AC11" s="119">
        <v>27</v>
      </c>
      <c r="AD11" s="119">
        <v>28</v>
      </c>
      <c r="AE11" s="119">
        <v>29</v>
      </c>
      <c r="AF11" s="120">
        <v>30</v>
      </c>
      <c r="AG11" s="20"/>
    </row>
    <row r="12" spans="2:35" ht="14.4" thickTop="1" thickBot="1">
      <c r="B12" s="110">
        <f>CurYear-1</f>
        <v>2018</v>
      </c>
      <c r="C12" s="36" t="str">
        <f>Roster!D61</f>
        <v>.</v>
      </c>
      <c r="D12" s="37" t="str">
        <f>Roster!E61</f>
        <v>.</v>
      </c>
      <c r="E12" s="37" t="str">
        <f>Roster!F61</f>
        <v>.</v>
      </c>
      <c r="F12" s="37" t="str">
        <f>Roster!G61</f>
        <v>.</v>
      </c>
      <c r="G12" s="37" t="str">
        <f>Roster!H61</f>
        <v>.</v>
      </c>
      <c r="H12" s="37" t="str">
        <f>Roster!I61</f>
        <v>.</v>
      </c>
      <c r="I12" s="37" t="str">
        <f>Roster!J61</f>
        <v>.</v>
      </c>
      <c r="J12" s="37" t="str">
        <f>Roster!K61</f>
        <v>.</v>
      </c>
      <c r="K12" s="37" t="str">
        <f>Roster!L61</f>
        <v>.</v>
      </c>
      <c r="L12" s="37" t="str">
        <f>Roster!M61</f>
        <v>.</v>
      </c>
      <c r="M12" s="37" t="str">
        <f>Roster!N61</f>
        <v>.</v>
      </c>
      <c r="N12" s="37" t="str">
        <f>Roster!O61</f>
        <v>.</v>
      </c>
      <c r="O12" s="37" t="str">
        <f>Roster!P61</f>
        <v>.</v>
      </c>
      <c r="P12" s="37" t="str">
        <f>Roster!Q61</f>
        <v>.</v>
      </c>
      <c r="Q12" s="37" t="str">
        <f>Roster!R61</f>
        <v>.</v>
      </c>
      <c r="R12" s="37" t="str">
        <f>Roster!S61</f>
        <v>.</v>
      </c>
      <c r="S12" s="37" t="str">
        <f>Roster!T61</f>
        <v>.</v>
      </c>
      <c r="T12" s="37" t="str">
        <f>Roster!U61</f>
        <v>.</v>
      </c>
      <c r="U12" s="37" t="str">
        <f>Roster!V61</f>
        <v>.</v>
      </c>
      <c r="V12" s="37" t="str">
        <f>Roster!W61</f>
        <v>.</v>
      </c>
      <c r="W12" s="37" t="str">
        <f>Roster!X61</f>
        <v>.</v>
      </c>
      <c r="X12" s="37" t="str">
        <f>Roster!Y61</f>
        <v>.</v>
      </c>
      <c r="Y12" s="37" t="str">
        <f>Roster!Z61</f>
        <v>.</v>
      </c>
      <c r="Z12" s="37" t="str">
        <f>Roster!AA61</f>
        <v>.</v>
      </c>
      <c r="AA12" s="37" t="str">
        <f>Roster!AB61</f>
        <v>.</v>
      </c>
      <c r="AB12" s="37" t="str">
        <f>Roster!AC61</f>
        <v>.</v>
      </c>
      <c r="AC12" s="37" t="str">
        <f>Roster!AD61</f>
        <v>.</v>
      </c>
      <c r="AD12" s="37" t="str">
        <f>Roster!AE61</f>
        <v>.</v>
      </c>
      <c r="AE12" s="37" t="str">
        <f>Roster!AF61</f>
        <v>.</v>
      </c>
      <c r="AF12" s="38" t="str">
        <f>Roster!AG61</f>
        <v>.</v>
      </c>
      <c r="AG12" s="20"/>
    </row>
    <row r="13" spans="2:35" ht="14.4" thickTop="1" thickBot="1">
      <c r="B13" s="46"/>
      <c r="C13" s="21" t="str">
        <f t="shared" ref="C13:AG13" si="3">LEFT(TEXT(C14&amp;"-"&amp;$B14&amp;"-"&amp;CurYear-1,"ddd"),2)</f>
        <v>Mo</v>
      </c>
      <c r="D13" s="21" t="str">
        <f t="shared" si="3"/>
        <v>Tu</v>
      </c>
      <c r="E13" s="21" t="str">
        <f t="shared" si="3"/>
        <v>We</v>
      </c>
      <c r="F13" s="21" t="str">
        <f t="shared" si="3"/>
        <v>Th</v>
      </c>
      <c r="G13" s="21" t="str">
        <f t="shared" si="3"/>
        <v>Fr</v>
      </c>
      <c r="H13" s="21" t="str">
        <f t="shared" si="3"/>
        <v>Sa</v>
      </c>
      <c r="I13" s="21" t="str">
        <f t="shared" si="3"/>
        <v>Su</v>
      </c>
      <c r="J13" s="21" t="str">
        <f t="shared" si="3"/>
        <v>Mo</v>
      </c>
      <c r="K13" s="21" t="str">
        <f t="shared" si="3"/>
        <v>Tu</v>
      </c>
      <c r="L13" s="21" t="str">
        <f t="shared" si="3"/>
        <v>We</v>
      </c>
      <c r="M13" s="21" t="str">
        <f t="shared" si="3"/>
        <v>Th</v>
      </c>
      <c r="N13" s="21" t="str">
        <f t="shared" si="3"/>
        <v>Fr</v>
      </c>
      <c r="O13" s="21" t="str">
        <f t="shared" si="3"/>
        <v>Sa</v>
      </c>
      <c r="P13" s="21" t="str">
        <f t="shared" si="3"/>
        <v>Su</v>
      </c>
      <c r="Q13" s="21" t="str">
        <f t="shared" si="3"/>
        <v>Mo</v>
      </c>
      <c r="R13" s="21" t="str">
        <f t="shared" si="3"/>
        <v>Tu</v>
      </c>
      <c r="S13" s="21" t="str">
        <f t="shared" si="3"/>
        <v>We</v>
      </c>
      <c r="T13" s="21" t="str">
        <f t="shared" si="3"/>
        <v>Th</v>
      </c>
      <c r="U13" s="21" t="str">
        <f t="shared" si="3"/>
        <v>Fr</v>
      </c>
      <c r="V13" s="21" t="str">
        <f t="shared" si="3"/>
        <v>Sa</v>
      </c>
      <c r="W13" s="21" t="str">
        <f t="shared" si="3"/>
        <v>Su</v>
      </c>
      <c r="X13" s="21" t="str">
        <f t="shared" si="3"/>
        <v>Mo</v>
      </c>
      <c r="Y13" s="21" t="str">
        <f t="shared" si="3"/>
        <v>Tu</v>
      </c>
      <c r="Z13" s="21" t="str">
        <f t="shared" si="3"/>
        <v>We</v>
      </c>
      <c r="AA13" s="21" t="str">
        <f t="shared" si="3"/>
        <v>Th</v>
      </c>
      <c r="AB13" s="21" t="str">
        <f t="shared" si="3"/>
        <v>Fr</v>
      </c>
      <c r="AC13" s="21" t="str">
        <f t="shared" si="3"/>
        <v>Sa</v>
      </c>
      <c r="AD13" s="21" t="str">
        <f t="shared" si="3"/>
        <v>Su</v>
      </c>
      <c r="AE13" s="21" t="str">
        <f t="shared" si="3"/>
        <v>Mo</v>
      </c>
      <c r="AF13" s="21" t="str">
        <f t="shared" si="3"/>
        <v>Tu</v>
      </c>
      <c r="AG13" s="46" t="str">
        <f t="shared" si="3"/>
        <v>We</v>
      </c>
    </row>
    <row r="14" spans="2:35" ht="14.4" thickTop="1" thickBot="1">
      <c r="B14" s="110" t="str">
        <f>Roster!C74</f>
        <v>October</v>
      </c>
      <c r="C14" s="111">
        <v>1</v>
      </c>
      <c r="D14" s="112">
        <v>2</v>
      </c>
      <c r="E14" s="112">
        <v>3</v>
      </c>
      <c r="F14" s="112">
        <v>4</v>
      </c>
      <c r="G14" s="112">
        <v>5</v>
      </c>
      <c r="H14" s="112">
        <v>6</v>
      </c>
      <c r="I14" s="112">
        <v>7</v>
      </c>
      <c r="J14" s="112">
        <v>8</v>
      </c>
      <c r="K14" s="112">
        <v>9</v>
      </c>
      <c r="L14" s="112">
        <v>10</v>
      </c>
      <c r="M14" s="112">
        <v>11</v>
      </c>
      <c r="N14" s="112">
        <v>12</v>
      </c>
      <c r="O14" s="112">
        <v>13</v>
      </c>
      <c r="P14" s="112">
        <v>14</v>
      </c>
      <c r="Q14" s="112">
        <v>15</v>
      </c>
      <c r="R14" s="112">
        <v>16</v>
      </c>
      <c r="S14" s="112">
        <v>17</v>
      </c>
      <c r="T14" s="112">
        <v>18</v>
      </c>
      <c r="U14" s="112">
        <v>19</v>
      </c>
      <c r="V14" s="112">
        <v>20</v>
      </c>
      <c r="W14" s="112">
        <v>21</v>
      </c>
      <c r="X14" s="112">
        <v>22</v>
      </c>
      <c r="Y14" s="112">
        <v>23</v>
      </c>
      <c r="Z14" s="112">
        <v>24</v>
      </c>
      <c r="AA14" s="112">
        <v>25</v>
      </c>
      <c r="AB14" s="112">
        <v>26</v>
      </c>
      <c r="AC14" s="112">
        <v>27</v>
      </c>
      <c r="AD14" s="112">
        <v>28</v>
      </c>
      <c r="AE14" s="112">
        <v>29</v>
      </c>
      <c r="AF14" s="112">
        <v>30</v>
      </c>
      <c r="AG14" s="113">
        <v>31</v>
      </c>
    </row>
    <row r="15" spans="2:35" ht="14.4" thickTop="1" thickBot="1">
      <c r="B15" s="110">
        <f>CurYear-1</f>
        <v>2018</v>
      </c>
      <c r="C15" s="36" t="str">
        <f>Roster!D76</f>
        <v>.</v>
      </c>
      <c r="D15" s="37" t="str">
        <f>Roster!E76</f>
        <v>.</v>
      </c>
      <c r="E15" s="37" t="str">
        <f>Roster!F76</f>
        <v>.</v>
      </c>
      <c r="F15" s="37" t="str">
        <f>Roster!G76</f>
        <v>.</v>
      </c>
      <c r="G15" s="37" t="str">
        <f>Roster!H76</f>
        <v>.</v>
      </c>
      <c r="H15" s="37" t="str">
        <f>Roster!I76</f>
        <v>.</v>
      </c>
      <c r="I15" s="37" t="str">
        <f>Roster!J76</f>
        <v>.</v>
      </c>
      <c r="J15" s="37" t="str">
        <f>Roster!K76</f>
        <v>.</v>
      </c>
      <c r="K15" s="37" t="str">
        <f>Roster!L76</f>
        <v>.</v>
      </c>
      <c r="L15" s="37" t="str">
        <f>Roster!M76</f>
        <v>.</v>
      </c>
      <c r="M15" s="37" t="str">
        <f>Roster!N76</f>
        <v>.</v>
      </c>
      <c r="N15" s="37" t="str">
        <f>Roster!O76</f>
        <v>.</v>
      </c>
      <c r="O15" s="37" t="str">
        <f>Roster!P76</f>
        <v>.</v>
      </c>
      <c r="P15" s="37" t="str">
        <f>Roster!Q76</f>
        <v>.</v>
      </c>
      <c r="Q15" s="37" t="str">
        <f>Roster!R76</f>
        <v>.</v>
      </c>
      <c r="R15" s="37" t="str">
        <f>Roster!S76</f>
        <v>.</v>
      </c>
      <c r="S15" s="37" t="str">
        <f>Roster!T76</f>
        <v>.</v>
      </c>
      <c r="T15" s="37" t="str">
        <f>Roster!U76</f>
        <v>.</v>
      </c>
      <c r="U15" s="37" t="str">
        <f>Roster!V76</f>
        <v>.</v>
      </c>
      <c r="V15" s="37" t="str">
        <f>Roster!W76</f>
        <v>.</v>
      </c>
      <c r="W15" s="37" t="str">
        <f>Roster!X76</f>
        <v>.</v>
      </c>
      <c r="X15" s="37" t="str">
        <f>Roster!Y76</f>
        <v>.</v>
      </c>
      <c r="Y15" s="37" t="str">
        <f>Roster!Z76</f>
        <v>.</v>
      </c>
      <c r="Z15" s="37" t="str">
        <f>Roster!AA76</f>
        <v>.</v>
      </c>
      <c r="AA15" s="37" t="str">
        <f>Roster!AB76</f>
        <v>.</v>
      </c>
      <c r="AB15" s="37" t="str">
        <f>Roster!AC76</f>
        <v>.</v>
      </c>
      <c r="AC15" s="37" t="str">
        <f>Roster!AD76</f>
        <v>.</v>
      </c>
      <c r="AD15" s="37" t="str">
        <f>Roster!AE76</f>
        <v>.</v>
      </c>
      <c r="AE15" s="37" t="str">
        <f>Roster!AF76</f>
        <v>.</v>
      </c>
      <c r="AF15" s="37" t="str">
        <f>Roster!AG76</f>
        <v>.</v>
      </c>
      <c r="AG15" s="38" t="str">
        <f>Roster!AH76</f>
        <v>.</v>
      </c>
    </row>
    <row r="16" spans="2:35" ht="14.4" thickTop="1" thickBot="1">
      <c r="B16" s="46"/>
      <c r="C16" s="21" t="str">
        <f t="shared" ref="C16:AF16" si="4">LEFT(TEXT(C17&amp;"-"&amp;$B17&amp;"-"&amp;CurYear-1,"ddd"),2)</f>
        <v>Th</v>
      </c>
      <c r="D16" s="21" t="str">
        <f t="shared" si="4"/>
        <v>Fr</v>
      </c>
      <c r="E16" s="21" t="str">
        <f t="shared" si="4"/>
        <v>Sa</v>
      </c>
      <c r="F16" s="21" t="str">
        <f t="shared" si="4"/>
        <v>Su</v>
      </c>
      <c r="G16" s="21" t="str">
        <f t="shared" si="4"/>
        <v>Mo</v>
      </c>
      <c r="H16" s="21" t="str">
        <f t="shared" si="4"/>
        <v>Tu</v>
      </c>
      <c r="I16" s="21" t="str">
        <f t="shared" si="4"/>
        <v>We</v>
      </c>
      <c r="J16" s="21" t="str">
        <f t="shared" si="4"/>
        <v>Th</v>
      </c>
      <c r="K16" s="21" t="str">
        <f t="shared" si="4"/>
        <v>Fr</v>
      </c>
      <c r="L16" s="21" t="str">
        <f t="shared" si="4"/>
        <v>Sa</v>
      </c>
      <c r="M16" s="21" t="str">
        <f t="shared" si="4"/>
        <v>Su</v>
      </c>
      <c r="N16" s="21" t="str">
        <f t="shared" si="4"/>
        <v>Mo</v>
      </c>
      <c r="O16" s="21" t="str">
        <f t="shared" si="4"/>
        <v>Tu</v>
      </c>
      <c r="P16" s="21" t="str">
        <f t="shared" si="4"/>
        <v>We</v>
      </c>
      <c r="Q16" s="21" t="str">
        <f t="shared" si="4"/>
        <v>Th</v>
      </c>
      <c r="R16" s="21" t="str">
        <f t="shared" si="4"/>
        <v>Fr</v>
      </c>
      <c r="S16" s="21" t="str">
        <f t="shared" si="4"/>
        <v>Sa</v>
      </c>
      <c r="T16" s="21" t="str">
        <f t="shared" si="4"/>
        <v>Su</v>
      </c>
      <c r="U16" s="21" t="str">
        <f t="shared" si="4"/>
        <v>Mo</v>
      </c>
      <c r="V16" s="21" t="str">
        <f t="shared" si="4"/>
        <v>Tu</v>
      </c>
      <c r="W16" s="21" t="str">
        <f t="shared" si="4"/>
        <v>We</v>
      </c>
      <c r="X16" s="21" t="str">
        <f t="shared" si="4"/>
        <v>Th</v>
      </c>
      <c r="Y16" s="21" t="str">
        <f t="shared" si="4"/>
        <v>Fr</v>
      </c>
      <c r="Z16" s="21" t="str">
        <f t="shared" si="4"/>
        <v>Sa</v>
      </c>
      <c r="AA16" s="21" t="str">
        <f t="shared" si="4"/>
        <v>Su</v>
      </c>
      <c r="AB16" s="21" t="str">
        <f t="shared" si="4"/>
        <v>Mo</v>
      </c>
      <c r="AC16" s="21" t="str">
        <f t="shared" si="4"/>
        <v>Tu</v>
      </c>
      <c r="AD16" s="21" t="str">
        <f t="shared" si="4"/>
        <v>We</v>
      </c>
      <c r="AE16" s="21" t="str">
        <f t="shared" si="4"/>
        <v>Th</v>
      </c>
      <c r="AF16" s="21" t="str">
        <f t="shared" si="4"/>
        <v>Fr</v>
      </c>
      <c r="AG16" s="117"/>
    </row>
    <row r="17" spans="2:33" ht="14.4" thickTop="1" thickBot="1">
      <c r="B17" s="110" t="str">
        <f>Roster!C89</f>
        <v>November</v>
      </c>
      <c r="C17" s="118">
        <v>1</v>
      </c>
      <c r="D17" s="119">
        <v>2</v>
      </c>
      <c r="E17" s="119">
        <v>3</v>
      </c>
      <c r="F17" s="119">
        <v>4</v>
      </c>
      <c r="G17" s="119">
        <v>5</v>
      </c>
      <c r="H17" s="119">
        <v>6</v>
      </c>
      <c r="I17" s="119">
        <v>7</v>
      </c>
      <c r="J17" s="119">
        <v>8</v>
      </c>
      <c r="K17" s="119">
        <v>9</v>
      </c>
      <c r="L17" s="119">
        <v>10</v>
      </c>
      <c r="M17" s="119">
        <v>11</v>
      </c>
      <c r="N17" s="119">
        <v>12</v>
      </c>
      <c r="O17" s="119">
        <v>13</v>
      </c>
      <c r="P17" s="119">
        <v>14</v>
      </c>
      <c r="Q17" s="119">
        <v>15</v>
      </c>
      <c r="R17" s="119">
        <v>16</v>
      </c>
      <c r="S17" s="119">
        <v>17</v>
      </c>
      <c r="T17" s="119">
        <v>18</v>
      </c>
      <c r="U17" s="119">
        <v>19</v>
      </c>
      <c r="V17" s="119">
        <v>20</v>
      </c>
      <c r="W17" s="119">
        <v>21</v>
      </c>
      <c r="X17" s="119">
        <v>22</v>
      </c>
      <c r="Y17" s="119">
        <v>23</v>
      </c>
      <c r="Z17" s="119">
        <v>24</v>
      </c>
      <c r="AA17" s="119">
        <v>25</v>
      </c>
      <c r="AB17" s="119">
        <v>26</v>
      </c>
      <c r="AC17" s="119">
        <v>27</v>
      </c>
      <c r="AD17" s="119">
        <v>28</v>
      </c>
      <c r="AE17" s="119">
        <v>29</v>
      </c>
      <c r="AF17" s="120">
        <v>30</v>
      </c>
      <c r="AG17" s="20"/>
    </row>
    <row r="18" spans="2:33" ht="14.4" thickTop="1" thickBot="1">
      <c r="B18" s="110">
        <f>CurYear-1</f>
        <v>2018</v>
      </c>
      <c r="C18" s="36" t="str">
        <f>Roster!D91</f>
        <v>.</v>
      </c>
      <c r="D18" s="37" t="str">
        <f>Roster!E91</f>
        <v>.</v>
      </c>
      <c r="E18" s="37" t="str">
        <f>Roster!F91</f>
        <v>.</v>
      </c>
      <c r="F18" s="37" t="str">
        <f>Roster!G91</f>
        <v>.</v>
      </c>
      <c r="G18" s="37" t="str">
        <f>Roster!H91</f>
        <v>.</v>
      </c>
      <c r="H18" s="37" t="str">
        <f>Roster!I91</f>
        <v>.</v>
      </c>
      <c r="I18" s="37" t="str">
        <f>Roster!J91</f>
        <v>.</v>
      </c>
      <c r="J18" s="37" t="str">
        <f>Roster!K91</f>
        <v>.</v>
      </c>
      <c r="K18" s="37" t="str">
        <f>Roster!L91</f>
        <v>.</v>
      </c>
      <c r="L18" s="37" t="str">
        <f>Roster!M91</f>
        <v>.</v>
      </c>
      <c r="M18" s="37" t="str">
        <f>Roster!N91</f>
        <v>.</v>
      </c>
      <c r="N18" s="37" t="str">
        <f>Roster!O91</f>
        <v>.</v>
      </c>
      <c r="O18" s="37" t="str">
        <f>Roster!P91</f>
        <v>.</v>
      </c>
      <c r="P18" s="37" t="str">
        <f>Roster!Q91</f>
        <v>.</v>
      </c>
      <c r="Q18" s="37" t="str">
        <f>Roster!R91</f>
        <v>.</v>
      </c>
      <c r="R18" s="37" t="str">
        <f>Roster!S91</f>
        <v>.</v>
      </c>
      <c r="S18" s="37" t="str">
        <f>Roster!T91</f>
        <v>.</v>
      </c>
      <c r="T18" s="37" t="str">
        <f>Roster!U91</f>
        <v>.</v>
      </c>
      <c r="U18" s="37" t="str">
        <f>Roster!V91</f>
        <v>.</v>
      </c>
      <c r="V18" s="37" t="str">
        <f>Roster!W91</f>
        <v>.</v>
      </c>
      <c r="W18" s="37" t="str">
        <f>Roster!X91</f>
        <v>.</v>
      </c>
      <c r="X18" s="37" t="str">
        <f>Roster!Y91</f>
        <v>.</v>
      </c>
      <c r="Y18" s="37" t="str">
        <f>Roster!Z91</f>
        <v>.</v>
      </c>
      <c r="Z18" s="37" t="str">
        <f>Roster!AA91</f>
        <v>.</v>
      </c>
      <c r="AA18" s="37" t="str">
        <f>Roster!AB91</f>
        <v>.</v>
      </c>
      <c r="AB18" s="37" t="str">
        <f>Roster!AC91</f>
        <v>.</v>
      </c>
      <c r="AC18" s="37" t="str">
        <f>Roster!AD91</f>
        <v>.</v>
      </c>
      <c r="AD18" s="37" t="str">
        <f>Roster!AE91</f>
        <v>.</v>
      </c>
      <c r="AE18" s="37" t="str">
        <f>Roster!AF91</f>
        <v>.</v>
      </c>
      <c r="AF18" s="38" t="str">
        <f>Roster!AG91</f>
        <v>.</v>
      </c>
      <c r="AG18" s="121"/>
    </row>
    <row r="19" spans="2:33" ht="14.4" thickTop="1" thickBot="1">
      <c r="B19" s="46"/>
      <c r="C19" s="21" t="str">
        <f t="shared" ref="C19:AG19" si="5">LEFT(TEXT(C20&amp;"-"&amp;$B20&amp;"-"&amp;CurYear-1,"ddd"),2)</f>
        <v>Sa</v>
      </c>
      <c r="D19" s="21" t="str">
        <f t="shared" si="5"/>
        <v>Su</v>
      </c>
      <c r="E19" s="21" t="str">
        <f t="shared" si="5"/>
        <v>Mo</v>
      </c>
      <c r="F19" s="21" t="str">
        <f t="shared" si="5"/>
        <v>Tu</v>
      </c>
      <c r="G19" s="21" t="str">
        <f t="shared" si="5"/>
        <v>We</v>
      </c>
      <c r="H19" s="21" t="str">
        <f t="shared" si="5"/>
        <v>Th</v>
      </c>
      <c r="I19" s="21" t="str">
        <f t="shared" si="5"/>
        <v>Fr</v>
      </c>
      <c r="J19" s="21" t="str">
        <f t="shared" si="5"/>
        <v>Sa</v>
      </c>
      <c r="K19" s="21" t="str">
        <f t="shared" si="5"/>
        <v>Su</v>
      </c>
      <c r="L19" s="21" t="str">
        <f t="shared" si="5"/>
        <v>Mo</v>
      </c>
      <c r="M19" s="21" t="str">
        <f t="shared" si="5"/>
        <v>Tu</v>
      </c>
      <c r="N19" s="21" t="str">
        <f t="shared" si="5"/>
        <v>We</v>
      </c>
      <c r="O19" s="21" t="str">
        <f t="shared" si="5"/>
        <v>Th</v>
      </c>
      <c r="P19" s="21" t="str">
        <f t="shared" si="5"/>
        <v>Fr</v>
      </c>
      <c r="Q19" s="21" t="str">
        <f t="shared" si="5"/>
        <v>Sa</v>
      </c>
      <c r="R19" s="21" t="str">
        <f t="shared" si="5"/>
        <v>Su</v>
      </c>
      <c r="S19" s="21" t="str">
        <f t="shared" si="5"/>
        <v>Mo</v>
      </c>
      <c r="T19" s="21" t="str">
        <f t="shared" si="5"/>
        <v>Tu</v>
      </c>
      <c r="U19" s="21" t="str">
        <f t="shared" si="5"/>
        <v>We</v>
      </c>
      <c r="V19" s="21" t="str">
        <f t="shared" si="5"/>
        <v>Th</v>
      </c>
      <c r="W19" s="21" t="str">
        <f t="shared" si="5"/>
        <v>Fr</v>
      </c>
      <c r="X19" s="21" t="str">
        <f t="shared" si="5"/>
        <v>Sa</v>
      </c>
      <c r="Y19" s="21" t="str">
        <f t="shared" si="5"/>
        <v>Su</v>
      </c>
      <c r="Z19" s="21" t="str">
        <f t="shared" si="5"/>
        <v>Mo</v>
      </c>
      <c r="AA19" s="21" t="str">
        <f t="shared" si="5"/>
        <v>Tu</v>
      </c>
      <c r="AB19" s="21" t="str">
        <f t="shared" si="5"/>
        <v>We</v>
      </c>
      <c r="AC19" s="21" t="str">
        <f t="shared" si="5"/>
        <v>Th</v>
      </c>
      <c r="AD19" s="21" t="str">
        <f t="shared" si="5"/>
        <v>Fr</v>
      </c>
      <c r="AE19" s="21" t="str">
        <f t="shared" si="5"/>
        <v>Sa</v>
      </c>
      <c r="AF19" s="21" t="str">
        <f t="shared" si="5"/>
        <v>Su</v>
      </c>
      <c r="AG19" s="28" t="str">
        <f t="shared" si="5"/>
        <v>Mo</v>
      </c>
    </row>
    <row r="20" spans="2:33" ht="14.4" thickTop="1" thickBot="1">
      <c r="B20" s="110" t="str">
        <f>Roster!C104</f>
        <v>December</v>
      </c>
      <c r="C20" s="111">
        <v>1</v>
      </c>
      <c r="D20" s="112">
        <v>2</v>
      </c>
      <c r="E20" s="112">
        <v>3</v>
      </c>
      <c r="F20" s="112">
        <v>4</v>
      </c>
      <c r="G20" s="112">
        <v>5</v>
      </c>
      <c r="H20" s="112">
        <v>6</v>
      </c>
      <c r="I20" s="112">
        <v>7</v>
      </c>
      <c r="J20" s="112">
        <v>8</v>
      </c>
      <c r="K20" s="112">
        <v>9</v>
      </c>
      <c r="L20" s="112">
        <v>10</v>
      </c>
      <c r="M20" s="112">
        <v>11</v>
      </c>
      <c r="N20" s="112">
        <v>12</v>
      </c>
      <c r="O20" s="112">
        <v>13</v>
      </c>
      <c r="P20" s="112">
        <v>14</v>
      </c>
      <c r="Q20" s="112">
        <v>15</v>
      </c>
      <c r="R20" s="112">
        <v>16</v>
      </c>
      <c r="S20" s="112">
        <v>17</v>
      </c>
      <c r="T20" s="112">
        <v>18</v>
      </c>
      <c r="U20" s="112">
        <v>19</v>
      </c>
      <c r="V20" s="112">
        <v>20</v>
      </c>
      <c r="W20" s="112">
        <v>21</v>
      </c>
      <c r="X20" s="112">
        <v>22</v>
      </c>
      <c r="Y20" s="112">
        <v>23</v>
      </c>
      <c r="Z20" s="112">
        <v>24</v>
      </c>
      <c r="AA20" s="112">
        <v>25</v>
      </c>
      <c r="AB20" s="112">
        <v>26</v>
      </c>
      <c r="AC20" s="112">
        <v>27</v>
      </c>
      <c r="AD20" s="112">
        <v>28</v>
      </c>
      <c r="AE20" s="112">
        <v>29</v>
      </c>
      <c r="AF20" s="112">
        <v>30</v>
      </c>
      <c r="AG20" s="113">
        <v>31</v>
      </c>
    </row>
    <row r="21" spans="2:33" ht="14.4" thickTop="1" thickBot="1">
      <c r="B21" s="110">
        <f>CurYear-1</f>
        <v>2018</v>
      </c>
      <c r="C21" s="36" t="str">
        <f>Roster!D106</f>
        <v>.</v>
      </c>
      <c r="D21" s="37" t="str">
        <f>Roster!E106</f>
        <v>.</v>
      </c>
      <c r="E21" s="37" t="str">
        <f>Roster!F106</f>
        <v>.</v>
      </c>
      <c r="F21" s="37" t="str">
        <f>Roster!G106</f>
        <v>.</v>
      </c>
      <c r="G21" s="37" t="str">
        <f>Roster!H106</f>
        <v>.</v>
      </c>
      <c r="H21" s="37" t="str">
        <f>Roster!I106</f>
        <v>.</v>
      </c>
      <c r="I21" s="37" t="str">
        <f>Roster!J106</f>
        <v>.</v>
      </c>
      <c r="J21" s="37" t="str">
        <f>Roster!K106</f>
        <v>.</v>
      </c>
      <c r="K21" s="37" t="str">
        <f>Roster!L106</f>
        <v>.</v>
      </c>
      <c r="L21" s="37" t="str">
        <f>Roster!M106</f>
        <v>.</v>
      </c>
      <c r="M21" s="37" t="str">
        <f>Roster!N106</f>
        <v>.</v>
      </c>
      <c r="N21" s="37" t="str">
        <f>Roster!O106</f>
        <v>.</v>
      </c>
      <c r="O21" s="37" t="str">
        <f>Roster!P106</f>
        <v>.</v>
      </c>
      <c r="P21" s="37" t="str">
        <f>Roster!Q106</f>
        <v>.</v>
      </c>
      <c r="Q21" s="37" t="str">
        <f>Roster!R106</f>
        <v>.</v>
      </c>
      <c r="R21" s="37" t="str">
        <f>Roster!S106</f>
        <v>.</v>
      </c>
      <c r="S21" s="37" t="str">
        <f>Roster!T106</f>
        <v>.</v>
      </c>
      <c r="T21" s="37" t="str">
        <f>Roster!U106</f>
        <v>.</v>
      </c>
      <c r="U21" s="37" t="str">
        <f>Roster!V106</f>
        <v>.</v>
      </c>
      <c r="V21" s="37" t="str">
        <f>Roster!W106</f>
        <v>.</v>
      </c>
      <c r="W21" s="37" t="str">
        <f>Roster!X106</f>
        <v>.</v>
      </c>
      <c r="X21" s="37" t="str">
        <f>Roster!Y106</f>
        <v>.</v>
      </c>
      <c r="Y21" s="37" t="str">
        <f>Roster!Z106</f>
        <v>.</v>
      </c>
      <c r="Z21" s="37" t="str">
        <f>Roster!AA106</f>
        <v>.</v>
      </c>
      <c r="AA21" s="37" t="str">
        <f>Roster!AB106</f>
        <v>.</v>
      </c>
      <c r="AB21" s="37" t="str">
        <f>Roster!AC106</f>
        <v>.</v>
      </c>
      <c r="AC21" s="37" t="str">
        <f>Roster!AD106</f>
        <v>.</v>
      </c>
      <c r="AD21" s="37" t="str">
        <f>Roster!AE106</f>
        <v>.</v>
      </c>
      <c r="AE21" s="37" t="str">
        <f>Roster!AF106</f>
        <v>.</v>
      </c>
      <c r="AF21" s="37" t="str">
        <f>Roster!AG106</f>
        <v>.</v>
      </c>
      <c r="AG21" s="38" t="str">
        <f>Roster!AH106</f>
        <v>.</v>
      </c>
    </row>
    <row r="22" spans="2:33" s="10" customFormat="1" ht="14.4" thickTop="1" thickBot="1">
      <c r="B22" s="47"/>
      <c r="C22" s="47" t="str">
        <f t="shared" ref="C22:AG22" si="6">LEFT(TEXT(C23&amp;"-"&amp;$B23&amp;"-"&amp;CurYear,"ddd"),2)</f>
        <v>Tu</v>
      </c>
      <c r="D22" s="47" t="str">
        <f t="shared" si="6"/>
        <v>We</v>
      </c>
      <c r="E22" s="47" t="str">
        <f t="shared" si="6"/>
        <v>Th</v>
      </c>
      <c r="F22" s="47" t="str">
        <f t="shared" si="6"/>
        <v>Fr</v>
      </c>
      <c r="G22" s="47" t="str">
        <f t="shared" si="6"/>
        <v>Sa</v>
      </c>
      <c r="H22" s="47" t="str">
        <f t="shared" si="6"/>
        <v>Su</v>
      </c>
      <c r="I22" s="47" t="str">
        <f t="shared" si="6"/>
        <v>Mo</v>
      </c>
      <c r="J22" s="47" t="str">
        <f t="shared" si="6"/>
        <v>Tu</v>
      </c>
      <c r="K22" s="47" t="str">
        <f t="shared" si="6"/>
        <v>We</v>
      </c>
      <c r="L22" s="47" t="str">
        <f t="shared" si="6"/>
        <v>Th</v>
      </c>
      <c r="M22" s="47" t="str">
        <f t="shared" si="6"/>
        <v>Fr</v>
      </c>
      <c r="N22" s="47" t="str">
        <f t="shared" si="6"/>
        <v>Sa</v>
      </c>
      <c r="O22" s="47" t="str">
        <f t="shared" si="6"/>
        <v>Su</v>
      </c>
      <c r="P22" s="47" t="str">
        <f t="shared" si="6"/>
        <v>Mo</v>
      </c>
      <c r="Q22" s="47" t="str">
        <f t="shared" si="6"/>
        <v>Tu</v>
      </c>
      <c r="R22" s="47" t="str">
        <f t="shared" si="6"/>
        <v>We</v>
      </c>
      <c r="S22" s="47" t="str">
        <f t="shared" si="6"/>
        <v>Th</v>
      </c>
      <c r="T22" s="47" t="str">
        <f t="shared" si="6"/>
        <v>Fr</v>
      </c>
      <c r="U22" s="47" t="str">
        <f t="shared" si="6"/>
        <v>Sa</v>
      </c>
      <c r="V22" s="47" t="str">
        <f t="shared" si="6"/>
        <v>Su</v>
      </c>
      <c r="W22" s="47" t="str">
        <f t="shared" si="6"/>
        <v>Mo</v>
      </c>
      <c r="X22" s="47" t="str">
        <f t="shared" si="6"/>
        <v>Tu</v>
      </c>
      <c r="Y22" s="47" t="str">
        <f t="shared" si="6"/>
        <v>We</v>
      </c>
      <c r="Z22" s="47" t="str">
        <f t="shared" si="6"/>
        <v>Th</v>
      </c>
      <c r="AA22" s="47" t="str">
        <f t="shared" si="6"/>
        <v>Fr</v>
      </c>
      <c r="AB22" s="47" t="str">
        <f t="shared" si="6"/>
        <v>Sa</v>
      </c>
      <c r="AC22" s="47" t="str">
        <f t="shared" si="6"/>
        <v>Su</v>
      </c>
      <c r="AD22" s="47" t="str">
        <f t="shared" si="6"/>
        <v>Mo</v>
      </c>
      <c r="AE22" s="47" t="str">
        <f t="shared" si="6"/>
        <v>Tu</v>
      </c>
      <c r="AF22" s="47" t="str">
        <f t="shared" si="6"/>
        <v>We</v>
      </c>
      <c r="AG22" s="47" t="str">
        <f t="shared" si="6"/>
        <v>Th</v>
      </c>
    </row>
    <row r="23" spans="2:33" ht="14.4" thickTop="1" thickBot="1">
      <c r="B23" s="110" t="str">
        <f>Roster!$C$119</f>
        <v>January</v>
      </c>
      <c r="C23" s="111">
        <v>1</v>
      </c>
      <c r="D23" s="112">
        <v>2</v>
      </c>
      <c r="E23" s="112">
        <v>3</v>
      </c>
      <c r="F23" s="112">
        <v>4</v>
      </c>
      <c r="G23" s="112">
        <v>5</v>
      </c>
      <c r="H23" s="112">
        <v>6</v>
      </c>
      <c r="I23" s="112">
        <v>7</v>
      </c>
      <c r="J23" s="112">
        <v>8</v>
      </c>
      <c r="K23" s="112">
        <v>9</v>
      </c>
      <c r="L23" s="112">
        <v>10</v>
      </c>
      <c r="M23" s="112">
        <v>11</v>
      </c>
      <c r="N23" s="112">
        <v>12</v>
      </c>
      <c r="O23" s="112">
        <v>13</v>
      </c>
      <c r="P23" s="112">
        <v>14</v>
      </c>
      <c r="Q23" s="112">
        <v>15</v>
      </c>
      <c r="R23" s="112">
        <v>16</v>
      </c>
      <c r="S23" s="112">
        <v>17</v>
      </c>
      <c r="T23" s="112">
        <v>18</v>
      </c>
      <c r="U23" s="112">
        <v>19</v>
      </c>
      <c r="V23" s="112">
        <v>20</v>
      </c>
      <c r="W23" s="112">
        <v>21</v>
      </c>
      <c r="X23" s="112">
        <v>22</v>
      </c>
      <c r="Y23" s="112">
        <v>23</v>
      </c>
      <c r="Z23" s="112">
        <v>24</v>
      </c>
      <c r="AA23" s="112">
        <v>25</v>
      </c>
      <c r="AB23" s="112">
        <v>26</v>
      </c>
      <c r="AC23" s="112">
        <v>27</v>
      </c>
      <c r="AD23" s="112">
        <v>28</v>
      </c>
      <c r="AE23" s="112">
        <v>29</v>
      </c>
      <c r="AF23" s="112">
        <v>30</v>
      </c>
      <c r="AG23" s="113">
        <v>31</v>
      </c>
    </row>
    <row r="24" spans="2:33" ht="14.4" thickTop="1" thickBot="1">
      <c r="B24" s="110" t="str">
        <f>CurYear</f>
        <v>2019</v>
      </c>
      <c r="C24" s="48" t="str">
        <f>Roster!D121</f>
        <v>.</v>
      </c>
      <c r="D24" s="49" t="str">
        <f>Roster!E121</f>
        <v>.</v>
      </c>
      <c r="E24" s="40" t="str">
        <f>Roster!F121</f>
        <v>.</v>
      </c>
      <c r="F24" s="40" t="str">
        <f>Roster!G121</f>
        <v>.</v>
      </c>
      <c r="G24" s="40" t="str">
        <f>Roster!H121</f>
        <v>.</v>
      </c>
      <c r="H24" s="40" t="str">
        <f>Roster!I121</f>
        <v>.</v>
      </c>
      <c r="I24" s="40" t="str">
        <f>Roster!J121</f>
        <v>.</v>
      </c>
      <c r="J24" s="40" t="str">
        <f>Roster!K121</f>
        <v>.</v>
      </c>
      <c r="K24" s="40" t="str">
        <f>Roster!L121</f>
        <v>.</v>
      </c>
      <c r="L24" s="40" t="str">
        <f>Roster!M121</f>
        <v>.</v>
      </c>
      <c r="M24" s="40" t="str">
        <f>Roster!N121</f>
        <v>.</v>
      </c>
      <c r="N24" s="40" t="str">
        <f>Roster!O121</f>
        <v>.</v>
      </c>
      <c r="O24" s="40" t="str">
        <f>Roster!P121</f>
        <v>.</v>
      </c>
      <c r="P24" s="40" t="str">
        <f>Roster!Q121</f>
        <v>.</v>
      </c>
      <c r="Q24" s="40" t="str">
        <f>Roster!R121</f>
        <v>.</v>
      </c>
      <c r="R24" s="40" t="str">
        <f>Roster!S121</f>
        <v>.</v>
      </c>
      <c r="S24" s="40" t="str">
        <f>Roster!T121</f>
        <v>.</v>
      </c>
      <c r="T24" s="40" t="str">
        <f>Roster!U121</f>
        <v>.</v>
      </c>
      <c r="U24" s="40" t="str">
        <f>Roster!V121</f>
        <v>.</v>
      </c>
      <c r="V24" s="40" t="str">
        <f>Roster!W121</f>
        <v>.</v>
      </c>
      <c r="W24" s="40" t="str">
        <f>Roster!X121</f>
        <v>.</v>
      </c>
      <c r="X24" s="40" t="str">
        <f>Roster!Y121</f>
        <v>.</v>
      </c>
      <c r="Y24" s="40" t="str">
        <f>Roster!Z121</f>
        <v>.</v>
      </c>
      <c r="Z24" s="40" t="str">
        <f>Roster!AA121</f>
        <v>.</v>
      </c>
      <c r="AA24" s="40" t="str">
        <f>Roster!AB121</f>
        <v>.</v>
      </c>
      <c r="AB24" s="40" t="str">
        <f>Roster!AC121</f>
        <v>.</v>
      </c>
      <c r="AC24" s="40" t="str">
        <f>Roster!AD121</f>
        <v>.</v>
      </c>
      <c r="AD24" s="40" t="str">
        <f>Roster!AE121</f>
        <v>.</v>
      </c>
      <c r="AE24" s="40" t="str">
        <f>Roster!AF121</f>
        <v>.</v>
      </c>
      <c r="AF24" s="40" t="str">
        <f>Roster!AG121</f>
        <v>.</v>
      </c>
      <c r="AG24" s="41" t="str">
        <f>Roster!AH121</f>
        <v>.</v>
      </c>
    </row>
    <row r="25" spans="2:33" s="10" customFormat="1" ht="14.4" thickTop="1" thickBot="1">
      <c r="B25" s="47"/>
      <c r="C25" s="47" t="str">
        <f t="shared" ref="C25:AE25" si="7">LEFT(TEXT(C26&amp;"-"&amp;$B26&amp;"-"&amp;CurYear,"ddd"),2)</f>
        <v>Fr</v>
      </c>
      <c r="D25" s="22" t="str">
        <f t="shared" si="7"/>
        <v>Sa</v>
      </c>
      <c r="E25" s="22" t="str">
        <f t="shared" si="7"/>
        <v>Su</v>
      </c>
      <c r="F25" s="22" t="str">
        <f t="shared" si="7"/>
        <v>Mo</v>
      </c>
      <c r="G25" s="22" t="str">
        <f t="shared" si="7"/>
        <v>Tu</v>
      </c>
      <c r="H25" s="22" t="str">
        <f t="shared" si="7"/>
        <v>We</v>
      </c>
      <c r="I25" s="22" t="str">
        <f t="shared" si="7"/>
        <v>Th</v>
      </c>
      <c r="J25" s="22" t="str">
        <f t="shared" si="7"/>
        <v>Fr</v>
      </c>
      <c r="K25" s="22" t="str">
        <f t="shared" si="7"/>
        <v>Sa</v>
      </c>
      <c r="L25" s="22" t="str">
        <f t="shared" si="7"/>
        <v>Su</v>
      </c>
      <c r="M25" s="22" t="str">
        <f t="shared" si="7"/>
        <v>Mo</v>
      </c>
      <c r="N25" s="22" t="str">
        <f t="shared" si="7"/>
        <v>Tu</v>
      </c>
      <c r="O25" s="22" t="str">
        <f t="shared" si="7"/>
        <v>We</v>
      </c>
      <c r="P25" s="22" t="str">
        <f t="shared" si="7"/>
        <v>Th</v>
      </c>
      <c r="Q25" s="22" t="str">
        <f t="shared" si="7"/>
        <v>Fr</v>
      </c>
      <c r="R25" s="22" t="str">
        <f t="shared" si="7"/>
        <v>Sa</v>
      </c>
      <c r="S25" s="22" t="str">
        <f t="shared" si="7"/>
        <v>Su</v>
      </c>
      <c r="T25" s="22" t="str">
        <f t="shared" si="7"/>
        <v>Mo</v>
      </c>
      <c r="U25" s="22" t="str">
        <f t="shared" si="7"/>
        <v>Tu</v>
      </c>
      <c r="V25" s="22" t="str">
        <f t="shared" si="7"/>
        <v>We</v>
      </c>
      <c r="W25" s="22" t="str">
        <f t="shared" si="7"/>
        <v>Th</v>
      </c>
      <c r="X25" s="22" t="str">
        <f t="shared" si="7"/>
        <v>Fr</v>
      </c>
      <c r="Y25" s="22" t="str">
        <f t="shared" si="7"/>
        <v>Sa</v>
      </c>
      <c r="Z25" s="22" t="str">
        <f t="shared" si="7"/>
        <v>Su</v>
      </c>
      <c r="AA25" s="22" t="str">
        <f t="shared" si="7"/>
        <v>Mo</v>
      </c>
      <c r="AB25" s="22" t="str">
        <f t="shared" si="7"/>
        <v>Tu</v>
      </c>
      <c r="AC25" s="22" t="str">
        <f t="shared" si="7"/>
        <v>We</v>
      </c>
      <c r="AD25" s="22" t="str">
        <f t="shared" si="7"/>
        <v>Th</v>
      </c>
      <c r="AE25" s="131" t="str">
        <f t="shared" si="7"/>
        <v>29</v>
      </c>
      <c r="AF25" s="122"/>
      <c r="AG25" s="123"/>
    </row>
    <row r="26" spans="2:33" ht="14.4" thickTop="1" thickBot="1">
      <c r="B26" s="110" t="str">
        <f>Roster!$C$134</f>
        <v>February</v>
      </c>
      <c r="C26" s="111">
        <v>1</v>
      </c>
      <c r="D26" s="119">
        <v>2</v>
      </c>
      <c r="E26" s="119">
        <v>3</v>
      </c>
      <c r="F26" s="119">
        <v>4</v>
      </c>
      <c r="G26" s="119">
        <v>5</v>
      </c>
      <c r="H26" s="119">
        <v>6</v>
      </c>
      <c r="I26" s="119">
        <v>7</v>
      </c>
      <c r="J26" s="119">
        <v>8</v>
      </c>
      <c r="K26" s="119">
        <v>9</v>
      </c>
      <c r="L26" s="119">
        <v>10</v>
      </c>
      <c r="M26" s="119">
        <v>11</v>
      </c>
      <c r="N26" s="119">
        <v>12</v>
      </c>
      <c r="O26" s="119">
        <v>13</v>
      </c>
      <c r="P26" s="119">
        <v>14</v>
      </c>
      <c r="Q26" s="119">
        <v>15</v>
      </c>
      <c r="R26" s="119">
        <v>16</v>
      </c>
      <c r="S26" s="119">
        <v>17</v>
      </c>
      <c r="T26" s="119">
        <v>18</v>
      </c>
      <c r="U26" s="119">
        <v>19</v>
      </c>
      <c r="V26" s="119">
        <v>20</v>
      </c>
      <c r="W26" s="119">
        <v>21</v>
      </c>
      <c r="X26" s="119">
        <v>22</v>
      </c>
      <c r="Y26" s="119">
        <v>23</v>
      </c>
      <c r="Z26" s="119">
        <v>24</v>
      </c>
      <c r="AA26" s="119">
        <v>25</v>
      </c>
      <c r="AB26" s="119">
        <v>26</v>
      </c>
      <c r="AC26" s="119">
        <v>27</v>
      </c>
      <c r="AD26" s="124">
        <v>28</v>
      </c>
      <c r="AE26" s="129">
        <v>29</v>
      </c>
      <c r="AF26" s="106"/>
      <c r="AG26" s="20"/>
    </row>
    <row r="27" spans="2:33" ht="14.4" thickTop="1" thickBot="1">
      <c r="B27" s="110" t="str">
        <f>CurYear</f>
        <v>2019</v>
      </c>
      <c r="C27" s="36" t="str">
        <f>Roster!D136</f>
        <v>.</v>
      </c>
      <c r="D27" s="37" t="str">
        <f>Roster!E136</f>
        <v>.</v>
      </c>
      <c r="E27" s="37" t="str">
        <f>Roster!F136</f>
        <v>.</v>
      </c>
      <c r="F27" s="37" t="str">
        <f>Roster!G136</f>
        <v>.</v>
      </c>
      <c r="G27" s="37" t="str">
        <f>Roster!H136</f>
        <v>.</v>
      </c>
      <c r="H27" s="37" t="str">
        <f>Roster!I136</f>
        <v>.</v>
      </c>
      <c r="I27" s="37" t="str">
        <f>Roster!J136</f>
        <v>.</v>
      </c>
      <c r="J27" s="37" t="str">
        <f>Roster!K136</f>
        <v>.</v>
      </c>
      <c r="K27" s="37" t="str">
        <f>Roster!L136</f>
        <v>.</v>
      </c>
      <c r="L27" s="37" t="str">
        <f>Roster!M136</f>
        <v>.</v>
      </c>
      <c r="M27" s="37" t="str">
        <f>Roster!N136</f>
        <v>.</v>
      </c>
      <c r="N27" s="37" t="str">
        <f>Roster!O136</f>
        <v>.</v>
      </c>
      <c r="O27" s="37" t="str">
        <f>Roster!P136</f>
        <v>.</v>
      </c>
      <c r="P27" s="37" t="str">
        <f>Roster!Q136</f>
        <v>.</v>
      </c>
      <c r="Q27" s="37" t="str">
        <f>Roster!R136</f>
        <v>.</v>
      </c>
      <c r="R27" s="37" t="str">
        <f>Roster!S136</f>
        <v>.</v>
      </c>
      <c r="S27" s="37" t="str">
        <f>Roster!T136</f>
        <v>.</v>
      </c>
      <c r="T27" s="37" t="str">
        <f>Roster!U136</f>
        <v>.</v>
      </c>
      <c r="U27" s="37" t="str">
        <f>Roster!V136</f>
        <v>.</v>
      </c>
      <c r="V27" s="37" t="str">
        <f>Roster!W136</f>
        <v>.</v>
      </c>
      <c r="W27" s="37" t="str">
        <f>Roster!X136</f>
        <v>.</v>
      </c>
      <c r="X27" s="37" t="str">
        <f>Roster!Y136</f>
        <v>.</v>
      </c>
      <c r="Y27" s="37" t="str">
        <f>Roster!Z136</f>
        <v>.</v>
      </c>
      <c r="Z27" s="37" t="str">
        <f>Roster!AA136</f>
        <v>.</v>
      </c>
      <c r="AA27" s="37" t="str">
        <f>Roster!AB136</f>
        <v>.</v>
      </c>
      <c r="AB27" s="37" t="str">
        <f>Roster!AC136</f>
        <v>.</v>
      </c>
      <c r="AC27" s="37" t="str">
        <f>Roster!AD136</f>
        <v>.</v>
      </c>
      <c r="AD27" s="43" t="str">
        <f>Roster!AE136</f>
        <v>.</v>
      </c>
      <c r="AE27" s="130">
        <f>Roster!AF136</f>
        <v>0</v>
      </c>
      <c r="AF27" s="20"/>
      <c r="AG27" s="20"/>
    </row>
    <row r="28" spans="2:33" s="10" customFormat="1" ht="14.4" thickTop="1" thickBot="1">
      <c r="B28" s="47"/>
      <c r="C28" s="47" t="str">
        <f t="shared" ref="C28:AG28" si="8">LEFT(TEXT(C29&amp;"-"&amp;$B29&amp;"-"&amp;CurYear,"ddd"),2)</f>
        <v>Fr</v>
      </c>
      <c r="D28" s="25" t="str">
        <f t="shared" si="8"/>
        <v>Sa</v>
      </c>
      <c r="E28" s="25" t="str">
        <f t="shared" si="8"/>
        <v>Su</v>
      </c>
      <c r="F28" s="25" t="str">
        <f t="shared" si="8"/>
        <v>Mo</v>
      </c>
      <c r="G28" s="25" t="str">
        <f t="shared" si="8"/>
        <v>Tu</v>
      </c>
      <c r="H28" s="25" t="str">
        <f t="shared" si="8"/>
        <v>We</v>
      </c>
      <c r="I28" s="25" t="str">
        <f t="shared" si="8"/>
        <v>Th</v>
      </c>
      <c r="J28" s="25" t="str">
        <f t="shared" si="8"/>
        <v>Fr</v>
      </c>
      <c r="K28" s="25" t="str">
        <f t="shared" si="8"/>
        <v>Sa</v>
      </c>
      <c r="L28" s="25" t="str">
        <f t="shared" si="8"/>
        <v>Su</v>
      </c>
      <c r="M28" s="25" t="str">
        <f t="shared" si="8"/>
        <v>Mo</v>
      </c>
      <c r="N28" s="25" t="str">
        <f t="shared" si="8"/>
        <v>Tu</v>
      </c>
      <c r="O28" s="25" t="str">
        <f t="shared" si="8"/>
        <v>We</v>
      </c>
      <c r="P28" s="25" t="str">
        <f t="shared" si="8"/>
        <v>Th</v>
      </c>
      <c r="Q28" s="25" t="str">
        <f t="shared" si="8"/>
        <v>Fr</v>
      </c>
      <c r="R28" s="25" t="str">
        <f t="shared" si="8"/>
        <v>Sa</v>
      </c>
      <c r="S28" s="25" t="str">
        <f t="shared" si="8"/>
        <v>Su</v>
      </c>
      <c r="T28" s="25" t="str">
        <f t="shared" si="8"/>
        <v>Mo</v>
      </c>
      <c r="U28" s="25" t="str">
        <f t="shared" si="8"/>
        <v>Tu</v>
      </c>
      <c r="V28" s="25" t="str">
        <f t="shared" si="8"/>
        <v>We</v>
      </c>
      <c r="W28" s="25" t="str">
        <f t="shared" si="8"/>
        <v>Th</v>
      </c>
      <c r="X28" s="25" t="str">
        <f t="shared" si="8"/>
        <v>Fr</v>
      </c>
      <c r="Y28" s="25" t="str">
        <f t="shared" si="8"/>
        <v>Sa</v>
      </c>
      <c r="Z28" s="25" t="str">
        <f t="shared" si="8"/>
        <v>Su</v>
      </c>
      <c r="AA28" s="25" t="str">
        <f t="shared" si="8"/>
        <v>Mo</v>
      </c>
      <c r="AB28" s="25" t="str">
        <f t="shared" si="8"/>
        <v>Tu</v>
      </c>
      <c r="AC28" s="25" t="str">
        <f t="shared" si="8"/>
        <v>We</v>
      </c>
      <c r="AD28" s="25" t="str">
        <f t="shared" si="8"/>
        <v>Th</v>
      </c>
      <c r="AE28" s="45" t="str">
        <f t="shared" si="8"/>
        <v>Fr</v>
      </c>
      <c r="AF28" s="26" t="str">
        <f t="shared" si="8"/>
        <v>Sa</v>
      </c>
      <c r="AG28" s="47" t="str">
        <f t="shared" si="8"/>
        <v>Su</v>
      </c>
    </row>
    <row r="29" spans="2:33" ht="14.4" thickTop="1" thickBot="1">
      <c r="B29" s="110" t="str">
        <f>Roster!$C$149</f>
        <v>March</v>
      </c>
      <c r="C29" s="111">
        <v>1</v>
      </c>
      <c r="D29" s="112">
        <v>2</v>
      </c>
      <c r="E29" s="112">
        <v>3</v>
      </c>
      <c r="F29" s="112">
        <v>4</v>
      </c>
      <c r="G29" s="112">
        <v>5</v>
      </c>
      <c r="H29" s="112">
        <v>6</v>
      </c>
      <c r="I29" s="112">
        <v>7</v>
      </c>
      <c r="J29" s="112">
        <v>8</v>
      </c>
      <c r="K29" s="112">
        <v>9</v>
      </c>
      <c r="L29" s="112">
        <v>10</v>
      </c>
      <c r="M29" s="112">
        <v>11</v>
      </c>
      <c r="N29" s="112">
        <v>12</v>
      </c>
      <c r="O29" s="112">
        <v>13</v>
      </c>
      <c r="P29" s="112">
        <v>14</v>
      </c>
      <c r="Q29" s="112">
        <v>15</v>
      </c>
      <c r="R29" s="112">
        <v>16</v>
      </c>
      <c r="S29" s="112">
        <v>17</v>
      </c>
      <c r="T29" s="112">
        <v>18</v>
      </c>
      <c r="U29" s="112">
        <v>19</v>
      </c>
      <c r="V29" s="112">
        <v>20</v>
      </c>
      <c r="W29" s="112">
        <v>21</v>
      </c>
      <c r="X29" s="112">
        <v>22</v>
      </c>
      <c r="Y29" s="112">
        <v>23</v>
      </c>
      <c r="Z29" s="112">
        <v>24</v>
      </c>
      <c r="AA29" s="112">
        <v>25</v>
      </c>
      <c r="AB29" s="112">
        <v>26</v>
      </c>
      <c r="AC29" s="112">
        <v>27</v>
      </c>
      <c r="AD29" s="112">
        <v>28</v>
      </c>
      <c r="AE29" s="112">
        <v>29</v>
      </c>
      <c r="AF29" s="112">
        <v>30</v>
      </c>
      <c r="AG29" s="113">
        <v>31</v>
      </c>
    </row>
    <row r="30" spans="2:33" ht="14.4" thickTop="1" thickBot="1">
      <c r="B30" s="110" t="str">
        <f>CurYear</f>
        <v>2019</v>
      </c>
      <c r="C30" s="36" t="str">
        <f>Roster!D151</f>
        <v>.</v>
      </c>
      <c r="D30" s="37" t="str">
        <f>Roster!E151</f>
        <v>.</v>
      </c>
      <c r="E30" s="37" t="str">
        <f>Roster!F151</f>
        <v>.</v>
      </c>
      <c r="F30" s="37" t="str">
        <f>Roster!G151</f>
        <v>.</v>
      </c>
      <c r="G30" s="37" t="str">
        <f>Roster!H151</f>
        <v>.</v>
      </c>
      <c r="H30" s="37" t="str">
        <f>Roster!I151</f>
        <v>.</v>
      </c>
      <c r="I30" s="37" t="str">
        <f>Roster!J151</f>
        <v>.</v>
      </c>
      <c r="J30" s="37" t="str">
        <f>Roster!K151</f>
        <v>.</v>
      </c>
      <c r="K30" s="37" t="str">
        <f>Roster!L151</f>
        <v>.</v>
      </c>
      <c r="L30" s="37" t="str">
        <f>Roster!M151</f>
        <v>.</v>
      </c>
      <c r="M30" s="37" t="str">
        <f>Roster!N151</f>
        <v>.</v>
      </c>
      <c r="N30" s="37" t="str">
        <f>Roster!O151</f>
        <v>.</v>
      </c>
      <c r="O30" s="37" t="str">
        <f>Roster!P151</f>
        <v>.</v>
      </c>
      <c r="P30" s="37" t="str">
        <f>Roster!Q151</f>
        <v>.</v>
      </c>
      <c r="Q30" s="37" t="str">
        <f>Roster!R151</f>
        <v>.</v>
      </c>
      <c r="R30" s="37" t="str">
        <f>Roster!S151</f>
        <v>.</v>
      </c>
      <c r="S30" s="37" t="str">
        <f>Roster!T151</f>
        <v>.</v>
      </c>
      <c r="T30" s="37" t="str">
        <f>Roster!U151</f>
        <v>.</v>
      </c>
      <c r="U30" s="37" t="str">
        <f>Roster!V151</f>
        <v>.</v>
      </c>
      <c r="V30" s="37" t="str">
        <f>Roster!W151</f>
        <v>.</v>
      </c>
      <c r="W30" s="37" t="str">
        <f>Roster!X151</f>
        <v>.</v>
      </c>
      <c r="X30" s="37" t="str">
        <f>Roster!Y151</f>
        <v>.</v>
      </c>
      <c r="Y30" s="37" t="str">
        <f>Roster!Z151</f>
        <v>.</v>
      </c>
      <c r="Z30" s="37" t="str">
        <f>Roster!AA151</f>
        <v>.</v>
      </c>
      <c r="AA30" s="37" t="str">
        <f>Roster!AB151</f>
        <v>.</v>
      </c>
      <c r="AB30" s="37" t="str">
        <f>Roster!AC151</f>
        <v>.</v>
      </c>
      <c r="AC30" s="37" t="str">
        <f>Roster!AD151</f>
        <v>.</v>
      </c>
      <c r="AD30" s="37" t="str">
        <f>Roster!AE151</f>
        <v>.</v>
      </c>
      <c r="AE30" s="37" t="str">
        <f>Roster!AF151</f>
        <v>.</v>
      </c>
      <c r="AF30" s="37" t="str">
        <f>Roster!AG151</f>
        <v>.</v>
      </c>
      <c r="AG30" s="38" t="str">
        <f>Roster!AH151</f>
        <v>.</v>
      </c>
    </row>
    <row r="31" spans="2:33" s="10" customFormat="1" ht="14.4" thickTop="1" thickBot="1">
      <c r="B31" s="47"/>
      <c r="C31" s="47" t="str">
        <f t="shared" ref="C31:AF31" si="9">LEFT(TEXT(C32&amp;"-"&amp;$B32&amp;"-"&amp;CurYear,"ddd"),2)</f>
        <v>Mo</v>
      </c>
      <c r="D31" s="25" t="str">
        <f t="shared" si="9"/>
        <v>Tu</v>
      </c>
      <c r="E31" s="25" t="str">
        <f t="shared" si="9"/>
        <v>We</v>
      </c>
      <c r="F31" s="25" t="str">
        <f t="shared" si="9"/>
        <v>Th</v>
      </c>
      <c r="G31" s="25" t="str">
        <f t="shared" si="9"/>
        <v>Fr</v>
      </c>
      <c r="H31" s="25" t="str">
        <f t="shared" si="9"/>
        <v>Sa</v>
      </c>
      <c r="I31" s="25" t="str">
        <f t="shared" si="9"/>
        <v>Su</v>
      </c>
      <c r="J31" s="25" t="str">
        <f t="shared" si="9"/>
        <v>Mo</v>
      </c>
      <c r="K31" s="25" t="str">
        <f t="shared" si="9"/>
        <v>Tu</v>
      </c>
      <c r="L31" s="25" t="str">
        <f t="shared" si="9"/>
        <v>We</v>
      </c>
      <c r="M31" s="25" t="str">
        <f t="shared" si="9"/>
        <v>Th</v>
      </c>
      <c r="N31" s="25" t="str">
        <f t="shared" si="9"/>
        <v>Fr</v>
      </c>
      <c r="O31" s="25" t="str">
        <f t="shared" si="9"/>
        <v>Sa</v>
      </c>
      <c r="P31" s="25" t="str">
        <f t="shared" si="9"/>
        <v>Su</v>
      </c>
      <c r="Q31" s="25" t="str">
        <f t="shared" si="9"/>
        <v>Mo</v>
      </c>
      <c r="R31" s="25" t="str">
        <f t="shared" si="9"/>
        <v>Tu</v>
      </c>
      <c r="S31" s="25" t="str">
        <f t="shared" si="9"/>
        <v>We</v>
      </c>
      <c r="T31" s="25" t="str">
        <f t="shared" si="9"/>
        <v>Th</v>
      </c>
      <c r="U31" s="25" t="str">
        <f t="shared" si="9"/>
        <v>Fr</v>
      </c>
      <c r="V31" s="25" t="str">
        <f t="shared" si="9"/>
        <v>Sa</v>
      </c>
      <c r="W31" s="25" t="str">
        <f t="shared" si="9"/>
        <v>Su</v>
      </c>
      <c r="X31" s="25" t="str">
        <f t="shared" si="9"/>
        <v>Mo</v>
      </c>
      <c r="Y31" s="25" t="str">
        <f t="shared" si="9"/>
        <v>Tu</v>
      </c>
      <c r="Z31" s="25" t="str">
        <f t="shared" si="9"/>
        <v>We</v>
      </c>
      <c r="AA31" s="25" t="str">
        <f t="shared" si="9"/>
        <v>Th</v>
      </c>
      <c r="AB31" s="25" t="str">
        <f t="shared" si="9"/>
        <v>Fr</v>
      </c>
      <c r="AC31" s="25" t="str">
        <f t="shared" si="9"/>
        <v>Sa</v>
      </c>
      <c r="AD31" s="25" t="str">
        <f t="shared" si="9"/>
        <v>Su</v>
      </c>
      <c r="AE31" s="25" t="str">
        <f t="shared" si="9"/>
        <v>Mo</v>
      </c>
      <c r="AF31" s="25" t="str">
        <f t="shared" si="9"/>
        <v>Tu</v>
      </c>
      <c r="AG31" s="125"/>
    </row>
    <row r="32" spans="2:33" ht="14.4" thickTop="1" thickBot="1">
      <c r="B32" s="110" t="str">
        <f>Roster!$C$164</f>
        <v>April</v>
      </c>
      <c r="C32" s="111">
        <v>1</v>
      </c>
      <c r="D32" s="112">
        <v>2</v>
      </c>
      <c r="E32" s="112">
        <v>3</v>
      </c>
      <c r="F32" s="112">
        <v>4</v>
      </c>
      <c r="G32" s="112">
        <v>5</v>
      </c>
      <c r="H32" s="112">
        <v>6</v>
      </c>
      <c r="I32" s="112">
        <v>7</v>
      </c>
      <c r="J32" s="112">
        <v>8</v>
      </c>
      <c r="K32" s="112">
        <v>9</v>
      </c>
      <c r="L32" s="112">
        <v>10</v>
      </c>
      <c r="M32" s="112">
        <v>11</v>
      </c>
      <c r="N32" s="112">
        <v>12</v>
      </c>
      <c r="O32" s="112">
        <v>13</v>
      </c>
      <c r="P32" s="112">
        <v>14</v>
      </c>
      <c r="Q32" s="112">
        <v>15</v>
      </c>
      <c r="R32" s="112">
        <v>16</v>
      </c>
      <c r="S32" s="112">
        <v>17</v>
      </c>
      <c r="T32" s="112">
        <v>18</v>
      </c>
      <c r="U32" s="112">
        <v>19</v>
      </c>
      <c r="V32" s="112">
        <v>20</v>
      </c>
      <c r="W32" s="112">
        <v>21</v>
      </c>
      <c r="X32" s="112">
        <v>22</v>
      </c>
      <c r="Y32" s="112">
        <v>23</v>
      </c>
      <c r="Z32" s="112">
        <v>24</v>
      </c>
      <c r="AA32" s="112">
        <v>25</v>
      </c>
      <c r="AB32" s="112">
        <v>26</v>
      </c>
      <c r="AC32" s="112">
        <v>27</v>
      </c>
      <c r="AD32" s="112">
        <v>28</v>
      </c>
      <c r="AE32" s="112">
        <v>29</v>
      </c>
      <c r="AF32" s="113">
        <v>30</v>
      </c>
      <c r="AG32" s="20"/>
    </row>
    <row r="33" spans="2:33" ht="14.4" thickTop="1" thickBot="1">
      <c r="B33" s="110" t="str">
        <f>CurYear</f>
        <v>2019</v>
      </c>
      <c r="C33" s="36" t="str">
        <f>Roster!D166</f>
        <v>.</v>
      </c>
      <c r="D33" s="37" t="str">
        <f>Roster!E166</f>
        <v>.</v>
      </c>
      <c r="E33" s="37" t="str">
        <f>Roster!F166</f>
        <v>.</v>
      </c>
      <c r="F33" s="37" t="str">
        <f>Roster!G166</f>
        <v>.</v>
      </c>
      <c r="G33" s="37" t="str">
        <f>Roster!H166</f>
        <v>.</v>
      </c>
      <c r="H33" s="37" t="str">
        <f>Roster!I166</f>
        <v>.</v>
      </c>
      <c r="I33" s="37" t="str">
        <f>Roster!J166</f>
        <v>.</v>
      </c>
      <c r="J33" s="37" t="str">
        <f>Roster!K166</f>
        <v>.</v>
      </c>
      <c r="K33" s="37" t="str">
        <f>Roster!L166</f>
        <v>.</v>
      </c>
      <c r="L33" s="37" t="str">
        <f>Roster!M166</f>
        <v>.</v>
      </c>
      <c r="M33" s="37" t="str">
        <f>Roster!N166</f>
        <v>.</v>
      </c>
      <c r="N33" s="37" t="str">
        <f>Roster!O166</f>
        <v>.</v>
      </c>
      <c r="O33" s="37" t="str">
        <f>Roster!P166</f>
        <v>.</v>
      </c>
      <c r="P33" s="37" t="str">
        <f>Roster!Q166</f>
        <v>.</v>
      </c>
      <c r="Q33" s="37" t="str">
        <f>Roster!R166</f>
        <v>.</v>
      </c>
      <c r="R33" s="37" t="str">
        <f>Roster!S166</f>
        <v>.</v>
      </c>
      <c r="S33" s="37" t="str">
        <f>Roster!T166</f>
        <v>.</v>
      </c>
      <c r="T33" s="37" t="str">
        <f>Roster!U166</f>
        <v>.</v>
      </c>
      <c r="U33" s="37" t="str">
        <f>Roster!V166</f>
        <v>.</v>
      </c>
      <c r="V33" s="37" t="str">
        <f>Roster!W166</f>
        <v>.</v>
      </c>
      <c r="W33" s="37" t="str">
        <f>Roster!X166</f>
        <v>.</v>
      </c>
      <c r="X33" s="37" t="str">
        <f>Roster!Y166</f>
        <v>.</v>
      </c>
      <c r="Y33" s="37" t="str">
        <f>Roster!Z166</f>
        <v>.</v>
      </c>
      <c r="Z33" s="37" t="str">
        <f>Roster!AA166</f>
        <v>.</v>
      </c>
      <c r="AA33" s="37" t="str">
        <f>Roster!AB166</f>
        <v>.</v>
      </c>
      <c r="AB33" s="37" t="str">
        <f>Roster!AC166</f>
        <v>.</v>
      </c>
      <c r="AC33" s="37" t="str">
        <f>Roster!AD166</f>
        <v>.</v>
      </c>
      <c r="AD33" s="37" t="str">
        <f>Roster!AE166</f>
        <v>.</v>
      </c>
      <c r="AE33" s="37" t="str">
        <f>Roster!AF166</f>
        <v>.</v>
      </c>
      <c r="AF33" s="38" t="str">
        <f>Roster!AG166</f>
        <v>.</v>
      </c>
      <c r="AG33" s="20"/>
    </row>
    <row r="34" spans="2:33" ht="14.4" thickTop="1" thickBot="1">
      <c r="B34" s="46"/>
      <c r="C34" s="21" t="str">
        <f t="shared" ref="C34:AG34" si="10">LEFT(TEXT(C35&amp;"-"&amp;$B35&amp;"-"&amp;CurYear,"ddd"),2)</f>
        <v>We</v>
      </c>
      <c r="D34" s="21" t="str">
        <f t="shared" si="10"/>
        <v>Th</v>
      </c>
      <c r="E34" s="21" t="str">
        <f t="shared" si="10"/>
        <v>Fr</v>
      </c>
      <c r="F34" s="21" t="str">
        <f t="shared" si="10"/>
        <v>Sa</v>
      </c>
      <c r="G34" s="21" t="str">
        <f t="shared" si="10"/>
        <v>Su</v>
      </c>
      <c r="H34" s="21" t="str">
        <f t="shared" si="10"/>
        <v>Mo</v>
      </c>
      <c r="I34" s="21" t="str">
        <f t="shared" si="10"/>
        <v>Tu</v>
      </c>
      <c r="J34" s="21" t="str">
        <f t="shared" si="10"/>
        <v>We</v>
      </c>
      <c r="K34" s="21" t="str">
        <f t="shared" si="10"/>
        <v>Th</v>
      </c>
      <c r="L34" s="21" t="str">
        <f t="shared" si="10"/>
        <v>Fr</v>
      </c>
      <c r="M34" s="21" t="str">
        <f t="shared" si="10"/>
        <v>Sa</v>
      </c>
      <c r="N34" s="21" t="str">
        <f t="shared" si="10"/>
        <v>Su</v>
      </c>
      <c r="O34" s="21" t="str">
        <f t="shared" si="10"/>
        <v>Mo</v>
      </c>
      <c r="P34" s="21" t="str">
        <f t="shared" si="10"/>
        <v>Tu</v>
      </c>
      <c r="Q34" s="21" t="str">
        <f t="shared" si="10"/>
        <v>We</v>
      </c>
      <c r="R34" s="21" t="str">
        <f t="shared" si="10"/>
        <v>Th</v>
      </c>
      <c r="S34" s="21" t="str">
        <f t="shared" si="10"/>
        <v>Fr</v>
      </c>
      <c r="T34" s="21" t="str">
        <f t="shared" si="10"/>
        <v>Sa</v>
      </c>
      <c r="U34" s="21" t="str">
        <f t="shared" si="10"/>
        <v>Su</v>
      </c>
      <c r="V34" s="21" t="str">
        <f t="shared" si="10"/>
        <v>Mo</v>
      </c>
      <c r="W34" s="21" t="str">
        <f t="shared" si="10"/>
        <v>Tu</v>
      </c>
      <c r="X34" s="21" t="str">
        <f t="shared" si="10"/>
        <v>We</v>
      </c>
      <c r="Y34" s="21" t="str">
        <f t="shared" si="10"/>
        <v>Th</v>
      </c>
      <c r="Z34" s="21" t="str">
        <f t="shared" si="10"/>
        <v>Fr</v>
      </c>
      <c r="AA34" s="21" t="str">
        <f t="shared" si="10"/>
        <v>Sa</v>
      </c>
      <c r="AB34" s="21" t="str">
        <f t="shared" si="10"/>
        <v>Su</v>
      </c>
      <c r="AC34" s="21" t="str">
        <f t="shared" si="10"/>
        <v>Mo</v>
      </c>
      <c r="AD34" s="21" t="str">
        <f t="shared" si="10"/>
        <v>Tu</v>
      </c>
      <c r="AE34" s="21" t="str">
        <f t="shared" si="10"/>
        <v>We</v>
      </c>
      <c r="AF34" s="21" t="str">
        <f t="shared" si="10"/>
        <v>Th</v>
      </c>
      <c r="AG34" s="46" t="str">
        <f t="shared" si="10"/>
        <v>Fr</v>
      </c>
    </row>
    <row r="35" spans="2:33" ht="14.4" thickTop="1" thickBot="1">
      <c r="B35" s="110" t="str">
        <f>Roster!$C$179</f>
        <v>May</v>
      </c>
      <c r="C35" s="111">
        <v>1</v>
      </c>
      <c r="D35" s="112">
        <v>2</v>
      </c>
      <c r="E35" s="112">
        <v>3</v>
      </c>
      <c r="F35" s="112">
        <v>4</v>
      </c>
      <c r="G35" s="112">
        <v>5</v>
      </c>
      <c r="H35" s="112">
        <v>6</v>
      </c>
      <c r="I35" s="112">
        <v>7</v>
      </c>
      <c r="J35" s="112">
        <v>8</v>
      </c>
      <c r="K35" s="112">
        <v>9</v>
      </c>
      <c r="L35" s="112">
        <v>10</v>
      </c>
      <c r="M35" s="112">
        <v>11</v>
      </c>
      <c r="N35" s="112">
        <v>12</v>
      </c>
      <c r="O35" s="112">
        <v>13</v>
      </c>
      <c r="P35" s="112">
        <v>14</v>
      </c>
      <c r="Q35" s="112">
        <v>15</v>
      </c>
      <c r="R35" s="112">
        <v>16</v>
      </c>
      <c r="S35" s="112">
        <v>17</v>
      </c>
      <c r="T35" s="112">
        <v>18</v>
      </c>
      <c r="U35" s="112">
        <v>19</v>
      </c>
      <c r="V35" s="112">
        <v>20</v>
      </c>
      <c r="W35" s="112">
        <v>21</v>
      </c>
      <c r="X35" s="112">
        <v>22</v>
      </c>
      <c r="Y35" s="112">
        <v>23</v>
      </c>
      <c r="Z35" s="112">
        <v>24</v>
      </c>
      <c r="AA35" s="112">
        <v>25</v>
      </c>
      <c r="AB35" s="112">
        <v>26</v>
      </c>
      <c r="AC35" s="112">
        <v>27</v>
      </c>
      <c r="AD35" s="112">
        <v>28</v>
      </c>
      <c r="AE35" s="112">
        <v>29</v>
      </c>
      <c r="AF35" s="112">
        <v>30</v>
      </c>
      <c r="AG35" s="113">
        <v>31</v>
      </c>
    </row>
    <row r="36" spans="2:33" ht="14.4" thickTop="1" thickBot="1">
      <c r="B36" s="110" t="str">
        <f>CurYear</f>
        <v>2019</v>
      </c>
      <c r="C36" s="36" t="str">
        <f>Roster!D181</f>
        <v>.</v>
      </c>
      <c r="D36" s="37" t="str">
        <f>Roster!E181</f>
        <v>.</v>
      </c>
      <c r="E36" s="37" t="str">
        <f>Roster!F181</f>
        <v>.</v>
      </c>
      <c r="F36" s="37" t="str">
        <f>Roster!G181</f>
        <v>.</v>
      </c>
      <c r="G36" s="37" t="str">
        <f>Roster!H181</f>
        <v>.</v>
      </c>
      <c r="H36" s="37" t="str">
        <f>Roster!I181</f>
        <v>.</v>
      </c>
      <c r="I36" s="37" t="str">
        <f>Roster!J181</f>
        <v>.</v>
      </c>
      <c r="J36" s="37" t="str">
        <f>Roster!K181</f>
        <v>.</v>
      </c>
      <c r="K36" s="37" t="str">
        <f>Roster!L181</f>
        <v>.</v>
      </c>
      <c r="L36" s="37" t="str">
        <f>Roster!M181</f>
        <v>.</v>
      </c>
      <c r="M36" s="37" t="str">
        <f>Roster!N181</f>
        <v>.</v>
      </c>
      <c r="N36" s="37" t="str">
        <f>Roster!O181</f>
        <v>.</v>
      </c>
      <c r="O36" s="37" t="str">
        <f>Roster!P181</f>
        <v>.</v>
      </c>
      <c r="P36" s="37" t="str">
        <f>Roster!Q181</f>
        <v>.</v>
      </c>
      <c r="Q36" s="37" t="str">
        <f>Roster!R181</f>
        <v>.</v>
      </c>
      <c r="R36" s="37" t="str">
        <f>Roster!S181</f>
        <v>.</v>
      </c>
      <c r="S36" s="37" t="str">
        <f>Roster!T181</f>
        <v>.</v>
      </c>
      <c r="T36" s="37" t="str">
        <f>Roster!U181</f>
        <v>.</v>
      </c>
      <c r="U36" s="37" t="str">
        <f>Roster!V181</f>
        <v>.</v>
      </c>
      <c r="V36" s="37" t="str">
        <f>Roster!W181</f>
        <v>.</v>
      </c>
      <c r="W36" s="37" t="str">
        <f>Roster!X181</f>
        <v>.</v>
      </c>
      <c r="X36" s="37" t="str">
        <f>Roster!Y181</f>
        <v>.</v>
      </c>
      <c r="Y36" s="37" t="str">
        <f>Roster!Z181</f>
        <v>.</v>
      </c>
      <c r="Z36" s="37" t="str">
        <f>Roster!AA181</f>
        <v>.</v>
      </c>
      <c r="AA36" s="37" t="str">
        <f>Roster!AB181</f>
        <v>.</v>
      </c>
      <c r="AB36" s="37" t="str">
        <f>Roster!AC181</f>
        <v>.</v>
      </c>
      <c r="AC36" s="37" t="str">
        <f>Roster!AD181</f>
        <v>.</v>
      </c>
      <c r="AD36" s="37" t="str">
        <f>Roster!AE181</f>
        <v>.</v>
      </c>
      <c r="AE36" s="37" t="str">
        <f>Roster!AF181</f>
        <v>.</v>
      </c>
      <c r="AF36" s="37" t="str">
        <f>Roster!AG181</f>
        <v>.</v>
      </c>
      <c r="AG36" s="38" t="str">
        <f>Roster!AH181</f>
        <v>.</v>
      </c>
    </row>
    <row r="37" spans="2:33" ht="14.4" thickTop="1" thickBot="1">
      <c r="B37" s="46"/>
      <c r="C37" s="21" t="str">
        <f t="shared" ref="C37:AF37" si="11">LEFT(TEXT(C38&amp;"-"&amp;$B38&amp;"-"&amp;CurYear,"ddd"),2)</f>
        <v>Sa</v>
      </c>
      <c r="D37" s="21" t="str">
        <f t="shared" si="11"/>
        <v>Su</v>
      </c>
      <c r="E37" s="21" t="str">
        <f t="shared" si="11"/>
        <v>Mo</v>
      </c>
      <c r="F37" s="21" t="str">
        <f t="shared" si="11"/>
        <v>Tu</v>
      </c>
      <c r="G37" s="21" t="str">
        <f t="shared" si="11"/>
        <v>We</v>
      </c>
      <c r="H37" s="21" t="str">
        <f t="shared" si="11"/>
        <v>Th</v>
      </c>
      <c r="I37" s="21" t="str">
        <f t="shared" si="11"/>
        <v>Fr</v>
      </c>
      <c r="J37" s="21" t="str">
        <f t="shared" si="11"/>
        <v>Sa</v>
      </c>
      <c r="K37" s="21" t="str">
        <f t="shared" si="11"/>
        <v>Su</v>
      </c>
      <c r="L37" s="21" t="str">
        <f t="shared" si="11"/>
        <v>Mo</v>
      </c>
      <c r="M37" s="21" t="str">
        <f t="shared" si="11"/>
        <v>Tu</v>
      </c>
      <c r="N37" s="21" t="str">
        <f t="shared" si="11"/>
        <v>We</v>
      </c>
      <c r="O37" s="21" t="str">
        <f t="shared" si="11"/>
        <v>Th</v>
      </c>
      <c r="P37" s="21" t="str">
        <f t="shared" si="11"/>
        <v>Fr</v>
      </c>
      <c r="Q37" s="21" t="str">
        <f t="shared" si="11"/>
        <v>Sa</v>
      </c>
      <c r="R37" s="21" t="str">
        <f t="shared" si="11"/>
        <v>Su</v>
      </c>
      <c r="S37" s="21" t="str">
        <f t="shared" si="11"/>
        <v>Mo</v>
      </c>
      <c r="T37" s="21" t="str">
        <f t="shared" si="11"/>
        <v>Tu</v>
      </c>
      <c r="U37" s="21" t="str">
        <f t="shared" si="11"/>
        <v>We</v>
      </c>
      <c r="V37" s="21" t="str">
        <f t="shared" si="11"/>
        <v>Th</v>
      </c>
      <c r="W37" s="21" t="str">
        <f t="shared" si="11"/>
        <v>Fr</v>
      </c>
      <c r="X37" s="21" t="str">
        <f t="shared" si="11"/>
        <v>Sa</v>
      </c>
      <c r="Y37" s="21" t="str">
        <f t="shared" si="11"/>
        <v>Su</v>
      </c>
      <c r="Z37" s="21" t="str">
        <f t="shared" si="11"/>
        <v>Mo</v>
      </c>
      <c r="AA37" s="21" t="str">
        <f t="shared" si="11"/>
        <v>Tu</v>
      </c>
      <c r="AB37" s="21" t="str">
        <f t="shared" si="11"/>
        <v>We</v>
      </c>
      <c r="AC37" s="21" t="str">
        <f t="shared" si="11"/>
        <v>Th</v>
      </c>
      <c r="AD37" s="21" t="str">
        <f t="shared" si="11"/>
        <v>Fr</v>
      </c>
      <c r="AE37" s="21" t="str">
        <f t="shared" si="11"/>
        <v>Sa</v>
      </c>
      <c r="AF37" s="21" t="str">
        <f t="shared" si="11"/>
        <v>Su</v>
      </c>
      <c r="AG37" s="117"/>
    </row>
    <row r="38" spans="2:33" ht="14.4" thickTop="1" thickBot="1">
      <c r="B38" s="110" t="str">
        <f>Roster!C194</f>
        <v>June</v>
      </c>
      <c r="C38" s="111">
        <v>1</v>
      </c>
      <c r="D38" s="112">
        <v>2</v>
      </c>
      <c r="E38" s="112">
        <v>3</v>
      </c>
      <c r="F38" s="112">
        <v>4</v>
      </c>
      <c r="G38" s="112">
        <v>5</v>
      </c>
      <c r="H38" s="112">
        <v>6</v>
      </c>
      <c r="I38" s="112">
        <v>7</v>
      </c>
      <c r="J38" s="112">
        <v>8</v>
      </c>
      <c r="K38" s="112">
        <v>9</v>
      </c>
      <c r="L38" s="112">
        <v>10</v>
      </c>
      <c r="M38" s="112">
        <v>11</v>
      </c>
      <c r="N38" s="112">
        <v>12</v>
      </c>
      <c r="O38" s="112">
        <v>13</v>
      </c>
      <c r="P38" s="112">
        <v>14</v>
      </c>
      <c r="Q38" s="112">
        <v>15</v>
      </c>
      <c r="R38" s="112">
        <v>16</v>
      </c>
      <c r="S38" s="112">
        <v>17</v>
      </c>
      <c r="T38" s="112">
        <v>18</v>
      </c>
      <c r="U38" s="112">
        <v>19</v>
      </c>
      <c r="V38" s="112">
        <v>20</v>
      </c>
      <c r="W38" s="112">
        <v>21</v>
      </c>
      <c r="X38" s="112">
        <v>22</v>
      </c>
      <c r="Y38" s="112">
        <v>23</v>
      </c>
      <c r="Z38" s="112">
        <v>24</v>
      </c>
      <c r="AA38" s="112">
        <v>25</v>
      </c>
      <c r="AB38" s="112">
        <v>26</v>
      </c>
      <c r="AC38" s="112">
        <v>27</v>
      </c>
      <c r="AD38" s="112">
        <v>28</v>
      </c>
      <c r="AE38" s="112">
        <v>29</v>
      </c>
      <c r="AF38" s="113">
        <v>30</v>
      </c>
      <c r="AG38" s="20"/>
    </row>
    <row r="39" spans="2:33" ht="14.4" thickTop="1" thickBot="1">
      <c r="B39" s="110" t="str">
        <f>CurYear</f>
        <v>2019</v>
      </c>
      <c r="C39" s="36" t="str">
        <f>Roster!D196</f>
        <v>.</v>
      </c>
      <c r="D39" s="37" t="str">
        <f>Roster!E196</f>
        <v>.</v>
      </c>
      <c r="E39" s="37" t="str">
        <f>Roster!F196</f>
        <v>.</v>
      </c>
      <c r="F39" s="37" t="str">
        <f>Roster!G196</f>
        <v>.</v>
      </c>
      <c r="G39" s="37" t="str">
        <f>Roster!H196</f>
        <v>.</v>
      </c>
      <c r="H39" s="37" t="str">
        <f>Roster!I196</f>
        <v>.</v>
      </c>
      <c r="I39" s="37" t="str">
        <f>Roster!J196</f>
        <v>.</v>
      </c>
      <c r="J39" s="37" t="str">
        <f>Roster!K196</f>
        <v>.</v>
      </c>
      <c r="K39" s="37" t="str">
        <f>Roster!L196</f>
        <v>.</v>
      </c>
      <c r="L39" s="37" t="str">
        <f>Roster!M196</f>
        <v>.</v>
      </c>
      <c r="M39" s="37" t="str">
        <f>Roster!N196</f>
        <v>.</v>
      </c>
      <c r="N39" s="37" t="str">
        <f>Roster!O196</f>
        <v>.</v>
      </c>
      <c r="O39" s="37" t="str">
        <f>Roster!P196</f>
        <v>.</v>
      </c>
      <c r="P39" s="37" t="str">
        <f>Roster!Q196</f>
        <v>.</v>
      </c>
      <c r="Q39" s="37" t="str">
        <f>Roster!R196</f>
        <v>.</v>
      </c>
      <c r="R39" s="37" t="str">
        <f>Roster!S196</f>
        <v>.</v>
      </c>
      <c r="S39" s="37" t="str">
        <f>Roster!T196</f>
        <v>.</v>
      </c>
      <c r="T39" s="37" t="str">
        <f>Roster!U196</f>
        <v>.</v>
      </c>
      <c r="U39" s="37" t="str">
        <f>Roster!V196</f>
        <v>.</v>
      </c>
      <c r="V39" s="37" t="str">
        <f>Roster!W196</f>
        <v>.</v>
      </c>
      <c r="W39" s="37" t="str">
        <f>Roster!X196</f>
        <v>.</v>
      </c>
      <c r="X39" s="37" t="str">
        <f>Roster!Y196</f>
        <v>.</v>
      </c>
      <c r="Y39" s="37" t="str">
        <f>Roster!Z196</f>
        <v>.</v>
      </c>
      <c r="Z39" s="37" t="str">
        <f>Roster!AA196</f>
        <v>.</v>
      </c>
      <c r="AA39" s="37" t="str">
        <f>Roster!AB196</f>
        <v>.</v>
      </c>
      <c r="AB39" s="37" t="str">
        <f>Roster!AC196</f>
        <v>.</v>
      </c>
      <c r="AC39" s="37" t="str">
        <f>Roster!AD196</f>
        <v>.</v>
      </c>
      <c r="AD39" s="37" t="str">
        <f>Roster!AE196</f>
        <v>.</v>
      </c>
      <c r="AE39" s="37" t="str">
        <f>Roster!AF196</f>
        <v>.</v>
      </c>
      <c r="AF39" s="38" t="str">
        <f>Roster!AG196</f>
        <v>.</v>
      </c>
      <c r="AG39" s="20"/>
    </row>
    <row r="40" spans="2:33" ht="13.8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3"/>
  <dimension ref="B1:AG40"/>
  <sheetViews>
    <sheetView showGridLines="0" showRowColHeaders="0" showZeros="0" topLeftCell="B2" zoomScale="113" zoomScaleNormal="113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8" t="str">
        <f>Location</f>
        <v>Oodlawirra Quarantine Station</v>
      </c>
      <c r="J2" s="132"/>
      <c r="K2" s="33"/>
      <c r="L2" s="33"/>
      <c r="M2" s="33"/>
      <c r="N2" s="33"/>
      <c r="O2" s="33"/>
      <c r="P2" s="33"/>
      <c r="Q2" s="33"/>
      <c r="R2" s="138" t="str">
        <f xml:space="preserve"> "Financial Year Commencing 1st July, " &amp; CurYear -1</f>
        <v>Financial Year Commencing 1st July, 2018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30" customFormat="1" ht="27" customHeight="1">
      <c r="B3" s="140"/>
      <c r="I3" s="142" t="s">
        <v>25</v>
      </c>
      <c r="R3" s="142" t="str">
        <f>EmpGName03 &amp;" " &amp; EmpSName03</f>
        <v>Ian Thelning</v>
      </c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</row>
    <row r="4" spans="2:33" ht="13.8" thickBot="1">
      <c r="C4" s="28" t="str">
        <f t="shared" ref="C4:AG4" si="0">LEFT(TEXT(C5&amp;"-"&amp;$B5&amp;"-"&amp;CurYear-1,"ddd"),2)</f>
        <v>Su</v>
      </c>
      <c r="D4" s="28" t="str">
        <f t="shared" si="0"/>
        <v>Mo</v>
      </c>
      <c r="E4" s="28" t="str">
        <f t="shared" si="0"/>
        <v>Tu</v>
      </c>
      <c r="F4" s="28" t="str">
        <f t="shared" si="0"/>
        <v>We</v>
      </c>
      <c r="G4" s="28" t="str">
        <f t="shared" si="0"/>
        <v>Th</v>
      </c>
      <c r="H4" s="28" t="str">
        <f t="shared" si="0"/>
        <v>Fr</v>
      </c>
      <c r="I4" s="28" t="str">
        <f t="shared" si="0"/>
        <v>Sa</v>
      </c>
      <c r="J4" s="28" t="str">
        <f t="shared" si="0"/>
        <v>Su</v>
      </c>
      <c r="K4" s="28" t="str">
        <f t="shared" si="0"/>
        <v>Mo</v>
      </c>
      <c r="L4" s="28" t="str">
        <f t="shared" si="0"/>
        <v>Tu</v>
      </c>
      <c r="M4" s="28" t="str">
        <f t="shared" si="0"/>
        <v>We</v>
      </c>
      <c r="N4" s="28" t="str">
        <f t="shared" si="0"/>
        <v>Th</v>
      </c>
      <c r="O4" s="28" t="str">
        <f t="shared" si="0"/>
        <v>Fr</v>
      </c>
      <c r="P4" s="28" t="str">
        <f t="shared" si="0"/>
        <v>Sa</v>
      </c>
      <c r="Q4" s="28" t="str">
        <f t="shared" si="0"/>
        <v>Su</v>
      </c>
      <c r="R4" s="28" t="str">
        <f t="shared" si="0"/>
        <v>Mo</v>
      </c>
      <c r="S4" s="28" t="str">
        <f t="shared" si="0"/>
        <v>Tu</v>
      </c>
      <c r="T4" s="28" t="str">
        <f t="shared" si="0"/>
        <v>We</v>
      </c>
      <c r="U4" s="28" t="str">
        <f t="shared" si="0"/>
        <v>Th</v>
      </c>
      <c r="V4" s="28" t="str">
        <f t="shared" si="0"/>
        <v>Fr</v>
      </c>
      <c r="W4" s="28" t="str">
        <f t="shared" si="0"/>
        <v>Sa</v>
      </c>
      <c r="X4" s="28" t="str">
        <f t="shared" si="0"/>
        <v>Su</v>
      </c>
      <c r="Y4" s="28" t="str">
        <f t="shared" si="0"/>
        <v>Mo</v>
      </c>
      <c r="Z4" s="28" t="str">
        <f t="shared" si="0"/>
        <v>Tu</v>
      </c>
      <c r="AA4" s="28" t="str">
        <f t="shared" si="0"/>
        <v>We</v>
      </c>
      <c r="AB4" s="28" t="str">
        <f t="shared" si="0"/>
        <v>Th</v>
      </c>
      <c r="AC4" s="28" t="str">
        <f t="shared" si="0"/>
        <v>Fr</v>
      </c>
      <c r="AD4" s="28" t="str">
        <f t="shared" si="0"/>
        <v>Sa</v>
      </c>
      <c r="AE4" s="28" t="str">
        <f t="shared" si="0"/>
        <v>Su</v>
      </c>
      <c r="AF4" s="28" t="str">
        <f t="shared" si="0"/>
        <v>Mo</v>
      </c>
      <c r="AG4" s="46" t="str">
        <f t="shared" si="0"/>
        <v>Tu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2018</v>
      </c>
      <c r="C6" s="36" t="str">
        <f>Roster!D16</f>
        <v>.</v>
      </c>
      <c r="D6" s="37" t="str">
        <f>Roster!E16</f>
        <v>.</v>
      </c>
      <c r="E6" s="37" t="str">
        <f>Roster!F16</f>
        <v>.</v>
      </c>
      <c r="F6" s="37" t="str">
        <f>Roster!G16</f>
        <v>.</v>
      </c>
      <c r="G6" s="37" t="str">
        <f>Roster!H16</f>
        <v>.</v>
      </c>
      <c r="H6" s="37" t="str">
        <f>Roster!I16</f>
        <v>.</v>
      </c>
      <c r="I6" s="37" t="str">
        <f>Roster!J16</f>
        <v>.</v>
      </c>
      <c r="J6" s="37" t="str">
        <f>Roster!K16</f>
        <v>.</v>
      </c>
      <c r="K6" s="37" t="str">
        <f>Roster!L16</f>
        <v>.</v>
      </c>
      <c r="L6" s="37" t="str">
        <f>Roster!M16</f>
        <v>.</v>
      </c>
      <c r="M6" s="37" t="str">
        <f>Roster!N16</f>
        <v>.</v>
      </c>
      <c r="N6" s="37" t="str">
        <f>Roster!O16</f>
        <v>.</v>
      </c>
      <c r="O6" s="37" t="str">
        <f>Roster!P16</f>
        <v>.</v>
      </c>
      <c r="P6" s="37" t="str">
        <f>Roster!Q16</f>
        <v>.</v>
      </c>
      <c r="Q6" s="37" t="str">
        <f>Roster!R16</f>
        <v>.</v>
      </c>
      <c r="R6" s="37" t="str">
        <f>Roster!S16</f>
        <v>.</v>
      </c>
      <c r="S6" s="37" t="str">
        <f>Roster!T16</f>
        <v>.</v>
      </c>
      <c r="T6" s="37" t="str">
        <f>Roster!U16</f>
        <v>.</v>
      </c>
      <c r="U6" s="37" t="str">
        <f>Roster!V16</f>
        <v>.</v>
      </c>
      <c r="V6" s="37" t="str">
        <f>Roster!W16</f>
        <v>.</v>
      </c>
      <c r="W6" s="37" t="str">
        <f>Roster!X16</f>
        <v>.</v>
      </c>
      <c r="X6" s="37" t="str">
        <f>Roster!Y16</f>
        <v>.</v>
      </c>
      <c r="Y6" s="37" t="str">
        <f>Roster!Z16</f>
        <v>.</v>
      </c>
      <c r="Z6" s="37" t="str">
        <f>Roster!AA16</f>
        <v>.</v>
      </c>
      <c r="AA6" s="37" t="str">
        <f>Roster!AB16</f>
        <v>.</v>
      </c>
      <c r="AB6" s="37" t="str">
        <f>Roster!AC16</f>
        <v>.</v>
      </c>
      <c r="AC6" s="37" t="str">
        <f>Roster!AD16</f>
        <v>.</v>
      </c>
      <c r="AD6" s="37" t="str">
        <f>Roster!AE16</f>
        <v>.</v>
      </c>
      <c r="AE6" s="37" t="str">
        <f>Roster!AF16</f>
        <v>.</v>
      </c>
      <c r="AF6" s="37" t="str">
        <f>Roster!AG16</f>
        <v>.</v>
      </c>
      <c r="AG6" s="38" t="str">
        <f>Roster!AH16</f>
        <v>.</v>
      </c>
    </row>
    <row r="7" spans="2:33" ht="14.4" thickTop="1" thickBot="1">
      <c r="C7" s="21" t="str">
        <f t="shared" ref="C7:AG7" si="1">LEFT(TEXT(C8&amp;"-"&amp;$B8&amp;"-"&amp;CurYear-1,"ddd"),2)</f>
        <v>We</v>
      </c>
      <c r="D7" s="21" t="str">
        <f t="shared" si="1"/>
        <v>Th</v>
      </c>
      <c r="E7" s="21" t="str">
        <f t="shared" si="1"/>
        <v>Fr</v>
      </c>
      <c r="F7" s="21" t="str">
        <f t="shared" si="1"/>
        <v>Sa</v>
      </c>
      <c r="G7" s="21" t="str">
        <f t="shared" si="1"/>
        <v>Su</v>
      </c>
      <c r="H7" s="21" t="str">
        <f t="shared" si="1"/>
        <v>Mo</v>
      </c>
      <c r="I7" s="21" t="str">
        <f t="shared" si="1"/>
        <v>Tu</v>
      </c>
      <c r="J7" s="21" t="str">
        <f t="shared" si="1"/>
        <v>We</v>
      </c>
      <c r="K7" s="21" t="str">
        <f t="shared" si="1"/>
        <v>Th</v>
      </c>
      <c r="L7" s="21" t="str">
        <f t="shared" si="1"/>
        <v>Fr</v>
      </c>
      <c r="M7" s="21" t="str">
        <f t="shared" si="1"/>
        <v>Sa</v>
      </c>
      <c r="N7" s="21" t="str">
        <f t="shared" si="1"/>
        <v>Su</v>
      </c>
      <c r="O7" s="21" t="str">
        <f t="shared" si="1"/>
        <v>Mo</v>
      </c>
      <c r="P7" s="21" t="str">
        <f t="shared" si="1"/>
        <v>Tu</v>
      </c>
      <c r="Q7" s="21" t="str">
        <f t="shared" si="1"/>
        <v>We</v>
      </c>
      <c r="R7" s="21" t="str">
        <f t="shared" si="1"/>
        <v>Th</v>
      </c>
      <c r="S7" s="21" t="str">
        <f t="shared" si="1"/>
        <v>Fr</v>
      </c>
      <c r="T7" s="21" t="str">
        <f t="shared" si="1"/>
        <v>Sa</v>
      </c>
      <c r="U7" s="21" t="str">
        <f t="shared" si="1"/>
        <v>Su</v>
      </c>
      <c r="V7" s="21" t="str">
        <f t="shared" si="1"/>
        <v>Mo</v>
      </c>
      <c r="W7" s="21" t="str">
        <f t="shared" si="1"/>
        <v>Tu</v>
      </c>
      <c r="X7" s="21" t="str">
        <f t="shared" si="1"/>
        <v>We</v>
      </c>
      <c r="Y7" s="21" t="str">
        <f t="shared" si="1"/>
        <v>Th</v>
      </c>
      <c r="Z7" s="21" t="str">
        <f t="shared" si="1"/>
        <v>Fr</v>
      </c>
      <c r="AA7" s="21" t="str">
        <f t="shared" si="1"/>
        <v>Sa</v>
      </c>
      <c r="AB7" s="21" t="str">
        <f t="shared" si="1"/>
        <v>Su</v>
      </c>
      <c r="AC7" s="21" t="str">
        <f t="shared" si="1"/>
        <v>Mo</v>
      </c>
      <c r="AD7" s="21" t="str">
        <f t="shared" si="1"/>
        <v>Tu</v>
      </c>
      <c r="AE7" s="21" t="str">
        <f t="shared" si="1"/>
        <v>We</v>
      </c>
      <c r="AF7" s="21" t="str">
        <f t="shared" si="1"/>
        <v>Th</v>
      </c>
      <c r="AG7" s="21" t="str">
        <f t="shared" si="1"/>
        <v>Fr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2018</v>
      </c>
      <c r="C9" s="36" t="str">
        <f>Roster!D47</f>
        <v>.</v>
      </c>
      <c r="D9" s="39" t="str">
        <f>Roster!E47</f>
        <v>.</v>
      </c>
      <c r="E9" s="37" t="str">
        <f>Roster!F47</f>
        <v>.</v>
      </c>
      <c r="F9" s="37" t="str">
        <f>Roster!G47</f>
        <v>.</v>
      </c>
      <c r="G9" s="37" t="str">
        <f>Roster!H47</f>
        <v>.</v>
      </c>
      <c r="H9" s="37" t="str">
        <f>Roster!I47</f>
        <v>.</v>
      </c>
      <c r="I9" s="37" t="str">
        <f>Roster!J47</f>
        <v>.</v>
      </c>
      <c r="J9" s="37" t="str">
        <f>Roster!K47</f>
        <v>.</v>
      </c>
      <c r="K9" s="37" t="str">
        <f>Roster!L47</f>
        <v>.</v>
      </c>
      <c r="L9" s="37" t="str">
        <f>Roster!M47</f>
        <v>.</v>
      </c>
      <c r="M9" s="37" t="str">
        <f>Roster!N47</f>
        <v>.</v>
      </c>
      <c r="N9" s="37" t="str">
        <f>Roster!O47</f>
        <v>.</v>
      </c>
      <c r="O9" s="37" t="str">
        <f>Roster!P47</f>
        <v>.</v>
      </c>
      <c r="P9" s="37" t="str">
        <f>Roster!Q47</f>
        <v>.</v>
      </c>
      <c r="Q9" s="37" t="str">
        <f>Roster!R47</f>
        <v>.</v>
      </c>
      <c r="R9" s="37" t="str">
        <f>Roster!S47</f>
        <v>.</v>
      </c>
      <c r="S9" s="37" t="str">
        <f>Roster!T47</f>
        <v>.</v>
      </c>
      <c r="T9" s="37" t="str">
        <f>Roster!U47</f>
        <v>.</v>
      </c>
      <c r="U9" s="37" t="str">
        <f>Roster!V47</f>
        <v>.</v>
      </c>
      <c r="V9" s="37" t="str">
        <f>Roster!W47</f>
        <v>.</v>
      </c>
      <c r="W9" s="37" t="str">
        <f>Roster!X47</f>
        <v>.</v>
      </c>
      <c r="X9" s="37" t="str">
        <f>Roster!Y47</f>
        <v>.</v>
      </c>
      <c r="Y9" s="37" t="str">
        <f>Roster!Z47</f>
        <v>.</v>
      </c>
      <c r="Z9" s="37" t="str">
        <f>Roster!AA47</f>
        <v>.</v>
      </c>
      <c r="AA9" s="37" t="str">
        <f>Roster!AB47</f>
        <v>.</v>
      </c>
      <c r="AB9" s="37" t="str">
        <f>Roster!AC47</f>
        <v>.</v>
      </c>
      <c r="AC9" s="37" t="str">
        <f>Roster!AD47</f>
        <v>.</v>
      </c>
      <c r="AD9" s="37" t="str">
        <f>Roster!AE47</f>
        <v>.</v>
      </c>
      <c r="AE9" s="37" t="str">
        <f>Roster!AF47</f>
        <v>.</v>
      </c>
      <c r="AF9" s="37" t="str">
        <f>Roster!AG47</f>
        <v>.</v>
      </c>
      <c r="AG9" s="38" t="str">
        <f>Roster!AH47</f>
        <v>.</v>
      </c>
    </row>
    <row r="10" spans="2:33" ht="14.4" thickTop="1" thickBot="1">
      <c r="C10" s="21" t="str">
        <f t="shared" ref="C10:AF10" si="2">LEFT(TEXT(C11&amp;"-"&amp;$B11&amp;"-"&amp;CurYear-1,"ddd"),2)</f>
        <v>Sa</v>
      </c>
      <c r="D10" s="21" t="str">
        <f t="shared" si="2"/>
        <v>Su</v>
      </c>
      <c r="E10" s="21" t="str">
        <f t="shared" si="2"/>
        <v>Mo</v>
      </c>
      <c r="F10" s="21" t="str">
        <f t="shared" si="2"/>
        <v>Tu</v>
      </c>
      <c r="G10" s="21" t="str">
        <f t="shared" si="2"/>
        <v>We</v>
      </c>
      <c r="H10" s="21" t="str">
        <f t="shared" si="2"/>
        <v>Th</v>
      </c>
      <c r="I10" s="21" t="str">
        <f t="shared" si="2"/>
        <v>Fr</v>
      </c>
      <c r="J10" s="21" t="str">
        <f t="shared" si="2"/>
        <v>Sa</v>
      </c>
      <c r="K10" s="21" t="str">
        <f t="shared" si="2"/>
        <v>Su</v>
      </c>
      <c r="L10" s="21" t="str">
        <f t="shared" si="2"/>
        <v>Mo</v>
      </c>
      <c r="M10" s="21" t="str">
        <f t="shared" si="2"/>
        <v>Tu</v>
      </c>
      <c r="N10" s="21" t="str">
        <f t="shared" si="2"/>
        <v>We</v>
      </c>
      <c r="O10" s="21" t="str">
        <f t="shared" si="2"/>
        <v>Th</v>
      </c>
      <c r="P10" s="21" t="str">
        <f t="shared" si="2"/>
        <v>Fr</v>
      </c>
      <c r="Q10" s="21" t="str">
        <f t="shared" si="2"/>
        <v>Sa</v>
      </c>
      <c r="R10" s="21" t="str">
        <f t="shared" si="2"/>
        <v>Su</v>
      </c>
      <c r="S10" s="21" t="str">
        <f t="shared" si="2"/>
        <v>Mo</v>
      </c>
      <c r="T10" s="21" t="str">
        <f t="shared" si="2"/>
        <v>Tu</v>
      </c>
      <c r="U10" s="21" t="str">
        <f t="shared" si="2"/>
        <v>We</v>
      </c>
      <c r="V10" s="21" t="str">
        <f t="shared" si="2"/>
        <v>Th</v>
      </c>
      <c r="W10" s="21" t="str">
        <f t="shared" si="2"/>
        <v>Fr</v>
      </c>
      <c r="X10" s="21" t="str">
        <f t="shared" si="2"/>
        <v>Sa</v>
      </c>
      <c r="Y10" s="21" t="str">
        <f t="shared" si="2"/>
        <v>Su</v>
      </c>
      <c r="Z10" s="21" t="str">
        <f t="shared" si="2"/>
        <v>Mo</v>
      </c>
      <c r="AA10" s="21" t="str">
        <f t="shared" si="2"/>
        <v>Tu</v>
      </c>
      <c r="AB10" s="21" t="str">
        <f t="shared" si="2"/>
        <v>We</v>
      </c>
      <c r="AC10" s="21" t="str">
        <f t="shared" si="2"/>
        <v>Th</v>
      </c>
      <c r="AD10" s="21" t="str">
        <f t="shared" si="2"/>
        <v>Fr</v>
      </c>
      <c r="AE10" s="21" t="str">
        <f t="shared" si="2"/>
        <v>Sa</v>
      </c>
      <c r="AF10" s="21" t="str">
        <f t="shared" si="2"/>
        <v>Su</v>
      </c>
      <c r="AG10" s="17"/>
    </row>
    <row r="11" spans="2:33" ht="14.4" thickTop="1" thickBot="1">
      <c r="B11" s="32" t="str">
        <f>Roster!C59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2018</v>
      </c>
      <c r="C12" s="36" t="str">
        <f>Roster!D62</f>
        <v>.</v>
      </c>
      <c r="D12" s="37" t="str">
        <f>Roster!E62</f>
        <v>.</v>
      </c>
      <c r="E12" s="37" t="str">
        <f>Roster!F62</f>
        <v>.</v>
      </c>
      <c r="F12" s="37" t="str">
        <f>Roster!G62</f>
        <v>.</v>
      </c>
      <c r="G12" s="37" t="str">
        <f>Roster!H62</f>
        <v>.</v>
      </c>
      <c r="H12" s="37" t="str">
        <f>Roster!I62</f>
        <v>.</v>
      </c>
      <c r="I12" s="37" t="str">
        <f>Roster!J62</f>
        <v>.</v>
      </c>
      <c r="J12" s="37" t="str">
        <f>Roster!K62</f>
        <v>.</v>
      </c>
      <c r="K12" s="37" t="str">
        <f>Roster!L62</f>
        <v>.</v>
      </c>
      <c r="L12" s="37" t="str">
        <f>Roster!M62</f>
        <v>.</v>
      </c>
      <c r="M12" s="37" t="str">
        <f>Roster!N62</f>
        <v>.</v>
      </c>
      <c r="N12" s="37" t="str">
        <f>Roster!O62</f>
        <v>.</v>
      </c>
      <c r="O12" s="37" t="str">
        <f>Roster!P62</f>
        <v>.</v>
      </c>
      <c r="P12" s="37" t="str">
        <f>Roster!Q62</f>
        <v>.</v>
      </c>
      <c r="Q12" s="37" t="str">
        <f>Roster!R62</f>
        <v>.</v>
      </c>
      <c r="R12" s="37" t="str">
        <f>Roster!S62</f>
        <v>.</v>
      </c>
      <c r="S12" s="37" t="str">
        <f>Roster!T62</f>
        <v>.</v>
      </c>
      <c r="T12" s="37" t="str">
        <f>Roster!U62</f>
        <v>.</v>
      </c>
      <c r="U12" s="37" t="str">
        <f>Roster!V62</f>
        <v>.</v>
      </c>
      <c r="V12" s="37" t="str">
        <f>Roster!W62</f>
        <v>.</v>
      </c>
      <c r="W12" s="37" t="str">
        <f>Roster!X62</f>
        <v>.</v>
      </c>
      <c r="X12" s="37" t="str">
        <f>Roster!Y62</f>
        <v>.</v>
      </c>
      <c r="Y12" s="37" t="str">
        <f>Roster!Z62</f>
        <v>.</v>
      </c>
      <c r="Z12" s="37" t="str">
        <f>Roster!AA62</f>
        <v>.</v>
      </c>
      <c r="AA12" s="37" t="str">
        <f>Roster!AB62</f>
        <v>.</v>
      </c>
      <c r="AB12" s="37" t="str">
        <f>Roster!AC62</f>
        <v>.</v>
      </c>
      <c r="AC12" s="37" t="str">
        <f>Roster!AD62</f>
        <v>.</v>
      </c>
      <c r="AD12" s="37" t="str">
        <f>Roster!AE62</f>
        <v>.</v>
      </c>
      <c r="AE12" s="37" t="str">
        <f>Roster!AF62</f>
        <v>.</v>
      </c>
      <c r="AF12" s="38" t="str">
        <f>Roster!AG62</f>
        <v>.</v>
      </c>
    </row>
    <row r="13" spans="2:33" ht="14.4" thickTop="1" thickBot="1">
      <c r="C13" s="21" t="str">
        <f t="shared" ref="C13:AG13" si="3">LEFT(TEXT(C14&amp;"-"&amp;$B14&amp;"-"&amp;CurYear-1,"ddd"),2)</f>
        <v>Mo</v>
      </c>
      <c r="D13" s="21" t="str">
        <f t="shared" si="3"/>
        <v>Tu</v>
      </c>
      <c r="E13" s="21" t="str">
        <f t="shared" si="3"/>
        <v>We</v>
      </c>
      <c r="F13" s="21" t="str">
        <f t="shared" si="3"/>
        <v>Th</v>
      </c>
      <c r="G13" s="21" t="str">
        <f t="shared" si="3"/>
        <v>Fr</v>
      </c>
      <c r="H13" s="21" t="str">
        <f t="shared" si="3"/>
        <v>Sa</v>
      </c>
      <c r="I13" s="21" t="str">
        <f t="shared" si="3"/>
        <v>Su</v>
      </c>
      <c r="J13" s="21" t="str">
        <f t="shared" si="3"/>
        <v>Mo</v>
      </c>
      <c r="K13" s="21" t="str">
        <f t="shared" si="3"/>
        <v>Tu</v>
      </c>
      <c r="L13" s="21" t="str">
        <f t="shared" si="3"/>
        <v>We</v>
      </c>
      <c r="M13" s="21" t="str">
        <f t="shared" si="3"/>
        <v>Th</v>
      </c>
      <c r="N13" s="21" t="str">
        <f t="shared" si="3"/>
        <v>Fr</v>
      </c>
      <c r="O13" s="21" t="str">
        <f t="shared" si="3"/>
        <v>Sa</v>
      </c>
      <c r="P13" s="21" t="str">
        <f t="shared" si="3"/>
        <v>Su</v>
      </c>
      <c r="Q13" s="21" t="str">
        <f t="shared" si="3"/>
        <v>Mo</v>
      </c>
      <c r="R13" s="21" t="str">
        <f t="shared" si="3"/>
        <v>Tu</v>
      </c>
      <c r="S13" s="21" t="str">
        <f t="shared" si="3"/>
        <v>We</v>
      </c>
      <c r="T13" s="21" t="str">
        <f t="shared" si="3"/>
        <v>Th</v>
      </c>
      <c r="U13" s="21" t="str">
        <f t="shared" si="3"/>
        <v>Fr</v>
      </c>
      <c r="V13" s="21" t="str">
        <f t="shared" si="3"/>
        <v>Sa</v>
      </c>
      <c r="W13" s="21" t="str">
        <f t="shared" si="3"/>
        <v>Su</v>
      </c>
      <c r="X13" s="21" t="str">
        <f t="shared" si="3"/>
        <v>Mo</v>
      </c>
      <c r="Y13" s="21" t="str">
        <f t="shared" si="3"/>
        <v>Tu</v>
      </c>
      <c r="Z13" s="21" t="str">
        <f t="shared" si="3"/>
        <v>We</v>
      </c>
      <c r="AA13" s="21" t="str">
        <f t="shared" si="3"/>
        <v>Th</v>
      </c>
      <c r="AB13" s="21" t="str">
        <f t="shared" si="3"/>
        <v>Fr</v>
      </c>
      <c r="AC13" s="21" t="str">
        <f t="shared" si="3"/>
        <v>Sa</v>
      </c>
      <c r="AD13" s="21" t="str">
        <f t="shared" si="3"/>
        <v>Su</v>
      </c>
      <c r="AE13" s="21" t="str">
        <f t="shared" si="3"/>
        <v>Mo</v>
      </c>
      <c r="AF13" s="21" t="str">
        <f t="shared" si="3"/>
        <v>Tu</v>
      </c>
      <c r="AG13" s="46" t="str">
        <f t="shared" si="3"/>
        <v>We</v>
      </c>
    </row>
    <row r="14" spans="2:33" ht="14.4" thickTop="1" thickBot="1">
      <c r="B14" s="32" t="str">
        <f>Roster!C74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2018</v>
      </c>
      <c r="C15" s="36" t="str">
        <f>Roster!D77</f>
        <v>.</v>
      </c>
      <c r="D15" s="37" t="str">
        <f>Roster!E77</f>
        <v>.</v>
      </c>
      <c r="E15" s="37" t="str">
        <f>Roster!F77</f>
        <v>.</v>
      </c>
      <c r="F15" s="37" t="str">
        <f>Roster!G77</f>
        <v>.</v>
      </c>
      <c r="G15" s="37" t="str">
        <f>Roster!H77</f>
        <v>.</v>
      </c>
      <c r="H15" s="37" t="str">
        <f>Roster!I77</f>
        <v>.</v>
      </c>
      <c r="I15" s="37" t="str">
        <f>Roster!J77</f>
        <v>.</v>
      </c>
      <c r="J15" s="37" t="str">
        <f>Roster!K77</f>
        <v>.</v>
      </c>
      <c r="K15" s="37" t="str">
        <f>Roster!L77</f>
        <v>.</v>
      </c>
      <c r="L15" s="37" t="str">
        <f>Roster!M77</f>
        <v>.</v>
      </c>
      <c r="M15" s="37" t="str">
        <f>Roster!N77</f>
        <v>.</v>
      </c>
      <c r="N15" s="37" t="str">
        <f>Roster!O77</f>
        <v>.</v>
      </c>
      <c r="O15" s="37" t="str">
        <f>Roster!P77</f>
        <v>.</v>
      </c>
      <c r="P15" s="37" t="str">
        <f>Roster!Q77</f>
        <v>.</v>
      </c>
      <c r="Q15" s="37" t="str">
        <f>Roster!R77</f>
        <v>.</v>
      </c>
      <c r="R15" s="37" t="str">
        <f>Roster!S77</f>
        <v>.</v>
      </c>
      <c r="S15" s="37" t="str">
        <f>Roster!T77</f>
        <v>.</v>
      </c>
      <c r="T15" s="37" t="str">
        <f>Roster!U77</f>
        <v>.</v>
      </c>
      <c r="U15" s="37" t="str">
        <f>Roster!V77</f>
        <v>.</v>
      </c>
      <c r="V15" s="37" t="str">
        <f>Roster!W77</f>
        <v>.</v>
      </c>
      <c r="W15" s="37" t="str">
        <f>Roster!X77</f>
        <v>.</v>
      </c>
      <c r="X15" s="37" t="str">
        <f>Roster!Y77</f>
        <v>.</v>
      </c>
      <c r="Y15" s="37" t="str">
        <f>Roster!Z77</f>
        <v>.</v>
      </c>
      <c r="Z15" s="37" t="str">
        <f>Roster!AA77</f>
        <v>.</v>
      </c>
      <c r="AA15" s="37" t="str">
        <f>Roster!AB77</f>
        <v>.</v>
      </c>
      <c r="AB15" s="37" t="str">
        <f>Roster!AC77</f>
        <v>.</v>
      </c>
      <c r="AC15" s="37" t="str">
        <f>Roster!AD77</f>
        <v>.</v>
      </c>
      <c r="AD15" s="37" t="str">
        <f>Roster!AE77</f>
        <v>.</v>
      </c>
      <c r="AE15" s="37" t="str">
        <f>Roster!AF77</f>
        <v>.</v>
      </c>
      <c r="AF15" s="37" t="str">
        <f>Roster!AG77</f>
        <v>.</v>
      </c>
      <c r="AG15" s="38" t="str">
        <f>Roster!AH77</f>
        <v>.</v>
      </c>
    </row>
    <row r="16" spans="2:33" ht="14.4" thickTop="1" thickBot="1">
      <c r="C16" s="21" t="str">
        <f t="shared" ref="C16:AF16" si="4">LEFT(TEXT(C17&amp;"-"&amp;$B17&amp;"-"&amp;CurYear-1,"ddd"),2)</f>
        <v>Th</v>
      </c>
      <c r="D16" s="21" t="str">
        <f t="shared" si="4"/>
        <v>Fr</v>
      </c>
      <c r="E16" s="21" t="str">
        <f t="shared" si="4"/>
        <v>Sa</v>
      </c>
      <c r="F16" s="21" t="str">
        <f t="shared" si="4"/>
        <v>Su</v>
      </c>
      <c r="G16" s="21" t="str">
        <f t="shared" si="4"/>
        <v>Mo</v>
      </c>
      <c r="H16" s="21" t="str">
        <f t="shared" si="4"/>
        <v>Tu</v>
      </c>
      <c r="I16" s="21" t="str">
        <f t="shared" si="4"/>
        <v>We</v>
      </c>
      <c r="J16" s="21" t="str">
        <f t="shared" si="4"/>
        <v>Th</v>
      </c>
      <c r="K16" s="21" t="str">
        <f t="shared" si="4"/>
        <v>Fr</v>
      </c>
      <c r="L16" s="21" t="str">
        <f t="shared" si="4"/>
        <v>Sa</v>
      </c>
      <c r="M16" s="21" t="str">
        <f t="shared" si="4"/>
        <v>Su</v>
      </c>
      <c r="N16" s="21" t="str">
        <f t="shared" si="4"/>
        <v>Mo</v>
      </c>
      <c r="O16" s="21" t="str">
        <f t="shared" si="4"/>
        <v>Tu</v>
      </c>
      <c r="P16" s="21" t="str">
        <f t="shared" si="4"/>
        <v>We</v>
      </c>
      <c r="Q16" s="21" t="str">
        <f t="shared" si="4"/>
        <v>Th</v>
      </c>
      <c r="R16" s="21" t="str">
        <f t="shared" si="4"/>
        <v>Fr</v>
      </c>
      <c r="S16" s="21" t="str">
        <f t="shared" si="4"/>
        <v>Sa</v>
      </c>
      <c r="T16" s="21" t="str">
        <f t="shared" si="4"/>
        <v>Su</v>
      </c>
      <c r="U16" s="21" t="str">
        <f t="shared" si="4"/>
        <v>Mo</v>
      </c>
      <c r="V16" s="21" t="str">
        <f t="shared" si="4"/>
        <v>Tu</v>
      </c>
      <c r="W16" s="21" t="str">
        <f t="shared" si="4"/>
        <v>We</v>
      </c>
      <c r="X16" s="21" t="str">
        <f t="shared" si="4"/>
        <v>Th</v>
      </c>
      <c r="Y16" s="21" t="str">
        <f t="shared" si="4"/>
        <v>Fr</v>
      </c>
      <c r="Z16" s="21" t="str">
        <f t="shared" si="4"/>
        <v>Sa</v>
      </c>
      <c r="AA16" s="21" t="str">
        <f t="shared" si="4"/>
        <v>Su</v>
      </c>
      <c r="AB16" s="21" t="str">
        <f t="shared" si="4"/>
        <v>Mo</v>
      </c>
      <c r="AC16" s="21" t="str">
        <f t="shared" si="4"/>
        <v>Tu</v>
      </c>
      <c r="AD16" s="21" t="str">
        <f t="shared" si="4"/>
        <v>We</v>
      </c>
      <c r="AE16" s="21" t="str">
        <f t="shared" si="4"/>
        <v>Th</v>
      </c>
      <c r="AF16" s="21" t="str">
        <f t="shared" si="4"/>
        <v>Fr</v>
      </c>
      <c r="AG16" s="17"/>
    </row>
    <row r="17" spans="2:33" ht="14.4" thickTop="1" thickBot="1">
      <c r="B17" s="32" t="str">
        <f>Roster!C89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2018</v>
      </c>
      <c r="C18" s="36" t="str">
        <f>Roster!D92</f>
        <v>.</v>
      </c>
      <c r="D18" s="37" t="str">
        <f>Roster!E92</f>
        <v>.</v>
      </c>
      <c r="E18" s="37" t="str">
        <f>Roster!F92</f>
        <v>.</v>
      </c>
      <c r="F18" s="37" t="str">
        <f>Roster!G92</f>
        <v>.</v>
      </c>
      <c r="G18" s="37" t="str">
        <f>Roster!H92</f>
        <v>.</v>
      </c>
      <c r="H18" s="37" t="str">
        <f>Roster!I92</f>
        <v>.</v>
      </c>
      <c r="I18" s="37" t="str">
        <f>Roster!J92</f>
        <v>.</v>
      </c>
      <c r="J18" s="37" t="str">
        <f>Roster!K92</f>
        <v>.</v>
      </c>
      <c r="K18" s="37" t="str">
        <f>Roster!L92</f>
        <v>.</v>
      </c>
      <c r="L18" s="37" t="str">
        <f>Roster!M92</f>
        <v>.</v>
      </c>
      <c r="M18" s="37" t="str">
        <f>Roster!N92</f>
        <v>.</v>
      </c>
      <c r="N18" s="37" t="str">
        <f>Roster!O92</f>
        <v>.</v>
      </c>
      <c r="O18" s="37" t="str">
        <f>Roster!P92</f>
        <v>.</v>
      </c>
      <c r="P18" s="37" t="str">
        <f>Roster!Q92</f>
        <v>.</v>
      </c>
      <c r="Q18" s="37" t="str">
        <f>Roster!R92</f>
        <v>.</v>
      </c>
      <c r="R18" s="37" t="str">
        <f>Roster!S92</f>
        <v>.</v>
      </c>
      <c r="S18" s="37" t="str">
        <f>Roster!T92</f>
        <v>.</v>
      </c>
      <c r="T18" s="37" t="str">
        <f>Roster!U92</f>
        <v>.</v>
      </c>
      <c r="U18" s="37" t="str">
        <f>Roster!V92</f>
        <v>.</v>
      </c>
      <c r="V18" s="37" t="str">
        <f>Roster!W92</f>
        <v>.</v>
      </c>
      <c r="W18" s="37" t="str">
        <f>Roster!X92</f>
        <v>.</v>
      </c>
      <c r="X18" s="37" t="str">
        <f>Roster!Y92</f>
        <v>.</v>
      </c>
      <c r="Y18" s="37" t="str">
        <f>Roster!Z92</f>
        <v>.</v>
      </c>
      <c r="Z18" s="37" t="str">
        <f>Roster!AA92</f>
        <v>.</v>
      </c>
      <c r="AA18" s="37" t="str">
        <f>Roster!AB92</f>
        <v>.</v>
      </c>
      <c r="AB18" s="37" t="str">
        <f>Roster!AC92</f>
        <v>.</v>
      </c>
      <c r="AC18" s="37" t="str">
        <f>Roster!AD92</f>
        <v>.</v>
      </c>
      <c r="AD18" s="37" t="str">
        <f>Roster!AE92</f>
        <v>.</v>
      </c>
      <c r="AE18" s="37" t="str">
        <f>Roster!AF92</f>
        <v>.</v>
      </c>
      <c r="AF18" s="38" t="str">
        <f>Roster!AG92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Sa</v>
      </c>
      <c r="D19" s="21" t="str">
        <f t="shared" si="5"/>
        <v>Su</v>
      </c>
      <c r="E19" s="21" t="str">
        <f t="shared" si="5"/>
        <v>Mo</v>
      </c>
      <c r="F19" s="21" t="str">
        <f t="shared" si="5"/>
        <v>Tu</v>
      </c>
      <c r="G19" s="21" t="str">
        <f t="shared" si="5"/>
        <v>We</v>
      </c>
      <c r="H19" s="21" t="str">
        <f t="shared" si="5"/>
        <v>Th</v>
      </c>
      <c r="I19" s="21" t="str">
        <f t="shared" si="5"/>
        <v>Fr</v>
      </c>
      <c r="J19" s="21" t="str">
        <f t="shared" si="5"/>
        <v>Sa</v>
      </c>
      <c r="K19" s="21" t="str">
        <f t="shared" si="5"/>
        <v>Su</v>
      </c>
      <c r="L19" s="21" t="str">
        <f t="shared" si="5"/>
        <v>Mo</v>
      </c>
      <c r="M19" s="21" t="str">
        <f t="shared" si="5"/>
        <v>Tu</v>
      </c>
      <c r="N19" s="21" t="str">
        <f t="shared" si="5"/>
        <v>We</v>
      </c>
      <c r="O19" s="21" t="str">
        <f t="shared" si="5"/>
        <v>Th</v>
      </c>
      <c r="P19" s="21" t="str">
        <f t="shared" si="5"/>
        <v>Fr</v>
      </c>
      <c r="Q19" s="21" t="str">
        <f t="shared" si="5"/>
        <v>Sa</v>
      </c>
      <c r="R19" s="21" t="str">
        <f t="shared" si="5"/>
        <v>Su</v>
      </c>
      <c r="S19" s="21" t="str">
        <f t="shared" si="5"/>
        <v>Mo</v>
      </c>
      <c r="T19" s="21" t="str">
        <f t="shared" si="5"/>
        <v>Tu</v>
      </c>
      <c r="U19" s="21" t="str">
        <f t="shared" si="5"/>
        <v>We</v>
      </c>
      <c r="V19" s="21" t="str">
        <f t="shared" si="5"/>
        <v>Th</v>
      </c>
      <c r="W19" s="21" t="str">
        <f t="shared" si="5"/>
        <v>Fr</v>
      </c>
      <c r="X19" s="21" t="str">
        <f t="shared" si="5"/>
        <v>Sa</v>
      </c>
      <c r="Y19" s="21" t="str">
        <f t="shared" si="5"/>
        <v>Su</v>
      </c>
      <c r="Z19" s="21" t="str">
        <f t="shared" si="5"/>
        <v>Mo</v>
      </c>
      <c r="AA19" s="21" t="str">
        <f t="shared" si="5"/>
        <v>Tu</v>
      </c>
      <c r="AB19" s="21" t="str">
        <f t="shared" si="5"/>
        <v>We</v>
      </c>
      <c r="AC19" s="21" t="str">
        <f t="shared" si="5"/>
        <v>Th</v>
      </c>
      <c r="AD19" s="21" t="str">
        <f t="shared" si="5"/>
        <v>Fr</v>
      </c>
      <c r="AE19" s="21" t="str">
        <f t="shared" si="5"/>
        <v>Sa</v>
      </c>
      <c r="AF19" s="21" t="str">
        <f t="shared" si="5"/>
        <v>Su</v>
      </c>
      <c r="AG19" s="28" t="str">
        <f t="shared" si="5"/>
        <v>Mo</v>
      </c>
    </row>
    <row r="20" spans="2:33" ht="14.4" thickTop="1" thickBot="1">
      <c r="B20" s="32" t="str">
        <f>Roster!C104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2018</v>
      </c>
      <c r="C21" s="36" t="str">
        <f>Roster!D107</f>
        <v>.</v>
      </c>
      <c r="D21" s="37" t="str">
        <f>Roster!E107</f>
        <v>.</v>
      </c>
      <c r="E21" s="37" t="str">
        <f>Roster!F107</f>
        <v>.</v>
      </c>
      <c r="F21" s="37" t="str">
        <f>Roster!G107</f>
        <v>.</v>
      </c>
      <c r="G21" s="37" t="str">
        <f>Roster!H107</f>
        <v>.</v>
      </c>
      <c r="H21" s="37" t="str">
        <f>Roster!I107</f>
        <v>.</v>
      </c>
      <c r="I21" s="37" t="str">
        <f>Roster!J107</f>
        <v>.</v>
      </c>
      <c r="J21" s="37" t="str">
        <f>Roster!K107</f>
        <v>.</v>
      </c>
      <c r="K21" s="37" t="str">
        <f>Roster!L107</f>
        <v>.</v>
      </c>
      <c r="L21" s="37" t="str">
        <f>Roster!M107</f>
        <v>.</v>
      </c>
      <c r="M21" s="37" t="str">
        <f>Roster!N107</f>
        <v>.</v>
      </c>
      <c r="N21" s="37" t="str">
        <f>Roster!O107</f>
        <v>.</v>
      </c>
      <c r="O21" s="37" t="str">
        <f>Roster!P107</f>
        <v>.</v>
      </c>
      <c r="P21" s="37" t="str">
        <f>Roster!Q107</f>
        <v>.</v>
      </c>
      <c r="Q21" s="37" t="str">
        <f>Roster!R107</f>
        <v>.</v>
      </c>
      <c r="R21" s="37" t="str">
        <f>Roster!S107</f>
        <v>.</v>
      </c>
      <c r="S21" s="37" t="str">
        <f>Roster!T107</f>
        <v>.</v>
      </c>
      <c r="T21" s="37" t="str">
        <f>Roster!U107</f>
        <v>.</v>
      </c>
      <c r="U21" s="37" t="str">
        <f>Roster!V107</f>
        <v>.</v>
      </c>
      <c r="V21" s="37" t="str">
        <f>Roster!W107</f>
        <v>.</v>
      </c>
      <c r="W21" s="37" t="str">
        <f>Roster!X107</f>
        <v>.</v>
      </c>
      <c r="X21" s="37" t="str">
        <f>Roster!Y107</f>
        <v>.</v>
      </c>
      <c r="Y21" s="37" t="str">
        <f>Roster!Z107</f>
        <v>.</v>
      </c>
      <c r="Z21" s="37" t="str">
        <f>Roster!AA107</f>
        <v>.</v>
      </c>
      <c r="AA21" s="37" t="str">
        <f>Roster!AB107</f>
        <v>.</v>
      </c>
      <c r="AB21" s="37" t="str">
        <f>Roster!AC107</f>
        <v>.</v>
      </c>
      <c r="AC21" s="37" t="str">
        <f>Roster!AD107</f>
        <v>.</v>
      </c>
      <c r="AD21" s="37" t="str">
        <f>Roster!AE107</f>
        <v>.</v>
      </c>
      <c r="AE21" s="37" t="str">
        <f>Roster!AF107</f>
        <v>.</v>
      </c>
      <c r="AF21" s="37" t="str">
        <f>Roster!AG107</f>
        <v>.</v>
      </c>
      <c r="AG21" s="38" t="str">
        <f>Roster!AH107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Tu</v>
      </c>
      <c r="D22" s="19" t="str">
        <f t="shared" si="6"/>
        <v>We</v>
      </c>
      <c r="E22" s="19" t="str">
        <f t="shared" si="6"/>
        <v>Th</v>
      </c>
      <c r="F22" s="19" t="str">
        <f t="shared" si="6"/>
        <v>Fr</v>
      </c>
      <c r="G22" s="19" t="str">
        <f t="shared" si="6"/>
        <v>Sa</v>
      </c>
      <c r="H22" s="19" t="str">
        <f t="shared" si="6"/>
        <v>Su</v>
      </c>
      <c r="I22" s="19" t="str">
        <f t="shared" si="6"/>
        <v>Mo</v>
      </c>
      <c r="J22" s="19" t="str">
        <f t="shared" si="6"/>
        <v>Tu</v>
      </c>
      <c r="K22" s="19" t="str">
        <f t="shared" si="6"/>
        <v>We</v>
      </c>
      <c r="L22" s="19" t="str">
        <f t="shared" si="6"/>
        <v>Th</v>
      </c>
      <c r="M22" s="19" t="str">
        <f t="shared" si="6"/>
        <v>Fr</v>
      </c>
      <c r="N22" s="19" t="str">
        <f t="shared" si="6"/>
        <v>Sa</v>
      </c>
      <c r="O22" s="19" t="str">
        <f t="shared" si="6"/>
        <v>Su</v>
      </c>
      <c r="P22" s="19" t="str">
        <f t="shared" si="6"/>
        <v>Mo</v>
      </c>
      <c r="Q22" s="19" t="str">
        <f t="shared" si="6"/>
        <v>Tu</v>
      </c>
      <c r="R22" s="19" t="str">
        <f t="shared" si="6"/>
        <v>We</v>
      </c>
      <c r="S22" s="19" t="str">
        <f t="shared" si="6"/>
        <v>Th</v>
      </c>
      <c r="T22" s="19" t="str">
        <f t="shared" si="6"/>
        <v>Fr</v>
      </c>
      <c r="U22" s="19" t="str">
        <f t="shared" si="6"/>
        <v>Sa</v>
      </c>
      <c r="V22" s="19" t="str">
        <f t="shared" si="6"/>
        <v>Su</v>
      </c>
      <c r="W22" s="19" t="str">
        <f t="shared" si="6"/>
        <v>Mo</v>
      </c>
      <c r="X22" s="19" t="str">
        <f t="shared" si="6"/>
        <v>Tu</v>
      </c>
      <c r="Y22" s="19" t="str">
        <f t="shared" si="6"/>
        <v>We</v>
      </c>
      <c r="Z22" s="19" t="str">
        <f t="shared" si="6"/>
        <v>Th</v>
      </c>
      <c r="AA22" s="19" t="str">
        <f t="shared" si="6"/>
        <v>Fr</v>
      </c>
      <c r="AB22" s="19" t="str">
        <f t="shared" si="6"/>
        <v>Sa</v>
      </c>
      <c r="AC22" s="19" t="str">
        <f t="shared" si="6"/>
        <v>Su</v>
      </c>
      <c r="AD22" s="19" t="str">
        <f t="shared" si="6"/>
        <v>Mo</v>
      </c>
      <c r="AE22" s="19" t="str">
        <f t="shared" si="6"/>
        <v>Tu</v>
      </c>
      <c r="AF22" s="19" t="str">
        <f t="shared" si="6"/>
        <v>We</v>
      </c>
      <c r="AG22" s="19" t="str">
        <f t="shared" si="6"/>
        <v>Th</v>
      </c>
    </row>
    <row r="23" spans="2:33" ht="14.4" thickTop="1" thickBot="1">
      <c r="B23" s="32" t="str">
        <f>Roster!$C$119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2019</v>
      </c>
      <c r="C24" s="48" t="str">
        <f>Roster!D122</f>
        <v>.</v>
      </c>
      <c r="D24" s="49" t="str">
        <f>Roster!E122</f>
        <v>.</v>
      </c>
      <c r="E24" s="40" t="str">
        <f>Roster!F122</f>
        <v>.</v>
      </c>
      <c r="F24" s="40" t="str">
        <f>Roster!G122</f>
        <v>.</v>
      </c>
      <c r="G24" s="40" t="str">
        <f>Roster!H122</f>
        <v>.</v>
      </c>
      <c r="H24" s="40" t="str">
        <f>Roster!I122</f>
        <v>.</v>
      </c>
      <c r="I24" s="40" t="str">
        <f>Roster!J122</f>
        <v>.</v>
      </c>
      <c r="J24" s="40" t="str">
        <f>Roster!K122</f>
        <v>.</v>
      </c>
      <c r="K24" s="40" t="str">
        <f>Roster!L122</f>
        <v>.</v>
      </c>
      <c r="L24" s="40" t="str">
        <f>Roster!M122</f>
        <v>.</v>
      </c>
      <c r="M24" s="40" t="str">
        <f>Roster!N122</f>
        <v>.</v>
      </c>
      <c r="N24" s="40" t="str">
        <f>Roster!O122</f>
        <v>.</v>
      </c>
      <c r="O24" s="40" t="str">
        <f>Roster!P122</f>
        <v>.</v>
      </c>
      <c r="P24" s="40" t="str">
        <f>Roster!Q122</f>
        <v>.</v>
      </c>
      <c r="Q24" s="40" t="str">
        <f>Roster!R122</f>
        <v>.</v>
      </c>
      <c r="R24" s="40" t="str">
        <f>Roster!S122</f>
        <v>.</v>
      </c>
      <c r="S24" s="40" t="str">
        <f>Roster!T122</f>
        <v>.</v>
      </c>
      <c r="T24" s="40" t="str">
        <f>Roster!U122</f>
        <v>.</v>
      </c>
      <c r="U24" s="40" t="str">
        <f>Roster!V122</f>
        <v>.</v>
      </c>
      <c r="V24" s="40" t="str">
        <f>Roster!W122</f>
        <v>.</v>
      </c>
      <c r="W24" s="40" t="str">
        <f>Roster!X122</f>
        <v>.</v>
      </c>
      <c r="X24" s="40" t="str">
        <f>Roster!Y122</f>
        <v>.</v>
      </c>
      <c r="Y24" s="40" t="str">
        <f>Roster!Z122</f>
        <v>.</v>
      </c>
      <c r="Z24" s="40" t="str">
        <f>Roster!AA122</f>
        <v>.</v>
      </c>
      <c r="AA24" s="40" t="str">
        <f>Roster!AB122</f>
        <v>.</v>
      </c>
      <c r="AB24" s="40" t="str">
        <f>Roster!AC122</f>
        <v>.</v>
      </c>
      <c r="AC24" s="40" t="str">
        <f>Roster!AD122</f>
        <v>.</v>
      </c>
      <c r="AD24" s="40" t="str">
        <f>Roster!AE122</f>
        <v>.</v>
      </c>
      <c r="AE24" s="40" t="str">
        <f>Roster!AF122</f>
        <v>.</v>
      </c>
      <c r="AF24" s="40" t="str">
        <f>Roster!AG122</f>
        <v>.</v>
      </c>
      <c r="AG24" s="41" t="str">
        <f>Roster!AH122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Fr</v>
      </c>
      <c r="D25" s="22" t="str">
        <f t="shared" si="7"/>
        <v>Sa</v>
      </c>
      <c r="E25" s="22" t="str">
        <f t="shared" si="7"/>
        <v>Su</v>
      </c>
      <c r="F25" s="22" t="str">
        <f t="shared" si="7"/>
        <v>Mo</v>
      </c>
      <c r="G25" s="22" t="str">
        <f t="shared" si="7"/>
        <v>Tu</v>
      </c>
      <c r="H25" s="22" t="str">
        <f t="shared" si="7"/>
        <v>We</v>
      </c>
      <c r="I25" s="22" t="str">
        <f t="shared" si="7"/>
        <v>Th</v>
      </c>
      <c r="J25" s="22" t="str">
        <f t="shared" si="7"/>
        <v>Fr</v>
      </c>
      <c r="K25" s="22" t="str">
        <f t="shared" si="7"/>
        <v>Sa</v>
      </c>
      <c r="L25" s="22" t="str">
        <f t="shared" si="7"/>
        <v>Su</v>
      </c>
      <c r="M25" s="22" t="str">
        <f t="shared" si="7"/>
        <v>Mo</v>
      </c>
      <c r="N25" s="22" t="str">
        <f t="shared" si="7"/>
        <v>Tu</v>
      </c>
      <c r="O25" s="22" t="str">
        <f t="shared" si="7"/>
        <v>We</v>
      </c>
      <c r="P25" s="22" t="str">
        <f t="shared" si="7"/>
        <v>Th</v>
      </c>
      <c r="Q25" s="22" t="str">
        <f t="shared" si="7"/>
        <v>Fr</v>
      </c>
      <c r="R25" s="22" t="str">
        <f t="shared" si="7"/>
        <v>Sa</v>
      </c>
      <c r="S25" s="22" t="str">
        <f t="shared" si="7"/>
        <v>Su</v>
      </c>
      <c r="T25" s="22" t="str">
        <f t="shared" si="7"/>
        <v>Mo</v>
      </c>
      <c r="U25" s="22" t="str">
        <f t="shared" si="7"/>
        <v>Tu</v>
      </c>
      <c r="V25" s="22" t="str">
        <f t="shared" si="7"/>
        <v>We</v>
      </c>
      <c r="W25" s="22" t="str">
        <f t="shared" si="7"/>
        <v>Th</v>
      </c>
      <c r="X25" s="22" t="str">
        <f t="shared" si="7"/>
        <v>Fr</v>
      </c>
      <c r="Y25" s="22" t="str">
        <f t="shared" si="7"/>
        <v>Sa</v>
      </c>
      <c r="Z25" s="22" t="str">
        <f t="shared" si="7"/>
        <v>Su</v>
      </c>
      <c r="AA25" s="22" t="str">
        <f t="shared" si="7"/>
        <v>Mo</v>
      </c>
      <c r="AB25" s="22" t="str">
        <f t="shared" si="7"/>
        <v>Tu</v>
      </c>
      <c r="AC25" s="22" t="str">
        <f t="shared" si="7"/>
        <v>We</v>
      </c>
      <c r="AD25" s="22" t="str">
        <f t="shared" si="7"/>
        <v>Th</v>
      </c>
      <c r="AE25" s="131" t="str">
        <f t="shared" si="7"/>
        <v>29</v>
      </c>
      <c r="AF25" s="23"/>
      <c r="AG25" s="24"/>
    </row>
    <row r="26" spans="2:33" ht="14.4" thickTop="1" thickBot="1">
      <c r="B26" s="32" t="str">
        <f>Roster!$C$134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29">
        <v>29</v>
      </c>
      <c r="AF26" s="44"/>
    </row>
    <row r="27" spans="2:33" ht="14.4" thickTop="1" thickBot="1">
      <c r="B27" s="32" t="str">
        <f>CurYear</f>
        <v>2019</v>
      </c>
      <c r="C27" s="36" t="str">
        <f>Roster!D137</f>
        <v>.</v>
      </c>
      <c r="D27" s="37" t="str">
        <f>Roster!E137</f>
        <v>.</v>
      </c>
      <c r="E27" s="37" t="str">
        <f>Roster!F137</f>
        <v>.</v>
      </c>
      <c r="F27" s="37" t="str">
        <f>Roster!G137</f>
        <v>.</v>
      </c>
      <c r="G27" s="37" t="str">
        <f>Roster!H137</f>
        <v>.</v>
      </c>
      <c r="H27" s="37" t="str">
        <f>Roster!I137</f>
        <v>.</v>
      </c>
      <c r="I27" s="37" t="str">
        <f>Roster!J137</f>
        <v>.</v>
      </c>
      <c r="J27" s="37" t="str">
        <f>Roster!K137</f>
        <v>.</v>
      </c>
      <c r="K27" s="37" t="str">
        <f>Roster!L137</f>
        <v>.</v>
      </c>
      <c r="L27" s="37" t="str">
        <f>Roster!M137</f>
        <v>.</v>
      </c>
      <c r="M27" s="37" t="str">
        <f>Roster!N137</f>
        <v>.</v>
      </c>
      <c r="N27" s="37" t="str">
        <f>Roster!O137</f>
        <v>.</v>
      </c>
      <c r="O27" s="37" t="str">
        <f>Roster!P137</f>
        <v>.</v>
      </c>
      <c r="P27" s="37" t="str">
        <f>Roster!Q137</f>
        <v>.</v>
      </c>
      <c r="Q27" s="37" t="str">
        <f>Roster!R137</f>
        <v>.</v>
      </c>
      <c r="R27" s="37" t="str">
        <f>Roster!S137</f>
        <v>.</v>
      </c>
      <c r="S27" s="37" t="str">
        <f>Roster!T137</f>
        <v>.</v>
      </c>
      <c r="T27" s="37" t="str">
        <f>Roster!U137</f>
        <v>.</v>
      </c>
      <c r="U27" s="37" t="str">
        <f>Roster!V137</f>
        <v>.</v>
      </c>
      <c r="V27" s="37" t="str">
        <f>Roster!W137</f>
        <v>.</v>
      </c>
      <c r="W27" s="37" t="str">
        <f>Roster!X137</f>
        <v>.</v>
      </c>
      <c r="X27" s="37" t="str">
        <f>Roster!Y137</f>
        <v>.</v>
      </c>
      <c r="Y27" s="37" t="str">
        <f>Roster!Z137</f>
        <v>.</v>
      </c>
      <c r="Z27" s="37" t="str">
        <f>Roster!AA137</f>
        <v>.</v>
      </c>
      <c r="AA27" s="37" t="str">
        <f>Roster!AB137</f>
        <v>.</v>
      </c>
      <c r="AB27" s="37" t="str">
        <f>Roster!AC137</f>
        <v>.</v>
      </c>
      <c r="AC27" s="37" t="str">
        <f>Roster!AD137</f>
        <v>.</v>
      </c>
      <c r="AD27" s="43" t="str">
        <f>Roster!AE137</f>
        <v>.</v>
      </c>
      <c r="AE27" s="130">
        <f>Roster!AF137</f>
        <v>0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Fr</v>
      </c>
      <c r="D28" s="25" t="str">
        <f t="shared" si="8"/>
        <v>Sa</v>
      </c>
      <c r="E28" s="25" t="str">
        <f t="shared" si="8"/>
        <v>Su</v>
      </c>
      <c r="F28" s="25" t="str">
        <f t="shared" si="8"/>
        <v>Mo</v>
      </c>
      <c r="G28" s="25" t="str">
        <f t="shared" si="8"/>
        <v>Tu</v>
      </c>
      <c r="H28" s="25" t="str">
        <f t="shared" si="8"/>
        <v>We</v>
      </c>
      <c r="I28" s="25" t="str">
        <f t="shared" si="8"/>
        <v>Th</v>
      </c>
      <c r="J28" s="25" t="str">
        <f t="shared" si="8"/>
        <v>Fr</v>
      </c>
      <c r="K28" s="25" t="str">
        <f t="shared" si="8"/>
        <v>Sa</v>
      </c>
      <c r="L28" s="25" t="str">
        <f t="shared" si="8"/>
        <v>Su</v>
      </c>
      <c r="M28" s="25" t="str">
        <f t="shared" si="8"/>
        <v>Mo</v>
      </c>
      <c r="N28" s="25" t="str">
        <f t="shared" si="8"/>
        <v>Tu</v>
      </c>
      <c r="O28" s="25" t="str">
        <f t="shared" si="8"/>
        <v>We</v>
      </c>
      <c r="P28" s="25" t="str">
        <f t="shared" si="8"/>
        <v>Th</v>
      </c>
      <c r="Q28" s="25" t="str">
        <f t="shared" si="8"/>
        <v>Fr</v>
      </c>
      <c r="R28" s="25" t="str">
        <f t="shared" si="8"/>
        <v>Sa</v>
      </c>
      <c r="S28" s="25" t="str">
        <f t="shared" si="8"/>
        <v>Su</v>
      </c>
      <c r="T28" s="25" t="str">
        <f t="shared" si="8"/>
        <v>Mo</v>
      </c>
      <c r="U28" s="25" t="str">
        <f t="shared" si="8"/>
        <v>Tu</v>
      </c>
      <c r="V28" s="25" t="str">
        <f t="shared" si="8"/>
        <v>We</v>
      </c>
      <c r="W28" s="25" t="str">
        <f t="shared" si="8"/>
        <v>Th</v>
      </c>
      <c r="X28" s="25" t="str">
        <f t="shared" si="8"/>
        <v>Fr</v>
      </c>
      <c r="Y28" s="25" t="str">
        <f t="shared" si="8"/>
        <v>Sa</v>
      </c>
      <c r="Z28" s="25" t="str">
        <f t="shared" si="8"/>
        <v>Su</v>
      </c>
      <c r="AA28" s="25" t="str">
        <f t="shared" si="8"/>
        <v>Mo</v>
      </c>
      <c r="AB28" s="25" t="str">
        <f t="shared" si="8"/>
        <v>Tu</v>
      </c>
      <c r="AC28" s="25" t="str">
        <f t="shared" si="8"/>
        <v>We</v>
      </c>
      <c r="AD28" s="25" t="str">
        <f t="shared" si="8"/>
        <v>Th</v>
      </c>
      <c r="AE28" s="45" t="str">
        <f t="shared" si="8"/>
        <v>Fr</v>
      </c>
      <c r="AF28" s="47" t="str">
        <f t="shared" si="8"/>
        <v>Sa</v>
      </c>
      <c r="AG28" s="47" t="str">
        <f t="shared" si="8"/>
        <v>Su</v>
      </c>
    </row>
    <row r="29" spans="2:33" ht="14.4" thickTop="1" thickBot="1">
      <c r="B29" s="32" t="str">
        <f>Roster!$C$149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2019</v>
      </c>
      <c r="C30" s="36" t="str">
        <f>Roster!D152</f>
        <v>.</v>
      </c>
      <c r="D30" s="37" t="str">
        <f>Roster!E152</f>
        <v>.</v>
      </c>
      <c r="E30" s="37" t="str">
        <f>Roster!F152</f>
        <v>.</v>
      </c>
      <c r="F30" s="37" t="str">
        <f>Roster!G152</f>
        <v>.</v>
      </c>
      <c r="G30" s="37" t="str">
        <f>Roster!H152</f>
        <v>.</v>
      </c>
      <c r="H30" s="37" t="str">
        <f>Roster!I152</f>
        <v>.</v>
      </c>
      <c r="I30" s="37" t="str">
        <f>Roster!J152</f>
        <v>.</v>
      </c>
      <c r="J30" s="37" t="str">
        <f>Roster!K152</f>
        <v>.</v>
      </c>
      <c r="K30" s="37" t="str">
        <f>Roster!L152</f>
        <v>.</v>
      </c>
      <c r="L30" s="37" t="str">
        <f>Roster!M152</f>
        <v>.</v>
      </c>
      <c r="M30" s="37" t="str">
        <f>Roster!N152</f>
        <v>.</v>
      </c>
      <c r="N30" s="37" t="str">
        <f>Roster!O152</f>
        <v>.</v>
      </c>
      <c r="O30" s="37" t="str">
        <f>Roster!P152</f>
        <v>.</v>
      </c>
      <c r="P30" s="37" t="str">
        <f>Roster!Q152</f>
        <v>.</v>
      </c>
      <c r="Q30" s="37" t="str">
        <f>Roster!R152</f>
        <v>.</v>
      </c>
      <c r="R30" s="37" t="str">
        <f>Roster!S152</f>
        <v>.</v>
      </c>
      <c r="S30" s="37" t="str">
        <f>Roster!T152</f>
        <v>.</v>
      </c>
      <c r="T30" s="37" t="str">
        <f>Roster!U152</f>
        <v>.</v>
      </c>
      <c r="U30" s="37" t="str">
        <f>Roster!V152</f>
        <v>.</v>
      </c>
      <c r="V30" s="37" t="str">
        <f>Roster!W152</f>
        <v>.</v>
      </c>
      <c r="W30" s="37" t="str">
        <f>Roster!X152</f>
        <v>.</v>
      </c>
      <c r="X30" s="37" t="str">
        <f>Roster!Y152</f>
        <v>.</v>
      </c>
      <c r="Y30" s="37" t="str">
        <f>Roster!Z152</f>
        <v>.</v>
      </c>
      <c r="Z30" s="37" t="str">
        <f>Roster!AA152</f>
        <v>.</v>
      </c>
      <c r="AA30" s="37" t="str">
        <f>Roster!AB152</f>
        <v>.</v>
      </c>
      <c r="AB30" s="37" t="str">
        <f>Roster!AC152</f>
        <v>.</v>
      </c>
      <c r="AC30" s="37" t="str">
        <f>Roster!AD152</f>
        <v>.</v>
      </c>
      <c r="AD30" s="37" t="str">
        <f>Roster!AE152</f>
        <v>.</v>
      </c>
      <c r="AE30" s="37" t="str">
        <f>Roster!AF152</f>
        <v>.</v>
      </c>
      <c r="AF30" s="37" t="str">
        <f>Roster!AG152</f>
        <v>.</v>
      </c>
      <c r="AG30" s="41" t="str">
        <f>Roster!AH152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Mo</v>
      </c>
      <c r="D31" s="25" t="str">
        <f t="shared" si="9"/>
        <v>Tu</v>
      </c>
      <c r="E31" s="25" t="str">
        <f t="shared" si="9"/>
        <v>We</v>
      </c>
      <c r="F31" s="25" t="str">
        <f t="shared" si="9"/>
        <v>Th</v>
      </c>
      <c r="G31" s="25" t="str">
        <f t="shared" si="9"/>
        <v>Fr</v>
      </c>
      <c r="H31" s="25" t="str">
        <f t="shared" si="9"/>
        <v>Sa</v>
      </c>
      <c r="I31" s="25" t="str">
        <f t="shared" si="9"/>
        <v>Su</v>
      </c>
      <c r="J31" s="25" t="str">
        <f t="shared" si="9"/>
        <v>Mo</v>
      </c>
      <c r="K31" s="25" t="str">
        <f t="shared" si="9"/>
        <v>Tu</v>
      </c>
      <c r="L31" s="25" t="str">
        <f t="shared" si="9"/>
        <v>We</v>
      </c>
      <c r="M31" s="25" t="str">
        <f t="shared" si="9"/>
        <v>Th</v>
      </c>
      <c r="N31" s="25" t="str">
        <f t="shared" si="9"/>
        <v>Fr</v>
      </c>
      <c r="O31" s="25" t="str">
        <f t="shared" si="9"/>
        <v>Sa</v>
      </c>
      <c r="P31" s="25" t="str">
        <f t="shared" si="9"/>
        <v>Su</v>
      </c>
      <c r="Q31" s="25" t="str">
        <f t="shared" si="9"/>
        <v>Mo</v>
      </c>
      <c r="R31" s="25" t="str">
        <f t="shared" si="9"/>
        <v>Tu</v>
      </c>
      <c r="S31" s="25" t="str">
        <f t="shared" si="9"/>
        <v>We</v>
      </c>
      <c r="T31" s="25" t="str">
        <f t="shared" si="9"/>
        <v>Th</v>
      </c>
      <c r="U31" s="25" t="str">
        <f t="shared" si="9"/>
        <v>Fr</v>
      </c>
      <c r="V31" s="25" t="str">
        <f t="shared" si="9"/>
        <v>Sa</v>
      </c>
      <c r="W31" s="25" t="str">
        <f t="shared" si="9"/>
        <v>Su</v>
      </c>
      <c r="X31" s="25" t="str">
        <f t="shared" si="9"/>
        <v>Mo</v>
      </c>
      <c r="Y31" s="25" t="str">
        <f t="shared" si="9"/>
        <v>Tu</v>
      </c>
      <c r="Z31" s="25" t="str">
        <f t="shared" si="9"/>
        <v>We</v>
      </c>
      <c r="AA31" s="25" t="str">
        <f t="shared" si="9"/>
        <v>Th</v>
      </c>
      <c r="AB31" s="25" t="str">
        <f t="shared" si="9"/>
        <v>Fr</v>
      </c>
      <c r="AC31" s="25" t="str">
        <f t="shared" si="9"/>
        <v>Sa</v>
      </c>
      <c r="AD31" s="25" t="str">
        <f t="shared" si="9"/>
        <v>Su</v>
      </c>
      <c r="AE31" s="25" t="str">
        <f t="shared" si="9"/>
        <v>Mo</v>
      </c>
      <c r="AF31" s="25" t="str">
        <f t="shared" si="9"/>
        <v>Tu</v>
      </c>
      <c r="AG31" s="27"/>
    </row>
    <row r="32" spans="2:33" ht="14.4" thickTop="1" thickBot="1">
      <c r="B32" s="32" t="str">
        <f>Roster!$C$164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2019</v>
      </c>
      <c r="C33" s="36" t="str">
        <f>Roster!D167</f>
        <v>.</v>
      </c>
      <c r="D33" s="37" t="str">
        <f>Roster!E167</f>
        <v>.</v>
      </c>
      <c r="E33" s="37" t="str">
        <f>Roster!F167</f>
        <v>.</v>
      </c>
      <c r="F33" s="37" t="str">
        <f>Roster!G167</f>
        <v>.</v>
      </c>
      <c r="G33" s="37" t="str">
        <f>Roster!H167</f>
        <v>.</v>
      </c>
      <c r="H33" s="37" t="str">
        <f>Roster!I167</f>
        <v>.</v>
      </c>
      <c r="I33" s="37" t="str">
        <f>Roster!J167</f>
        <v>.</v>
      </c>
      <c r="J33" s="37" t="str">
        <f>Roster!K167</f>
        <v>.</v>
      </c>
      <c r="K33" s="37" t="str">
        <f>Roster!L167</f>
        <v>.</v>
      </c>
      <c r="L33" s="37" t="str">
        <f>Roster!M167</f>
        <v>.</v>
      </c>
      <c r="M33" s="37" t="str">
        <f>Roster!N167</f>
        <v>.</v>
      </c>
      <c r="N33" s="37" t="str">
        <f>Roster!O167</f>
        <v>.</v>
      </c>
      <c r="O33" s="37" t="str">
        <f>Roster!P167</f>
        <v>.</v>
      </c>
      <c r="P33" s="37" t="str">
        <f>Roster!Q167</f>
        <v>.</v>
      </c>
      <c r="Q33" s="37" t="str">
        <f>Roster!R167</f>
        <v>.</v>
      </c>
      <c r="R33" s="37" t="str">
        <f>Roster!S167</f>
        <v>.</v>
      </c>
      <c r="S33" s="37" t="str">
        <f>Roster!T167</f>
        <v>.</v>
      </c>
      <c r="T33" s="37" t="str">
        <f>Roster!U167</f>
        <v>.</v>
      </c>
      <c r="U33" s="37" t="str">
        <f>Roster!V167</f>
        <v>.</v>
      </c>
      <c r="V33" s="37" t="str">
        <f>Roster!W167</f>
        <v>.</v>
      </c>
      <c r="W33" s="37" t="str">
        <f>Roster!X167</f>
        <v>.</v>
      </c>
      <c r="X33" s="37" t="str">
        <f>Roster!Y167</f>
        <v>.</v>
      </c>
      <c r="Y33" s="37" t="str">
        <f>Roster!Z167</f>
        <v>.</v>
      </c>
      <c r="Z33" s="37" t="str">
        <f>Roster!AA167</f>
        <v>.</v>
      </c>
      <c r="AA33" s="37" t="str">
        <f>Roster!AB167</f>
        <v>.</v>
      </c>
      <c r="AB33" s="37" t="str">
        <f>Roster!AC167</f>
        <v>.</v>
      </c>
      <c r="AC33" s="37" t="str">
        <f>Roster!AD167</f>
        <v>.</v>
      </c>
      <c r="AD33" s="37" t="str">
        <f>Roster!AE167</f>
        <v>.</v>
      </c>
      <c r="AE33" s="37" t="str">
        <f>Roster!AF167</f>
        <v>.</v>
      </c>
      <c r="AF33" s="38" t="str">
        <f>Roster!AG167</f>
        <v>.</v>
      </c>
    </row>
    <row r="34" spans="2:33" ht="14.4" thickTop="1" thickBot="1">
      <c r="C34" s="21" t="str">
        <f t="shared" ref="C34:AG34" si="10">LEFT(TEXT(C35&amp;"-"&amp;$B35&amp;"-"&amp;CurYear,"ddd"),2)</f>
        <v>We</v>
      </c>
      <c r="D34" s="21" t="str">
        <f t="shared" si="10"/>
        <v>Th</v>
      </c>
      <c r="E34" s="21" t="str">
        <f t="shared" si="10"/>
        <v>Fr</v>
      </c>
      <c r="F34" s="21" t="str">
        <f t="shared" si="10"/>
        <v>Sa</v>
      </c>
      <c r="G34" s="21" t="str">
        <f t="shared" si="10"/>
        <v>Su</v>
      </c>
      <c r="H34" s="21" t="str">
        <f t="shared" si="10"/>
        <v>Mo</v>
      </c>
      <c r="I34" s="21" t="str">
        <f t="shared" si="10"/>
        <v>Tu</v>
      </c>
      <c r="J34" s="21" t="str">
        <f t="shared" si="10"/>
        <v>We</v>
      </c>
      <c r="K34" s="21" t="str">
        <f t="shared" si="10"/>
        <v>Th</v>
      </c>
      <c r="L34" s="21" t="str">
        <f t="shared" si="10"/>
        <v>Fr</v>
      </c>
      <c r="M34" s="21" t="str">
        <f t="shared" si="10"/>
        <v>Sa</v>
      </c>
      <c r="N34" s="21" t="str">
        <f t="shared" si="10"/>
        <v>Su</v>
      </c>
      <c r="O34" s="21" t="str">
        <f t="shared" si="10"/>
        <v>Mo</v>
      </c>
      <c r="P34" s="21" t="str">
        <f t="shared" si="10"/>
        <v>Tu</v>
      </c>
      <c r="Q34" s="21" t="str">
        <f t="shared" si="10"/>
        <v>We</v>
      </c>
      <c r="R34" s="21" t="str">
        <f t="shared" si="10"/>
        <v>Th</v>
      </c>
      <c r="S34" s="21" t="str">
        <f t="shared" si="10"/>
        <v>Fr</v>
      </c>
      <c r="T34" s="21" t="str">
        <f t="shared" si="10"/>
        <v>Sa</v>
      </c>
      <c r="U34" s="21" t="str">
        <f t="shared" si="10"/>
        <v>Su</v>
      </c>
      <c r="V34" s="21" t="str">
        <f t="shared" si="10"/>
        <v>Mo</v>
      </c>
      <c r="W34" s="21" t="str">
        <f t="shared" si="10"/>
        <v>Tu</v>
      </c>
      <c r="X34" s="21" t="str">
        <f t="shared" si="10"/>
        <v>We</v>
      </c>
      <c r="Y34" s="21" t="str">
        <f t="shared" si="10"/>
        <v>Th</v>
      </c>
      <c r="Z34" s="21" t="str">
        <f t="shared" si="10"/>
        <v>Fr</v>
      </c>
      <c r="AA34" s="21" t="str">
        <f t="shared" si="10"/>
        <v>Sa</v>
      </c>
      <c r="AB34" s="21" t="str">
        <f t="shared" si="10"/>
        <v>Su</v>
      </c>
      <c r="AC34" s="21" t="str">
        <f t="shared" si="10"/>
        <v>Mo</v>
      </c>
      <c r="AD34" s="21" t="str">
        <f t="shared" si="10"/>
        <v>Tu</v>
      </c>
      <c r="AE34" s="21" t="str">
        <f t="shared" si="10"/>
        <v>We</v>
      </c>
      <c r="AF34" s="21" t="str">
        <f t="shared" si="10"/>
        <v>Th</v>
      </c>
      <c r="AG34" s="46" t="str">
        <f t="shared" si="10"/>
        <v>Fr</v>
      </c>
    </row>
    <row r="35" spans="2:33" ht="14.4" thickTop="1" thickBot="1">
      <c r="B35" s="32" t="str">
        <f>Roster!$C$179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2019</v>
      </c>
      <c r="C36" s="36" t="str">
        <f>Roster!D182</f>
        <v>.</v>
      </c>
      <c r="D36" s="37" t="str">
        <f>Roster!E182</f>
        <v>.</v>
      </c>
      <c r="E36" s="37" t="str">
        <f>Roster!F182</f>
        <v>.</v>
      </c>
      <c r="F36" s="37" t="str">
        <f>Roster!G182</f>
        <v>.</v>
      </c>
      <c r="G36" s="37" t="str">
        <f>Roster!H182</f>
        <v>.</v>
      </c>
      <c r="H36" s="37" t="str">
        <f>Roster!I182</f>
        <v>.</v>
      </c>
      <c r="I36" s="37" t="str">
        <f>Roster!J182</f>
        <v>.</v>
      </c>
      <c r="J36" s="37" t="str">
        <f>Roster!K182</f>
        <v>.</v>
      </c>
      <c r="K36" s="37" t="str">
        <f>Roster!L182</f>
        <v>.</v>
      </c>
      <c r="L36" s="37" t="str">
        <f>Roster!M182</f>
        <v>.</v>
      </c>
      <c r="M36" s="37" t="str">
        <f>Roster!N182</f>
        <v>.</v>
      </c>
      <c r="N36" s="37" t="str">
        <f>Roster!O182</f>
        <v>.</v>
      </c>
      <c r="O36" s="37" t="str">
        <f>Roster!P182</f>
        <v>.</v>
      </c>
      <c r="P36" s="37" t="str">
        <f>Roster!Q182</f>
        <v>.</v>
      </c>
      <c r="Q36" s="37" t="str">
        <f>Roster!R182</f>
        <v>.</v>
      </c>
      <c r="R36" s="37" t="str">
        <f>Roster!S182</f>
        <v>.</v>
      </c>
      <c r="S36" s="37" t="str">
        <f>Roster!T182</f>
        <v>.</v>
      </c>
      <c r="T36" s="37" t="str">
        <f>Roster!U182</f>
        <v>.</v>
      </c>
      <c r="U36" s="37" t="str">
        <f>Roster!V182</f>
        <v>.</v>
      </c>
      <c r="V36" s="37" t="str">
        <f>Roster!W182</f>
        <v>.</v>
      </c>
      <c r="W36" s="37" t="str">
        <f>Roster!X182</f>
        <v>.</v>
      </c>
      <c r="X36" s="37" t="str">
        <f>Roster!Y182</f>
        <v>.</v>
      </c>
      <c r="Y36" s="37" t="str">
        <f>Roster!Z182</f>
        <v>.</v>
      </c>
      <c r="Z36" s="37" t="str">
        <f>Roster!AA182</f>
        <v>.</v>
      </c>
      <c r="AA36" s="37" t="str">
        <f>Roster!AB182</f>
        <v>.</v>
      </c>
      <c r="AB36" s="37" t="str">
        <f>Roster!AC182</f>
        <v>.</v>
      </c>
      <c r="AC36" s="37" t="str">
        <f>Roster!AD182</f>
        <v>.</v>
      </c>
      <c r="AD36" s="37" t="str">
        <f>Roster!AE182</f>
        <v>.</v>
      </c>
      <c r="AE36" s="37" t="str">
        <f>Roster!AF182</f>
        <v>.</v>
      </c>
      <c r="AF36" s="37" t="str">
        <f>Roster!AG182</f>
        <v>.</v>
      </c>
      <c r="AG36" s="38" t="str">
        <f>Roster!AH182</f>
        <v>.</v>
      </c>
    </row>
    <row r="37" spans="2:33" ht="14.4" thickTop="1" thickBot="1">
      <c r="C37" s="21" t="str">
        <f t="shared" ref="C37:AF37" si="11">LEFT(TEXT(C38&amp;"-"&amp;$B38&amp;"-"&amp;CurYear,"ddd"),2)</f>
        <v>Sa</v>
      </c>
      <c r="D37" s="21" t="str">
        <f t="shared" si="11"/>
        <v>Su</v>
      </c>
      <c r="E37" s="21" t="str">
        <f t="shared" si="11"/>
        <v>Mo</v>
      </c>
      <c r="F37" s="21" t="str">
        <f t="shared" si="11"/>
        <v>Tu</v>
      </c>
      <c r="G37" s="21" t="str">
        <f t="shared" si="11"/>
        <v>We</v>
      </c>
      <c r="H37" s="21" t="str">
        <f t="shared" si="11"/>
        <v>Th</v>
      </c>
      <c r="I37" s="21" t="str">
        <f t="shared" si="11"/>
        <v>Fr</v>
      </c>
      <c r="J37" s="21" t="str">
        <f t="shared" si="11"/>
        <v>Sa</v>
      </c>
      <c r="K37" s="21" t="str">
        <f t="shared" si="11"/>
        <v>Su</v>
      </c>
      <c r="L37" s="21" t="str">
        <f t="shared" si="11"/>
        <v>Mo</v>
      </c>
      <c r="M37" s="21" t="str">
        <f t="shared" si="11"/>
        <v>Tu</v>
      </c>
      <c r="N37" s="21" t="str">
        <f t="shared" si="11"/>
        <v>We</v>
      </c>
      <c r="O37" s="21" t="str">
        <f t="shared" si="11"/>
        <v>Th</v>
      </c>
      <c r="P37" s="21" t="str">
        <f t="shared" si="11"/>
        <v>Fr</v>
      </c>
      <c r="Q37" s="21" t="str">
        <f t="shared" si="11"/>
        <v>Sa</v>
      </c>
      <c r="R37" s="21" t="str">
        <f t="shared" si="11"/>
        <v>Su</v>
      </c>
      <c r="S37" s="21" t="str">
        <f t="shared" si="11"/>
        <v>Mo</v>
      </c>
      <c r="T37" s="21" t="str">
        <f t="shared" si="11"/>
        <v>Tu</v>
      </c>
      <c r="U37" s="21" t="str">
        <f t="shared" si="11"/>
        <v>We</v>
      </c>
      <c r="V37" s="21" t="str">
        <f t="shared" si="11"/>
        <v>Th</v>
      </c>
      <c r="W37" s="21" t="str">
        <f t="shared" si="11"/>
        <v>Fr</v>
      </c>
      <c r="X37" s="21" t="str">
        <f t="shared" si="11"/>
        <v>Sa</v>
      </c>
      <c r="Y37" s="21" t="str">
        <f t="shared" si="11"/>
        <v>Su</v>
      </c>
      <c r="Z37" s="21" t="str">
        <f t="shared" si="11"/>
        <v>Mo</v>
      </c>
      <c r="AA37" s="21" t="str">
        <f t="shared" si="11"/>
        <v>Tu</v>
      </c>
      <c r="AB37" s="21" t="str">
        <f t="shared" si="11"/>
        <v>We</v>
      </c>
      <c r="AC37" s="21" t="str">
        <f t="shared" si="11"/>
        <v>Th</v>
      </c>
      <c r="AD37" s="21" t="str">
        <f t="shared" si="11"/>
        <v>Fr</v>
      </c>
      <c r="AE37" s="21" t="str">
        <f t="shared" si="11"/>
        <v>Sa</v>
      </c>
      <c r="AF37" s="21" t="str">
        <f t="shared" si="11"/>
        <v>Su</v>
      </c>
      <c r="AG37" s="17"/>
    </row>
    <row r="38" spans="2:33" ht="14.4" thickTop="1" thickBot="1">
      <c r="B38" s="32" t="str">
        <f>Roster!C194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2019</v>
      </c>
      <c r="C39" s="36" t="str">
        <f>Roster!D197</f>
        <v>.</v>
      </c>
      <c r="D39" s="37" t="str">
        <f>Roster!E197</f>
        <v>.</v>
      </c>
      <c r="E39" s="37" t="str">
        <f>Roster!F197</f>
        <v>.</v>
      </c>
      <c r="F39" s="37" t="str">
        <f>Roster!G197</f>
        <v>.</v>
      </c>
      <c r="G39" s="37" t="str">
        <f>Roster!H197</f>
        <v>.</v>
      </c>
      <c r="H39" s="37" t="str">
        <f>Roster!I197</f>
        <v>.</v>
      </c>
      <c r="I39" s="37" t="str">
        <f>Roster!J197</f>
        <v>.</v>
      </c>
      <c r="J39" s="37" t="str">
        <f>Roster!K197</f>
        <v>.</v>
      </c>
      <c r="K39" s="37" t="str">
        <f>Roster!L197</f>
        <v>.</v>
      </c>
      <c r="L39" s="37" t="str">
        <f>Roster!M197</f>
        <v>.</v>
      </c>
      <c r="M39" s="37" t="str">
        <f>Roster!N197</f>
        <v>.</v>
      </c>
      <c r="N39" s="37" t="str">
        <f>Roster!O197</f>
        <v>.</v>
      </c>
      <c r="O39" s="37" t="str">
        <f>Roster!P197</f>
        <v>.</v>
      </c>
      <c r="P39" s="37" t="str">
        <f>Roster!Q197</f>
        <v>.</v>
      </c>
      <c r="Q39" s="37" t="str">
        <f>Roster!R197</f>
        <v>.</v>
      </c>
      <c r="R39" s="37" t="str">
        <f>Roster!S197</f>
        <v>.</v>
      </c>
      <c r="S39" s="37" t="str">
        <f>Roster!T197</f>
        <v>.</v>
      </c>
      <c r="T39" s="37" t="str">
        <f>Roster!U197</f>
        <v>.</v>
      </c>
      <c r="U39" s="37" t="str">
        <f>Roster!V197</f>
        <v>.</v>
      </c>
      <c r="V39" s="37" t="str">
        <f>Roster!W197</f>
        <v>.</v>
      </c>
      <c r="W39" s="37" t="str">
        <f>Roster!X197</f>
        <v>.</v>
      </c>
      <c r="X39" s="37" t="str">
        <f>Roster!Y197</f>
        <v>.</v>
      </c>
      <c r="Y39" s="37" t="str">
        <f>Roster!Z197</f>
        <v>.</v>
      </c>
      <c r="Z39" s="37" t="str">
        <f>Roster!AA197</f>
        <v>.</v>
      </c>
      <c r="AA39" s="37" t="str">
        <f>Roster!AB197</f>
        <v>.</v>
      </c>
      <c r="AB39" s="37" t="str">
        <f>Roster!AC197</f>
        <v>.</v>
      </c>
      <c r="AC39" s="37" t="str">
        <f>Roster!AD197</f>
        <v>.</v>
      </c>
      <c r="AD39" s="37" t="str">
        <f>Roster!AE197</f>
        <v>.</v>
      </c>
      <c r="AE39" s="37" t="str">
        <f>Roster!AF197</f>
        <v>.</v>
      </c>
      <c r="AF39" s="38" t="str">
        <f>Roster!AG197</f>
        <v>.</v>
      </c>
    </row>
    <row r="40" spans="2:33" ht="13.8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4"/>
  <dimension ref="B1:AG40"/>
  <sheetViews>
    <sheetView showGridLines="0" showRowColHeaders="0" showZeros="0" topLeftCell="B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8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8" t="str">
        <f xml:space="preserve"> "Financial Year Commencing 1st July, " &amp; CurYear -1</f>
        <v>Financial Year Commencing 1st July, 2018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39" t="s">
        <v>25</v>
      </c>
      <c r="R3" s="139" t="str">
        <f>EmpGName04 &amp;" " &amp; EmpSName04</f>
        <v>Leon King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8" thickBot="1">
      <c r="C4" s="28" t="str">
        <f t="shared" ref="C4:AG4" si="0">LEFT(TEXT(C5&amp;"-"&amp;$B5&amp;"-"&amp;CurYear-1,"ddd"),2)</f>
        <v>Su</v>
      </c>
      <c r="D4" s="28" t="str">
        <f t="shared" si="0"/>
        <v>Mo</v>
      </c>
      <c r="E4" s="28" t="str">
        <f t="shared" si="0"/>
        <v>Tu</v>
      </c>
      <c r="F4" s="28" t="str">
        <f t="shared" si="0"/>
        <v>We</v>
      </c>
      <c r="G4" s="28" t="str">
        <f t="shared" si="0"/>
        <v>Th</v>
      </c>
      <c r="H4" s="28" t="str">
        <f t="shared" si="0"/>
        <v>Fr</v>
      </c>
      <c r="I4" s="28" t="str">
        <f t="shared" si="0"/>
        <v>Sa</v>
      </c>
      <c r="J4" s="28" t="str">
        <f t="shared" si="0"/>
        <v>Su</v>
      </c>
      <c r="K4" s="28" t="str">
        <f t="shared" si="0"/>
        <v>Mo</v>
      </c>
      <c r="L4" s="28" t="str">
        <f t="shared" si="0"/>
        <v>Tu</v>
      </c>
      <c r="M4" s="28" t="str">
        <f t="shared" si="0"/>
        <v>We</v>
      </c>
      <c r="N4" s="28" t="str">
        <f t="shared" si="0"/>
        <v>Th</v>
      </c>
      <c r="O4" s="28" t="str">
        <f t="shared" si="0"/>
        <v>Fr</v>
      </c>
      <c r="P4" s="28" t="str">
        <f t="shared" si="0"/>
        <v>Sa</v>
      </c>
      <c r="Q4" s="28" t="str">
        <f t="shared" si="0"/>
        <v>Su</v>
      </c>
      <c r="R4" s="28" t="str">
        <f t="shared" si="0"/>
        <v>Mo</v>
      </c>
      <c r="S4" s="28" t="str">
        <f t="shared" si="0"/>
        <v>Tu</v>
      </c>
      <c r="T4" s="28" t="str">
        <f t="shared" si="0"/>
        <v>We</v>
      </c>
      <c r="U4" s="28" t="str">
        <f t="shared" si="0"/>
        <v>Th</v>
      </c>
      <c r="V4" s="28" t="str">
        <f t="shared" si="0"/>
        <v>Fr</v>
      </c>
      <c r="W4" s="28" t="str">
        <f t="shared" si="0"/>
        <v>Sa</v>
      </c>
      <c r="X4" s="28" t="str">
        <f t="shared" si="0"/>
        <v>Su</v>
      </c>
      <c r="Y4" s="28" t="str">
        <f t="shared" si="0"/>
        <v>Mo</v>
      </c>
      <c r="Z4" s="28" t="str">
        <f t="shared" si="0"/>
        <v>Tu</v>
      </c>
      <c r="AA4" s="28" t="str">
        <f t="shared" si="0"/>
        <v>We</v>
      </c>
      <c r="AB4" s="28" t="str">
        <f t="shared" si="0"/>
        <v>Th</v>
      </c>
      <c r="AC4" s="28" t="str">
        <f t="shared" si="0"/>
        <v>Fr</v>
      </c>
      <c r="AD4" s="28" t="str">
        <f t="shared" si="0"/>
        <v>Sa</v>
      </c>
      <c r="AE4" s="28" t="str">
        <f t="shared" si="0"/>
        <v>Su</v>
      </c>
      <c r="AF4" s="28" t="str">
        <f t="shared" si="0"/>
        <v>Mo</v>
      </c>
      <c r="AG4" s="46" t="str">
        <f t="shared" si="0"/>
        <v>Tu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2018</v>
      </c>
      <c r="C6" s="36" t="str">
        <f>Roster!D17</f>
        <v>.</v>
      </c>
      <c r="D6" s="37" t="str">
        <f>Roster!E17</f>
        <v>.</v>
      </c>
      <c r="E6" s="37" t="str">
        <f>Roster!F17</f>
        <v>.</v>
      </c>
      <c r="F6" s="37" t="str">
        <f>Roster!G17</f>
        <v>.</v>
      </c>
      <c r="G6" s="37" t="str">
        <f>Roster!H17</f>
        <v>.</v>
      </c>
      <c r="H6" s="37" t="str">
        <f>Roster!I17</f>
        <v>.</v>
      </c>
      <c r="I6" s="37" t="str">
        <f>Roster!J17</f>
        <v>.</v>
      </c>
      <c r="J6" s="37" t="str">
        <f>Roster!K17</f>
        <v>.</v>
      </c>
      <c r="K6" s="37" t="str">
        <f>Roster!L17</f>
        <v>.</v>
      </c>
      <c r="L6" s="37" t="str">
        <f>Roster!M17</f>
        <v>.</v>
      </c>
      <c r="M6" s="37" t="str">
        <f>Roster!N17</f>
        <v>.</v>
      </c>
      <c r="N6" s="37" t="str">
        <f>Roster!O17</f>
        <v>.</v>
      </c>
      <c r="O6" s="37" t="str">
        <f>Roster!P17</f>
        <v>.</v>
      </c>
      <c r="P6" s="37" t="str">
        <f>Roster!Q17</f>
        <v>.</v>
      </c>
      <c r="Q6" s="37" t="str">
        <f>Roster!R17</f>
        <v>.</v>
      </c>
      <c r="R6" s="37" t="str">
        <f>Roster!S17</f>
        <v>.</v>
      </c>
      <c r="S6" s="37" t="str">
        <f>Roster!T17</f>
        <v>.</v>
      </c>
      <c r="T6" s="37" t="str">
        <f>Roster!U17</f>
        <v>.</v>
      </c>
      <c r="U6" s="37" t="str">
        <f>Roster!V17</f>
        <v>.</v>
      </c>
      <c r="V6" s="37" t="str">
        <f>Roster!W17</f>
        <v>.</v>
      </c>
      <c r="W6" s="37" t="str">
        <f>Roster!X17</f>
        <v>.</v>
      </c>
      <c r="X6" s="37" t="str">
        <f>Roster!Y17</f>
        <v>.</v>
      </c>
      <c r="Y6" s="37" t="str">
        <f>Roster!Z17</f>
        <v>.</v>
      </c>
      <c r="Z6" s="37" t="str">
        <f>Roster!AA17</f>
        <v>.</v>
      </c>
      <c r="AA6" s="37" t="str">
        <f>Roster!AB17</f>
        <v>.</v>
      </c>
      <c r="AB6" s="37" t="str">
        <f>Roster!AC17</f>
        <v>.</v>
      </c>
      <c r="AC6" s="37" t="str">
        <f>Roster!AD17</f>
        <v>.</v>
      </c>
      <c r="AD6" s="37" t="str">
        <f>Roster!AE17</f>
        <v>.</v>
      </c>
      <c r="AE6" s="37" t="str">
        <f>Roster!AF17</f>
        <v>.</v>
      </c>
      <c r="AF6" s="37" t="str">
        <f>Roster!AG17</f>
        <v>.</v>
      </c>
      <c r="AG6" s="38" t="str">
        <f>Roster!AH17</f>
        <v>.</v>
      </c>
    </row>
    <row r="7" spans="2:33" ht="14.4" thickTop="1" thickBot="1">
      <c r="C7" s="21" t="str">
        <f t="shared" ref="C7:AG7" si="1">LEFT(TEXT(C8&amp;"-"&amp;$B8&amp;"-"&amp;CurYear-1,"ddd"),2)</f>
        <v>We</v>
      </c>
      <c r="D7" s="21" t="str">
        <f t="shared" si="1"/>
        <v>Th</v>
      </c>
      <c r="E7" s="21" t="str">
        <f t="shared" si="1"/>
        <v>Fr</v>
      </c>
      <c r="F7" s="21" t="str">
        <f t="shared" si="1"/>
        <v>Sa</v>
      </c>
      <c r="G7" s="21" t="str">
        <f t="shared" si="1"/>
        <v>Su</v>
      </c>
      <c r="H7" s="21" t="str">
        <f t="shared" si="1"/>
        <v>Mo</v>
      </c>
      <c r="I7" s="21" t="str">
        <f t="shared" si="1"/>
        <v>Tu</v>
      </c>
      <c r="J7" s="21" t="str">
        <f t="shared" si="1"/>
        <v>We</v>
      </c>
      <c r="K7" s="21" t="str">
        <f t="shared" si="1"/>
        <v>Th</v>
      </c>
      <c r="L7" s="21" t="str">
        <f t="shared" si="1"/>
        <v>Fr</v>
      </c>
      <c r="M7" s="21" t="str">
        <f t="shared" si="1"/>
        <v>Sa</v>
      </c>
      <c r="N7" s="21" t="str">
        <f t="shared" si="1"/>
        <v>Su</v>
      </c>
      <c r="O7" s="21" t="str">
        <f t="shared" si="1"/>
        <v>Mo</v>
      </c>
      <c r="P7" s="21" t="str">
        <f t="shared" si="1"/>
        <v>Tu</v>
      </c>
      <c r="Q7" s="21" t="str">
        <f t="shared" si="1"/>
        <v>We</v>
      </c>
      <c r="R7" s="21" t="str">
        <f t="shared" si="1"/>
        <v>Th</v>
      </c>
      <c r="S7" s="21" t="str">
        <f t="shared" si="1"/>
        <v>Fr</v>
      </c>
      <c r="T7" s="21" t="str">
        <f t="shared" si="1"/>
        <v>Sa</v>
      </c>
      <c r="U7" s="21" t="str">
        <f t="shared" si="1"/>
        <v>Su</v>
      </c>
      <c r="V7" s="21" t="str">
        <f t="shared" si="1"/>
        <v>Mo</v>
      </c>
      <c r="W7" s="21" t="str">
        <f t="shared" si="1"/>
        <v>Tu</v>
      </c>
      <c r="X7" s="21" t="str">
        <f t="shared" si="1"/>
        <v>We</v>
      </c>
      <c r="Y7" s="21" t="str">
        <f t="shared" si="1"/>
        <v>Th</v>
      </c>
      <c r="Z7" s="21" t="str">
        <f t="shared" si="1"/>
        <v>Fr</v>
      </c>
      <c r="AA7" s="21" t="str">
        <f t="shared" si="1"/>
        <v>Sa</v>
      </c>
      <c r="AB7" s="21" t="str">
        <f t="shared" si="1"/>
        <v>Su</v>
      </c>
      <c r="AC7" s="21" t="str">
        <f t="shared" si="1"/>
        <v>Mo</v>
      </c>
      <c r="AD7" s="21" t="str">
        <f t="shared" si="1"/>
        <v>Tu</v>
      </c>
      <c r="AE7" s="21" t="str">
        <f t="shared" si="1"/>
        <v>We</v>
      </c>
      <c r="AF7" s="21" t="str">
        <f t="shared" si="1"/>
        <v>Th</v>
      </c>
      <c r="AG7" s="21" t="str">
        <f t="shared" si="1"/>
        <v>Fr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2018</v>
      </c>
      <c r="C9" s="36" t="str">
        <f>Roster!D48</f>
        <v>.</v>
      </c>
      <c r="D9" s="39" t="str">
        <f>Roster!E48</f>
        <v>.</v>
      </c>
      <c r="E9" s="37" t="str">
        <f>Roster!F48</f>
        <v>.</v>
      </c>
      <c r="F9" s="37" t="str">
        <f>Roster!G48</f>
        <v>.</v>
      </c>
      <c r="G9" s="37" t="str">
        <f>Roster!H48</f>
        <v>.</v>
      </c>
      <c r="H9" s="37" t="str">
        <f>Roster!I48</f>
        <v>.</v>
      </c>
      <c r="I9" s="37" t="str">
        <f>Roster!J48</f>
        <v>.</v>
      </c>
      <c r="J9" s="37" t="str">
        <f>Roster!K48</f>
        <v>.</v>
      </c>
      <c r="K9" s="37" t="str">
        <f>Roster!L48</f>
        <v>.</v>
      </c>
      <c r="L9" s="37" t="str">
        <f>Roster!M48</f>
        <v>.</v>
      </c>
      <c r="M9" s="37" t="str">
        <f>Roster!N48</f>
        <v>.</v>
      </c>
      <c r="N9" s="37" t="str">
        <f>Roster!O48</f>
        <v>.</v>
      </c>
      <c r="O9" s="37" t="str">
        <f>Roster!P48</f>
        <v>.</v>
      </c>
      <c r="P9" s="37" t="str">
        <f>Roster!Q48</f>
        <v>.</v>
      </c>
      <c r="Q9" s="37" t="str">
        <f>Roster!R48</f>
        <v>.</v>
      </c>
      <c r="R9" s="37" t="str">
        <f>Roster!S48</f>
        <v>.</v>
      </c>
      <c r="S9" s="37" t="str">
        <f>Roster!T48</f>
        <v>.</v>
      </c>
      <c r="T9" s="37" t="str">
        <f>Roster!U48</f>
        <v>.</v>
      </c>
      <c r="U9" s="37" t="str">
        <f>Roster!V48</f>
        <v>.</v>
      </c>
      <c r="V9" s="37" t="str">
        <f>Roster!W48</f>
        <v>.</v>
      </c>
      <c r="W9" s="37" t="str">
        <f>Roster!X48</f>
        <v>.</v>
      </c>
      <c r="X9" s="37" t="str">
        <f>Roster!Y48</f>
        <v>.</v>
      </c>
      <c r="Y9" s="37" t="str">
        <f>Roster!Z48</f>
        <v>.</v>
      </c>
      <c r="Z9" s="37" t="str">
        <f>Roster!AA48</f>
        <v>.</v>
      </c>
      <c r="AA9" s="37" t="str">
        <f>Roster!AB48</f>
        <v>.</v>
      </c>
      <c r="AB9" s="37" t="str">
        <f>Roster!AC48</f>
        <v>.</v>
      </c>
      <c r="AC9" s="37" t="str">
        <f>Roster!AD48</f>
        <v>.</v>
      </c>
      <c r="AD9" s="37" t="str">
        <f>Roster!AE48</f>
        <v>.</v>
      </c>
      <c r="AE9" s="37" t="str">
        <f>Roster!AF48</f>
        <v>.</v>
      </c>
      <c r="AF9" s="37" t="str">
        <f>Roster!AG48</f>
        <v>.</v>
      </c>
      <c r="AG9" s="38" t="str">
        <f>Roster!AH48</f>
        <v>.</v>
      </c>
    </row>
    <row r="10" spans="2:33" ht="14.4" thickTop="1" thickBot="1">
      <c r="C10" s="21" t="str">
        <f t="shared" ref="C10:AF10" si="2">LEFT(TEXT(C11&amp;"-"&amp;$B11&amp;"-"&amp;CurYear-1,"ddd"),2)</f>
        <v>Sa</v>
      </c>
      <c r="D10" s="21" t="str">
        <f t="shared" si="2"/>
        <v>Su</v>
      </c>
      <c r="E10" s="21" t="str">
        <f t="shared" si="2"/>
        <v>Mo</v>
      </c>
      <c r="F10" s="21" t="str">
        <f t="shared" si="2"/>
        <v>Tu</v>
      </c>
      <c r="G10" s="21" t="str">
        <f t="shared" si="2"/>
        <v>We</v>
      </c>
      <c r="H10" s="21" t="str">
        <f t="shared" si="2"/>
        <v>Th</v>
      </c>
      <c r="I10" s="21" t="str">
        <f t="shared" si="2"/>
        <v>Fr</v>
      </c>
      <c r="J10" s="21" t="str">
        <f t="shared" si="2"/>
        <v>Sa</v>
      </c>
      <c r="K10" s="21" t="str">
        <f t="shared" si="2"/>
        <v>Su</v>
      </c>
      <c r="L10" s="21" t="str">
        <f t="shared" si="2"/>
        <v>Mo</v>
      </c>
      <c r="M10" s="21" t="str">
        <f t="shared" si="2"/>
        <v>Tu</v>
      </c>
      <c r="N10" s="21" t="str">
        <f t="shared" si="2"/>
        <v>We</v>
      </c>
      <c r="O10" s="21" t="str">
        <f t="shared" si="2"/>
        <v>Th</v>
      </c>
      <c r="P10" s="21" t="str">
        <f t="shared" si="2"/>
        <v>Fr</v>
      </c>
      <c r="Q10" s="21" t="str">
        <f t="shared" si="2"/>
        <v>Sa</v>
      </c>
      <c r="R10" s="21" t="str">
        <f t="shared" si="2"/>
        <v>Su</v>
      </c>
      <c r="S10" s="21" t="str">
        <f t="shared" si="2"/>
        <v>Mo</v>
      </c>
      <c r="T10" s="21" t="str">
        <f t="shared" si="2"/>
        <v>Tu</v>
      </c>
      <c r="U10" s="21" t="str">
        <f t="shared" si="2"/>
        <v>We</v>
      </c>
      <c r="V10" s="21" t="str">
        <f t="shared" si="2"/>
        <v>Th</v>
      </c>
      <c r="W10" s="21" t="str">
        <f t="shared" si="2"/>
        <v>Fr</v>
      </c>
      <c r="X10" s="21" t="str">
        <f t="shared" si="2"/>
        <v>Sa</v>
      </c>
      <c r="Y10" s="21" t="str">
        <f t="shared" si="2"/>
        <v>Su</v>
      </c>
      <c r="Z10" s="21" t="str">
        <f t="shared" si="2"/>
        <v>Mo</v>
      </c>
      <c r="AA10" s="21" t="str">
        <f t="shared" si="2"/>
        <v>Tu</v>
      </c>
      <c r="AB10" s="21" t="str">
        <f t="shared" si="2"/>
        <v>We</v>
      </c>
      <c r="AC10" s="21" t="str">
        <f t="shared" si="2"/>
        <v>Th</v>
      </c>
      <c r="AD10" s="21" t="str">
        <f t="shared" si="2"/>
        <v>Fr</v>
      </c>
      <c r="AE10" s="21" t="str">
        <f t="shared" si="2"/>
        <v>Sa</v>
      </c>
      <c r="AF10" s="21" t="str">
        <f t="shared" si="2"/>
        <v>Su</v>
      </c>
      <c r="AG10" s="17"/>
    </row>
    <row r="11" spans="2:33" ht="14.4" thickTop="1" thickBot="1">
      <c r="B11" s="32" t="str">
        <f>Roster!C59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2018</v>
      </c>
      <c r="C12" s="36" t="str">
        <f>Roster!D63</f>
        <v>.</v>
      </c>
      <c r="D12" s="37" t="str">
        <f>Roster!E63</f>
        <v>.</v>
      </c>
      <c r="E12" s="37" t="str">
        <f>Roster!F63</f>
        <v>.</v>
      </c>
      <c r="F12" s="37" t="str">
        <f>Roster!G63</f>
        <v>.</v>
      </c>
      <c r="G12" s="37" t="str">
        <f>Roster!H63</f>
        <v>.</v>
      </c>
      <c r="H12" s="37" t="str">
        <f>Roster!I63</f>
        <v>.</v>
      </c>
      <c r="I12" s="37" t="str">
        <f>Roster!J63</f>
        <v>.</v>
      </c>
      <c r="J12" s="37" t="str">
        <f>Roster!K63</f>
        <v>.</v>
      </c>
      <c r="K12" s="37" t="str">
        <f>Roster!L63</f>
        <v>.</v>
      </c>
      <c r="L12" s="37" t="str">
        <f>Roster!M63</f>
        <v>.</v>
      </c>
      <c r="M12" s="37" t="str">
        <f>Roster!N63</f>
        <v>.</v>
      </c>
      <c r="N12" s="37" t="str">
        <f>Roster!O63</f>
        <v>.</v>
      </c>
      <c r="O12" s="37" t="str">
        <f>Roster!P63</f>
        <v>.</v>
      </c>
      <c r="P12" s="37" t="str">
        <f>Roster!Q63</f>
        <v>.</v>
      </c>
      <c r="Q12" s="37" t="str">
        <f>Roster!R63</f>
        <v>.</v>
      </c>
      <c r="R12" s="37" t="str">
        <f>Roster!S63</f>
        <v>.</v>
      </c>
      <c r="S12" s="37" t="str">
        <f>Roster!T63</f>
        <v>.</v>
      </c>
      <c r="T12" s="37" t="str">
        <f>Roster!U63</f>
        <v>.</v>
      </c>
      <c r="U12" s="37" t="str">
        <f>Roster!V63</f>
        <v>.</v>
      </c>
      <c r="V12" s="37" t="str">
        <f>Roster!W63</f>
        <v>.</v>
      </c>
      <c r="W12" s="37" t="str">
        <f>Roster!X63</f>
        <v>.</v>
      </c>
      <c r="X12" s="37" t="str">
        <f>Roster!Y63</f>
        <v>.</v>
      </c>
      <c r="Y12" s="37" t="str">
        <f>Roster!Z63</f>
        <v>.</v>
      </c>
      <c r="Z12" s="37" t="str">
        <f>Roster!AA63</f>
        <v>.</v>
      </c>
      <c r="AA12" s="37" t="str">
        <f>Roster!AB63</f>
        <v>.</v>
      </c>
      <c r="AB12" s="37" t="str">
        <f>Roster!AC63</f>
        <v>.</v>
      </c>
      <c r="AC12" s="37" t="str">
        <f>Roster!AD63</f>
        <v>.</v>
      </c>
      <c r="AD12" s="37" t="str">
        <f>Roster!AE63</f>
        <v>.</v>
      </c>
      <c r="AE12" s="37" t="str">
        <f>Roster!AF63</f>
        <v>.</v>
      </c>
      <c r="AF12" s="38" t="str">
        <f>Roster!AG63</f>
        <v>.</v>
      </c>
    </row>
    <row r="13" spans="2:33" ht="14.4" thickTop="1" thickBot="1">
      <c r="C13" s="21" t="str">
        <f t="shared" ref="C13:AG13" si="3">LEFT(TEXT(C14&amp;"-"&amp;$B14&amp;"-"&amp;CurYear-1,"ddd"),2)</f>
        <v>Mo</v>
      </c>
      <c r="D13" s="21" t="str">
        <f t="shared" si="3"/>
        <v>Tu</v>
      </c>
      <c r="E13" s="21" t="str">
        <f t="shared" si="3"/>
        <v>We</v>
      </c>
      <c r="F13" s="21" t="str">
        <f t="shared" si="3"/>
        <v>Th</v>
      </c>
      <c r="G13" s="21" t="str">
        <f t="shared" si="3"/>
        <v>Fr</v>
      </c>
      <c r="H13" s="21" t="str">
        <f t="shared" si="3"/>
        <v>Sa</v>
      </c>
      <c r="I13" s="21" t="str">
        <f t="shared" si="3"/>
        <v>Su</v>
      </c>
      <c r="J13" s="21" t="str">
        <f t="shared" si="3"/>
        <v>Mo</v>
      </c>
      <c r="K13" s="21" t="str">
        <f t="shared" si="3"/>
        <v>Tu</v>
      </c>
      <c r="L13" s="21" t="str">
        <f t="shared" si="3"/>
        <v>We</v>
      </c>
      <c r="M13" s="21" t="str">
        <f t="shared" si="3"/>
        <v>Th</v>
      </c>
      <c r="N13" s="21" t="str">
        <f t="shared" si="3"/>
        <v>Fr</v>
      </c>
      <c r="O13" s="21" t="str">
        <f t="shared" si="3"/>
        <v>Sa</v>
      </c>
      <c r="P13" s="21" t="str">
        <f t="shared" si="3"/>
        <v>Su</v>
      </c>
      <c r="Q13" s="21" t="str">
        <f t="shared" si="3"/>
        <v>Mo</v>
      </c>
      <c r="R13" s="21" t="str">
        <f t="shared" si="3"/>
        <v>Tu</v>
      </c>
      <c r="S13" s="21" t="str">
        <f t="shared" si="3"/>
        <v>We</v>
      </c>
      <c r="T13" s="21" t="str">
        <f t="shared" si="3"/>
        <v>Th</v>
      </c>
      <c r="U13" s="21" t="str">
        <f t="shared" si="3"/>
        <v>Fr</v>
      </c>
      <c r="V13" s="21" t="str">
        <f t="shared" si="3"/>
        <v>Sa</v>
      </c>
      <c r="W13" s="21" t="str">
        <f t="shared" si="3"/>
        <v>Su</v>
      </c>
      <c r="X13" s="21" t="str">
        <f t="shared" si="3"/>
        <v>Mo</v>
      </c>
      <c r="Y13" s="21" t="str">
        <f t="shared" si="3"/>
        <v>Tu</v>
      </c>
      <c r="Z13" s="21" t="str">
        <f t="shared" si="3"/>
        <v>We</v>
      </c>
      <c r="AA13" s="21" t="str">
        <f t="shared" si="3"/>
        <v>Th</v>
      </c>
      <c r="AB13" s="21" t="str">
        <f t="shared" si="3"/>
        <v>Fr</v>
      </c>
      <c r="AC13" s="21" t="str">
        <f t="shared" si="3"/>
        <v>Sa</v>
      </c>
      <c r="AD13" s="21" t="str">
        <f t="shared" si="3"/>
        <v>Su</v>
      </c>
      <c r="AE13" s="21" t="str">
        <f t="shared" si="3"/>
        <v>Mo</v>
      </c>
      <c r="AF13" s="21" t="str">
        <f t="shared" si="3"/>
        <v>Tu</v>
      </c>
      <c r="AG13" s="46" t="str">
        <f t="shared" si="3"/>
        <v>We</v>
      </c>
    </row>
    <row r="14" spans="2:33" ht="14.4" thickTop="1" thickBot="1">
      <c r="B14" s="32" t="str">
        <f>Roster!C74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2018</v>
      </c>
      <c r="C15" s="36" t="str">
        <f>Roster!D78</f>
        <v>.</v>
      </c>
      <c r="D15" s="37" t="str">
        <f>Roster!E78</f>
        <v>.</v>
      </c>
      <c r="E15" s="37" t="str">
        <f>Roster!F78</f>
        <v>.</v>
      </c>
      <c r="F15" s="37" t="str">
        <f>Roster!L78</f>
        <v>.</v>
      </c>
      <c r="G15" s="37" t="str">
        <f>Roster!H78</f>
        <v>.</v>
      </c>
      <c r="H15" s="37" t="str">
        <f>Roster!I78</f>
        <v>.</v>
      </c>
      <c r="I15" s="37" t="str">
        <f>Roster!J78</f>
        <v>.</v>
      </c>
      <c r="J15" s="37" t="str">
        <f>Roster!K78</f>
        <v>.</v>
      </c>
      <c r="K15" s="37" t="str">
        <f>Roster!L78</f>
        <v>.</v>
      </c>
      <c r="L15" s="37" t="str">
        <f>Roster!M78</f>
        <v>.</v>
      </c>
      <c r="M15" s="37" t="str">
        <f>Roster!N78</f>
        <v>.</v>
      </c>
      <c r="N15" s="37" t="str">
        <f>Roster!O78</f>
        <v>.</v>
      </c>
      <c r="O15" s="37" t="str">
        <f>Roster!P78</f>
        <v>.</v>
      </c>
      <c r="P15" s="37" t="str">
        <f>Roster!Q78</f>
        <v>.</v>
      </c>
      <c r="Q15" s="37" t="str">
        <f>Roster!R78</f>
        <v>.</v>
      </c>
      <c r="R15" s="37" t="str">
        <f>Roster!S78</f>
        <v>.</v>
      </c>
      <c r="S15" s="37" t="str">
        <f>Roster!T78</f>
        <v>.</v>
      </c>
      <c r="T15" s="37" t="str">
        <f>Roster!U78</f>
        <v>.</v>
      </c>
      <c r="U15" s="37" t="str">
        <f>Roster!V78</f>
        <v>.</v>
      </c>
      <c r="V15" s="37" t="str">
        <f>Roster!W78</f>
        <v>.</v>
      </c>
      <c r="W15" s="37" t="str">
        <f>Roster!X78</f>
        <v>.</v>
      </c>
      <c r="X15" s="37" t="str">
        <f>Roster!Y78</f>
        <v>.</v>
      </c>
      <c r="Y15" s="37" t="str">
        <f>Roster!Z78</f>
        <v>.</v>
      </c>
      <c r="Z15" s="37" t="str">
        <f>Roster!AA78</f>
        <v>.</v>
      </c>
      <c r="AA15" s="37" t="str">
        <f>Roster!AB78</f>
        <v>.</v>
      </c>
      <c r="AB15" s="37" t="str">
        <f>Roster!AC78</f>
        <v>.</v>
      </c>
      <c r="AC15" s="37" t="str">
        <f>Roster!AD78</f>
        <v>.</v>
      </c>
      <c r="AD15" s="37" t="str">
        <f>Roster!AE78</f>
        <v>.</v>
      </c>
      <c r="AE15" s="37" t="str">
        <f>Roster!AF78</f>
        <v>.</v>
      </c>
      <c r="AF15" s="37" t="str">
        <f>Roster!AG78</f>
        <v>.</v>
      </c>
      <c r="AG15" s="38" t="str">
        <f>Roster!AH78</f>
        <v>.</v>
      </c>
    </row>
    <row r="16" spans="2:33" ht="14.4" thickTop="1" thickBot="1">
      <c r="C16" s="21" t="str">
        <f t="shared" ref="C16:AF16" si="4">LEFT(TEXT(C17&amp;"-"&amp;$B17&amp;"-"&amp;CurYear-1,"ddd"),2)</f>
        <v>Th</v>
      </c>
      <c r="D16" s="21" t="str">
        <f t="shared" si="4"/>
        <v>Fr</v>
      </c>
      <c r="E16" s="21" t="str">
        <f t="shared" si="4"/>
        <v>Sa</v>
      </c>
      <c r="F16" s="21" t="str">
        <f t="shared" si="4"/>
        <v>Su</v>
      </c>
      <c r="G16" s="21" t="str">
        <f t="shared" si="4"/>
        <v>Mo</v>
      </c>
      <c r="H16" s="21" t="str">
        <f t="shared" si="4"/>
        <v>Tu</v>
      </c>
      <c r="I16" s="21" t="str">
        <f t="shared" si="4"/>
        <v>We</v>
      </c>
      <c r="J16" s="21" t="str">
        <f t="shared" si="4"/>
        <v>Th</v>
      </c>
      <c r="K16" s="21" t="str">
        <f t="shared" si="4"/>
        <v>Fr</v>
      </c>
      <c r="L16" s="21" t="str">
        <f t="shared" si="4"/>
        <v>Sa</v>
      </c>
      <c r="M16" s="21" t="str">
        <f t="shared" si="4"/>
        <v>Su</v>
      </c>
      <c r="N16" s="21" t="str">
        <f t="shared" si="4"/>
        <v>Mo</v>
      </c>
      <c r="O16" s="21" t="str">
        <f t="shared" si="4"/>
        <v>Tu</v>
      </c>
      <c r="P16" s="21" t="str">
        <f t="shared" si="4"/>
        <v>We</v>
      </c>
      <c r="Q16" s="21" t="str">
        <f t="shared" si="4"/>
        <v>Th</v>
      </c>
      <c r="R16" s="21" t="str">
        <f t="shared" si="4"/>
        <v>Fr</v>
      </c>
      <c r="S16" s="21" t="str">
        <f t="shared" si="4"/>
        <v>Sa</v>
      </c>
      <c r="T16" s="21" t="str">
        <f t="shared" si="4"/>
        <v>Su</v>
      </c>
      <c r="U16" s="21" t="str">
        <f t="shared" si="4"/>
        <v>Mo</v>
      </c>
      <c r="V16" s="21" t="str">
        <f t="shared" si="4"/>
        <v>Tu</v>
      </c>
      <c r="W16" s="21" t="str">
        <f t="shared" si="4"/>
        <v>We</v>
      </c>
      <c r="X16" s="21" t="str">
        <f t="shared" si="4"/>
        <v>Th</v>
      </c>
      <c r="Y16" s="21" t="str">
        <f t="shared" si="4"/>
        <v>Fr</v>
      </c>
      <c r="Z16" s="21" t="str">
        <f t="shared" si="4"/>
        <v>Sa</v>
      </c>
      <c r="AA16" s="21" t="str">
        <f t="shared" si="4"/>
        <v>Su</v>
      </c>
      <c r="AB16" s="21" t="str">
        <f t="shared" si="4"/>
        <v>Mo</v>
      </c>
      <c r="AC16" s="21" t="str">
        <f t="shared" si="4"/>
        <v>Tu</v>
      </c>
      <c r="AD16" s="21" t="str">
        <f t="shared" si="4"/>
        <v>We</v>
      </c>
      <c r="AE16" s="21" t="str">
        <f t="shared" si="4"/>
        <v>Th</v>
      </c>
      <c r="AF16" s="21" t="str">
        <f t="shared" si="4"/>
        <v>Fr</v>
      </c>
      <c r="AG16" s="17"/>
    </row>
    <row r="17" spans="2:33" ht="14.4" thickTop="1" thickBot="1">
      <c r="B17" s="32" t="str">
        <f>Roster!C89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2018</v>
      </c>
      <c r="C18" s="36" t="str">
        <f>Roster!D93</f>
        <v>.</v>
      </c>
      <c r="D18" s="37" t="str">
        <f>Roster!E93</f>
        <v>.</v>
      </c>
      <c r="E18" s="37" t="str">
        <f>Roster!F93</f>
        <v>.</v>
      </c>
      <c r="F18" s="37" t="str">
        <f>Roster!G93</f>
        <v>.</v>
      </c>
      <c r="G18" s="37" t="str">
        <f>Roster!H93</f>
        <v>.</v>
      </c>
      <c r="H18" s="37" t="str">
        <f>Roster!I93</f>
        <v>.</v>
      </c>
      <c r="I18" s="37" t="str">
        <f>Roster!J93</f>
        <v>.</v>
      </c>
      <c r="J18" s="37" t="str">
        <f>Roster!K93</f>
        <v>.</v>
      </c>
      <c r="K18" s="37" t="str">
        <f>Roster!L93</f>
        <v>.</v>
      </c>
      <c r="L18" s="37" t="str">
        <f>Roster!M93</f>
        <v>.</v>
      </c>
      <c r="M18" s="37" t="str">
        <f>Roster!N93</f>
        <v>.</v>
      </c>
      <c r="N18" s="37" t="str">
        <f>Roster!O93</f>
        <v>.</v>
      </c>
      <c r="O18" s="37" t="str">
        <f>Roster!P93</f>
        <v>.</v>
      </c>
      <c r="P18" s="37" t="str">
        <f>Roster!Q93</f>
        <v>.</v>
      </c>
      <c r="Q18" s="37" t="str">
        <f>Roster!R93</f>
        <v>.</v>
      </c>
      <c r="R18" s="37" t="str">
        <f>Roster!S93</f>
        <v>.</v>
      </c>
      <c r="S18" s="37" t="str">
        <f>Roster!T93</f>
        <v>.</v>
      </c>
      <c r="T18" s="37" t="str">
        <f>Roster!U93</f>
        <v>.</v>
      </c>
      <c r="U18" s="37" t="str">
        <f>Roster!V93</f>
        <v>.</v>
      </c>
      <c r="V18" s="37" t="str">
        <f>Roster!W93</f>
        <v>.</v>
      </c>
      <c r="W18" s="37" t="str">
        <f>Roster!X93</f>
        <v>.</v>
      </c>
      <c r="X18" s="37" t="str">
        <f>Roster!Y93</f>
        <v>.</v>
      </c>
      <c r="Y18" s="37" t="str">
        <f>Roster!Z93</f>
        <v>.</v>
      </c>
      <c r="Z18" s="37" t="str">
        <f>Roster!AA93</f>
        <v>.</v>
      </c>
      <c r="AA18" s="37" t="str">
        <f>Roster!AB93</f>
        <v>.</v>
      </c>
      <c r="AB18" s="37" t="str">
        <f>Roster!AC93</f>
        <v>.</v>
      </c>
      <c r="AC18" s="37" t="str">
        <f>Roster!AD93</f>
        <v>.</v>
      </c>
      <c r="AD18" s="37" t="str">
        <f>Roster!AE93</f>
        <v>.</v>
      </c>
      <c r="AE18" s="37" t="str">
        <f>Roster!AF93</f>
        <v>.</v>
      </c>
      <c r="AF18" s="38" t="str">
        <f>Roster!AG93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Sa</v>
      </c>
      <c r="D19" s="21" t="str">
        <f t="shared" si="5"/>
        <v>Su</v>
      </c>
      <c r="E19" s="21" t="str">
        <f t="shared" si="5"/>
        <v>Mo</v>
      </c>
      <c r="F19" s="21" t="str">
        <f t="shared" si="5"/>
        <v>Tu</v>
      </c>
      <c r="G19" s="21" t="str">
        <f t="shared" si="5"/>
        <v>We</v>
      </c>
      <c r="H19" s="21" t="str">
        <f t="shared" si="5"/>
        <v>Th</v>
      </c>
      <c r="I19" s="21" t="str">
        <f t="shared" si="5"/>
        <v>Fr</v>
      </c>
      <c r="J19" s="21" t="str">
        <f t="shared" si="5"/>
        <v>Sa</v>
      </c>
      <c r="K19" s="21" t="str">
        <f t="shared" si="5"/>
        <v>Su</v>
      </c>
      <c r="L19" s="21" t="str">
        <f t="shared" si="5"/>
        <v>Mo</v>
      </c>
      <c r="M19" s="21" t="str">
        <f t="shared" si="5"/>
        <v>Tu</v>
      </c>
      <c r="N19" s="21" t="str">
        <f t="shared" si="5"/>
        <v>We</v>
      </c>
      <c r="O19" s="21" t="str">
        <f t="shared" si="5"/>
        <v>Th</v>
      </c>
      <c r="P19" s="21" t="str">
        <f t="shared" si="5"/>
        <v>Fr</v>
      </c>
      <c r="Q19" s="21" t="str">
        <f t="shared" si="5"/>
        <v>Sa</v>
      </c>
      <c r="R19" s="21" t="str">
        <f t="shared" si="5"/>
        <v>Su</v>
      </c>
      <c r="S19" s="21" t="str">
        <f t="shared" si="5"/>
        <v>Mo</v>
      </c>
      <c r="T19" s="21" t="str">
        <f t="shared" si="5"/>
        <v>Tu</v>
      </c>
      <c r="U19" s="21" t="str">
        <f t="shared" si="5"/>
        <v>We</v>
      </c>
      <c r="V19" s="21" t="str">
        <f t="shared" si="5"/>
        <v>Th</v>
      </c>
      <c r="W19" s="21" t="str">
        <f t="shared" si="5"/>
        <v>Fr</v>
      </c>
      <c r="X19" s="21" t="str">
        <f t="shared" si="5"/>
        <v>Sa</v>
      </c>
      <c r="Y19" s="21" t="str">
        <f t="shared" si="5"/>
        <v>Su</v>
      </c>
      <c r="Z19" s="21" t="str">
        <f t="shared" si="5"/>
        <v>Mo</v>
      </c>
      <c r="AA19" s="21" t="str">
        <f t="shared" si="5"/>
        <v>Tu</v>
      </c>
      <c r="AB19" s="21" t="str">
        <f t="shared" si="5"/>
        <v>We</v>
      </c>
      <c r="AC19" s="21" t="str">
        <f t="shared" si="5"/>
        <v>Th</v>
      </c>
      <c r="AD19" s="21" t="str">
        <f t="shared" si="5"/>
        <v>Fr</v>
      </c>
      <c r="AE19" s="21" t="str">
        <f t="shared" si="5"/>
        <v>Sa</v>
      </c>
      <c r="AF19" s="21" t="str">
        <f t="shared" si="5"/>
        <v>Su</v>
      </c>
      <c r="AG19" s="28" t="str">
        <f t="shared" si="5"/>
        <v>Mo</v>
      </c>
    </row>
    <row r="20" spans="2:33" ht="14.4" thickTop="1" thickBot="1">
      <c r="B20" s="32" t="str">
        <f>Roster!C104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2018</v>
      </c>
      <c r="C21" s="36" t="str">
        <f>Roster!D108</f>
        <v>.</v>
      </c>
      <c r="D21" s="37" t="str">
        <f>Roster!E108</f>
        <v>.</v>
      </c>
      <c r="E21" s="37" t="str">
        <f>Roster!F108</f>
        <v>.</v>
      </c>
      <c r="F21" s="37" t="str">
        <f>Roster!G108</f>
        <v>.</v>
      </c>
      <c r="G21" s="37" t="str">
        <f>Roster!H108</f>
        <v>.</v>
      </c>
      <c r="H21" s="37" t="str">
        <f>Roster!I108</f>
        <v>.</v>
      </c>
      <c r="I21" s="37" t="str">
        <f>Roster!J108</f>
        <v>.</v>
      </c>
      <c r="J21" s="37" t="str">
        <f>Roster!K108</f>
        <v>.</v>
      </c>
      <c r="K21" s="37" t="str">
        <f>Roster!L108</f>
        <v>.</v>
      </c>
      <c r="L21" s="37" t="str">
        <f>Roster!M108</f>
        <v>.</v>
      </c>
      <c r="M21" s="37" t="str">
        <f>Roster!N108</f>
        <v>.</v>
      </c>
      <c r="N21" s="37" t="str">
        <f>Roster!O108</f>
        <v>.</v>
      </c>
      <c r="O21" s="37" t="str">
        <f>Roster!P108</f>
        <v>.</v>
      </c>
      <c r="P21" s="37" t="str">
        <f>Roster!Q108</f>
        <v>.</v>
      </c>
      <c r="Q21" s="37" t="str">
        <f>Roster!R108</f>
        <v>.</v>
      </c>
      <c r="R21" s="37" t="str">
        <f>Roster!S108</f>
        <v>.</v>
      </c>
      <c r="S21" s="37" t="str">
        <f>Roster!T108</f>
        <v>.</v>
      </c>
      <c r="T21" s="37" t="str">
        <f>Roster!U108</f>
        <v>.</v>
      </c>
      <c r="U21" s="37" t="str">
        <f>Roster!V108</f>
        <v>.</v>
      </c>
      <c r="V21" s="37" t="str">
        <f>Roster!W108</f>
        <v>.</v>
      </c>
      <c r="W21" s="37" t="str">
        <f>Roster!X108</f>
        <v>.</v>
      </c>
      <c r="X21" s="37" t="str">
        <f>Roster!Y108</f>
        <v>.</v>
      </c>
      <c r="Y21" s="37" t="str">
        <f>Roster!Z108</f>
        <v>.</v>
      </c>
      <c r="Z21" s="37" t="str">
        <f>Roster!AA108</f>
        <v>.</v>
      </c>
      <c r="AA21" s="37" t="str">
        <f>Roster!AB108</f>
        <v>.</v>
      </c>
      <c r="AB21" s="37" t="str">
        <f>Roster!AC108</f>
        <v>.</v>
      </c>
      <c r="AC21" s="37" t="str">
        <f>Roster!AD108</f>
        <v>.</v>
      </c>
      <c r="AD21" s="37" t="str">
        <f>Roster!AE108</f>
        <v>.</v>
      </c>
      <c r="AE21" s="37" t="str">
        <f>Roster!AF108</f>
        <v>.</v>
      </c>
      <c r="AF21" s="37" t="str">
        <f>Roster!AG108</f>
        <v>.</v>
      </c>
      <c r="AG21" s="38" t="str">
        <f>Roster!AH108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Tu</v>
      </c>
      <c r="D22" s="19" t="str">
        <f t="shared" si="6"/>
        <v>We</v>
      </c>
      <c r="E22" s="19" t="str">
        <f t="shared" si="6"/>
        <v>Th</v>
      </c>
      <c r="F22" s="19" t="str">
        <f t="shared" si="6"/>
        <v>Fr</v>
      </c>
      <c r="G22" s="19" t="str">
        <f t="shared" si="6"/>
        <v>Sa</v>
      </c>
      <c r="H22" s="19" t="str">
        <f t="shared" si="6"/>
        <v>Su</v>
      </c>
      <c r="I22" s="19" t="str">
        <f t="shared" si="6"/>
        <v>Mo</v>
      </c>
      <c r="J22" s="19" t="str">
        <f t="shared" si="6"/>
        <v>Tu</v>
      </c>
      <c r="K22" s="19" t="str">
        <f t="shared" si="6"/>
        <v>We</v>
      </c>
      <c r="L22" s="19" t="str">
        <f t="shared" si="6"/>
        <v>Th</v>
      </c>
      <c r="M22" s="19" t="str">
        <f t="shared" si="6"/>
        <v>Fr</v>
      </c>
      <c r="N22" s="19" t="str">
        <f t="shared" si="6"/>
        <v>Sa</v>
      </c>
      <c r="O22" s="19" t="str">
        <f t="shared" si="6"/>
        <v>Su</v>
      </c>
      <c r="P22" s="19" t="str">
        <f t="shared" si="6"/>
        <v>Mo</v>
      </c>
      <c r="Q22" s="19" t="str">
        <f t="shared" si="6"/>
        <v>Tu</v>
      </c>
      <c r="R22" s="19" t="str">
        <f t="shared" si="6"/>
        <v>We</v>
      </c>
      <c r="S22" s="19" t="str">
        <f t="shared" si="6"/>
        <v>Th</v>
      </c>
      <c r="T22" s="19" t="str">
        <f t="shared" si="6"/>
        <v>Fr</v>
      </c>
      <c r="U22" s="19" t="str">
        <f t="shared" si="6"/>
        <v>Sa</v>
      </c>
      <c r="V22" s="19" t="str">
        <f t="shared" si="6"/>
        <v>Su</v>
      </c>
      <c r="W22" s="19" t="str">
        <f t="shared" si="6"/>
        <v>Mo</v>
      </c>
      <c r="X22" s="19" t="str">
        <f t="shared" si="6"/>
        <v>Tu</v>
      </c>
      <c r="Y22" s="19" t="str">
        <f t="shared" si="6"/>
        <v>We</v>
      </c>
      <c r="Z22" s="19" t="str">
        <f t="shared" si="6"/>
        <v>Th</v>
      </c>
      <c r="AA22" s="19" t="str">
        <f t="shared" si="6"/>
        <v>Fr</v>
      </c>
      <c r="AB22" s="19" t="str">
        <f t="shared" si="6"/>
        <v>Sa</v>
      </c>
      <c r="AC22" s="19" t="str">
        <f t="shared" si="6"/>
        <v>Su</v>
      </c>
      <c r="AD22" s="19" t="str">
        <f t="shared" si="6"/>
        <v>Mo</v>
      </c>
      <c r="AE22" s="19" t="str">
        <f t="shared" si="6"/>
        <v>Tu</v>
      </c>
      <c r="AF22" s="19" t="str">
        <f t="shared" si="6"/>
        <v>We</v>
      </c>
      <c r="AG22" s="19" t="str">
        <f t="shared" si="6"/>
        <v>Th</v>
      </c>
    </row>
    <row r="23" spans="2:33" ht="14.4" thickTop="1" thickBot="1">
      <c r="B23" s="32" t="str">
        <f>Roster!$C$119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2019</v>
      </c>
      <c r="C24" s="48" t="str">
        <f>Roster!D123</f>
        <v>.</v>
      </c>
      <c r="D24" s="49" t="str">
        <f>Roster!E123</f>
        <v>.</v>
      </c>
      <c r="E24" s="40" t="str">
        <f>Roster!F123</f>
        <v>.</v>
      </c>
      <c r="F24" s="40" t="str">
        <f>Roster!G123</f>
        <v>.</v>
      </c>
      <c r="G24" s="40" t="str">
        <f>Roster!H123</f>
        <v>.</v>
      </c>
      <c r="H24" s="40" t="str">
        <f>Roster!I123</f>
        <v>.</v>
      </c>
      <c r="I24" s="40" t="str">
        <f>Roster!J123</f>
        <v>.</v>
      </c>
      <c r="J24" s="40" t="str">
        <f>Roster!K123</f>
        <v>.</v>
      </c>
      <c r="K24" s="40" t="str">
        <f>Roster!L123</f>
        <v>.</v>
      </c>
      <c r="L24" s="40" t="str">
        <f>Roster!M123</f>
        <v>.</v>
      </c>
      <c r="M24" s="40" t="str">
        <f>Roster!N123</f>
        <v>.</v>
      </c>
      <c r="N24" s="40" t="str">
        <f>Roster!O123</f>
        <v>.</v>
      </c>
      <c r="O24" s="40" t="str">
        <f>Roster!P123</f>
        <v>.</v>
      </c>
      <c r="P24" s="40" t="str">
        <f>Roster!Q123</f>
        <v>.</v>
      </c>
      <c r="Q24" s="40" t="str">
        <f>Roster!R123</f>
        <v>.</v>
      </c>
      <c r="R24" s="40" t="str">
        <f>Roster!S123</f>
        <v>.</v>
      </c>
      <c r="S24" s="40" t="str">
        <f>Roster!T123</f>
        <v>.</v>
      </c>
      <c r="T24" s="40" t="str">
        <f>Roster!U123</f>
        <v>.</v>
      </c>
      <c r="U24" s="40" t="str">
        <f>Roster!V123</f>
        <v>.</v>
      </c>
      <c r="V24" s="40" t="str">
        <f>Roster!W123</f>
        <v>.</v>
      </c>
      <c r="W24" s="40" t="str">
        <f>Roster!X123</f>
        <v>.</v>
      </c>
      <c r="X24" s="40" t="str">
        <f>Roster!Y123</f>
        <v>.</v>
      </c>
      <c r="Y24" s="40" t="str">
        <f>Roster!Z123</f>
        <v>.</v>
      </c>
      <c r="Z24" s="40" t="str">
        <f>Roster!AA123</f>
        <v>.</v>
      </c>
      <c r="AA24" s="40" t="str">
        <f>Roster!AB123</f>
        <v>.</v>
      </c>
      <c r="AB24" s="40" t="str">
        <f>Roster!AC123</f>
        <v>.</v>
      </c>
      <c r="AC24" s="40" t="str">
        <f>Roster!AD123</f>
        <v>.</v>
      </c>
      <c r="AD24" s="40" t="str">
        <f>Roster!AE123</f>
        <v>.</v>
      </c>
      <c r="AE24" s="40" t="str">
        <f>Roster!AF123</f>
        <v>.</v>
      </c>
      <c r="AF24" s="40" t="str">
        <f>Roster!AG123</f>
        <v>.</v>
      </c>
      <c r="AG24" s="41" t="str">
        <f>Roster!AH123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Fr</v>
      </c>
      <c r="D25" s="22" t="str">
        <f t="shared" si="7"/>
        <v>Sa</v>
      </c>
      <c r="E25" s="22" t="str">
        <f t="shared" si="7"/>
        <v>Su</v>
      </c>
      <c r="F25" s="22" t="str">
        <f t="shared" si="7"/>
        <v>Mo</v>
      </c>
      <c r="G25" s="22" t="str">
        <f t="shared" si="7"/>
        <v>Tu</v>
      </c>
      <c r="H25" s="22" t="str">
        <f t="shared" si="7"/>
        <v>We</v>
      </c>
      <c r="I25" s="22" t="str">
        <f t="shared" si="7"/>
        <v>Th</v>
      </c>
      <c r="J25" s="22" t="str">
        <f t="shared" si="7"/>
        <v>Fr</v>
      </c>
      <c r="K25" s="22" t="str">
        <f t="shared" si="7"/>
        <v>Sa</v>
      </c>
      <c r="L25" s="22" t="str">
        <f t="shared" si="7"/>
        <v>Su</v>
      </c>
      <c r="M25" s="22" t="str">
        <f t="shared" si="7"/>
        <v>Mo</v>
      </c>
      <c r="N25" s="22" t="str">
        <f t="shared" si="7"/>
        <v>Tu</v>
      </c>
      <c r="O25" s="22" t="str">
        <f t="shared" si="7"/>
        <v>We</v>
      </c>
      <c r="P25" s="22" t="str">
        <f t="shared" si="7"/>
        <v>Th</v>
      </c>
      <c r="Q25" s="22" t="str">
        <f t="shared" si="7"/>
        <v>Fr</v>
      </c>
      <c r="R25" s="22" t="str">
        <f t="shared" si="7"/>
        <v>Sa</v>
      </c>
      <c r="S25" s="22" t="str">
        <f t="shared" si="7"/>
        <v>Su</v>
      </c>
      <c r="T25" s="22" t="str">
        <f t="shared" si="7"/>
        <v>Mo</v>
      </c>
      <c r="U25" s="22" t="str">
        <f t="shared" si="7"/>
        <v>Tu</v>
      </c>
      <c r="V25" s="22" t="str">
        <f t="shared" si="7"/>
        <v>We</v>
      </c>
      <c r="W25" s="22" t="str">
        <f t="shared" si="7"/>
        <v>Th</v>
      </c>
      <c r="X25" s="22" t="str">
        <f t="shared" si="7"/>
        <v>Fr</v>
      </c>
      <c r="Y25" s="22" t="str">
        <f t="shared" si="7"/>
        <v>Sa</v>
      </c>
      <c r="Z25" s="22" t="str">
        <f t="shared" si="7"/>
        <v>Su</v>
      </c>
      <c r="AA25" s="22" t="str">
        <f t="shared" si="7"/>
        <v>Mo</v>
      </c>
      <c r="AB25" s="22" t="str">
        <f t="shared" si="7"/>
        <v>Tu</v>
      </c>
      <c r="AC25" s="22" t="str">
        <f t="shared" si="7"/>
        <v>We</v>
      </c>
      <c r="AD25" s="22" t="str">
        <f t="shared" si="7"/>
        <v>Th</v>
      </c>
      <c r="AE25" s="131" t="str">
        <f t="shared" si="7"/>
        <v>29</v>
      </c>
      <c r="AF25" s="23"/>
      <c r="AG25" s="24"/>
    </row>
    <row r="26" spans="2:33" ht="14.4" thickTop="1" thickBot="1">
      <c r="B26" s="32" t="str">
        <f>Roster!$C$134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29">
        <v>29</v>
      </c>
      <c r="AF26" s="44"/>
    </row>
    <row r="27" spans="2:33" ht="14.4" thickTop="1" thickBot="1">
      <c r="B27" s="32" t="str">
        <f>CurYear</f>
        <v>2019</v>
      </c>
      <c r="C27" s="36" t="str">
        <f>Roster!D138</f>
        <v>.</v>
      </c>
      <c r="D27" s="37" t="str">
        <f>Roster!E138</f>
        <v>.</v>
      </c>
      <c r="E27" s="37" t="str">
        <f>Roster!F138</f>
        <v>.</v>
      </c>
      <c r="F27" s="37" t="str">
        <f>Roster!G138</f>
        <v>.</v>
      </c>
      <c r="G27" s="37" t="str">
        <f>Roster!H138</f>
        <v>.</v>
      </c>
      <c r="H27" s="37" t="str">
        <f>Roster!I138</f>
        <v>.</v>
      </c>
      <c r="I27" s="37" t="str">
        <f>Roster!J138</f>
        <v>.</v>
      </c>
      <c r="J27" s="37" t="str">
        <f>Roster!K138</f>
        <v>.</v>
      </c>
      <c r="K27" s="37" t="str">
        <f>Roster!L138</f>
        <v>.</v>
      </c>
      <c r="L27" s="37" t="str">
        <f>Roster!M138</f>
        <v>.</v>
      </c>
      <c r="M27" s="37" t="str">
        <f>Roster!N138</f>
        <v>.</v>
      </c>
      <c r="N27" s="37" t="str">
        <f>Roster!O138</f>
        <v>.</v>
      </c>
      <c r="O27" s="37" t="str">
        <f>Roster!P138</f>
        <v>.</v>
      </c>
      <c r="P27" s="37" t="str">
        <f>Roster!Q138</f>
        <v>.</v>
      </c>
      <c r="Q27" s="37" t="str">
        <f>Roster!R138</f>
        <v>.</v>
      </c>
      <c r="R27" s="37" t="str">
        <f>Roster!S138</f>
        <v>.</v>
      </c>
      <c r="S27" s="37" t="str">
        <f>Roster!T138</f>
        <v>.</v>
      </c>
      <c r="T27" s="37" t="str">
        <f>Roster!U138</f>
        <v>.</v>
      </c>
      <c r="U27" s="37" t="str">
        <f>Roster!V138</f>
        <v>.</v>
      </c>
      <c r="V27" s="37" t="str">
        <f>Roster!W138</f>
        <v>.</v>
      </c>
      <c r="W27" s="37" t="str">
        <f>Roster!X138</f>
        <v>.</v>
      </c>
      <c r="X27" s="37" t="str">
        <f>Roster!Y138</f>
        <v>.</v>
      </c>
      <c r="Y27" s="37" t="str">
        <f>Roster!Z138</f>
        <v>.</v>
      </c>
      <c r="Z27" s="37" t="str">
        <f>Roster!AA138</f>
        <v>.</v>
      </c>
      <c r="AA27" s="37" t="str">
        <f>Roster!AB138</f>
        <v>.</v>
      </c>
      <c r="AB27" s="37" t="str">
        <f>Roster!AC138</f>
        <v>.</v>
      </c>
      <c r="AC27" s="37" t="str">
        <f>Roster!AD138</f>
        <v>.</v>
      </c>
      <c r="AD27" s="43" t="str">
        <f>Roster!AE138</f>
        <v>.</v>
      </c>
      <c r="AE27" s="130">
        <f>Roster!AF138</f>
        <v>0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Fr</v>
      </c>
      <c r="D28" s="25" t="str">
        <f t="shared" si="8"/>
        <v>Sa</v>
      </c>
      <c r="E28" s="25" t="str">
        <f t="shared" si="8"/>
        <v>Su</v>
      </c>
      <c r="F28" s="25" t="str">
        <f t="shared" si="8"/>
        <v>Mo</v>
      </c>
      <c r="G28" s="25" t="str">
        <f t="shared" si="8"/>
        <v>Tu</v>
      </c>
      <c r="H28" s="25" t="str">
        <f t="shared" si="8"/>
        <v>We</v>
      </c>
      <c r="I28" s="25" t="str">
        <f t="shared" si="8"/>
        <v>Th</v>
      </c>
      <c r="J28" s="25" t="str">
        <f t="shared" si="8"/>
        <v>Fr</v>
      </c>
      <c r="K28" s="25" t="str">
        <f t="shared" si="8"/>
        <v>Sa</v>
      </c>
      <c r="L28" s="25" t="str">
        <f t="shared" si="8"/>
        <v>Su</v>
      </c>
      <c r="M28" s="25" t="str">
        <f t="shared" si="8"/>
        <v>Mo</v>
      </c>
      <c r="N28" s="25" t="str">
        <f t="shared" si="8"/>
        <v>Tu</v>
      </c>
      <c r="O28" s="25" t="str">
        <f t="shared" si="8"/>
        <v>We</v>
      </c>
      <c r="P28" s="25" t="str">
        <f t="shared" si="8"/>
        <v>Th</v>
      </c>
      <c r="Q28" s="25" t="str">
        <f t="shared" si="8"/>
        <v>Fr</v>
      </c>
      <c r="R28" s="25" t="str">
        <f t="shared" si="8"/>
        <v>Sa</v>
      </c>
      <c r="S28" s="25" t="str">
        <f t="shared" si="8"/>
        <v>Su</v>
      </c>
      <c r="T28" s="25" t="str">
        <f t="shared" si="8"/>
        <v>Mo</v>
      </c>
      <c r="U28" s="25" t="str">
        <f t="shared" si="8"/>
        <v>Tu</v>
      </c>
      <c r="V28" s="25" t="str">
        <f t="shared" si="8"/>
        <v>We</v>
      </c>
      <c r="W28" s="25" t="str">
        <f t="shared" si="8"/>
        <v>Th</v>
      </c>
      <c r="X28" s="25" t="str">
        <f t="shared" si="8"/>
        <v>Fr</v>
      </c>
      <c r="Y28" s="25" t="str">
        <f t="shared" si="8"/>
        <v>Sa</v>
      </c>
      <c r="Z28" s="25" t="str">
        <f t="shared" si="8"/>
        <v>Su</v>
      </c>
      <c r="AA28" s="25" t="str">
        <f t="shared" si="8"/>
        <v>Mo</v>
      </c>
      <c r="AB28" s="25" t="str">
        <f t="shared" si="8"/>
        <v>Tu</v>
      </c>
      <c r="AC28" s="25" t="str">
        <f t="shared" si="8"/>
        <v>We</v>
      </c>
      <c r="AD28" s="25" t="str">
        <f t="shared" si="8"/>
        <v>Th</v>
      </c>
      <c r="AE28" s="45" t="str">
        <f t="shared" si="8"/>
        <v>Fr</v>
      </c>
      <c r="AF28" s="47" t="str">
        <f t="shared" si="8"/>
        <v>Sa</v>
      </c>
      <c r="AG28" s="47" t="str">
        <f t="shared" si="8"/>
        <v>Su</v>
      </c>
    </row>
    <row r="29" spans="2:33" ht="14.4" thickTop="1" thickBot="1">
      <c r="B29" s="32" t="str">
        <f>Roster!$C$149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2019</v>
      </c>
      <c r="C30" s="36" t="str">
        <f>Roster!D153</f>
        <v>.</v>
      </c>
      <c r="D30" s="37" t="str">
        <f>Roster!E153</f>
        <v>.</v>
      </c>
      <c r="E30" s="37" t="str">
        <f>Roster!F153</f>
        <v>.</v>
      </c>
      <c r="F30" s="37" t="str">
        <f>Roster!G153</f>
        <v>.</v>
      </c>
      <c r="G30" s="37" t="str">
        <f>Roster!H153</f>
        <v>.</v>
      </c>
      <c r="H30" s="37" t="str">
        <f>Roster!I153</f>
        <v>.</v>
      </c>
      <c r="I30" s="37" t="str">
        <f>Roster!J153</f>
        <v>.</v>
      </c>
      <c r="J30" s="37" t="str">
        <f>Roster!K153</f>
        <v>.</v>
      </c>
      <c r="K30" s="37" t="str">
        <f>Roster!L153</f>
        <v>.</v>
      </c>
      <c r="L30" s="37" t="str">
        <f>Roster!M153</f>
        <v>.</v>
      </c>
      <c r="M30" s="37" t="str">
        <f>Roster!N153</f>
        <v>.</v>
      </c>
      <c r="N30" s="37" t="str">
        <f>Roster!O153</f>
        <v>.</v>
      </c>
      <c r="O30" s="37" t="str">
        <f>Roster!P153</f>
        <v>.</v>
      </c>
      <c r="P30" s="37" t="str">
        <f>Roster!Q153</f>
        <v>.</v>
      </c>
      <c r="Q30" s="37" t="str">
        <f>Roster!R153</f>
        <v>.</v>
      </c>
      <c r="R30" s="37" t="str">
        <f>Roster!S153</f>
        <v>.</v>
      </c>
      <c r="S30" s="37" t="str">
        <f>Roster!T153</f>
        <v>.</v>
      </c>
      <c r="T30" s="37" t="str">
        <f>Roster!U153</f>
        <v>.</v>
      </c>
      <c r="U30" s="37" t="str">
        <f>Roster!V153</f>
        <v>.</v>
      </c>
      <c r="V30" s="37" t="str">
        <f>Roster!W153</f>
        <v>.</v>
      </c>
      <c r="W30" s="37" t="str">
        <f>Roster!X153</f>
        <v>.</v>
      </c>
      <c r="X30" s="37" t="str">
        <f>Roster!Y153</f>
        <v>.</v>
      </c>
      <c r="Y30" s="37" t="str">
        <f>Roster!Z153</f>
        <v>.</v>
      </c>
      <c r="Z30" s="37" t="str">
        <f>Roster!AA153</f>
        <v>.</v>
      </c>
      <c r="AA30" s="37" t="str">
        <f>Roster!AB153</f>
        <v>.</v>
      </c>
      <c r="AB30" s="37" t="str">
        <f>Roster!AC153</f>
        <v>.</v>
      </c>
      <c r="AC30" s="37" t="str">
        <f>Roster!AD153</f>
        <v>.</v>
      </c>
      <c r="AD30" s="37" t="str">
        <f>Roster!AE153</f>
        <v>.</v>
      </c>
      <c r="AE30" s="37" t="str">
        <f>Roster!AF153</f>
        <v>.</v>
      </c>
      <c r="AF30" s="37" t="str">
        <f>Roster!AG153</f>
        <v>.</v>
      </c>
      <c r="AG30" s="38" t="str">
        <f>Roster!AH153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Mo</v>
      </c>
      <c r="D31" s="25" t="str">
        <f t="shared" si="9"/>
        <v>Tu</v>
      </c>
      <c r="E31" s="25" t="str">
        <f t="shared" si="9"/>
        <v>We</v>
      </c>
      <c r="F31" s="25" t="str">
        <f t="shared" si="9"/>
        <v>Th</v>
      </c>
      <c r="G31" s="25" t="str">
        <f t="shared" si="9"/>
        <v>Fr</v>
      </c>
      <c r="H31" s="25" t="str">
        <f t="shared" si="9"/>
        <v>Sa</v>
      </c>
      <c r="I31" s="25" t="str">
        <f t="shared" si="9"/>
        <v>Su</v>
      </c>
      <c r="J31" s="25" t="str">
        <f t="shared" si="9"/>
        <v>Mo</v>
      </c>
      <c r="K31" s="25" t="str">
        <f t="shared" si="9"/>
        <v>Tu</v>
      </c>
      <c r="L31" s="25" t="str">
        <f t="shared" si="9"/>
        <v>We</v>
      </c>
      <c r="M31" s="25" t="str">
        <f t="shared" si="9"/>
        <v>Th</v>
      </c>
      <c r="N31" s="25" t="str">
        <f t="shared" si="9"/>
        <v>Fr</v>
      </c>
      <c r="O31" s="25" t="str">
        <f t="shared" si="9"/>
        <v>Sa</v>
      </c>
      <c r="P31" s="25" t="str">
        <f t="shared" si="9"/>
        <v>Su</v>
      </c>
      <c r="Q31" s="25" t="str">
        <f t="shared" si="9"/>
        <v>Mo</v>
      </c>
      <c r="R31" s="25" t="str">
        <f t="shared" si="9"/>
        <v>Tu</v>
      </c>
      <c r="S31" s="25" t="str">
        <f t="shared" si="9"/>
        <v>We</v>
      </c>
      <c r="T31" s="25" t="str">
        <f t="shared" si="9"/>
        <v>Th</v>
      </c>
      <c r="U31" s="25" t="str">
        <f t="shared" si="9"/>
        <v>Fr</v>
      </c>
      <c r="V31" s="25" t="str">
        <f t="shared" si="9"/>
        <v>Sa</v>
      </c>
      <c r="W31" s="25" t="str">
        <f t="shared" si="9"/>
        <v>Su</v>
      </c>
      <c r="X31" s="25" t="str">
        <f t="shared" si="9"/>
        <v>Mo</v>
      </c>
      <c r="Y31" s="25" t="str">
        <f t="shared" si="9"/>
        <v>Tu</v>
      </c>
      <c r="Z31" s="25" t="str">
        <f t="shared" si="9"/>
        <v>We</v>
      </c>
      <c r="AA31" s="25" t="str">
        <f t="shared" si="9"/>
        <v>Th</v>
      </c>
      <c r="AB31" s="25" t="str">
        <f t="shared" si="9"/>
        <v>Fr</v>
      </c>
      <c r="AC31" s="25" t="str">
        <f t="shared" si="9"/>
        <v>Sa</v>
      </c>
      <c r="AD31" s="25" t="str">
        <f t="shared" si="9"/>
        <v>Su</v>
      </c>
      <c r="AE31" s="25" t="str">
        <f t="shared" si="9"/>
        <v>Mo</v>
      </c>
      <c r="AF31" s="25" t="str">
        <f t="shared" si="9"/>
        <v>Tu</v>
      </c>
      <c r="AG31" s="27"/>
    </row>
    <row r="32" spans="2:33" ht="14.4" thickTop="1" thickBot="1">
      <c r="B32" s="32" t="str">
        <f>Roster!$C$164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2019</v>
      </c>
      <c r="C33" s="36" t="str">
        <f>Roster!D168</f>
        <v>.</v>
      </c>
      <c r="D33" s="37" t="str">
        <f>Roster!E168</f>
        <v>.</v>
      </c>
      <c r="E33" s="37" t="str">
        <f>Roster!F168</f>
        <v>.</v>
      </c>
      <c r="F33" s="37" t="str">
        <f>Roster!G168</f>
        <v>.</v>
      </c>
      <c r="G33" s="37" t="str">
        <f>Roster!H168</f>
        <v>.</v>
      </c>
      <c r="H33" s="37" t="str">
        <f>Roster!I168</f>
        <v>.</v>
      </c>
      <c r="I33" s="37" t="str">
        <f>Roster!J168</f>
        <v>.</v>
      </c>
      <c r="J33" s="37" t="str">
        <f>Roster!K168</f>
        <v>.</v>
      </c>
      <c r="K33" s="37" t="str">
        <f>Roster!L168</f>
        <v>.</v>
      </c>
      <c r="L33" s="37" t="str">
        <f>Roster!M168</f>
        <v>.</v>
      </c>
      <c r="M33" s="37" t="str">
        <f>Roster!N168</f>
        <v>.</v>
      </c>
      <c r="N33" s="37" t="str">
        <f>Roster!O168</f>
        <v>.</v>
      </c>
      <c r="O33" s="37" t="str">
        <f>Roster!P168</f>
        <v>.</v>
      </c>
      <c r="P33" s="37" t="str">
        <f>Roster!Q168</f>
        <v>.</v>
      </c>
      <c r="Q33" s="37" t="str">
        <f>Roster!R168</f>
        <v>.</v>
      </c>
      <c r="R33" s="37" t="str">
        <f>Roster!S168</f>
        <v>.</v>
      </c>
      <c r="S33" s="37" t="str">
        <f>Roster!T168</f>
        <v>.</v>
      </c>
      <c r="T33" s="37" t="str">
        <f>Roster!U168</f>
        <v>.</v>
      </c>
      <c r="U33" s="37" t="str">
        <f>Roster!V168</f>
        <v>.</v>
      </c>
      <c r="V33" s="37" t="str">
        <f>Roster!W168</f>
        <v>.</v>
      </c>
      <c r="W33" s="37" t="str">
        <f>Roster!X168</f>
        <v>.</v>
      </c>
      <c r="X33" s="37" t="str">
        <f>Roster!Y168</f>
        <v>.</v>
      </c>
      <c r="Y33" s="37" t="str">
        <f>Roster!Z168</f>
        <v>.</v>
      </c>
      <c r="Z33" s="37" t="str">
        <f>Roster!AA168</f>
        <v>.</v>
      </c>
      <c r="AA33" s="37" t="str">
        <f>Roster!AB168</f>
        <v>.</v>
      </c>
      <c r="AB33" s="37" t="str">
        <f>Roster!AC168</f>
        <v>.</v>
      </c>
      <c r="AC33" s="37" t="str">
        <f>Roster!AD168</f>
        <v>.</v>
      </c>
      <c r="AD33" s="37" t="str">
        <f>Roster!AE168</f>
        <v>.</v>
      </c>
      <c r="AE33" s="37" t="str">
        <f>Roster!AF168</f>
        <v>.</v>
      </c>
      <c r="AF33" s="38" t="str">
        <f>Roster!AG168</f>
        <v>.</v>
      </c>
    </row>
    <row r="34" spans="2:33" ht="14.4" thickTop="1" thickBot="1">
      <c r="C34" s="21" t="str">
        <f t="shared" ref="C34:AG34" si="10">LEFT(TEXT(C35&amp;"-"&amp;$B35&amp;"-"&amp;CurYear,"ddd"),2)</f>
        <v>We</v>
      </c>
      <c r="D34" s="21" t="str">
        <f t="shared" si="10"/>
        <v>Th</v>
      </c>
      <c r="E34" s="21" t="str">
        <f t="shared" si="10"/>
        <v>Fr</v>
      </c>
      <c r="F34" s="21" t="str">
        <f t="shared" si="10"/>
        <v>Sa</v>
      </c>
      <c r="G34" s="21" t="str">
        <f t="shared" si="10"/>
        <v>Su</v>
      </c>
      <c r="H34" s="21" t="str">
        <f t="shared" si="10"/>
        <v>Mo</v>
      </c>
      <c r="I34" s="21" t="str">
        <f t="shared" si="10"/>
        <v>Tu</v>
      </c>
      <c r="J34" s="21" t="str">
        <f t="shared" si="10"/>
        <v>We</v>
      </c>
      <c r="K34" s="21" t="str">
        <f t="shared" si="10"/>
        <v>Th</v>
      </c>
      <c r="L34" s="21" t="str">
        <f t="shared" si="10"/>
        <v>Fr</v>
      </c>
      <c r="M34" s="21" t="str">
        <f t="shared" si="10"/>
        <v>Sa</v>
      </c>
      <c r="N34" s="21" t="str">
        <f t="shared" si="10"/>
        <v>Su</v>
      </c>
      <c r="O34" s="21" t="str">
        <f t="shared" si="10"/>
        <v>Mo</v>
      </c>
      <c r="P34" s="21" t="str">
        <f t="shared" si="10"/>
        <v>Tu</v>
      </c>
      <c r="Q34" s="21" t="str">
        <f t="shared" si="10"/>
        <v>We</v>
      </c>
      <c r="R34" s="21" t="str">
        <f t="shared" si="10"/>
        <v>Th</v>
      </c>
      <c r="S34" s="21" t="str">
        <f t="shared" si="10"/>
        <v>Fr</v>
      </c>
      <c r="T34" s="21" t="str">
        <f t="shared" si="10"/>
        <v>Sa</v>
      </c>
      <c r="U34" s="21" t="str">
        <f t="shared" si="10"/>
        <v>Su</v>
      </c>
      <c r="V34" s="21" t="str">
        <f t="shared" si="10"/>
        <v>Mo</v>
      </c>
      <c r="W34" s="21" t="str">
        <f t="shared" si="10"/>
        <v>Tu</v>
      </c>
      <c r="X34" s="21" t="str">
        <f t="shared" si="10"/>
        <v>We</v>
      </c>
      <c r="Y34" s="21" t="str">
        <f t="shared" si="10"/>
        <v>Th</v>
      </c>
      <c r="Z34" s="21" t="str">
        <f t="shared" si="10"/>
        <v>Fr</v>
      </c>
      <c r="AA34" s="21" t="str">
        <f t="shared" si="10"/>
        <v>Sa</v>
      </c>
      <c r="AB34" s="21" t="str">
        <f t="shared" si="10"/>
        <v>Su</v>
      </c>
      <c r="AC34" s="21" t="str">
        <f t="shared" si="10"/>
        <v>Mo</v>
      </c>
      <c r="AD34" s="21" t="str">
        <f t="shared" si="10"/>
        <v>Tu</v>
      </c>
      <c r="AE34" s="21" t="str">
        <f t="shared" si="10"/>
        <v>We</v>
      </c>
      <c r="AF34" s="21" t="str">
        <f t="shared" si="10"/>
        <v>Th</v>
      </c>
      <c r="AG34" s="46" t="str">
        <f t="shared" si="10"/>
        <v>Fr</v>
      </c>
    </row>
    <row r="35" spans="2:33" ht="14.4" thickTop="1" thickBot="1">
      <c r="B35" s="32" t="str">
        <f>Roster!$C$179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2019</v>
      </c>
      <c r="C36" s="36" t="str">
        <f>Roster!D183</f>
        <v>.</v>
      </c>
      <c r="D36" s="37" t="str">
        <f>Roster!E183</f>
        <v>.</v>
      </c>
      <c r="E36" s="37" t="str">
        <f>Roster!F183</f>
        <v>.</v>
      </c>
      <c r="F36" s="37" t="str">
        <f>Roster!G183</f>
        <v>.</v>
      </c>
      <c r="G36" s="37" t="str">
        <f>Roster!H183</f>
        <v>.</v>
      </c>
      <c r="H36" s="37" t="str">
        <f>Roster!I183</f>
        <v>.</v>
      </c>
      <c r="I36" s="37" t="str">
        <f>Roster!J183</f>
        <v>.</v>
      </c>
      <c r="J36" s="37" t="str">
        <f>Roster!K183</f>
        <v>.</v>
      </c>
      <c r="K36" s="37" t="str">
        <f>Roster!L183</f>
        <v>.</v>
      </c>
      <c r="L36" s="37" t="str">
        <f>Roster!M183</f>
        <v>.</v>
      </c>
      <c r="M36" s="37" t="str">
        <f>Roster!N183</f>
        <v>.</v>
      </c>
      <c r="N36" s="37" t="str">
        <f>Roster!O183</f>
        <v>.</v>
      </c>
      <c r="O36" s="37" t="str">
        <f>Roster!P183</f>
        <v>.</v>
      </c>
      <c r="P36" s="37" t="str">
        <f>Roster!Q183</f>
        <v>.</v>
      </c>
      <c r="Q36" s="37" t="str">
        <f>Roster!R183</f>
        <v>.</v>
      </c>
      <c r="R36" s="37" t="str">
        <f>Roster!S183</f>
        <v>.</v>
      </c>
      <c r="S36" s="37" t="str">
        <f>Roster!T183</f>
        <v>.</v>
      </c>
      <c r="T36" s="37" t="str">
        <f>Roster!U183</f>
        <v>.</v>
      </c>
      <c r="U36" s="37" t="str">
        <f>Roster!V183</f>
        <v>.</v>
      </c>
      <c r="V36" s="37" t="str">
        <f>Roster!W183</f>
        <v>.</v>
      </c>
      <c r="W36" s="37" t="str">
        <f>Roster!X183</f>
        <v>.</v>
      </c>
      <c r="X36" s="37" t="str">
        <f>Roster!Y183</f>
        <v>.</v>
      </c>
      <c r="Y36" s="37" t="str">
        <f>Roster!Z183</f>
        <v>.</v>
      </c>
      <c r="Z36" s="37" t="str">
        <f>Roster!AA183</f>
        <v>.</v>
      </c>
      <c r="AA36" s="37" t="str">
        <f>Roster!AB183</f>
        <v>.</v>
      </c>
      <c r="AB36" s="37" t="str">
        <f>Roster!AC183</f>
        <v>.</v>
      </c>
      <c r="AC36" s="37" t="str">
        <f>Roster!AD183</f>
        <v>.</v>
      </c>
      <c r="AD36" s="37" t="str">
        <f>Roster!AE183</f>
        <v>.</v>
      </c>
      <c r="AE36" s="37" t="str">
        <f>Roster!AF183</f>
        <v>.</v>
      </c>
      <c r="AF36" s="37" t="str">
        <f>Roster!AG183</f>
        <v>.</v>
      </c>
      <c r="AG36" s="38" t="str">
        <f>Roster!AH183</f>
        <v>.</v>
      </c>
    </row>
    <row r="37" spans="2:33" ht="14.4" thickTop="1" thickBot="1">
      <c r="C37" s="21" t="str">
        <f t="shared" ref="C37:AF37" si="11">LEFT(TEXT(C38&amp;"-"&amp;$B38&amp;"-"&amp;CurYear,"ddd"),2)</f>
        <v>Sa</v>
      </c>
      <c r="D37" s="21" t="str">
        <f t="shared" si="11"/>
        <v>Su</v>
      </c>
      <c r="E37" s="21" t="str">
        <f t="shared" si="11"/>
        <v>Mo</v>
      </c>
      <c r="F37" s="21" t="str">
        <f t="shared" si="11"/>
        <v>Tu</v>
      </c>
      <c r="G37" s="21" t="str">
        <f t="shared" si="11"/>
        <v>We</v>
      </c>
      <c r="H37" s="21" t="str">
        <f t="shared" si="11"/>
        <v>Th</v>
      </c>
      <c r="I37" s="21" t="str">
        <f t="shared" si="11"/>
        <v>Fr</v>
      </c>
      <c r="J37" s="21" t="str">
        <f t="shared" si="11"/>
        <v>Sa</v>
      </c>
      <c r="K37" s="21" t="str">
        <f t="shared" si="11"/>
        <v>Su</v>
      </c>
      <c r="L37" s="21" t="str">
        <f t="shared" si="11"/>
        <v>Mo</v>
      </c>
      <c r="M37" s="21" t="str">
        <f t="shared" si="11"/>
        <v>Tu</v>
      </c>
      <c r="N37" s="21" t="str">
        <f t="shared" si="11"/>
        <v>We</v>
      </c>
      <c r="O37" s="21" t="str">
        <f t="shared" si="11"/>
        <v>Th</v>
      </c>
      <c r="P37" s="21" t="str">
        <f t="shared" si="11"/>
        <v>Fr</v>
      </c>
      <c r="Q37" s="21" t="str">
        <f t="shared" si="11"/>
        <v>Sa</v>
      </c>
      <c r="R37" s="21" t="str">
        <f t="shared" si="11"/>
        <v>Su</v>
      </c>
      <c r="S37" s="21" t="str">
        <f t="shared" si="11"/>
        <v>Mo</v>
      </c>
      <c r="T37" s="21" t="str">
        <f t="shared" si="11"/>
        <v>Tu</v>
      </c>
      <c r="U37" s="21" t="str">
        <f t="shared" si="11"/>
        <v>We</v>
      </c>
      <c r="V37" s="21" t="str">
        <f t="shared" si="11"/>
        <v>Th</v>
      </c>
      <c r="W37" s="21" t="str">
        <f t="shared" si="11"/>
        <v>Fr</v>
      </c>
      <c r="X37" s="21" t="str">
        <f t="shared" si="11"/>
        <v>Sa</v>
      </c>
      <c r="Y37" s="21" t="str">
        <f t="shared" si="11"/>
        <v>Su</v>
      </c>
      <c r="Z37" s="21" t="str">
        <f t="shared" si="11"/>
        <v>Mo</v>
      </c>
      <c r="AA37" s="21" t="str">
        <f t="shared" si="11"/>
        <v>Tu</v>
      </c>
      <c r="AB37" s="21" t="str">
        <f t="shared" si="11"/>
        <v>We</v>
      </c>
      <c r="AC37" s="21" t="str">
        <f t="shared" si="11"/>
        <v>Th</v>
      </c>
      <c r="AD37" s="21" t="str">
        <f t="shared" si="11"/>
        <v>Fr</v>
      </c>
      <c r="AE37" s="21" t="str">
        <f t="shared" si="11"/>
        <v>Sa</v>
      </c>
      <c r="AF37" s="21" t="str">
        <f t="shared" si="11"/>
        <v>Su</v>
      </c>
      <c r="AG37" s="17"/>
    </row>
    <row r="38" spans="2:33" ht="14.4" thickTop="1" thickBot="1">
      <c r="B38" s="32" t="str">
        <f>Roster!C194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2019</v>
      </c>
      <c r="C39" s="36" t="str">
        <f>Roster!D198</f>
        <v>.</v>
      </c>
      <c r="D39" s="37" t="str">
        <f>Roster!E198</f>
        <v>.</v>
      </c>
      <c r="E39" s="37" t="str">
        <f>Roster!F198</f>
        <v>.</v>
      </c>
      <c r="F39" s="37" t="str">
        <f>Roster!G198</f>
        <v>.</v>
      </c>
      <c r="G39" s="37" t="str">
        <f>Roster!H198</f>
        <v>.</v>
      </c>
      <c r="H39" s="37" t="str">
        <f>Roster!I198</f>
        <v>.</v>
      </c>
      <c r="I39" s="37" t="str">
        <f>Roster!J198</f>
        <v>.</v>
      </c>
      <c r="J39" s="37" t="str">
        <f>Roster!K198</f>
        <v>.</v>
      </c>
      <c r="K39" s="37" t="str">
        <f>Roster!L198</f>
        <v>.</v>
      </c>
      <c r="L39" s="37" t="str">
        <f>Roster!M198</f>
        <v>.</v>
      </c>
      <c r="M39" s="37" t="str">
        <f>Roster!N198</f>
        <v>.</v>
      </c>
      <c r="N39" s="37" t="str">
        <f>Roster!O198</f>
        <v>.</v>
      </c>
      <c r="O39" s="37" t="str">
        <f>Roster!P198</f>
        <v>.</v>
      </c>
      <c r="P39" s="37" t="str">
        <f>Roster!Q198</f>
        <v>.</v>
      </c>
      <c r="Q39" s="37" t="str">
        <f>Roster!R198</f>
        <v>.</v>
      </c>
      <c r="R39" s="37" t="str">
        <f>Roster!S198</f>
        <v>.</v>
      </c>
      <c r="S39" s="37" t="str">
        <f>Roster!T198</f>
        <v>.</v>
      </c>
      <c r="T39" s="37" t="str">
        <f>Roster!U198</f>
        <v>.</v>
      </c>
      <c r="U39" s="37" t="str">
        <f>Roster!V198</f>
        <v>.</v>
      </c>
      <c r="V39" s="37" t="str">
        <f>Roster!W198</f>
        <v>.</v>
      </c>
      <c r="W39" s="37" t="str">
        <f>Roster!X198</f>
        <v>.</v>
      </c>
      <c r="X39" s="37" t="str">
        <f>Roster!Y198</f>
        <v>.</v>
      </c>
      <c r="Y39" s="37" t="str">
        <f>Roster!Z198</f>
        <v>.</v>
      </c>
      <c r="Z39" s="37" t="str">
        <f>Roster!AA198</f>
        <v>.</v>
      </c>
      <c r="AA39" s="37" t="str">
        <f>Roster!AB198</f>
        <v>.</v>
      </c>
      <c r="AB39" s="37" t="str">
        <f>Roster!AC198</f>
        <v>.</v>
      </c>
      <c r="AC39" s="37" t="str">
        <f>Roster!AD198</f>
        <v>.</v>
      </c>
      <c r="AD39" s="37" t="str">
        <f>Roster!AE198</f>
        <v>.</v>
      </c>
      <c r="AE39" s="37" t="str">
        <f>Roster!AF198</f>
        <v>.</v>
      </c>
      <c r="AF39" s="38" t="str">
        <f>Roster!AG198</f>
        <v>.</v>
      </c>
    </row>
    <row r="40" spans="2:33" ht="13.8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5"/>
  <dimension ref="B1:AG40"/>
  <sheetViews>
    <sheetView showGridLines="0" showRowColHeaders="0" showZeros="0" topLeftCell="A2" zoomScale="113" zoomScaleNormal="113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8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8" t="str">
        <f xml:space="preserve"> "Financial Year Commencing 1st July, " &amp; CurYear -1</f>
        <v>Financial Year Commencing 1st July, 2018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30" customFormat="1" ht="27" customHeight="1">
      <c r="B3" s="140"/>
      <c r="I3" s="142" t="s">
        <v>25</v>
      </c>
      <c r="R3" s="142" t="str">
        <f>EmpGName05 &amp;" " &amp; EmpSName05</f>
        <v>David Castle</v>
      </c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</row>
    <row r="4" spans="2:33" ht="13.8" thickBot="1">
      <c r="C4" s="28" t="str">
        <f t="shared" ref="C4:AG4" si="0">LEFT(TEXT(C5&amp;"-"&amp;$B5&amp;"-"&amp;CurYear-1,"ddd"),2)</f>
        <v>Su</v>
      </c>
      <c r="D4" s="28" t="str">
        <f t="shared" si="0"/>
        <v>Mo</v>
      </c>
      <c r="E4" s="28" t="str">
        <f t="shared" si="0"/>
        <v>Tu</v>
      </c>
      <c r="F4" s="28" t="str">
        <f t="shared" si="0"/>
        <v>We</v>
      </c>
      <c r="G4" s="28" t="str">
        <f t="shared" si="0"/>
        <v>Th</v>
      </c>
      <c r="H4" s="28" t="str">
        <f t="shared" si="0"/>
        <v>Fr</v>
      </c>
      <c r="I4" s="28" t="str">
        <f t="shared" si="0"/>
        <v>Sa</v>
      </c>
      <c r="J4" s="28" t="str">
        <f t="shared" si="0"/>
        <v>Su</v>
      </c>
      <c r="K4" s="28" t="str">
        <f t="shared" si="0"/>
        <v>Mo</v>
      </c>
      <c r="L4" s="28" t="str">
        <f t="shared" si="0"/>
        <v>Tu</v>
      </c>
      <c r="M4" s="28" t="str">
        <f t="shared" si="0"/>
        <v>We</v>
      </c>
      <c r="N4" s="28" t="str">
        <f t="shared" si="0"/>
        <v>Th</v>
      </c>
      <c r="O4" s="28" t="str">
        <f t="shared" si="0"/>
        <v>Fr</v>
      </c>
      <c r="P4" s="28" t="str">
        <f t="shared" si="0"/>
        <v>Sa</v>
      </c>
      <c r="Q4" s="28" t="str">
        <f t="shared" si="0"/>
        <v>Su</v>
      </c>
      <c r="R4" s="28" t="str">
        <f t="shared" si="0"/>
        <v>Mo</v>
      </c>
      <c r="S4" s="28" t="str">
        <f t="shared" si="0"/>
        <v>Tu</v>
      </c>
      <c r="T4" s="28" t="str">
        <f t="shared" si="0"/>
        <v>We</v>
      </c>
      <c r="U4" s="28" t="str">
        <f t="shared" si="0"/>
        <v>Th</v>
      </c>
      <c r="V4" s="28" t="str">
        <f t="shared" si="0"/>
        <v>Fr</v>
      </c>
      <c r="W4" s="28" t="str">
        <f t="shared" si="0"/>
        <v>Sa</v>
      </c>
      <c r="X4" s="28" t="str">
        <f t="shared" si="0"/>
        <v>Su</v>
      </c>
      <c r="Y4" s="28" t="str">
        <f t="shared" si="0"/>
        <v>Mo</v>
      </c>
      <c r="Z4" s="28" t="str">
        <f t="shared" si="0"/>
        <v>Tu</v>
      </c>
      <c r="AA4" s="28" t="str">
        <f t="shared" si="0"/>
        <v>We</v>
      </c>
      <c r="AB4" s="28" t="str">
        <f t="shared" si="0"/>
        <v>Th</v>
      </c>
      <c r="AC4" s="28" t="str">
        <f t="shared" si="0"/>
        <v>Fr</v>
      </c>
      <c r="AD4" s="28" t="str">
        <f t="shared" si="0"/>
        <v>Sa</v>
      </c>
      <c r="AE4" s="28" t="str">
        <f t="shared" si="0"/>
        <v>Su</v>
      </c>
      <c r="AF4" s="28" t="str">
        <f t="shared" si="0"/>
        <v>Mo</v>
      </c>
      <c r="AG4" s="46" t="str">
        <f t="shared" si="0"/>
        <v>Tu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2018</v>
      </c>
      <c r="C6" s="36" t="str">
        <f>Roster!D18</f>
        <v>.</v>
      </c>
      <c r="D6" s="37" t="str">
        <f>Roster!E18</f>
        <v>.</v>
      </c>
      <c r="E6" s="37" t="str">
        <f>Roster!F18</f>
        <v>.</v>
      </c>
      <c r="F6" s="37" t="str">
        <f>Roster!G18</f>
        <v>.</v>
      </c>
      <c r="G6" s="37" t="str">
        <f>Roster!H18</f>
        <v>.</v>
      </c>
      <c r="H6" s="37" t="str">
        <f>Roster!I18</f>
        <v>.</v>
      </c>
      <c r="I6" s="37" t="str">
        <f>Roster!J18</f>
        <v>.</v>
      </c>
      <c r="J6" s="37" t="str">
        <f>Roster!K18</f>
        <v>.</v>
      </c>
      <c r="K6" s="37" t="str">
        <f>Roster!L18</f>
        <v>.</v>
      </c>
      <c r="L6" s="37" t="str">
        <f>Roster!M18</f>
        <v>.</v>
      </c>
      <c r="M6" s="37" t="str">
        <f>Roster!N18</f>
        <v>.</v>
      </c>
      <c r="N6" s="37" t="str">
        <f>Roster!O18</f>
        <v>.</v>
      </c>
      <c r="O6" s="37" t="str">
        <f>Roster!P18</f>
        <v>.</v>
      </c>
      <c r="P6" s="37" t="str">
        <f>Roster!Q18</f>
        <v>.</v>
      </c>
      <c r="Q6" s="37" t="str">
        <f>Roster!R18</f>
        <v>.</v>
      </c>
      <c r="R6" s="37" t="str">
        <f>Roster!S18</f>
        <v>.</v>
      </c>
      <c r="S6" s="37" t="str">
        <f>Roster!T18</f>
        <v>.</v>
      </c>
      <c r="T6" s="37" t="str">
        <f>Roster!U18</f>
        <v>.</v>
      </c>
      <c r="U6" s="37" t="str">
        <f>Roster!V18</f>
        <v>.</v>
      </c>
      <c r="V6" s="37" t="str">
        <f>Roster!W18</f>
        <v>.</v>
      </c>
      <c r="W6" s="37" t="str">
        <f>Roster!X18</f>
        <v>.</v>
      </c>
      <c r="X6" s="37" t="str">
        <f>Roster!Y18</f>
        <v>.</v>
      </c>
      <c r="Y6" s="37" t="str">
        <f>Roster!Z18</f>
        <v>.</v>
      </c>
      <c r="Z6" s="37" t="str">
        <f>Roster!AA18</f>
        <v>.</v>
      </c>
      <c r="AA6" s="37" t="str">
        <f>Roster!AB18</f>
        <v>.</v>
      </c>
      <c r="AB6" s="37" t="str">
        <f>Roster!AC18</f>
        <v>.</v>
      </c>
      <c r="AC6" s="37" t="str">
        <f>Roster!AD18</f>
        <v>.</v>
      </c>
      <c r="AD6" s="37" t="str">
        <f>Roster!AE18</f>
        <v>.</v>
      </c>
      <c r="AE6" s="37" t="str">
        <f>Roster!AF18</f>
        <v>.</v>
      </c>
      <c r="AF6" s="37" t="str">
        <f>Roster!AG18</f>
        <v>.</v>
      </c>
      <c r="AG6" s="38" t="str">
        <f>Roster!AH18</f>
        <v>.</v>
      </c>
    </row>
    <row r="7" spans="2:33" ht="14.4" thickTop="1" thickBot="1">
      <c r="C7" s="21" t="str">
        <f t="shared" ref="C7:AG7" si="1">LEFT(TEXT(C8&amp;"-"&amp;$B8&amp;"-"&amp;CurYear-1,"ddd"),2)</f>
        <v>We</v>
      </c>
      <c r="D7" s="21" t="str">
        <f t="shared" si="1"/>
        <v>Th</v>
      </c>
      <c r="E7" s="21" t="str">
        <f t="shared" si="1"/>
        <v>Fr</v>
      </c>
      <c r="F7" s="21" t="str">
        <f t="shared" si="1"/>
        <v>Sa</v>
      </c>
      <c r="G7" s="21" t="str">
        <f t="shared" si="1"/>
        <v>Su</v>
      </c>
      <c r="H7" s="21" t="str">
        <f t="shared" si="1"/>
        <v>Mo</v>
      </c>
      <c r="I7" s="21" t="str">
        <f t="shared" si="1"/>
        <v>Tu</v>
      </c>
      <c r="J7" s="21" t="str">
        <f t="shared" si="1"/>
        <v>We</v>
      </c>
      <c r="K7" s="21" t="str">
        <f t="shared" si="1"/>
        <v>Th</v>
      </c>
      <c r="L7" s="21" t="str">
        <f t="shared" si="1"/>
        <v>Fr</v>
      </c>
      <c r="M7" s="21" t="str">
        <f t="shared" si="1"/>
        <v>Sa</v>
      </c>
      <c r="N7" s="21" t="str">
        <f t="shared" si="1"/>
        <v>Su</v>
      </c>
      <c r="O7" s="21" t="str">
        <f t="shared" si="1"/>
        <v>Mo</v>
      </c>
      <c r="P7" s="21" t="str">
        <f t="shared" si="1"/>
        <v>Tu</v>
      </c>
      <c r="Q7" s="21" t="str">
        <f t="shared" si="1"/>
        <v>We</v>
      </c>
      <c r="R7" s="21" t="str">
        <f t="shared" si="1"/>
        <v>Th</v>
      </c>
      <c r="S7" s="21" t="str">
        <f t="shared" si="1"/>
        <v>Fr</v>
      </c>
      <c r="T7" s="21" t="str">
        <f t="shared" si="1"/>
        <v>Sa</v>
      </c>
      <c r="U7" s="21" t="str">
        <f t="shared" si="1"/>
        <v>Su</v>
      </c>
      <c r="V7" s="21" t="str">
        <f t="shared" si="1"/>
        <v>Mo</v>
      </c>
      <c r="W7" s="21" t="str">
        <f t="shared" si="1"/>
        <v>Tu</v>
      </c>
      <c r="X7" s="21" t="str">
        <f t="shared" si="1"/>
        <v>We</v>
      </c>
      <c r="Y7" s="21" t="str">
        <f t="shared" si="1"/>
        <v>Th</v>
      </c>
      <c r="Z7" s="21" t="str">
        <f t="shared" si="1"/>
        <v>Fr</v>
      </c>
      <c r="AA7" s="21" t="str">
        <f t="shared" si="1"/>
        <v>Sa</v>
      </c>
      <c r="AB7" s="21" t="str">
        <f t="shared" si="1"/>
        <v>Su</v>
      </c>
      <c r="AC7" s="21" t="str">
        <f t="shared" si="1"/>
        <v>Mo</v>
      </c>
      <c r="AD7" s="21" t="str">
        <f t="shared" si="1"/>
        <v>Tu</v>
      </c>
      <c r="AE7" s="21" t="str">
        <f t="shared" si="1"/>
        <v>We</v>
      </c>
      <c r="AF7" s="21" t="str">
        <f t="shared" si="1"/>
        <v>Th</v>
      </c>
      <c r="AG7" s="21" t="str">
        <f t="shared" si="1"/>
        <v>Fr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2018</v>
      </c>
      <c r="C9" s="36" t="str">
        <f>Roster!D49</f>
        <v>.</v>
      </c>
      <c r="D9" s="39" t="str">
        <f>Roster!E49</f>
        <v>.</v>
      </c>
      <c r="E9" s="37" t="str">
        <f>Roster!F49</f>
        <v>.</v>
      </c>
      <c r="F9" s="37" t="str">
        <f>Roster!G49</f>
        <v>.</v>
      </c>
      <c r="G9" s="37" t="str">
        <f>Roster!H49</f>
        <v>.</v>
      </c>
      <c r="H9" s="37" t="str">
        <f>Roster!I49</f>
        <v>.</v>
      </c>
      <c r="I9" s="37" t="str">
        <f>Roster!J49</f>
        <v>.</v>
      </c>
      <c r="J9" s="37" t="str">
        <f>Roster!K49</f>
        <v>.</v>
      </c>
      <c r="K9" s="37" t="str">
        <f>Roster!L49</f>
        <v>.</v>
      </c>
      <c r="L9" s="37" t="str">
        <f>Roster!M49</f>
        <v>.</v>
      </c>
      <c r="M9" s="37" t="str">
        <f>Roster!N49</f>
        <v>.</v>
      </c>
      <c r="N9" s="37" t="str">
        <f>Roster!O49</f>
        <v>.</v>
      </c>
      <c r="O9" s="37" t="str">
        <f>Roster!P49</f>
        <v>.</v>
      </c>
      <c r="P9" s="37" t="str">
        <f>Roster!Q49</f>
        <v>.</v>
      </c>
      <c r="Q9" s="37" t="str">
        <f>Roster!R49</f>
        <v>.</v>
      </c>
      <c r="R9" s="37" t="str">
        <f>Roster!S49</f>
        <v>.</v>
      </c>
      <c r="S9" s="37" t="str">
        <f>Roster!T49</f>
        <v>.</v>
      </c>
      <c r="T9" s="37" t="str">
        <f>Roster!U49</f>
        <v>.</v>
      </c>
      <c r="U9" s="37" t="str">
        <f>Roster!V49</f>
        <v>.</v>
      </c>
      <c r="V9" s="37" t="str">
        <f>Roster!W49</f>
        <v>.</v>
      </c>
      <c r="W9" s="37" t="str">
        <f>Roster!X49</f>
        <v>.</v>
      </c>
      <c r="X9" s="37" t="str">
        <f>Roster!Y49</f>
        <v>.</v>
      </c>
      <c r="Y9" s="37" t="str">
        <f>Roster!Z49</f>
        <v>.</v>
      </c>
      <c r="Z9" s="37" t="str">
        <f>Roster!AA49</f>
        <v>.</v>
      </c>
      <c r="AA9" s="37" t="str">
        <f>Roster!AB49</f>
        <v>.</v>
      </c>
      <c r="AB9" s="37" t="str">
        <f>Roster!AC49</f>
        <v>.</v>
      </c>
      <c r="AC9" s="37" t="str">
        <f>Roster!AD49</f>
        <v>.</v>
      </c>
      <c r="AD9" s="37" t="str">
        <f>Roster!AE49</f>
        <v>.</v>
      </c>
      <c r="AE9" s="37" t="str">
        <f>Roster!AF49</f>
        <v>.</v>
      </c>
      <c r="AF9" s="37" t="str">
        <f>Roster!AG49</f>
        <v>.</v>
      </c>
      <c r="AG9" s="38" t="str">
        <f>Roster!AH49</f>
        <v>.</v>
      </c>
    </row>
    <row r="10" spans="2:33" ht="14.4" thickTop="1" thickBot="1">
      <c r="C10" s="21" t="str">
        <f t="shared" ref="C10:AF10" si="2">LEFT(TEXT(C11&amp;"-"&amp;$B11&amp;"-"&amp;CurYear-1,"ddd"),2)</f>
        <v>Sa</v>
      </c>
      <c r="D10" s="21" t="str">
        <f t="shared" si="2"/>
        <v>Su</v>
      </c>
      <c r="E10" s="21" t="str">
        <f t="shared" si="2"/>
        <v>Mo</v>
      </c>
      <c r="F10" s="21" t="str">
        <f t="shared" si="2"/>
        <v>Tu</v>
      </c>
      <c r="G10" s="21" t="str">
        <f t="shared" si="2"/>
        <v>We</v>
      </c>
      <c r="H10" s="21" t="str">
        <f t="shared" si="2"/>
        <v>Th</v>
      </c>
      <c r="I10" s="21" t="str">
        <f t="shared" si="2"/>
        <v>Fr</v>
      </c>
      <c r="J10" s="21" t="str">
        <f t="shared" si="2"/>
        <v>Sa</v>
      </c>
      <c r="K10" s="21" t="str">
        <f t="shared" si="2"/>
        <v>Su</v>
      </c>
      <c r="L10" s="21" t="str">
        <f t="shared" si="2"/>
        <v>Mo</v>
      </c>
      <c r="M10" s="21" t="str">
        <f t="shared" si="2"/>
        <v>Tu</v>
      </c>
      <c r="N10" s="21" t="str">
        <f t="shared" si="2"/>
        <v>We</v>
      </c>
      <c r="O10" s="21" t="str">
        <f t="shared" si="2"/>
        <v>Th</v>
      </c>
      <c r="P10" s="21" t="str">
        <f t="shared" si="2"/>
        <v>Fr</v>
      </c>
      <c r="Q10" s="21" t="str">
        <f t="shared" si="2"/>
        <v>Sa</v>
      </c>
      <c r="R10" s="21" t="str">
        <f t="shared" si="2"/>
        <v>Su</v>
      </c>
      <c r="S10" s="21" t="str">
        <f t="shared" si="2"/>
        <v>Mo</v>
      </c>
      <c r="T10" s="21" t="str">
        <f t="shared" si="2"/>
        <v>Tu</v>
      </c>
      <c r="U10" s="21" t="str">
        <f t="shared" si="2"/>
        <v>We</v>
      </c>
      <c r="V10" s="21" t="str">
        <f t="shared" si="2"/>
        <v>Th</v>
      </c>
      <c r="W10" s="21" t="str">
        <f t="shared" si="2"/>
        <v>Fr</v>
      </c>
      <c r="X10" s="21" t="str">
        <f t="shared" si="2"/>
        <v>Sa</v>
      </c>
      <c r="Y10" s="21" t="str">
        <f t="shared" si="2"/>
        <v>Su</v>
      </c>
      <c r="Z10" s="21" t="str">
        <f t="shared" si="2"/>
        <v>Mo</v>
      </c>
      <c r="AA10" s="21" t="str">
        <f t="shared" si="2"/>
        <v>Tu</v>
      </c>
      <c r="AB10" s="21" t="str">
        <f t="shared" si="2"/>
        <v>We</v>
      </c>
      <c r="AC10" s="21" t="str">
        <f t="shared" si="2"/>
        <v>Th</v>
      </c>
      <c r="AD10" s="21" t="str">
        <f t="shared" si="2"/>
        <v>Fr</v>
      </c>
      <c r="AE10" s="21" t="str">
        <f t="shared" si="2"/>
        <v>Sa</v>
      </c>
      <c r="AF10" s="21" t="str">
        <f t="shared" si="2"/>
        <v>Su</v>
      </c>
      <c r="AG10" s="17"/>
    </row>
    <row r="11" spans="2:33" ht="14.4" thickTop="1" thickBot="1">
      <c r="B11" s="32" t="str">
        <f>Roster!C59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2018</v>
      </c>
      <c r="C12" s="36" t="str">
        <f>Roster!D64</f>
        <v>.</v>
      </c>
      <c r="D12" s="37" t="str">
        <f>Roster!E64</f>
        <v>.</v>
      </c>
      <c r="E12" s="37" t="str">
        <f>Roster!F64</f>
        <v>.</v>
      </c>
      <c r="F12" s="37" t="str">
        <f>Roster!G64</f>
        <v>.</v>
      </c>
      <c r="G12" s="37" t="str">
        <f>Roster!H64</f>
        <v>.</v>
      </c>
      <c r="H12" s="37" t="str">
        <f>Roster!I64</f>
        <v>.</v>
      </c>
      <c r="I12" s="37" t="str">
        <f>Roster!J64</f>
        <v>.</v>
      </c>
      <c r="J12" s="37" t="str">
        <f>Roster!K64</f>
        <v>.</v>
      </c>
      <c r="K12" s="37" t="str">
        <f>Roster!L64</f>
        <v>.</v>
      </c>
      <c r="L12" s="37" t="str">
        <f>Roster!M64</f>
        <v>.</v>
      </c>
      <c r="M12" s="37" t="str">
        <f>Roster!N64</f>
        <v>.</v>
      </c>
      <c r="N12" s="37" t="str">
        <f>Roster!O64</f>
        <v>.</v>
      </c>
      <c r="O12" s="37" t="str">
        <f>Roster!P64</f>
        <v>.</v>
      </c>
      <c r="P12" s="37" t="str">
        <f>Roster!Q64</f>
        <v>.</v>
      </c>
      <c r="Q12" s="37" t="str">
        <f>Roster!R64</f>
        <v>.</v>
      </c>
      <c r="R12" s="37" t="str">
        <f>Roster!S64</f>
        <v>.</v>
      </c>
      <c r="S12" s="37" t="str">
        <f>Roster!T64</f>
        <v>.</v>
      </c>
      <c r="T12" s="37" t="str">
        <f>Roster!U64</f>
        <v>.</v>
      </c>
      <c r="U12" s="37" t="str">
        <f>Roster!V64</f>
        <v>.</v>
      </c>
      <c r="V12" s="37" t="str">
        <f>Roster!W64</f>
        <v>.</v>
      </c>
      <c r="W12" s="37" t="str">
        <f>Roster!X64</f>
        <v>.</v>
      </c>
      <c r="X12" s="37" t="str">
        <f>Roster!Y64</f>
        <v>.</v>
      </c>
      <c r="Y12" s="37" t="str">
        <f>Roster!Z64</f>
        <v>.</v>
      </c>
      <c r="Z12" s="37" t="str">
        <f>Roster!AA64</f>
        <v>.</v>
      </c>
      <c r="AA12" s="37" t="str">
        <f>Roster!AB64</f>
        <v>.</v>
      </c>
      <c r="AB12" s="37" t="str">
        <f>Roster!AC64</f>
        <v>.</v>
      </c>
      <c r="AC12" s="37" t="str">
        <f>Roster!AD64</f>
        <v>.</v>
      </c>
      <c r="AD12" s="37" t="str">
        <f>Roster!AE64</f>
        <v>.</v>
      </c>
      <c r="AE12" s="37" t="str">
        <f>Roster!AF64</f>
        <v>.</v>
      </c>
      <c r="AF12" s="38" t="str">
        <f>Roster!AG64</f>
        <v>.</v>
      </c>
    </row>
    <row r="13" spans="2:33" ht="14.4" thickTop="1" thickBot="1">
      <c r="C13" s="21" t="str">
        <f t="shared" ref="C13:AG13" si="3">LEFT(TEXT(C14&amp;"-"&amp;$B14&amp;"-"&amp;CurYear-1,"ddd"),2)</f>
        <v>Mo</v>
      </c>
      <c r="D13" s="21" t="str">
        <f t="shared" si="3"/>
        <v>Tu</v>
      </c>
      <c r="E13" s="21" t="str">
        <f t="shared" si="3"/>
        <v>We</v>
      </c>
      <c r="F13" s="21" t="str">
        <f t="shared" si="3"/>
        <v>Th</v>
      </c>
      <c r="G13" s="21" t="str">
        <f t="shared" si="3"/>
        <v>Fr</v>
      </c>
      <c r="H13" s="21" t="str">
        <f t="shared" si="3"/>
        <v>Sa</v>
      </c>
      <c r="I13" s="21" t="str">
        <f t="shared" si="3"/>
        <v>Su</v>
      </c>
      <c r="J13" s="21" t="str">
        <f t="shared" si="3"/>
        <v>Mo</v>
      </c>
      <c r="K13" s="21" t="str">
        <f t="shared" si="3"/>
        <v>Tu</v>
      </c>
      <c r="L13" s="21" t="str">
        <f t="shared" si="3"/>
        <v>We</v>
      </c>
      <c r="M13" s="21" t="str">
        <f t="shared" si="3"/>
        <v>Th</v>
      </c>
      <c r="N13" s="21" t="str">
        <f t="shared" si="3"/>
        <v>Fr</v>
      </c>
      <c r="O13" s="21" t="str">
        <f t="shared" si="3"/>
        <v>Sa</v>
      </c>
      <c r="P13" s="21" t="str">
        <f t="shared" si="3"/>
        <v>Su</v>
      </c>
      <c r="Q13" s="21" t="str">
        <f t="shared" si="3"/>
        <v>Mo</v>
      </c>
      <c r="R13" s="21" t="str">
        <f t="shared" si="3"/>
        <v>Tu</v>
      </c>
      <c r="S13" s="21" t="str">
        <f t="shared" si="3"/>
        <v>We</v>
      </c>
      <c r="T13" s="21" t="str">
        <f t="shared" si="3"/>
        <v>Th</v>
      </c>
      <c r="U13" s="21" t="str">
        <f t="shared" si="3"/>
        <v>Fr</v>
      </c>
      <c r="V13" s="21" t="str">
        <f t="shared" si="3"/>
        <v>Sa</v>
      </c>
      <c r="W13" s="21" t="str">
        <f t="shared" si="3"/>
        <v>Su</v>
      </c>
      <c r="X13" s="21" t="str">
        <f t="shared" si="3"/>
        <v>Mo</v>
      </c>
      <c r="Y13" s="21" t="str">
        <f t="shared" si="3"/>
        <v>Tu</v>
      </c>
      <c r="Z13" s="21" t="str">
        <f t="shared" si="3"/>
        <v>We</v>
      </c>
      <c r="AA13" s="21" t="str">
        <f t="shared" si="3"/>
        <v>Th</v>
      </c>
      <c r="AB13" s="21" t="str">
        <f t="shared" si="3"/>
        <v>Fr</v>
      </c>
      <c r="AC13" s="21" t="str">
        <f t="shared" si="3"/>
        <v>Sa</v>
      </c>
      <c r="AD13" s="21" t="str">
        <f t="shared" si="3"/>
        <v>Su</v>
      </c>
      <c r="AE13" s="21" t="str">
        <f t="shared" si="3"/>
        <v>Mo</v>
      </c>
      <c r="AF13" s="21" t="str">
        <f t="shared" si="3"/>
        <v>Tu</v>
      </c>
      <c r="AG13" s="46" t="str">
        <f t="shared" si="3"/>
        <v>We</v>
      </c>
    </row>
    <row r="14" spans="2:33" ht="14.4" thickTop="1" thickBot="1">
      <c r="B14" s="32" t="str">
        <f>Roster!C74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2018</v>
      </c>
      <c r="C15" s="36" t="str">
        <f>Roster!D79</f>
        <v>.</v>
      </c>
      <c r="D15" s="37" t="str">
        <f>Roster!E79</f>
        <v>.</v>
      </c>
      <c r="E15" s="37" t="str">
        <f>Roster!F79</f>
        <v>.</v>
      </c>
      <c r="F15" s="37" t="str">
        <f>Roster!G79</f>
        <v>.</v>
      </c>
      <c r="G15" s="37" t="str">
        <f>Roster!H79</f>
        <v>.</v>
      </c>
      <c r="H15" s="37" t="str">
        <f>Roster!I79</f>
        <v>.</v>
      </c>
      <c r="I15" s="37" t="str">
        <f>Roster!J79</f>
        <v>.</v>
      </c>
      <c r="J15" s="37" t="str">
        <f>Roster!K79</f>
        <v>.</v>
      </c>
      <c r="K15" s="37" t="str">
        <f>Roster!L79</f>
        <v>.</v>
      </c>
      <c r="L15" s="37" t="str">
        <f>Roster!M79</f>
        <v>.</v>
      </c>
      <c r="M15" s="37" t="str">
        <f>Roster!N79</f>
        <v>.</v>
      </c>
      <c r="N15" s="37" t="str">
        <f>Roster!O79</f>
        <v>.</v>
      </c>
      <c r="O15" s="37" t="str">
        <f>Roster!P79</f>
        <v>.</v>
      </c>
      <c r="P15" s="37" t="str">
        <f>Roster!Q79</f>
        <v>.</v>
      </c>
      <c r="Q15" s="37" t="str">
        <f>Roster!R79</f>
        <v>.</v>
      </c>
      <c r="R15" s="37" t="str">
        <f>Roster!S79</f>
        <v>.</v>
      </c>
      <c r="S15" s="37" t="str">
        <f>Roster!T79</f>
        <v>.</v>
      </c>
      <c r="T15" s="37" t="str">
        <f>Roster!U79</f>
        <v>.</v>
      </c>
      <c r="U15" s="37" t="str">
        <f>Roster!V79</f>
        <v>.</v>
      </c>
      <c r="V15" s="37" t="str">
        <f>Roster!W79</f>
        <v>.</v>
      </c>
      <c r="W15" s="37" t="str">
        <f>Roster!X79</f>
        <v>.</v>
      </c>
      <c r="X15" s="37" t="str">
        <f>Roster!Y79</f>
        <v>.</v>
      </c>
      <c r="Y15" s="37" t="str">
        <f>Roster!Z79</f>
        <v>.</v>
      </c>
      <c r="Z15" s="37" t="str">
        <f>Roster!AA79</f>
        <v>.</v>
      </c>
      <c r="AA15" s="37" t="str">
        <f>Roster!AB79</f>
        <v>.</v>
      </c>
      <c r="AB15" s="37" t="str">
        <f>Roster!AC79</f>
        <v>.</v>
      </c>
      <c r="AC15" s="37" t="str">
        <f>Roster!AD79</f>
        <v>.</v>
      </c>
      <c r="AD15" s="37" t="str">
        <f>Roster!AE79</f>
        <v>.</v>
      </c>
      <c r="AE15" s="37" t="str">
        <f>Roster!AF79</f>
        <v>.</v>
      </c>
      <c r="AF15" s="37" t="str">
        <f>Roster!AG79</f>
        <v>.</v>
      </c>
      <c r="AG15" s="38" t="str">
        <f>Roster!AH79</f>
        <v>.</v>
      </c>
    </row>
    <row r="16" spans="2:33" ht="14.4" thickTop="1" thickBot="1">
      <c r="C16" s="21" t="str">
        <f t="shared" ref="C16:AF16" si="4">LEFT(TEXT(C17&amp;"-"&amp;$B17&amp;"-"&amp;CurYear-1,"ddd"),2)</f>
        <v>Th</v>
      </c>
      <c r="D16" s="21" t="str">
        <f t="shared" si="4"/>
        <v>Fr</v>
      </c>
      <c r="E16" s="21" t="str">
        <f t="shared" si="4"/>
        <v>Sa</v>
      </c>
      <c r="F16" s="21" t="str">
        <f t="shared" si="4"/>
        <v>Su</v>
      </c>
      <c r="G16" s="21" t="str">
        <f t="shared" si="4"/>
        <v>Mo</v>
      </c>
      <c r="H16" s="21" t="str">
        <f t="shared" si="4"/>
        <v>Tu</v>
      </c>
      <c r="I16" s="21" t="str">
        <f t="shared" si="4"/>
        <v>We</v>
      </c>
      <c r="J16" s="21" t="str">
        <f t="shared" si="4"/>
        <v>Th</v>
      </c>
      <c r="K16" s="21" t="str">
        <f t="shared" si="4"/>
        <v>Fr</v>
      </c>
      <c r="L16" s="21" t="str">
        <f t="shared" si="4"/>
        <v>Sa</v>
      </c>
      <c r="M16" s="21" t="str">
        <f t="shared" si="4"/>
        <v>Su</v>
      </c>
      <c r="N16" s="21" t="str">
        <f t="shared" si="4"/>
        <v>Mo</v>
      </c>
      <c r="O16" s="21" t="str">
        <f t="shared" si="4"/>
        <v>Tu</v>
      </c>
      <c r="P16" s="21" t="str">
        <f t="shared" si="4"/>
        <v>We</v>
      </c>
      <c r="Q16" s="21" t="str">
        <f t="shared" si="4"/>
        <v>Th</v>
      </c>
      <c r="R16" s="21" t="str">
        <f t="shared" si="4"/>
        <v>Fr</v>
      </c>
      <c r="S16" s="21" t="str">
        <f t="shared" si="4"/>
        <v>Sa</v>
      </c>
      <c r="T16" s="21" t="str">
        <f t="shared" si="4"/>
        <v>Su</v>
      </c>
      <c r="U16" s="21" t="str">
        <f t="shared" si="4"/>
        <v>Mo</v>
      </c>
      <c r="V16" s="21" t="str">
        <f t="shared" si="4"/>
        <v>Tu</v>
      </c>
      <c r="W16" s="21" t="str">
        <f t="shared" si="4"/>
        <v>We</v>
      </c>
      <c r="X16" s="21" t="str">
        <f t="shared" si="4"/>
        <v>Th</v>
      </c>
      <c r="Y16" s="21" t="str">
        <f t="shared" si="4"/>
        <v>Fr</v>
      </c>
      <c r="Z16" s="21" t="str">
        <f t="shared" si="4"/>
        <v>Sa</v>
      </c>
      <c r="AA16" s="21" t="str">
        <f t="shared" si="4"/>
        <v>Su</v>
      </c>
      <c r="AB16" s="21" t="str">
        <f t="shared" si="4"/>
        <v>Mo</v>
      </c>
      <c r="AC16" s="21" t="str">
        <f t="shared" si="4"/>
        <v>Tu</v>
      </c>
      <c r="AD16" s="21" t="str">
        <f t="shared" si="4"/>
        <v>We</v>
      </c>
      <c r="AE16" s="21" t="str">
        <f t="shared" si="4"/>
        <v>Th</v>
      </c>
      <c r="AF16" s="21" t="str">
        <f t="shared" si="4"/>
        <v>Fr</v>
      </c>
      <c r="AG16" s="17"/>
    </row>
    <row r="17" spans="2:33" ht="14.4" thickTop="1" thickBot="1">
      <c r="B17" s="32" t="str">
        <f>Roster!C89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2018</v>
      </c>
      <c r="C18" s="36" t="str">
        <f>Roster!D94</f>
        <v>.</v>
      </c>
      <c r="D18" s="37" t="str">
        <f>Roster!E94</f>
        <v>.</v>
      </c>
      <c r="E18" s="37" t="str">
        <f>Roster!F94</f>
        <v>.</v>
      </c>
      <c r="F18" s="37" t="str">
        <f>Roster!G94</f>
        <v>.</v>
      </c>
      <c r="G18" s="37" t="str">
        <f>Roster!H94</f>
        <v>.</v>
      </c>
      <c r="H18" s="37" t="str">
        <f>Roster!I94</f>
        <v>.</v>
      </c>
      <c r="I18" s="37" t="str">
        <f>Roster!J94</f>
        <v>.</v>
      </c>
      <c r="J18" s="37" t="str">
        <f>Roster!K94</f>
        <v>.</v>
      </c>
      <c r="K18" s="37" t="str">
        <f>Roster!L94</f>
        <v>.</v>
      </c>
      <c r="L18" s="37" t="str">
        <f>Roster!M94</f>
        <v>.</v>
      </c>
      <c r="M18" s="37" t="str">
        <f>Roster!N94</f>
        <v>.</v>
      </c>
      <c r="N18" s="37" t="str">
        <f>Roster!O94</f>
        <v>.</v>
      </c>
      <c r="O18" s="37" t="str">
        <f>Roster!P94</f>
        <v>.</v>
      </c>
      <c r="P18" s="37" t="str">
        <f>Roster!Q94</f>
        <v>.</v>
      </c>
      <c r="Q18" s="37" t="str">
        <f>Roster!R94</f>
        <v>.</v>
      </c>
      <c r="R18" s="37" t="str">
        <f>Roster!S94</f>
        <v>.</v>
      </c>
      <c r="S18" s="37" t="str">
        <f>Roster!T94</f>
        <v>.</v>
      </c>
      <c r="T18" s="37" t="str">
        <f>Roster!U94</f>
        <v>.</v>
      </c>
      <c r="U18" s="37" t="str">
        <f>Roster!V94</f>
        <v>.</v>
      </c>
      <c r="V18" s="37" t="str">
        <f>Roster!W94</f>
        <v>.</v>
      </c>
      <c r="W18" s="37" t="str">
        <f>Roster!X94</f>
        <v>.</v>
      </c>
      <c r="X18" s="37" t="str">
        <f>Roster!Y94</f>
        <v>.</v>
      </c>
      <c r="Y18" s="37" t="str">
        <f>Roster!Z94</f>
        <v>.</v>
      </c>
      <c r="Z18" s="37" t="str">
        <f>Roster!AA94</f>
        <v>.</v>
      </c>
      <c r="AA18" s="37" t="str">
        <f>Roster!AB94</f>
        <v>.</v>
      </c>
      <c r="AB18" s="37" t="str">
        <f>Roster!AC94</f>
        <v>.</v>
      </c>
      <c r="AC18" s="37" t="str">
        <f>Roster!AD94</f>
        <v>.</v>
      </c>
      <c r="AD18" s="37" t="str">
        <f>Roster!AE94</f>
        <v>.</v>
      </c>
      <c r="AE18" s="37" t="str">
        <f>Roster!AF94</f>
        <v>.</v>
      </c>
      <c r="AF18" s="38" t="str">
        <f>Roster!AG94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Sa</v>
      </c>
      <c r="D19" s="21" t="str">
        <f t="shared" si="5"/>
        <v>Su</v>
      </c>
      <c r="E19" s="21" t="str">
        <f t="shared" si="5"/>
        <v>Mo</v>
      </c>
      <c r="F19" s="21" t="str">
        <f t="shared" si="5"/>
        <v>Tu</v>
      </c>
      <c r="G19" s="21" t="str">
        <f t="shared" si="5"/>
        <v>We</v>
      </c>
      <c r="H19" s="21" t="str">
        <f t="shared" si="5"/>
        <v>Th</v>
      </c>
      <c r="I19" s="21" t="str">
        <f t="shared" si="5"/>
        <v>Fr</v>
      </c>
      <c r="J19" s="21" t="str">
        <f t="shared" si="5"/>
        <v>Sa</v>
      </c>
      <c r="K19" s="21" t="str">
        <f t="shared" si="5"/>
        <v>Su</v>
      </c>
      <c r="L19" s="21" t="str">
        <f t="shared" si="5"/>
        <v>Mo</v>
      </c>
      <c r="M19" s="21" t="str">
        <f t="shared" si="5"/>
        <v>Tu</v>
      </c>
      <c r="N19" s="21" t="str">
        <f t="shared" si="5"/>
        <v>We</v>
      </c>
      <c r="O19" s="21" t="str">
        <f t="shared" si="5"/>
        <v>Th</v>
      </c>
      <c r="P19" s="21" t="str">
        <f t="shared" si="5"/>
        <v>Fr</v>
      </c>
      <c r="Q19" s="21" t="str">
        <f t="shared" si="5"/>
        <v>Sa</v>
      </c>
      <c r="R19" s="21" t="str">
        <f t="shared" si="5"/>
        <v>Su</v>
      </c>
      <c r="S19" s="21" t="str">
        <f t="shared" si="5"/>
        <v>Mo</v>
      </c>
      <c r="T19" s="21" t="str">
        <f t="shared" si="5"/>
        <v>Tu</v>
      </c>
      <c r="U19" s="21" t="str">
        <f t="shared" si="5"/>
        <v>We</v>
      </c>
      <c r="V19" s="21" t="str">
        <f t="shared" si="5"/>
        <v>Th</v>
      </c>
      <c r="W19" s="21" t="str">
        <f t="shared" si="5"/>
        <v>Fr</v>
      </c>
      <c r="X19" s="21" t="str">
        <f t="shared" si="5"/>
        <v>Sa</v>
      </c>
      <c r="Y19" s="21" t="str">
        <f t="shared" si="5"/>
        <v>Su</v>
      </c>
      <c r="Z19" s="21" t="str">
        <f t="shared" si="5"/>
        <v>Mo</v>
      </c>
      <c r="AA19" s="21" t="str">
        <f t="shared" si="5"/>
        <v>Tu</v>
      </c>
      <c r="AB19" s="21" t="str">
        <f t="shared" si="5"/>
        <v>We</v>
      </c>
      <c r="AC19" s="21" t="str">
        <f t="shared" si="5"/>
        <v>Th</v>
      </c>
      <c r="AD19" s="21" t="str">
        <f t="shared" si="5"/>
        <v>Fr</v>
      </c>
      <c r="AE19" s="21" t="str">
        <f t="shared" si="5"/>
        <v>Sa</v>
      </c>
      <c r="AF19" s="21" t="str">
        <f t="shared" si="5"/>
        <v>Su</v>
      </c>
      <c r="AG19" s="28" t="str">
        <f t="shared" si="5"/>
        <v>Mo</v>
      </c>
    </row>
    <row r="20" spans="2:33" ht="14.4" thickTop="1" thickBot="1">
      <c r="B20" s="32" t="str">
        <f>Roster!C104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2018</v>
      </c>
      <c r="C21" s="36" t="str">
        <f>Roster!D109</f>
        <v>.</v>
      </c>
      <c r="D21" s="37" t="str">
        <f>Roster!E109</f>
        <v>.</v>
      </c>
      <c r="E21" s="37" t="str">
        <f>Roster!F109</f>
        <v>.</v>
      </c>
      <c r="F21" s="37" t="str">
        <f>Roster!G109</f>
        <v>.</v>
      </c>
      <c r="G21" s="37" t="str">
        <f>Roster!H109</f>
        <v>.</v>
      </c>
      <c r="H21" s="37" t="str">
        <f>Roster!I109</f>
        <v>.</v>
      </c>
      <c r="I21" s="37" t="str">
        <f>Roster!J109</f>
        <v>.</v>
      </c>
      <c r="J21" s="37" t="str">
        <f>Roster!K109</f>
        <v>.</v>
      </c>
      <c r="K21" s="37" t="str">
        <f>Roster!L109</f>
        <v>.</v>
      </c>
      <c r="L21" s="37" t="str">
        <f>Roster!M109</f>
        <v>.</v>
      </c>
      <c r="M21" s="37" t="str">
        <f>Roster!N109</f>
        <v>.</v>
      </c>
      <c r="N21" s="37" t="str">
        <f>Roster!O109</f>
        <v>.</v>
      </c>
      <c r="O21" s="37" t="str">
        <f>Roster!P109</f>
        <v>.</v>
      </c>
      <c r="P21" s="37" t="str">
        <f>Roster!Q109</f>
        <v>.</v>
      </c>
      <c r="Q21" s="37" t="str">
        <f>Roster!R109</f>
        <v>.</v>
      </c>
      <c r="R21" s="37" t="str">
        <f>Roster!S109</f>
        <v>.</v>
      </c>
      <c r="S21" s="37" t="str">
        <f>Roster!T109</f>
        <v>.</v>
      </c>
      <c r="T21" s="37" t="str">
        <f>Roster!U109</f>
        <v>.</v>
      </c>
      <c r="U21" s="37" t="str">
        <f>Roster!V109</f>
        <v>.</v>
      </c>
      <c r="V21" s="37" t="str">
        <f>Roster!W109</f>
        <v>.</v>
      </c>
      <c r="W21" s="37" t="str">
        <f>Roster!X109</f>
        <v>.</v>
      </c>
      <c r="X21" s="37" t="str">
        <f>Roster!Y109</f>
        <v>.</v>
      </c>
      <c r="Y21" s="37" t="str">
        <f>Roster!Z109</f>
        <v>.</v>
      </c>
      <c r="Z21" s="37" t="str">
        <f>Roster!AA109</f>
        <v>.</v>
      </c>
      <c r="AA21" s="37" t="str">
        <f>Roster!AB109</f>
        <v>.</v>
      </c>
      <c r="AB21" s="37" t="str">
        <f>Roster!AC109</f>
        <v>.</v>
      </c>
      <c r="AC21" s="37" t="str">
        <f>Roster!AD109</f>
        <v>.</v>
      </c>
      <c r="AD21" s="37" t="str">
        <f>Roster!AE109</f>
        <v>.</v>
      </c>
      <c r="AE21" s="37" t="str">
        <f>Roster!AF109</f>
        <v>.</v>
      </c>
      <c r="AF21" s="37" t="str">
        <f>Roster!AG109</f>
        <v>.</v>
      </c>
      <c r="AG21" s="38" t="str">
        <f>Roster!AH109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Tu</v>
      </c>
      <c r="D22" s="19" t="str">
        <f t="shared" si="6"/>
        <v>We</v>
      </c>
      <c r="E22" s="19" t="str">
        <f t="shared" si="6"/>
        <v>Th</v>
      </c>
      <c r="F22" s="19" t="str">
        <f t="shared" si="6"/>
        <v>Fr</v>
      </c>
      <c r="G22" s="19" t="str">
        <f t="shared" si="6"/>
        <v>Sa</v>
      </c>
      <c r="H22" s="19" t="str">
        <f t="shared" si="6"/>
        <v>Su</v>
      </c>
      <c r="I22" s="19" t="str">
        <f t="shared" si="6"/>
        <v>Mo</v>
      </c>
      <c r="J22" s="19" t="str">
        <f t="shared" si="6"/>
        <v>Tu</v>
      </c>
      <c r="K22" s="19" t="str">
        <f t="shared" si="6"/>
        <v>We</v>
      </c>
      <c r="L22" s="19" t="str">
        <f t="shared" si="6"/>
        <v>Th</v>
      </c>
      <c r="M22" s="19" t="str">
        <f t="shared" si="6"/>
        <v>Fr</v>
      </c>
      <c r="N22" s="19" t="str">
        <f t="shared" si="6"/>
        <v>Sa</v>
      </c>
      <c r="O22" s="19" t="str">
        <f t="shared" si="6"/>
        <v>Su</v>
      </c>
      <c r="P22" s="19" t="str">
        <f t="shared" si="6"/>
        <v>Mo</v>
      </c>
      <c r="Q22" s="19" t="str">
        <f t="shared" si="6"/>
        <v>Tu</v>
      </c>
      <c r="R22" s="19" t="str">
        <f t="shared" si="6"/>
        <v>We</v>
      </c>
      <c r="S22" s="19" t="str">
        <f t="shared" si="6"/>
        <v>Th</v>
      </c>
      <c r="T22" s="19" t="str">
        <f t="shared" si="6"/>
        <v>Fr</v>
      </c>
      <c r="U22" s="19" t="str">
        <f t="shared" si="6"/>
        <v>Sa</v>
      </c>
      <c r="V22" s="19" t="str">
        <f t="shared" si="6"/>
        <v>Su</v>
      </c>
      <c r="W22" s="19" t="str">
        <f t="shared" si="6"/>
        <v>Mo</v>
      </c>
      <c r="X22" s="19" t="str">
        <f t="shared" si="6"/>
        <v>Tu</v>
      </c>
      <c r="Y22" s="19" t="str">
        <f t="shared" si="6"/>
        <v>We</v>
      </c>
      <c r="Z22" s="19" t="str">
        <f t="shared" si="6"/>
        <v>Th</v>
      </c>
      <c r="AA22" s="19" t="str">
        <f t="shared" si="6"/>
        <v>Fr</v>
      </c>
      <c r="AB22" s="19" t="str">
        <f t="shared" si="6"/>
        <v>Sa</v>
      </c>
      <c r="AC22" s="19" t="str">
        <f t="shared" si="6"/>
        <v>Su</v>
      </c>
      <c r="AD22" s="19" t="str">
        <f t="shared" si="6"/>
        <v>Mo</v>
      </c>
      <c r="AE22" s="19" t="str">
        <f t="shared" si="6"/>
        <v>Tu</v>
      </c>
      <c r="AF22" s="19" t="str">
        <f t="shared" si="6"/>
        <v>We</v>
      </c>
      <c r="AG22" s="19" t="str">
        <f t="shared" si="6"/>
        <v>Th</v>
      </c>
    </row>
    <row r="23" spans="2:33" ht="14.4" thickTop="1" thickBot="1">
      <c r="B23" s="32" t="str">
        <f>Roster!$C$119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2019</v>
      </c>
      <c r="C24" s="48" t="str">
        <f>Roster!D124</f>
        <v>.</v>
      </c>
      <c r="D24" s="49" t="str">
        <f>Roster!E124</f>
        <v>.</v>
      </c>
      <c r="E24" s="40" t="str">
        <f>Roster!F124</f>
        <v>.</v>
      </c>
      <c r="F24" s="40" t="str">
        <f>Roster!G124</f>
        <v>.</v>
      </c>
      <c r="G24" s="40" t="str">
        <f>Roster!H124</f>
        <v>.</v>
      </c>
      <c r="H24" s="40" t="str">
        <f>Roster!I124</f>
        <v>.</v>
      </c>
      <c r="I24" s="40" t="str">
        <f>Roster!J124</f>
        <v>.</v>
      </c>
      <c r="J24" s="40" t="str">
        <f>Roster!K124</f>
        <v>.</v>
      </c>
      <c r="K24" s="40" t="str">
        <f>Roster!L124</f>
        <v>.</v>
      </c>
      <c r="L24" s="40" t="str">
        <f>Roster!M124</f>
        <v>.</v>
      </c>
      <c r="M24" s="40" t="str">
        <f>Roster!N124</f>
        <v>.</v>
      </c>
      <c r="N24" s="40" t="str">
        <f>Roster!O124</f>
        <v>.</v>
      </c>
      <c r="O24" s="40" t="str">
        <f>Roster!P124</f>
        <v>.</v>
      </c>
      <c r="P24" s="40" t="str">
        <f>Roster!Q124</f>
        <v>.</v>
      </c>
      <c r="Q24" s="40" t="str">
        <f>Roster!R124</f>
        <v>.</v>
      </c>
      <c r="R24" s="40" t="str">
        <f>Roster!S124</f>
        <v>.</v>
      </c>
      <c r="S24" s="40" t="str">
        <f>Roster!T124</f>
        <v>.</v>
      </c>
      <c r="T24" s="40" t="str">
        <f>Roster!U124</f>
        <v>.</v>
      </c>
      <c r="U24" s="40" t="str">
        <f>Roster!V124</f>
        <v>.</v>
      </c>
      <c r="V24" s="40" t="str">
        <f>Roster!W124</f>
        <v>.</v>
      </c>
      <c r="W24" s="40" t="str">
        <f>Roster!X124</f>
        <v>.</v>
      </c>
      <c r="X24" s="40" t="str">
        <f>Roster!Y124</f>
        <v>.</v>
      </c>
      <c r="Y24" s="40" t="str">
        <f>Roster!Z124</f>
        <v>.</v>
      </c>
      <c r="Z24" s="40" t="str">
        <f>Roster!AA124</f>
        <v>.</v>
      </c>
      <c r="AA24" s="40" t="str">
        <f>Roster!AB124</f>
        <v>.</v>
      </c>
      <c r="AB24" s="40" t="str">
        <f>Roster!AC124</f>
        <v>.</v>
      </c>
      <c r="AC24" s="40" t="str">
        <f>Roster!AD124</f>
        <v>.</v>
      </c>
      <c r="AD24" s="40" t="str">
        <f>Roster!AE124</f>
        <v>.</v>
      </c>
      <c r="AE24" s="40" t="str">
        <f>Roster!AF124</f>
        <v>.</v>
      </c>
      <c r="AF24" s="40" t="str">
        <f>Roster!AG124</f>
        <v>.</v>
      </c>
      <c r="AG24" s="41" t="str">
        <f>Roster!AH124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Fr</v>
      </c>
      <c r="D25" s="22" t="str">
        <f t="shared" si="7"/>
        <v>Sa</v>
      </c>
      <c r="E25" s="22" t="str">
        <f t="shared" si="7"/>
        <v>Su</v>
      </c>
      <c r="F25" s="22" t="str">
        <f t="shared" si="7"/>
        <v>Mo</v>
      </c>
      <c r="G25" s="22" t="str">
        <f t="shared" si="7"/>
        <v>Tu</v>
      </c>
      <c r="H25" s="22" t="str">
        <f t="shared" si="7"/>
        <v>We</v>
      </c>
      <c r="I25" s="22" t="str">
        <f t="shared" si="7"/>
        <v>Th</v>
      </c>
      <c r="J25" s="22" t="str">
        <f t="shared" si="7"/>
        <v>Fr</v>
      </c>
      <c r="K25" s="22" t="str">
        <f t="shared" si="7"/>
        <v>Sa</v>
      </c>
      <c r="L25" s="22" t="str">
        <f t="shared" si="7"/>
        <v>Su</v>
      </c>
      <c r="M25" s="22" t="str">
        <f t="shared" si="7"/>
        <v>Mo</v>
      </c>
      <c r="N25" s="22" t="str">
        <f t="shared" si="7"/>
        <v>Tu</v>
      </c>
      <c r="O25" s="22" t="str">
        <f t="shared" si="7"/>
        <v>We</v>
      </c>
      <c r="P25" s="22" t="str">
        <f t="shared" si="7"/>
        <v>Th</v>
      </c>
      <c r="Q25" s="22" t="str">
        <f t="shared" si="7"/>
        <v>Fr</v>
      </c>
      <c r="R25" s="22" t="str">
        <f t="shared" si="7"/>
        <v>Sa</v>
      </c>
      <c r="S25" s="22" t="str">
        <f t="shared" si="7"/>
        <v>Su</v>
      </c>
      <c r="T25" s="22" t="str">
        <f t="shared" si="7"/>
        <v>Mo</v>
      </c>
      <c r="U25" s="22" t="str">
        <f t="shared" si="7"/>
        <v>Tu</v>
      </c>
      <c r="V25" s="22" t="str">
        <f t="shared" si="7"/>
        <v>We</v>
      </c>
      <c r="W25" s="22" t="str">
        <f t="shared" si="7"/>
        <v>Th</v>
      </c>
      <c r="X25" s="22" t="str">
        <f t="shared" si="7"/>
        <v>Fr</v>
      </c>
      <c r="Y25" s="22" t="str">
        <f t="shared" si="7"/>
        <v>Sa</v>
      </c>
      <c r="Z25" s="22" t="str">
        <f t="shared" si="7"/>
        <v>Su</v>
      </c>
      <c r="AA25" s="22" t="str">
        <f t="shared" si="7"/>
        <v>Mo</v>
      </c>
      <c r="AB25" s="22" t="str">
        <f t="shared" si="7"/>
        <v>Tu</v>
      </c>
      <c r="AC25" s="22" t="str">
        <f t="shared" si="7"/>
        <v>We</v>
      </c>
      <c r="AD25" s="22" t="str">
        <f t="shared" si="7"/>
        <v>Th</v>
      </c>
      <c r="AE25" s="131" t="str">
        <f t="shared" si="7"/>
        <v>29</v>
      </c>
      <c r="AF25" s="23"/>
      <c r="AG25" s="24"/>
    </row>
    <row r="26" spans="2:33" ht="14.4" thickTop="1" thickBot="1">
      <c r="B26" s="32" t="str">
        <f>Roster!$C$134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29">
        <v>29</v>
      </c>
      <c r="AF26" s="44"/>
    </row>
    <row r="27" spans="2:33" ht="14.4" thickTop="1" thickBot="1">
      <c r="B27" s="32" t="str">
        <f>CurYear</f>
        <v>2019</v>
      </c>
      <c r="C27" s="36" t="str">
        <f>Roster!D139</f>
        <v>.</v>
      </c>
      <c r="D27" s="37"/>
      <c r="E27" s="37" t="str">
        <f>Roster!F139</f>
        <v>.</v>
      </c>
      <c r="F27" s="37" t="str">
        <f>Roster!G139</f>
        <v>.</v>
      </c>
      <c r="G27" s="37" t="str">
        <f>Roster!H139</f>
        <v>.</v>
      </c>
      <c r="H27" s="37" t="str">
        <f>Roster!I139</f>
        <v>.</v>
      </c>
      <c r="I27" s="37" t="str">
        <f>Roster!J139</f>
        <v>.</v>
      </c>
      <c r="J27" s="37" t="str">
        <f>Roster!K139</f>
        <v>.</v>
      </c>
      <c r="K27" s="37" t="str">
        <f>Roster!L139</f>
        <v>.</v>
      </c>
      <c r="L27" s="37" t="str">
        <f>Roster!M139</f>
        <v>.</v>
      </c>
      <c r="M27" s="37" t="str">
        <f>Roster!N139</f>
        <v>.</v>
      </c>
      <c r="N27" s="37" t="str">
        <f>Roster!O139</f>
        <v>.</v>
      </c>
      <c r="O27" s="37" t="str">
        <f>Roster!P139</f>
        <v>.</v>
      </c>
      <c r="P27" s="37" t="str">
        <f>Roster!Q139</f>
        <v>.</v>
      </c>
      <c r="Q27" s="37" t="str">
        <f>Roster!R139</f>
        <v>.</v>
      </c>
      <c r="R27" s="37" t="str">
        <f>Roster!S139</f>
        <v>.</v>
      </c>
      <c r="S27" s="37" t="str">
        <f>Roster!T139</f>
        <v>.</v>
      </c>
      <c r="T27" s="37" t="str">
        <f>Roster!U139</f>
        <v>.</v>
      </c>
      <c r="U27" s="37" t="str">
        <f>Roster!V139</f>
        <v>.</v>
      </c>
      <c r="V27" s="37" t="str">
        <f>Roster!W139</f>
        <v>.</v>
      </c>
      <c r="W27" s="37" t="str">
        <f>Roster!X139</f>
        <v>.</v>
      </c>
      <c r="X27" s="37" t="str">
        <f>Roster!Y139</f>
        <v>.</v>
      </c>
      <c r="Y27" s="37" t="str">
        <f>Roster!Z139</f>
        <v>.</v>
      </c>
      <c r="Z27" s="37" t="str">
        <f>Roster!AA139</f>
        <v>.</v>
      </c>
      <c r="AA27" s="37" t="str">
        <f>Roster!AB139</f>
        <v>.</v>
      </c>
      <c r="AB27" s="37" t="str">
        <f>Roster!AC139</f>
        <v>.</v>
      </c>
      <c r="AC27" s="37" t="str">
        <f>Roster!AD139</f>
        <v>.</v>
      </c>
      <c r="AD27" s="43" t="str">
        <f>Roster!AE139</f>
        <v>.</v>
      </c>
      <c r="AE27" s="130">
        <f>Roster!AF139</f>
        <v>0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Fr</v>
      </c>
      <c r="D28" s="25" t="str">
        <f t="shared" si="8"/>
        <v>Sa</v>
      </c>
      <c r="E28" s="25" t="str">
        <f t="shared" si="8"/>
        <v>Su</v>
      </c>
      <c r="F28" s="25" t="str">
        <f t="shared" si="8"/>
        <v>Mo</v>
      </c>
      <c r="G28" s="25" t="str">
        <f t="shared" si="8"/>
        <v>Tu</v>
      </c>
      <c r="H28" s="25" t="str">
        <f t="shared" si="8"/>
        <v>We</v>
      </c>
      <c r="I28" s="25" t="str">
        <f t="shared" si="8"/>
        <v>Th</v>
      </c>
      <c r="J28" s="25" t="str">
        <f t="shared" si="8"/>
        <v>Fr</v>
      </c>
      <c r="K28" s="25" t="str">
        <f t="shared" si="8"/>
        <v>Sa</v>
      </c>
      <c r="L28" s="25" t="str">
        <f t="shared" si="8"/>
        <v>Su</v>
      </c>
      <c r="M28" s="25" t="str">
        <f t="shared" si="8"/>
        <v>Mo</v>
      </c>
      <c r="N28" s="25" t="str">
        <f t="shared" si="8"/>
        <v>Tu</v>
      </c>
      <c r="O28" s="25" t="str">
        <f t="shared" si="8"/>
        <v>We</v>
      </c>
      <c r="P28" s="25" t="str">
        <f t="shared" si="8"/>
        <v>Th</v>
      </c>
      <c r="Q28" s="25" t="str">
        <f t="shared" si="8"/>
        <v>Fr</v>
      </c>
      <c r="R28" s="25" t="str">
        <f t="shared" si="8"/>
        <v>Sa</v>
      </c>
      <c r="S28" s="25" t="str">
        <f t="shared" si="8"/>
        <v>Su</v>
      </c>
      <c r="T28" s="25" t="str">
        <f t="shared" si="8"/>
        <v>Mo</v>
      </c>
      <c r="U28" s="25" t="str">
        <f t="shared" si="8"/>
        <v>Tu</v>
      </c>
      <c r="V28" s="25" t="str">
        <f t="shared" si="8"/>
        <v>We</v>
      </c>
      <c r="W28" s="25" t="str">
        <f t="shared" si="8"/>
        <v>Th</v>
      </c>
      <c r="X28" s="25" t="str">
        <f t="shared" si="8"/>
        <v>Fr</v>
      </c>
      <c r="Y28" s="25" t="str">
        <f t="shared" si="8"/>
        <v>Sa</v>
      </c>
      <c r="Z28" s="25" t="str">
        <f t="shared" si="8"/>
        <v>Su</v>
      </c>
      <c r="AA28" s="25" t="str">
        <f t="shared" si="8"/>
        <v>Mo</v>
      </c>
      <c r="AB28" s="25" t="str">
        <f t="shared" si="8"/>
        <v>Tu</v>
      </c>
      <c r="AC28" s="25" t="str">
        <f t="shared" si="8"/>
        <v>We</v>
      </c>
      <c r="AD28" s="25" t="str">
        <f t="shared" si="8"/>
        <v>Th</v>
      </c>
      <c r="AE28" s="45" t="str">
        <f t="shared" si="8"/>
        <v>Fr</v>
      </c>
      <c r="AF28" s="47" t="str">
        <f t="shared" si="8"/>
        <v>Sa</v>
      </c>
      <c r="AG28" s="47" t="str">
        <f t="shared" si="8"/>
        <v>Su</v>
      </c>
    </row>
    <row r="29" spans="2:33" ht="14.4" thickTop="1" thickBot="1">
      <c r="B29" s="32" t="str">
        <f>Roster!$C$149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2019</v>
      </c>
      <c r="C30" s="36" t="str">
        <f>Roster!D154</f>
        <v>.</v>
      </c>
      <c r="D30" s="37" t="str">
        <f>Roster!E154</f>
        <v>.</v>
      </c>
      <c r="E30" s="37" t="str">
        <f>Roster!F154</f>
        <v>.</v>
      </c>
      <c r="F30" s="37" t="str">
        <f>Roster!G154</f>
        <v>.</v>
      </c>
      <c r="G30" s="37" t="str">
        <f>Roster!H154</f>
        <v>.</v>
      </c>
      <c r="H30" s="37" t="str">
        <f>Roster!I154</f>
        <v>.</v>
      </c>
      <c r="I30" s="37" t="str">
        <f>Roster!J154</f>
        <v>.</v>
      </c>
      <c r="J30" s="37" t="str">
        <f>Roster!K154</f>
        <v>.</v>
      </c>
      <c r="K30" s="37" t="str">
        <f>Roster!L154</f>
        <v>.</v>
      </c>
      <c r="L30" s="37" t="str">
        <f>Roster!M154</f>
        <v>.</v>
      </c>
      <c r="M30" s="37" t="str">
        <f>Roster!N154</f>
        <v>.</v>
      </c>
      <c r="N30" s="37" t="str">
        <f>Roster!O154</f>
        <v>.</v>
      </c>
      <c r="O30" s="37" t="str">
        <f>Roster!P154</f>
        <v>.</v>
      </c>
      <c r="P30" s="37" t="str">
        <f>Roster!Q154</f>
        <v>.</v>
      </c>
      <c r="Q30" s="37" t="str">
        <f>Roster!R154</f>
        <v>.</v>
      </c>
      <c r="R30" s="37" t="str">
        <f>Roster!S154</f>
        <v>.</v>
      </c>
      <c r="S30" s="37" t="str">
        <f>Roster!T154</f>
        <v>.</v>
      </c>
      <c r="T30" s="37" t="str">
        <f>Roster!U154</f>
        <v>.</v>
      </c>
      <c r="U30" s="37" t="str">
        <f>Roster!V154</f>
        <v>.</v>
      </c>
      <c r="V30" s="37" t="str">
        <f>Roster!W154</f>
        <v>.</v>
      </c>
      <c r="W30" s="37" t="str">
        <f>Roster!X154</f>
        <v>.</v>
      </c>
      <c r="X30" s="37" t="str">
        <f>Roster!Y154</f>
        <v>.</v>
      </c>
      <c r="Y30" s="37" t="str">
        <f>Roster!Z154</f>
        <v>.</v>
      </c>
      <c r="Z30" s="37" t="str">
        <f>Roster!AA154</f>
        <v>.</v>
      </c>
      <c r="AA30" s="37" t="str">
        <f>Roster!AB154</f>
        <v>.</v>
      </c>
      <c r="AB30" s="37" t="str">
        <f>Roster!AC154</f>
        <v>.</v>
      </c>
      <c r="AC30" s="37" t="str">
        <f>Roster!AD154</f>
        <v>.</v>
      </c>
      <c r="AD30" s="37" t="str">
        <f>Roster!AE154</f>
        <v>.</v>
      </c>
      <c r="AE30" s="37" t="str">
        <f>Roster!AF154</f>
        <v>.</v>
      </c>
      <c r="AF30" s="37" t="str">
        <f>Roster!AG154</f>
        <v>.</v>
      </c>
      <c r="AG30" s="38" t="str">
        <f>Roster!AH154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Mo</v>
      </c>
      <c r="D31" s="25" t="str">
        <f t="shared" si="9"/>
        <v>Tu</v>
      </c>
      <c r="E31" s="25" t="str">
        <f t="shared" si="9"/>
        <v>We</v>
      </c>
      <c r="F31" s="25" t="str">
        <f t="shared" si="9"/>
        <v>Th</v>
      </c>
      <c r="G31" s="25" t="str">
        <f t="shared" si="9"/>
        <v>Fr</v>
      </c>
      <c r="H31" s="25" t="str">
        <f t="shared" si="9"/>
        <v>Sa</v>
      </c>
      <c r="I31" s="25" t="str">
        <f t="shared" si="9"/>
        <v>Su</v>
      </c>
      <c r="J31" s="25" t="str">
        <f t="shared" si="9"/>
        <v>Mo</v>
      </c>
      <c r="K31" s="25" t="str">
        <f t="shared" si="9"/>
        <v>Tu</v>
      </c>
      <c r="L31" s="25" t="str">
        <f t="shared" si="9"/>
        <v>We</v>
      </c>
      <c r="M31" s="25" t="str">
        <f t="shared" si="9"/>
        <v>Th</v>
      </c>
      <c r="N31" s="25" t="str">
        <f t="shared" si="9"/>
        <v>Fr</v>
      </c>
      <c r="O31" s="25" t="str">
        <f t="shared" si="9"/>
        <v>Sa</v>
      </c>
      <c r="P31" s="25" t="str">
        <f t="shared" si="9"/>
        <v>Su</v>
      </c>
      <c r="Q31" s="25" t="str">
        <f t="shared" si="9"/>
        <v>Mo</v>
      </c>
      <c r="R31" s="25" t="str">
        <f t="shared" si="9"/>
        <v>Tu</v>
      </c>
      <c r="S31" s="25" t="str">
        <f t="shared" si="9"/>
        <v>We</v>
      </c>
      <c r="T31" s="25" t="str">
        <f t="shared" si="9"/>
        <v>Th</v>
      </c>
      <c r="U31" s="25" t="str">
        <f t="shared" si="9"/>
        <v>Fr</v>
      </c>
      <c r="V31" s="25" t="str">
        <f t="shared" si="9"/>
        <v>Sa</v>
      </c>
      <c r="W31" s="25" t="str">
        <f t="shared" si="9"/>
        <v>Su</v>
      </c>
      <c r="X31" s="25" t="str">
        <f t="shared" si="9"/>
        <v>Mo</v>
      </c>
      <c r="Y31" s="25" t="str">
        <f t="shared" si="9"/>
        <v>Tu</v>
      </c>
      <c r="Z31" s="25" t="str">
        <f t="shared" si="9"/>
        <v>We</v>
      </c>
      <c r="AA31" s="25" t="str">
        <f t="shared" si="9"/>
        <v>Th</v>
      </c>
      <c r="AB31" s="25" t="str">
        <f t="shared" si="9"/>
        <v>Fr</v>
      </c>
      <c r="AC31" s="25" t="str">
        <f t="shared" si="9"/>
        <v>Sa</v>
      </c>
      <c r="AD31" s="25" t="str">
        <f t="shared" si="9"/>
        <v>Su</v>
      </c>
      <c r="AE31" s="25" t="str">
        <f t="shared" si="9"/>
        <v>Mo</v>
      </c>
      <c r="AF31" s="25" t="str">
        <f t="shared" si="9"/>
        <v>Tu</v>
      </c>
      <c r="AG31" s="27"/>
    </row>
    <row r="32" spans="2:33" ht="14.4" thickTop="1" thickBot="1">
      <c r="B32" s="32" t="str">
        <f>Roster!$C$164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2019</v>
      </c>
      <c r="C33" s="36" t="str">
        <f>Roster!D169</f>
        <v>.</v>
      </c>
      <c r="D33" s="37" t="str">
        <f>Roster!E169</f>
        <v>.</v>
      </c>
      <c r="E33" s="37" t="str">
        <f>Roster!F169</f>
        <v>.</v>
      </c>
      <c r="F33" s="37" t="str">
        <f>Roster!G169</f>
        <v>.</v>
      </c>
      <c r="G33" s="37" t="str">
        <f>Roster!H169</f>
        <v>.</v>
      </c>
      <c r="H33" s="37" t="str">
        <f>Roster!I169</f>
        <v>.</v>
      </c>
      <c r="I33" s="37" t="str">
        <f>Roster!J169</f>
        <v>.</v>
      </c>
      <c r="J33" s="37" t="str">
        <f>Roster!K169</f>
        <v>.</v>
      </c>
      <c r="K33" s="37" t="str">
        <f>Roster!L169</f>
        <v>.</v>
      </c>
      <c r="L33" s="37" t="str">
        <f>Roster!M169</f>
        <v>.</v>
      </c>
      <c r="M33" s="37" t="str">
        <f>Roster!N169</f>
        <v>.</v>
      </c>
      <c r="N33" s="37" t="str">
        <f>Roster!O169</f>
        <v>.</v>
      </c>
      <c r="O33" s="37" t="str">
        <f>Roster!P169</f>
        <v>.</v>
      </c>
      <c r="P33" s="37" t="str">
        <f>Roster!Q169</f>
        <v>.</v>
      </c>
      <c r="Q33" s="37" t="str">
        <f>Roster!R169</f>
        <v>.</v>
      </c>
      <c r="R33" s="37" t="str">
        <f>Roster!S169</f>
        <v>.</v>
      </c>
      <c r="S33" s="37" t="str">
        <f>Roster!T169</f>
        <v>.</v>
      </c>
      <c r="T33" s="37" t="str">
        <f>Roster!U169</f>
        <v>.</v>
      </c>
      <c r="U33" s="37" t="str">
        <f>Roster!V169</f>
        <v>.</v>
      </c>
      <c r="V33" s="37" t="str">
        <f>Roster!W169</f>
        <v>.</v>
      </c>
      <c r="W33" s="37" t="str">
        <f>Roster!X169</f>
        <v>.</v>
      </c>
      <c r="X33" s="37" t="str">
        <f>Roster!Y169</f>
        <v>.</v>
      </c>
      <c r="Y33" s="37" t="str">
        <f>Roster!Z169</f>
        <v>.</v>
      </c>
      <c r="Z33" s="37" t="str">
        <f>Roster!AA169</f>
        <v>.</v>
      </c>
      <c r="AA33" s="37" t="str">
        <f>Roster!AB169</f>
        <v>.</v>
      </c>
      <c r="AB33" s="37" t="str">
        <f>Roster!AC169</f>
        <v>.</v>
      </c>
      <c r="AC33" s="37" t="str">
        <f>Roster!AD169</f>
        <v>.</v>
      </c>
      <c r="AD33" s="37" t="str">
        <f>Roster!AE169</f>
        <v>.</v>
      </c>
      <c r="AE33" s="37" t="str">
        <f>Roster!AF169</f>
        <v>.</v>
      </c>
      <c r="AF33" s="38" t="str">
        <f>Roster!AG169</f>
        <v>.</v>
      </c>
    </row>
    <row r="34" spans="2:33" ht="14.4" thickTop="1" thickBot="1">
      <c r="C34" s="21" t="str">
        <f t="shared" ref="C34:AG34" si="10">LEFT(TEXT(C35&amp;"-"&amp;$B35&amp;"-"&amp;CurYear,"ddd"),2)</f>
        <v>We</v>
      </c>
      <c r="D34" s="21" t="str">
        <f t="shared" si="10"/>
        <v>Th</v>
      </c>
      <c r="E34" s="21" t="str">
        <f t="shared" si="10"/>
        <v>Fr</v>
      </c>
      <c r="F34" s="21" t="str">
        <f t="shared" si="10"/>
        <v>Sa</v>
      </c>
      <c r="G34" s="21" t="str">
        <f t="shared" si="10"/>
        <v>Su</v>
      </c>
      <c r="H34" s="21" t="str">
        <f t="shared" si="10"/>
        <v>Mo</v>
      </c>
      <c r="I34" s="21" t="str">
        <f t="shared" si="10"/>
        <v>Tu</v>
      </c>
      <c r="J34" s="21" t="str">
        <f t="shared" si="10"/>
        <v>We</v>
      </c>
      <c r="K34" s="21" t="str">
        <f t="shared" si="10"/>
        <v>Th</v>
      </c>
      <c r="L34" s="21" t="str">
        <f t="shared" si="10"/>
        <v>Fr</v>
      </c>
      <c r="M34" s="21" t="str">
        <f t="shared" si="10"/>
        <v>Sa</v>
      </c>
      <c r="N34" s="21" t="str">
        <f t="shared" si="10"/>
        <v>Su</v>
      </c>
      <c r="O34" s="21" t="str">
        <f t="shared" si="10"/>
        <v>Mo</v>
      </c>
      <c r="P34" s="21" t="str">
        <f t="shared" si="10"/>
        <v>Tu</v>
      </c>
      <c r="Q34" s="21" t="str">
        <f t="shared" si="10"/>
        <v>We</v>
      </c>
      <c r="R34" s="21" t="str">
        <f t="shared" si="10"/>
        <v>Th</v>
      </c>
      <c r="S34" s="21" t="str">
        <f t="shared" si="10"/>
        <v>Fr</v>
      </c>
      <c r="T34" s="21" t="str">
        <f t="shared" si="10"/>
        <v>Sa</v>
      </c>
      <c r="U34" s="21" t="str">
        <f t="shared" si="10"/>
        <v>Su</v>
      </c>
      <c r="V34" s="21" t="str">
        <f t="shared" si="10"/>
        <v>Mo</v>
      </c>
      <c r="W34" s="21" t="str">
        <f t="shared" si="10"/>
        <v>Tu</v>
      </c>
      <c r="X34" s="21" t="str">
        <f t="shared" si="10"/>
        <v>We</v>
      </c>
      <c r="Y34" s="21" t="str">
        <f t="shared" si="10"/>
        <v>Th</v>
      </c>
      <c r="Z34" s="21" t="str">
        <f t="shared" si="10"/>
        <v>Fr</v>
      </c>
      <c r="AA34" s="21" t="str">
        <f t="shared" si="10"/>
        <v>Sa</v>
      </c>
      <c r="AB34" s="21" t="str">
        <f t="shared" si="10"/>
        <v>Su</v>
      </c>
      <c r="AC34" s="21" t="str">
        <f t="shared" si="10"/>
        <v>Mo</v>
      </c>
      <c r="AD34" s="21" t="str">
        <f t="shared" si="10"/>
        <v>Tu</v>
      </c>
      <c r="AE34" s="21" t="str">
        <f t="shared" si="10"/>
        <v>We</v>
      </c>
      <c r="AF34" s="21" t="str">
        <f t="shared" si="10"/>
        <v>Th</v>
      </c>
      <c r="AG34" s="46" t="str">
        <f t="shared" si="10"/>
        <v>Fr</v>
      </c>
    </row>
    <row r="35" spans="2:33" ht="14.4" thickTop="1" thickBot="1">
      <c r="B35" s="32" t="str">
        <f>Roster!$C$179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2019</v>
      </c>
      <c r="C36" s="36" t="str">
        <f>Roster!D184</f>
        <v>.</v>
      </c>
      <c r="D36" s="37" t="str">
        <f>Roster!E184</f>
        <v>.</v>
      </c>
      <c r="E36" s="37" t="str">
        <f>Roster!F184</f>
        <v>.</v>
      </c>
      <c r="F36" s="37" t="str">
        <f>Roster!G184</f>
        <v>.</v>
      </c>
      <c r="G36" s="37" t="str">
        <f>Roster!H184</f>
        <v>.</v>
      </c>
      <c r="H36" s="37" t="str">
        <f>Roster!I184</f>
        <v>.</v>
      </c>
      <c r="I36" s="37" t="str">
        <f>Roster!J184</f>
        <v>.</v>
      </c>
      <c r="J36" s="37" t="str">
        <f>Roster!K184</f>
        <v>.</v>
      </c>
      <c r="K36" s="37" t="str">
        <f>Roster!L184</f>
        <v>.</v>
      </c>
      <c r="L36" s="37" t="str">
        <f>Roster!M184</f>
        <v>.</v>
      </c>
      <c r="M36" s="37" t="str">
        <f>Roster!N184</f>
        <v>.</v>
      </c>
      <c r="N36" s="37" t="str">
        <f>Roster!O184</f>
        <v>.</v>
      </c>
      <c r="O36" s="37" t="str">
        <f>Roster!P184</f>
        <v>.</v>
      </c>
      <c r="P36" s="37" t="str">
        <f>Roster!Q184</f>
        <v>.</v>
      </c>
      <c r="Q36" s="37" t="str">
        <f>Roster!R184</f>
        <v>.</v>
      </c>
      <c r="R36" s="37" t="str">
        <f>Roster!S184</f>
        <v>.</v>
      </c>
      <c r="S36" s="37" t="str">
        <f>Roster!T184</f>
        <v>.</v>
      </c>
      <c r="T36" s="37" t="str">
        <f>Roster!U184</f>
        <v>.</v>
      </c>
      <c r="U36" s="37" t="str">
        <f>Roster!V184</f>
        <v>.</v>
      </c>
      <c r="V36" s="37" t="str">
        <f>Roster!W184</f>
        <v>.</v>
      </c>
      <c r="W36" s="37" t="str">
        <f>Roster!X184</f>
        <v>.</v>
      </c>
      <c r="X36" s="37" t="str">
        <f>Roster!Y184</f>
        <v>.</v>
      </c>
      <c r="Y36" s="37" t="str">
        <f>Roster!Z184</f>
        <v>.</v>
      </c>
      <c r="Z36" s="37" t="str">
        <f>Roster!AA184</f>
        <v>.</v>
      </c>
      <c r="AA36" s="37" t="str">
        <f>Roster!AB184</f>
        <v>.</v>
      </c>
      <c r="AB36" s="37" t="str">
        <f>Roster!AC184</f>
        <v>.</v>
      </c>
      <c r="AC36" s="37" t="str">
        <f>Roster!AD184</f>
        <v>.</v>
      </c>
      <c r="AD36" s="37" t="str">
        <f>Roster!AE184</f>
        <v>.</v>
      </c>
      <c r="AE36" s="37" t="str">
        <f>Roster!AF184</f>
        <v>.</v>
      </c>
      <c r="AF36" s="37" t="str">
        <f>Roster!AG184</f>
        <v>.</v>
      </c>
      <c r="AG36" s="38" t="str">
        <f>Roster!AH184</f>
        <v>.</v>
      </c>
    </row>
    <row r="37" spans="2:33" ht="14.4" thickTop="1" thickBot="1">
      <c r="C37" s="21" t="str">
        <f t="shared" ref="C37:AF37" si="11">LEFT(TEXT(C38&amp;"-"&amp;$B38&amp;"-"&amp;CurYear,"ddd"),2)</f>
        <v>Sa</v>
      </c>
      <c r="D37" s="21" t="str">
        <f t="shared" si="11"/>
        <v>Su</v>
      </c>
      <c r="E37" s="21" t="str">
        <f t="shared" si="11"/>
        <v>Mo</v>
      </c>
      <c r="F37" s="21" t="str">
        <f t="shared" si="11"/>
        <v>Tu</v>
      </c>
      <c r="G37" s="21" t="str">
        <f t="shared" si="11"/>
        <v>We</v>
      </c>
      <c r="H37" s="21" t="str">
        <f t="shared" si="11"/>
        <v>Th</v>
      </c>
      <c r="I37" s="21" t="str">
        <f t="shared" si="11"/>
        <v>Fr</v>
      </c>
      <c r="J37" s="21" t="str">
        <f t="shared" si="11"/>
        <v>Sa</v>
      </c>
      <c r="K37" s="21" t="str">
        <f t="shared" si="11"/>
        <v>Su</v>
      </c>
      <c r="L37" s="21" t="str">
        <f t="shared" si="11"/>
        <v>Mo</v>
      </c>
      <c r="M37" s="21" t="str">
        <f t="shared" si="11"/>
        <v>Tu</v>
      </c>
      <c r="N37" s="21" t="str">
        <f t="shared" si="11"/>
        <v>We</v>
      </c>
      <c r="O37" s="21" t="str">
        <f t="shared" si="11"/>
        <v>Th</v>
      </c>
      <c r="P37" s="21" t="str">
        <f t="shared" si="11"/>
        <v>Fr</v>
      </c>
      <c r="Q37" s="21" t="str">
        <f t="shared" si="11"/>
        <v>Sa</v>
      </c>
      <c r="R37" s="21" t="str">
        <f t="shared" si="11"/>
        <v>Su</v>
      </c>
      <c r="S37" s="21" t="str">
        <f t="shared" si="11"/>
        <v>Mo</v>
      </c>
      <c r="T37" s="21" t="str">
        <f t="shared" si="11"/>
        <v>Tu</v>
      </c>
      <c r="U37" s="21" t="str">
        <f t="shared" si="11"/>
        <v>We</v>
      </c>
      <c r="V37" s="21" t="str">
        <f t="shared" si="11"/>
        <v>Th</v>
      </c>
      <c r="W37" s="21" t="str">
        <f t="shared" si="11"/>
        <v>Fr</v>
      </c>
      <c r="X37" s="21" t="str">
        <f t="shared" si="11"/>
        <v>Sa</v>
      </c>
      <c r="Y37" s="21" t="str">
        <f t="shared" si="11"/>
        <v>Su</v>
      </c>
      <c r="Z37" s="21" t="str">
        <f t="shared" si="11"/>
        <v>Mo</v>
      </c>
      <c r="AA37" s="21" t="str">
        <f t="shared" si="11"/>
        <v>Tu</v>
      </c>
      <c r="AB37" s="21" t="str">
        <f t="shared" si="11"/>
        <v>We</v>
      </c>
      <c r="AC37" s="21" t="str">
        <f t="shared" si="11"/>
        <v>Th</v>
      </c>
      <c r="AD37" s="21" t="str">
        <f t="shared" si="11"/>
        <v>Fr</v>
      </c>
      <c r="AE37" s="21" t="str">
        <f t="shared" si="11"/>
        <v>Sa</v>
      </c>
      <c r="AF37" s="21" t="str">
        <f t="shared" si="11"/>
        <v>Su</v>
      </c>
      <c r="AG37" s="17"/>
    </row>
    <row r="38" spans="2:33" ht="14.4" thickTop="1" thickBot="1">
      <c r="B38" s="32" t="str">
        <f>Roster!C194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2019</v>
      </c>
      <c r="C39" s="36" t="str">
        <f>Roster!D199</f>
        <v>.</v>
      </c>
      <c r="D39" s="37" t="str">
        <f>Roster!E199</f>
        <v>.</v>
      </c>
      <c r="E39" s="37" t="str">
        <f>Roster!F199</f>
        <v>.</v>
      </c>
      <c r="F39" s="37" t="str">
        <f>Roster!G199</f>
        <v>.</v>
      </c>
      <c r="G39" s="37" t="str">
        <f>Roster!H199</f>
        <v>.</v>
      </c>
      <c r="H39" s="37" t="str">
        <f>Roster!I199</f>
        <v>.</v>
      </c>
      <c r="I39" s="37" t="str">
        <f>Roster!J199</f>
        <v>.</v>
      </c>
      <c r="J39" s="37" t="str">
        <f>Roster!K199</f>
        <v>.</v>
      </c>
      <c r="K39" s="37" t="str">
        <f>Roster!L199</f>
        <v>.</v>
      </c>
      <c r="L39" s="37" t="str">
        <f>Roster!M199</f>
        <v>.</v>
      </c>
      <c r="M39" s="37" t="str">
        <f>Roster!N199</f>
        <v>.</v>
      </c>
      <c r="N39" s="37" t="str">
        <f>Roster!O199</f>
        <v>.</v>
      </c>
      <c r="O39" s="37" t="str">
        <f>Roster!P199</f>
        <v>.</v>
      </c>
      <c r="P39" s="37" t="str">
        <f>Roster!Q199</f>
        <v>.</v>
      </c>
      <c r="Q39" s="37" t="str">
        <f>Roster!R199</f>
        <v>.</v>
      </c>
      <c r="R39" s="37" t="str">
        <f>Roster!S199</f>
        <v>.</v>
      </c>
      <c r="S39" s="37" t="str">
        <f>Roster!T199</f>
        <v>.</v>
      </c>
      <c r="T39" s="37" t="str">
        <f>Roster!U199</f>
        <v>.</v>
      </c>
      <c r="U39" s="37" t="str">
        <f>Roster!V199</f>
        <v>.</v>
      </c>
      <c r="V39" s="37" t="str">
        <f>Roster!W199</f>
        <v>.</v>
      </c>
      <c r="W39" s="37" t="str">
        <f>Roster!X199</f>
        <v>.</v>
      </c>
      <c r="X39" s="37" t="str">
        <f>Roster!Y199</f>
        <v>.</v>
      </c>
      <c r="Y39" s="37" t="str">
        <f>Roster!Z199</f>
        <v>.</v>
      </c>
      <c r="Z39" s="37" t="str">
        <f>Roster!AA199</f>
        <v>.</v>
      </c>
      <c r="AA39" s="37" t="str">
        <f>Roster!AB199</f>
        <v>.</v>
      </c>
      <c r="AB39" s="37" t="str">
        <f>Roster!AC199</f>
        <v>.</v>
      </c>
      <c r="AC39" s="37" t="str">
        <f>Roster!AD199</f>
        <v>.</v>
      </c>
      <c r="AD39" s="37" t="str">
        <f>Roster!AE199</f>
        <v>.</v>
      </c>
      <c r="AE39" s="37" t="str">
        <f>Roster!AF199</f>
        <v>.</v>
      </c>
      <c r="AF39" s="38" t="str">
        <f>Roster!AG199</f>
        <v>.</v>
      </c>
    </row>
    <row r="40" spans="2:33" ht="13.8" thickTop="1"/>
  </sheetData>
  <sheetProtection sheet="1" objects="1" scenarios="1" selectLockedCells="1"/>
  <customSheetViews>
    <customSheetView guid="{9CC23DA7-DD7F-416D-ABE1-6A68EF4528AC}" scale="91" showGridLines="0" showRowCol="0" zeroValues="0" showRuler="0" topLeftCell="B2">
      <selection activeCell="B2" sqref="B2:AG39"/>
    </customSheetView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6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8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8" t="str">
        <f xml:space="preserve"> "Financial Year Commencing 1st July, " &amp; CurYear -1</f>
        <v>Financial Year Commencing 1st July, 2018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39" t="s">
        <v>25</v>
      </c>
      <c r="R3" s="139" t="str">
        <f>EmpGName06 &amp;" " &amp; EmpSName06</f>
        <v>Robin Fielding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8" thickBot="1">
      <c r="C4" s="28" t="str">
        <f t="shared" ref="C4:AG4" si="0">LEFT(TEXT(C5&amp;"-"&amp;$B5&amp;"-"&amp;CurYear-1,"ddd"),2)</f>
        <v>Su</v>
      </c>
      <c r="D4" s="28" t="str">
        <f t="shared" si="0"/>
        <v>Mo</v>
      </c>
      <c r="E4" s="28" t="str">
        <f t="shared" si="0"/>
        <v>Tu</v>
      </c>
      <c r="F4" s="28" t="str">
        <f t="shared" si="0"/>
        <v>We</v>
      </c>
      <c r="G4" s="28" t="str">
        <f t="shared" si="0"/>
        <v>Th</v>
      </c>
      <c r="H4" s="28" t="str">
        <f t="shared" si="0"/>
        <v>Fr</v>
      </c>
      <c r="I4" s="28" t="str">
        <f t="shared" si="0"/>
        <v>Sa</v>
      </c>
      <c r="J4" s="28" t="str">
        <f t="shared" si="0"/>
        <v>Su</v>
      </c>
      <c r="K4" s="28" t="str">
        <f t="shared" si="0"/>
        <v>Mo</v>
      </c>
      <c r="L4" s="28" t="str">
        <f t="shared" si="0"/>
        <v>Tu</v>
      </c>
      <c r="M4" s="28" t="str">
        <f t="shared" si="0"/>
        <v>We</v>
      </c>
      <c r="N4" s="28" t="str">
        <f t="shared" si="0"/>
        <v>Th</v>
      </c>
      <c r="O4" s="28" t="str">
        <f t="shared" si="0"/>
        <v>Fr</v>
      </c>
      <c r="P4" s="28" t="str">
        <f t="shared" si="0"/>
        <v>Sa</v>
      </c>
      <c r="Q4" s="28" t="str">
        <f t="shared" si="0"/>
        <v>Su</v>
      </c>
      <c r="R4" s="28" t="str">
        <f t="shared" si="0"/>
        <v>Mo</v>
      </c>
      <c r="S4" s="28" t="str">
        <f t="shared" si="0"/>
        <v>Tu</v>
      </c>
      <c r="T4" s="28" t="str">
        <f t="shared" si="0"/>
        <v>We</v>
      </c>
      <c r="U4" s="28" t="str">
        <f t="shared" si="0"/>
        <v>Th</v>
      </c>
      <c r="V4" s="28" t="str">
        <f t="shared" si="0"/>
        <v>Fr</v>
      </c>
      <c r="W4" s="28" t="str">
        <f t="shared" si="0"/>
        <v>Sa</v>
      </c>
      <c r="X4" s="28" t="str">
        <f t="shared" si="0"/>
        <v>Su</v>
      </c>
      <c r="Y4" s="28" t="str">
        <f t="shared" si="0"/>
        <v>Mo</v>
      </c>
      <c r="Z4" s="28" t="str">
        <f t="shared" si="0"/>
        <v>Tu</v>
      </c>
      <c r="AA4" s="28" t="str">
        <f t="shared" si="0"/>
        <v>We</v>
      </c>
      <c r="AB4" s="28" t="str">
        <f t="shared" si="0"/>
        <v>Th</v>
      </c>
      <c r="AC4" s="28" t="str">
        <f t="shared" si="0"/>
        <v>Fr</v>
      </c>
      <c r="AD4" s="28" t="str">
        <f t="shared" si="0"/>
        <v>Sa</v>
      </c>
      <c r="AE4" s="28" t="str">
        <f t="shared" si="0"/>
        <v>Su</v>
      </c>
      <c r="AF4" s="28" t="str">
        <f t="shared" si="0"/>
        <v>Mo</v>
      </c>
      <c r="AG4" s="46" t="str">
        <f t="shared" si="0"/>
        <v>Tu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2018</v>
      </c>
      <c r="C6" s="36" t="str">
        <f>Roster!D19</f>
        <v>.</v>
      </c>
      <c r="D6" s="37" t="str">
        <f>Roster!E19</f>
        <v>.</v>
      </c>
      <c r="E6" s="37" t="str">
        <f>Roster!F19</f>
        <v>.</v>
      </c>
      <c r="F6" s="37" t="str">
        <f>Roster!G19</f>
        <v>.</v>
      </c>
      <c r="G6" s="37" t="str">
        <f>Roster!H19</f>
        <v>.</v>
      </c>
      <c r="H6" s="37" t="str">
        <f>Roster!I19</f>
        <v>.</v>
      </c>
      <c r="I6" s="37" t="str">
        <f>Roster!J19</f>
        <v>.</v>
      </c>
      <c r="J6" s="37" t="str">
        <f>Roster!K19</f>
        <v>.</v>
      </c>
      <c r="K6" s="37" t="str">
        <f>Roster!L19</f>
        <v>.</v>
      </c>
      <c r="L6" s="37" t="str">
        <f>Roster!M19</f>
        <v>.</v>
      </c>
      <c r="M6" s="37" t="str">
        <f>Roster!N19</f>
        <v>.</v>
      </c>
      <c r="N6" s="37" t="str">
        <f>Roster!O19</f>
        <v>.</v>
      </c>
      <c r="O6" s="37" t="str">
        <f>Roster!P19</f>
        <v>.</v>
      </c>
      <c r="P6" s="37" t="str">
        <f>Roster!Q19</f>
        <v>.</v>
      </c>
      <c r="Q6" s="37" t="str">
        <f>Roster!R19</f>
        <v>.</v>
      </c>
      <c r="R6" s="37" t="str">
        <f>Roster!S19</f>
        <v>.</v>
      </c>
      <c r="S6" s="37" t="str">
        <f>Roster!T19</f>
        <v>.</v>
      </c>
      <c r="T6" s="37" t="str">
        <f>Roster!U19</f>
        <v>.</v>
      </c>
      <c r="U6" s="37" t="str">
        <f>Roster!V19</f>
        <v>.</v>
      </c>
      <c r="V6" s="37" t="str">
        <f>Roster!W19</f>
        <v>.</v>
      </c>
      <c r="W6" s="37" t="str">
        <f>Roster!X19</f>
        <v>.</v>
      </c>
      <c r="X6" s="37" t="str">
        <f>Roster!Y19</f>
        <v>.</v>
      </c>
      <c r="Y6" s="37" t="str">
        <f>Roster!Z19</f>
        <v>.</v>
      </c>
      <c r="Z6" s="37" t="str">
        <f>Roster!AA19</f>
        <v>.</v>
      </c>
      <c r="AA6" s="37" t="str">
        <f>Roster!AB19</f>
        <v>.</v>
      </c>
      <c r="AB6" s="37" t="str">
        <f>Roster!AC19</f>
        <v>.</v>
      </c>
      <c r="AC6" s="37" t="str">
        <f>Roster!AD19</f>
        <v>.</v>
      </c>
      <c r="AD6" s="37" t="str">
        <f>Roster!AE19</f>
        <v>.</v>
      </c>
      <c r="AE6" s="37" t="str">
        <f>Roster!AF19</f>
        <v>.</v>
      </c>
      <c r="AF6" s="37" t="str">
        <f>Roster!AG19</f>
        <v>.</v>
      </c>
      <c r="AG6" s="38" t="str">
        <f>Roster!AH19</f>
        <v>.</v>
      </c>
    </row>
    <row r="7" spans="2:33" ht="14.4" thickTop="1" thickBot="1">
      <c r="C7" s="21" t="str">
        <f t="shared" ref="C7:AG7" si="1">LEFT(TEXT(C8&amp;"-"&amp;$B8&amp;"-"&amp;CurYear-1,"ddd"),2)</f>
        <v>We</v>
      </c>
      <c r="D7" s="21" t="str">
        <f t="shared" si="1"/>
        <v>Th</v>
      </c>
      <c r="E7" s="21" t="str">
        <f t="shared" si="1"/>
        <v>Fr</v>
      </c>
      <c r="F7" s="21" t="str">
        <f t="shared" si="1"/>
        <v>Sa</v>
      </c>
      <c r="G7" s="21" t="str">
        <f t="shared" si="1"/>
        <v>Su</v>
      </c>
      <c r="H7" s="21" t="str">
        <f t="shared" si="1"/>
        <v>Mo</v>
      </c>
      <c r="I7" s="21" t="str">
        <f t="shared" si="1"/>
        <v>Tu</v>
      </c>
      <c r="J7" s="21" t="str">
        <f t="shared" si="1"/>
        <v>We</v>
      </c>
      <c r="K7" s="21" t="str">
        <f t="shared" si="1"/>
        <v>Th</v>
      </c>
      <c r="L7" s="21" t="str">
        <f t="shared" si="1"/>
        <v>Fr</v>
      </c>
      <c r="M7" s="21" t="str">
        <f t="shared" si="1"/>
        <v>Sa</v>
      </c>
      <c r="N7" s="21" t="str">
        <f t="shared" si="1"/>
        <v>Su</v>
      </c>
      <c r="O7" s="21" t="str">
        <f t="shared" si="1"/>
        <v>Mo</v>
      </c>
      <c r="P7" s="21" t="str">
        <f t="shared" si="1"/>
        <v>Tu</v>
      </c>
      <c r="Q7" s="21" t="str">
        <f t="shared" si="1"/>
        <v>We</v>
      </c>
      <c r="R7" s="21" t="str">
        <f t="shared" si="1"/>
        <v>Th</v>
      </c>
      <c r="S7" s="21" t="str">
        <f t="shared" si="1"/>
        <v>Fr</v>
      </c>
      <c r="T7" s="21" t="str">
        <f t="shared" si="1"/>
        <v>Sa</v>
      </c>
      <c r="U7" s="21" t="str">
        <f t="shared" si="1"/>
        <v>Su</v>
      </c>
      <c r="V7" s="21" t="str">
        <f t="shared" si="1"/>
        <v>Mo</v>
      </c>
      <c r="W7" s="21" t="str">
        <f t="shared" si="1"/>
        <v>Tu</v>
      </c>
      <c r="X7" s="21" t="str">
        <f t="shared" si="1"/>
        <v>We</v>
      </c>
      <c r="Y7" s="21" t="str">
        <f t="shared" si="1"/>
        <v>Th</v>
      </c>
      <c r="Z7" s="21" t="str">
        <f t="shared" si="1"/>
        <v>Fr</v>
      </c>
      <c r="AA7" s="21" t="str">
        <f t="shared" si="1"/>
        <v>Sa</v>
      </c>
      <c r="AB7" s="21" t="str">
        <f t="shared" si="1"/>
        <v>Su</v>
      </c>
      <c r="AC7" s="21" t="str">
        <f t="shared" si="1"/>
        <v>Mo</v>
      </c>
      <c r="AD7" s="21" t="str">
        <f t="shared" si="1"/>
        <v>Tu</v>
      </c>
      <c r="AE7" s="21" t="str">
        <f t="shared" si="1"/>
        <v>We</v>
      </c>
      <c r="AF7" s="21" t="str">
        <f t="shared" si="1"/>
        <v>Th</v>
      </c>
      <c r="AG7" s="21" t="str">
        <f t="shared" si="1"/>
        <v>Fr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2018</v>
      </c>
      <c r="C9" s="36" t="str">
        <f>Roster!D50</f>
        <v>.</v>
      </c>
      <c r="D9" s="39" t="str">
        <f>Roster!E50</f>
        <v>.</v>
      </c>
      <c r="E9" s="37" t="str">
        <f>Roster!F50</f>
        <v>.</v>
      </c>
      <c r="F9" s="37" t="str">
        <f>Roster!G50</f>
        <v>.</v>
      </c>
      <c r="G9" s="37" t="str">
        <f>Roster!H50</f>
        <v>.</v>
      </c>
      <c r="H9" s="37" t="str">
        <f>Roster!I50</f>
        <v>.</v>
      </c>
      <c r="I9" s="37" t="str">
        <f>Roster!J50</f>
        <v>.</v>
      </c>
      <c r="J9" s="37" t="str">
        <f>Roster!K50</f>
        <v>.</v>
      </c>
      <c r="K9" s="37" t="str">
        <f>Roster!L50</f>
        <v>.</v>
      </c>
      <c r="L9" s="37" t="str">
        <f>Roster!M50</f>
        <v>.</v>
      </c>
      <c r="M9" s="37" t="str">
        <f>Roster!N50</f>
        <v>.</v>
      </c>
      <c r="N9" s="37" t="str">
        <f>Roster!O50</f>
        <v>.</v>
      </c>
      <c r="O9" s="37" t="str">
        <f>Roster!P50</f>
        <v>.</v>
      </c>
      <c r="P9" s="37" t="str">
        <f>Roster!Q50</f>
        <v>.</v>
      </c>
      <c r="Q9" s="37" t="str">
        <f>Roster!R50</f>
        <v>.</v>
      </c>
      <c r="R9" s="37" t="str">
        <f>Roster!S50</f>
        <v>.</v>
      </c>
      <c r="S9" s="37" t="str">
        <f>Roster!T50</f>
        <v>.</v>
      </c>
      <c r="T9" s="37" t="str">
        <f>Roster!U50</f>
        <v>.</v>
      </c>
      <c r="U9" s="37" t="str">
        <f>Roster!V50</f>
        <v>.</v>
      </c>
      <c r="V9" s="37" t="str">
        <f>Roster!W50</f>
        <v>.</v>
      </c>
      <c r="W9" s="37" t="str">
        <f>Roster!X50</f>
        <v>.</v>
      </c>
      <c r="X9" s="37" t="str">
        <f>Roster!Y50</f>
        <v>.</v>
      </c>
      <c r="Y9" s="37" t="str">
        <f>Roster!Z50</f>
        <v>.</v>
      </c>
      <c r="Z9" s="37" t="str">
        <f>Roster!AA50</f>
        <v>.</v>
      </c>
      <c r="AA9" s="37" t="str">
        <f>Roster!AB50</f>
        <v>.</v>
      </c>
      <c r="AB9" s="37" t="str">
        <f>Roster!AC50</f>
        <v>.</v>
      </c>
      <c r="AC9" s="37" t="str">
        <f>Roster!AD50</f>
        <v>.</v>
      </c>
      <c r="AD9" s="37" t="str">
        <f>Roster!AE50</f>
        <v>.</v>
      </c>
      <c r="AE9" s="37" t="str">
        <f>Roster!AF50</f>
        <v>.</v>
      </c>
      <c r="AF9" s="37" t="str">
        <f>Roster!AG50</f>
        <v>.</v>
      </c>
      <c r="AG9" s="38" t="str">
        <f>Roster!AH50</f>
        <v>.</v>
      </c>
    </row>
    <row r="10" spans="2:33" ht="14.4" thickTop="1" thickBot="1">
      <c r="C10" s="21" t="str">
        <f t="shared" ref="C10:AF10" si="2">LEFT(TEXT(C11&amp;"-"&amp;$B11&amp;"-"&amp;CurYear-1,"ddd"),2)</f>
        <v>Sa</v>
      </c>
      <c r="D10" s="21" t="str">
        <f t="shared" si="2"/>
        <v>Su</v>
      </c>
      <c r="E10" s="21" t="str">
        <f t="shared" si="2"/>
        <v>Mo</v>
      </c>
      <c r="F10" s="21" t="str">
        <f t="shared" si="2"/>
        <v>Tu</v>
      </c>
      <c r="G10" s="21" t="str">
        <f t="shared" si="2"/>
        <v>We</v>
      </c>
      <c r="H10" s="21" t="str">
        <f t="shared" si="2"/>
        <v>Th</v>
      </c>
      <c r="I10" s="21" t="str">
        <f t="shared" si="2"/>
        <v>Fr</v>
      </c>
      <c r="J10" s="21" t="str">
        <f t="shared" si="2"/>
        <v>Sa</v>
      </c>
      <c r="K10" s="21" t="str">
        <f t="shared" si="2"/>
        <v>Su</v>
      </c>
      <c r="L10" s="21" t="str">
        <f t="shared" si="2"/>
        <v>Mo</v>
      </c>
      <c r="M10" s="21" t="str">
        <f t="shared" si="2"/>
        <v>Tu</v>
      </c>
      <c r="N10" s="21" t="str">
        <f t="shared" si="2"/>
        <v>We</v>
      </c>
      <c r="O10" s="21" t="str">
        <f t="shared" si="2"/>
        <v>Th</v>
      </c>
      <c r="P10" s="21" t="str">
        <f t="shared" si="2"/>
        <v>Fr</v>
      </c>
      <c r="Q10" s="21" t="str">
        <f t="shared" si="2"/>
        <v>Sa</v>
      </c>
      <c r="R10" s="21" t="str">
        <f t="shared" si="2"/>
        <v>Su</v>
      </c>
      <c r="S10" s="21" t="str">
        <f t="shared" si="2"/>
        <v>Mo</v>
      </c>
      <c r="T10" s="21" t="str">
        <f t="shared" si="2"/>
        <v>Tu</v>
      </c>
      <c r="U10" s="21" t="str">
        <f t="shared" si="2"/>
        <v>We</v>
      </c>
      <c r="V10" s="21" t="str">
        <f t="shared" si="2"/>
        <v>Th</v>
      </c>
      <c r="W10" s="21" t="str">
        <f t="shared" si="2"/>
        <v>Fr</v>
      </c>
      <c r="X10" s="21" t="str">
        <f t="shared" si="2"/>
        <v>Sa</v>
      </c>
      <c r="Y10" s="21" t="str">
        <f t="shared" si="2"/>
        <v>Su</v>
      </c>
      <c r="Z10" s="21" t="str">
        <f t="shared" si="2"/>
        <v>Mo</v>
      </c>
      <c r="AA10" s="21" t="str">
        <f t="shared" si="2"/>
        <v>Tu</v>
      </c>
      <c r="AB10" s="21" t="str">
        <f t="shared" si="2"/>
        <v>We</v>
      </c>
      <c r="AC10" s="21" t="str">
        <f t="shared" si="2"/>
        <v>Th</v>
      </c>
      <c r="AD10" s="21" t="str">
        <f t="shared" si="2"/>
        <v>Fr</v>
      </c>
      <c r="AE10" s="21" t="str">
        <f t="shared" si="2"/>
        <v>Sa</v>
      </c>
      <c r="AF10" s="21" t="str">
        <f t="shared" si="2"/>
        <v>Su</v>
      </c>
      <c r="AG10" s="17"/>
    </row>
    <row r="11" spans="2:33" ht="14.4" thickTop="1" thickBot="1">
      <c r="B11" s="32" t="str">
        <f>Roster!C59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2018</v>
      </c>
      <c r="C12" s="36" t="str">
        <f>Roster!D65</f>
        <v>.</v>
      </c>
      <c r="D12" s="37" t="str">
        <f>Roster!E65</f>
        <v>.</v>
      </c>
      <c r="E12" s="37" t="str">
        <f>Roster!F65</f>
        <v>.</v>
      </c>
      <c r="F12" s="37" t="str">
        <f>Roster!G65</f>
        <v>.</v>
      </c>
      <c r="G12" s="37" t="str">
        <f>Roster!H65</f>
        <v>.</v>
      </c>
      <c r="H12" s="37" t="str">
        <f>Roster!I65</f>
        <v>.</v>
      </c>
      <c r="I12" s="37" t="str">
        <f>Roster!J65</f>
        <v>.</v>
      </c>
      <c r="J12" s="37" t="str">
        <f>Roster!K65</f>
        <v>.</v>
      </c>
      <c r="K12" s="37" t="str">
        <f>Roster!L65</f>
        <v>.</v>
      </c>
      <c r="L12" s="37" t="str">
        <f>Roster!M65</f>
        <v>.</v>
      </c>
      <c r="M12" s="37" t="str">
        <f>Roster!N65</f>
        <v>.</v>
      </c>
      <c r="N12" s="37" t="str">
        <f>Roster!O65</f>
        <v>.</v>
      </c>
      <c r="O12" s="37" t="str">
        <f>Roster!P65</f>
        <v>.</v>
      </c>
      <c r="P12" s="37" t="str">
        <f>Roster!Q65</f>
        <v>.</v>
      </c>
      <c r="Q12" s="37" t="str">
        <f>Roster!R65</f>
        <v>.</v>
      </c>
      <c r="R12" s="37" t="str">
        <f>Roster!S65</f>
        <v>.</v>
      </c>
      <c r="S12" s="37" t="str">
        <f>Roster!T65</f>
        <v>.</v>
      </c>
      <c r="T12" s="37" t="str">
        <f>Roster!U65</f>
        <v>.</v>
      </c>
      <c r="U12" s="37" t="str">
        <f>Roster!V65</f>
        <v>.</v>
      </c>
      <c r="V12" s="37" t="str">
        <f>Roster!W65</f>
        <v>.</v>
      </c>
      <c r="W12" s="37" t="str">
        <f>Roster!X65</f>
        <v>.</v>
      </c>
      <c r="X12" s="37" t="str">
        <f>Roster!Y65</f>
        <v>.</v>
      </c>
      <c r="Y12" s="37" t="str">
        <f>Roster!Z65</f>
        <v>.</v>
      </c>
      <c r="Z12" s="37" t="str">
        <f>Roster!AA65</f>
        <v>.</v>
      </c>
      <c r="AA12" s="37" t="str">
        <f>Roster!AB65</f>
        <v>.</v>
      </c>
      <c r="AB12" s="37" t="str">
        <f>Roster!AC65</f>
        <v>.</v>
      </c>
      <c r="AC12" s="37" t="str">
        <f>Roster!AD65</f>
        <v>.</v>
      </c>
      <c r="AD12" s="37" t="str">
        <f>Roster!AE65</f>
        <v>.</v>
      </c>
      <c r="AE12" s="37" t="str">
        <f>Roster!AF65</f>
        <v>.</v>
      </c>
      <c r="AF12" s="38" t="str">
        <f>Roster!AG65</f>
        <v>.</v>
      </c>
    </row>
    <row r="13" spans="2:33" ht="14.4" thickTop="1" thickBot="1">
      <c r="C13" s="21" t="str">
        <f t="shared" ref="C13:AG13" si="3">LEFT(TEXT(C14&amp;"-"&amp;$B14&amp;"-"&amp;CurYear-1,"ddd"),2)</f>
        <v>Mo</v>
      </c>
      <c r="D13" s="21" t="str">
        <f t="shared" si="3"/>
        <v>Tu</v>
      </c>
      <c r="E13" s="21" t="str">
        <f t="shared" si="3"/>
        <v>We</v>
      </c>
      <c r="F13" s="21" t="str">
        <f t="shared" si="3"/>
        <v>Th</v>
      </c>
      <c r="G13" s="21" t="str">
        <f t="shared" si="3"/>
        <v>Fr</v>
      </c>
      <c r="H13" s="21" t="str">
        <f t="shared" si="3"/>
        <v>Sa</v>
      </c>
      <c r="I13" s="21" t="str">
        <f t="shared" si="3"/>
        <v>Su</v>
      </c>
      <c r="J13" s="21" t="str">
        <f t="shared" si="3"/>
        <v>Mo</v>
      </c>
      <c r="K13" s="21" t="str">
        <f t="shared" si="3"/>
        <v>Tu</v>
      </c>
      <c r="L13" s="21" t="str">
        <f t="shared" si="3"/>
        <v>We</v>
      </c>
      <c r="M13" s="21" t="str">
        <f t="shared" si="3"/>
        <v>Th</v>
      </c>
      <c r="N13" s="21" t="str">
        <f t="shared" si="3"/>
        <v>Fr</v>
      </c>
      <c r="O13" s="21" t="str">
        <f t="shared" si="3"/>
        <v>Sa</v>
      </c>
      <c r="P13" s="21" t="str">
        <f t="shared" si="3"/>
        <v>Su</v>
      </c>
      <c r="Q13" s="21" t="str">
        <f t="shared" si="3"/>
        <v>Mo</v>
      </c>
      <c r="R13" s="21" t="str">
        <f t="shared" si="3"/>
        <v>Tu</v>
      </c>
      <c r="S13" s="21" t="str">
        <f t="shared" si="3"/>
        <v>We</v>
      </c>
      <c r="T13" s="21" t="str">
        <f t="shared" si="3"/>
        <v>Th</v>
      </c>
      <c r="U13" s="21" t="str">
        <f t="shared" si="3"/>
        <v>Fr</v>
      </c>
      <c r="V13" s="21" t="str">
        <f t="shared" si="3"/>
        <v>Sa</v>
      </c>
      <c r="W13" s="21" t="str">
        <f t="shared" si="3"/>
        <v>Su</v>
      </c>
      <c r="X13" s="21" t="str">
        <f t="shared" si="3"/>
        <v>Mo</v>
      </c>
      <c r="Y13" s="21" t="str">
        <f t="shared" si="3"/>
        <v>Tu</v>
      </c>
      <c r="Z13" s="21" t="str">
        <f t="shared" si="3"/>
        <v>We</v>
      </c>
      <c r="AA13" s="21" t="str">
        <f t="shared" si="3"/>
        <v>Th</v>
      </c>
      <c r="AB13" s="21" t="str">
        <f t="shared" si="3"/>
        <v>Fr</v>
      </c>
      <c r="AC13" s="21" t="str">
        <f t="shared" si="3"/>
        <v>Sa</v>
      </c>
      <c r="AD13" s="21" t="str">
        <f t="shared" si="3"/>
        <v>Su</v>
      </c>
      <c r="AE13" s="21" t="str">
        <f t="shared" si="3"/>
        <v>Mo</v>
      </c>
      <c r="AF13" s="21" t="str">
        <f t="shared" si="3"/>
        <v>Tu</v>
      </c>
      <c r="AG13" s="46" t="str">
        <f t="shared" si="3"/>
        <v>We</v>
      </c>
    </row>
    <row r="14" spans="2:33" ht="14.4" thickTop="1" thickBot="1">
      <c r="B14" s="32" t="str">
        <f>Roster!C74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2018</v>
      </c>
      <c r="C15" s="36" t="str">
        <f>Roster!D80</f>
        <v>.</v>
      </c>
      <c r="D15" s="37" t="str">
        <f>Roster!E80</f>
        <v>.</v>
      </c>
      <c r="E15" s="37" t="str">
        <f>Roster!F80</f>
        <v>.</v>
      </c>
      <c r="F15" s="37" t="str">
        <f>Roster!G80</f>
        <v>.</v>
      </c>
      <c r="G15" s="37" t="str">
        <f>Roster!H80</f>
        <v>.</v>
      </c>
      <c r="H15" s="37" t="str">
        <f>Roster!I80</f>
        <v>.</v>
      </c>
      <c r="I15" s="37" t="str">
        <f>Roster!J80</f>
        <v>.</v>
      </c>
      <c r="J15" s="37" t="str">
        <f>Roster!K80</f>
        <v>.</v>
      </c>
      <c r="K15" s="37" t="str">
        <f>Roster!L80</f>
        <v>.</v>
      </c>
      <c r="L15" s="37" t="str">
        <f>Roster!M80</f>
        <v>.</v>
      </c>
      <c r="M15" s="37" t="str">
        <f>Roster!N80</f>
        <v>.</v>
      </c>
      <c r="N15" s="37" t="str">
        <f>Roster!O80</f>
        <v>.</v>
      </c>
      <c r="O15" s="37" t="str">
        <f>Roster!P80</f>
        <v>.</v>
      </c>
      <c r="P15" s="37" t="str">
        <f>Roster!Q80</f>
        <v>.</v>
      </c>
      <c r="Q15" s="37" t="str">
        <f>Roster!R80</f>
        <v>.</v>
      </c>
      <c r="R15" s="37" t="str">
        <f>Roster!S80</f>
        <v>.</v>
      </c>
      <c r="S15" s="37" t="str">
        <f>Roster!T80</f>
        <v>.</v>
      </c>
      <c r="T15" s="37" t="str">
        <f>Roster!U80</f>
        <v>.</v>
      </c>
      <c r="U15" s="37" t="str">
        <f>Roster!V80</f>
        <v>.</v>
      </c>
      <c r="V15" s="37" t="str">
        <f>Roster!W80</f>
        <v>.</v>
      </c>
      <c r="W15" s="37" t="str">
        <f>Roster!X80</f>
        <v>.</v>
      </c>
      <c r="X15" s="37" t="str">
        <f>Roster!Y80</f>
        <v>.</v>
      </c>
      <c r="Y15" s="37" t="str">
        <f>Roster!Z80</f>
        <v>.</v>
      </c>
      <c r="Z15" s="37" t="str">
        <f>Roster!AA80</f>
        <v>.</v>
      </c>
      <c r="AA15" s="37" t="str">
        <f>Roster!AB80</f>
        <v>.</v>
      </c>
      <c r="AB15" s="37" t="str">
        <f>Roster!AC80</f>
        <v>.</v>
      </c>
      <c r="AC15" s="37" t="str">
        <f>Roster!AD80</f>
        <v>.</v>
      </c>
      <c r="AD15" s="37" t="str">
        <f>Roster!AE80</f>
        <v>.</v>
      </c>
      <c r="AE15" s="37" t="str">
        <f>Roster!AF80</f>
        <v>.</v>
      </c>
      <c r="AF15" s="37" t="str">
        <f>Roster!AG80</f>
        <v>.</v>
      </c>
      <c r="AG15" s="38" t="str">
        <f>Roster!AH80</f>
        <v>.</v>
      </c>
    </row>
    <row r="16" spans="2:33" ht="14.4" thickTop="1" thickBot="1">
      <c r="C16" s="21" t="str">
        <f t="shared" ref="C16:AF16" si="4">LEFT(TEXT(C17&amp;"-"&amp;$B17&amp;"-"&amp;CurYear-1,"ddd"),2)</f>
        <v>Th</v>
      </c>
      <c r="D16" s="21" t="str">
        <f t="shared" si="4"/>
        <v>Fr</v>
      </c>
      <c r="E16" s="21" t="str">
        <f t="shared" si="4"/>
        <v>Sa</v>
      </c>
      <c r="F16" s="21" t="str">
        <f t="shared" si="4"/>
        <v>Su</v>
      </c>
      <c r="G16" s="21" t="str">
        <f t="shared" si="4"/>
        <v>Mo</v>
      </c>
      <c r="H16" s="21" t="str">
        <f t="shared" si="4"/>
        <v>Tu</v>
      </c>
      <c r="I16" s="21" t="str">
        <f t="shared" si="4"/>
        <v>We</v>
      </c>
      <c r="J16" s="21" t="str">
        <f t="shared" si="4"/>
        <v>Th</v>
      </c>
      <c r="K16" s="21" t="str">
        <f t="shared" si="4"/>
        <v>Fr</v>
      </c>
      <c r="L16" s="21" t="str">
        <f t="shared" si="4"/>
        <v>Sa</v>
      </c>
      <c r="M16" s="21" t="str">
        <f t="shared" si="4"/>
        <v>Su</v>
      </c>
      <c r="N16" s="21" t="str">
        <f t="shared" si="4"/>
        <v>Mo</v>
      </c>
      <c r="O16" s="21" t="str">
        <f t="shared" si="4"/>
        <v>Tu</v>
      </c>
      <c r="P16" s="21" t="str">
        <f t="shared" si="4"/>
        <v>We</v>
      </c>
      <c r="Q16" s="21" t="str">
        <f t="shared" si="4"/>
        <v>Th</v>
      </c>
      <c r="R16" s="21" t="str">
        <f t="shared" si="4"/>
        <v>Fr</v>
      </c>
      <c r="S16" s="21" t="str">
        <f t="shared" si="4"/>
        <v>Sa</v>
      </c>
      <c r="T16" s="21" t="str">
        <f t="shared" si="4"/>
        <v>Su</v>
      </c>
      <c r="U16" s="21" t="str">
        <f t="shared" si="4"/>
        <v>Mo</v>
      </c>
      <c r="V16" s="21" t="str">
        <f t="shared" si="4"/>
        <v>Tu</v>
      </c>
      <c r="W16" s="21" t="str">
        <f t="shared" si="4"/>
        <v>We</v>
      </c>
      <c r="X16" s="21" t="str">
        <f t="shared" si="4"/>
        <v>Th</v>
      </c>
      <c r="Y16" s="21" t="str">
        <f t="shared" si="4"/>
        <v>Fr</v>
      </c>
      <c r="Z16" s="21" t="str">
        <f t="shared" si="4"/>
        <v>Sa</v>
      </c>
      <c r="AA16" s="21" t="str">
        <f t="shared" si="4"/>
        <v>Su</v>
      </c>
      <c r="AB16" s="21" t="str">
        <f t="shared" si="4"/>
        <v>Mo</v>
      </c>
      <c r="AC16" s="21" t="str">
        <f t="shared" si="4"/>
        <v>Tu</v>
      </c>
      <c r="AD16" s="21" t="str">
        <f t="shared" si="4"/>
        <v>We</v>
      </c>
      <c r="AE16" s="21" t="str">
        <f t="shared" si="4"/>
        <v>Th</v>
      </c>
      <c r="AF16" s="21" t="str">
        <f t="shared" si="4"/>
        <v>Fr</v>
      </c>
      <c r="AG16" s="17"/>
    </row>
    <row r="17" spans="2:33" ht="14.4" thickTop="1" thickBot="1">
      <c r="B17" s="32" t="str">
        <f>Roster!C89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2018</v>
      </c>
      <c r="C18" s="36" t="str">
        <f>Roster!D95</f>
        <v>.</v>
      </c>
      <c r="D18" s="37" t="str">
        <f>Roster!E95</f>
        <v>.</v>
      </c>
      <c r="E18" s="37" t="str">
        <f>Roster!F95</f>
        <v>.</v>
      </c>
      <c r="F18" s="37" t="str">
        <f>Roster!G95</f>
        <v>.</v>
      </c>
      <c r="G18" s="37" t="str">
        <f>Roster!H95</f>
        <v>.</v>
      </c>
      <c r="H18" s="37" t="str">
        <f>Roster!I95</f>
        <v>.</v>
      </c>
      <c r="I18" s="37" t="str">
        <f>Roster!J95</f>
        <v>.</v>
      </c>
      <c r="J18" s="37" t="str">
        <f>Roster!K95</f>
        <v>.</v>
      </c>
      <c r="K18" s="37" t="str">
        <f>Roster!L95</f>
        <v>.</v>
      </c>
      <c r="L18" s="37" t="str">
        <f>Roster!M95</f>
        <v>.</v>
      </c>
      <c r="M18" s="37" t="str">
        <f>Roster!N95</f>
        <v>.</v>
      </c>
      <c r="N18" s="37" t="str">
        <f>Roster!O95</f>
        <v>.</v>
      </c>
      <c r="O18" s="37" t="str">
        <f>Roster!P95</f>
        <v>.</v>
      </c>
      <c r="P18" s="37" t="str">
        <f>Roster!Q95</f>
        <v>.</v>
      </c>
      <c r="Q18" s="37" t="str">
        <f>Roster!R95</f>
        <v>.</v>
      </c>
      <c r="R18" s="37" t="str">
        <f>Roster!S95</f>
        <v>.</v>
      </c>
      <c r="S18" s="37" t="str">
        <f>Roster!T95</f>
        <v>.</v>
      </c>
      <c r="T18" s="37" t="str">
        <f>Roster!U95</f>
        <v>.</v>
      </c>
      <c r="U18" s="37" t="str">
        <f>Roster!V95</f>
        <v>.</v>
      </c>
      <c r="V18" s="37" t="str">
        <f>Roster!W95</f>
        <v>.</v>
      </c>
      <c r="W18" s="37" t="str">
        <f>Roster!X95</f>
        <v>.</v>
      </c>
      <c r="X18" s="37" t="str">
        <f>Roster!Y95</f>
        <v>.</v>
      </c>
      <c r="Y18" s="37" t="str">
        <f>Roster!Z95</f>
        <v>.</v>
      </c>
      <c r="Z18" s="37" t="str">
        <f>Roster!AA95</f>
        <v>.</v>
      </c>
      <c r="AA18" s="37" t="str">
        <f>Roster!AB95</f>
        <v>.</v>
      </c>
      <c r="AB18" s="37" t="str">
        <f>Roster!AC95</f>
        <v>.</v>
      </c>
      <c r="AC18" s="37" t="str">
        <f>Roster!AD95</f>
        <v>.</v>
      </c>
      <c r="AD18" s="37" t="str">
        <f>Roster!AE95</f>
        <v>.</v>
      </c>
      <c r="AE18" s="37" t="str">
        <f>Roster!AF95</f>
        <v>.</v>
      </c>
      <c r="AF18" s="38" t="str">
        <f>Roster!AG95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Sa</v>
      </c>
      <c r="D19" s="21" t="str">
        <f t="shared" si="5"/>
        <v>Su</v>
      </c>
      <c r="E19" s="21" t="str">
        <f t="shared" si="5"/>
        <v>Mo</v>
      </c>
      <c r="F19" s="21" t="str">
        <f t="shared" si="5"/>
        <v>Tu</v>
      </c>
      <c r="G19" s="21" t="str">
        <f t="shared" si="5"/>
        <v>We</v>
      </c>
      <c r="H19" s="21" t="str">
        <f t="shared" si="5"/>
        <v>Th</v>
      </c>
      <c r="I19" s="21" t="str">
        <f t="shared" si="5"/>
        <v>Fr</v>
      </c>
      <c r="J19" s="21" t="str">
        <f t="shared" si="5"/>
        <v>Sa</v>
      </c>
      <c r="K19" s="21" t="str">
        <f t="shared" si="5"/>
        <v>Su</v>
      </c>
      <c r="L19" s="21" t="str">
        <f t="shared" si="5"/>
        <v>Mo</v>
      </c>
      <c r="M19" s="21" t="str">
        <f t="shared" si="5"/>
        <v>Tu</v>
      </c>
      <c r="N19" s="21" t="str">
        <f t="shared" si="5"/>
        <v>We</v>
      </c>
      <c r="O19" s="21" t="str">
        <f t="shared" si="5"/>
        <v>Th</v>
      </c>
      <c r="P19" s="21" t="str">
        <f t="shared" si="5"/>
        <v>Fr</v>
      </c>
      <c r="Q19" s="21" t="str">
        <f t="shared" si="5"/>
        <v>Sa</v>
      </c>
      <c r="R19" s="21" t="str">
        <f t="shared" si="5"/>
        <v>Su</v>
      </c>
      <c r="S19" s="21" t="str">
        <f t="shared" si="5"/>
        <v>Mo</v>
      </c>
      <c r="T19" s="21" t="str">
        <f t="shared" si="5"/>
        <v>Tu</v>
      </c>
      <c r="U19" s="21" t="str">
        <f t="shared" si="5"/>
        <v>We</v>
      </c>
      <c r="V19" s="21" t="str">
        <f t="shared" si="5"/>
        <v>Th</v>
      </c>
      <c r="W19" s="21" t="str">
        <f t="shared" si="5"/>
        <v>Fr</v>
      </c>
      <c r="X19" s="21" t="str">
        <f t="shared" si="5"/>
        <v>Sa</v>
      </c>
      <c r="Y19" s="21" t="str">
        <f t="shared" si="5"/>
        <v>Su</v>
      </c>
      <c r="Z19" s="21" t="str">
        <f t="shared" si="5"/>
        <v>Mo</v>
      </c>
      <c r="AA19" s="21" t="str">
        <f t="shared" si="5"/>
        <v>Tu</v>
      </c>
      <c r="AB19" s="21" t="str">
        <f t="shared" si="5"/>
        <v>We</v>
      </c>
      <c r="AC19" s="21" t="str">
        <f t="shared" si="5"/>
        <v>Th</v>
      </c>
      <c r="AD19" s="21" t="str">
        <f t="shared" si="5"/>
        <v>Fr</v>
      </c>
      <c r="AE19" s="21" t="str">
        <f t="shared" si="5"/>
        <v>Sa</v>
      </c>
      <c r="AF19" s="21" t="str">
        <f t="shared" si="5"/>
        <v>Su</v>
      </c>
      <c r="AG19" s="28" t="str">
        <f t="shared" si="5"/>
        <v>Mo</v>
      </c>
    </row>
    <row r="20" spans="2:33" ht="14.4" thickTop="1" thickBot="1">
      <c r="B20" s="32" t="str">
        <f>Roster!C104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2018</v>
      </c>
      <c r="C21" s="36" t="str">
        <f>Roster!D110</f>
        <v>.</v>
      </c>
      <c r="D21" s="37" t="str">
        <f>Roster!E110</f>
        <v>.</v>
      </c>
      <c r="E21" s="37" t="str">
        <f>Roster!F110</f>
        <v>.</v>
      </c>
      <c r="F21" s="37" t="str">
        <f>Roster!G110</f>
        <v>.</v>
      </c>
      <c r="G21" s="37" t="str">
        <f>Roster!H110</f>
        <v>.</v>
      </c>
      <c r="H21" s="37" t="str">
        <f>Roster!I110</f>
        <v>.</v>
      </c>
      <c r="I21" s="37" t="str">
        <f>Roster!J110</f>
        <v>.</v>
      </c>
      <c r="J21" s="37" t="str">
        <f>Roster!K110</f>
        <v>.</v>
      </c>
      <c r="K21" s="37" t="str">
        <f>Roster!L110</f>
        <v>.</v>
      </c>
      <c r="L21" s="37" t="str">
        <f>Roster!M110</f>
        <v>.</v>
      </c>
      <c r="M21" s="37" t="str">
        <f>Roster!N110</f>
        <v>.</v>
      </c>
      <c r="N21" s="37" t="str">
        <f>Roster!O110</f>
        <v>.</v>
      </c>
      <c r="O21" s="37" t="str">
        <f>Roster!P110</f>
        <v>.</v>
      </c>
      <c r="P21" s="37" t="str">
        <f>Roster!Q110</f>
        <v>.</v>
      </c>
      <c r="Q21" s="37" t="str">
        <f>Roster!R110</f>
        <v>.</v>
      </c>
      <c r="R21" s="37" t="str">
        <f>Roster!S110</f>
        <v>.</v>
      </c>
      <c r="S21" s="37" t="str">
        <f>Roster!T110</f>
        <v>.</v>
      </c>
      <c r="T21" s="37" t="str">
        <f>Roster!U110</f>
        <v>.</v>
      </c>
      <c r="U21" s="37" t="str">
        <f>Roster!V110</f>
        <v>.</v>
      </c>
      <c r="V21" s="37" t="str">
        <f>Roster!W110</f>
        <v>.</v>
      </c>
      <c r="W21" s="37" t="str">
        <f>Roster!X110</f>
        <v>.</v>
      </c>
      <c r="X21" s="37" t="str">
        <f>Roster!Y110</f>
        <v>.</v>
      </c>
      <c r="Y21" s="37" t="str">
        <f>Roster!Z110</f>
        <v>.</v>
      </c>
      <c r="Z21" s="37" t="str">
        <f>Roster!AA110</f>
        <v>.</v>
      </c>
      <c r="AA21" s="37" t="str">
        <f>Roster!AB110</f>
        <v>.</v>
      </c>
      <c r="AB21" s="37" t="str">
        <f>Roster!AC110</f>
        <v>.</v>
      </c>
      <c r="AC21" s="37" t="str">
        <f>Roster!AD110</f>
        <v>.</v>
      </c>
      <c r="AD21" s="37" t="str">
        <f>Roster!AE110</f>
        <v>.</v>
      </c>
      <c r="AE21" s="37" t="str">
        <f>Roster!AF110</f>
        <v>.</v>
      </c>
      <c r="AF21" s="37" t="str">
        <f>Roster!AG110</f>
        <v>.</v>
      </c>
      <c r="AG21" s="38" t="str">
        <f>Roster!AH110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Tu</v>
      </c>
      <c r="D22" s="19" t="str">
        <f t="shared" si="6"/>
        <v>We</v>
      </c>
      <c r="E22" s="19" t="str">
        <f t="shared" si="6"/>
        <v>Th</v>
      </c>
      <c r="F22" s="19" t="str">
        <f t="shared" si="6"/>
        <v>Fr</v>
      </c>
      <c r="G22" s="19" t="str">
        <f t="shared" si="6"/>
        <v>Sa</v>
      </c>
      <c r="H22" s="19" t="str">
        <f t="shared" si="6"/>
        <v>Su</v>
      </c>
      <c r="I22" s="19" t="str">
        <f t="shared" si="6"/>
        <v>Mo</v>
      </c>
      <c r="J22" s="19" t="str">
        <f t="shared" si="6"/>
        <v>Tu</v>
      </c>
      <c r="K22" s="19" t="str">
        <f t="shared" si="6"/>
        <v>We</v>
      </c>
      <c r="L22" s="19" t="str">
        <f t="shared" si="6"/>
        <v>Th</v>
      </c>
      <c r="M22" s="19" t="str">
        <f t="shared" si="6"/>
        <v>Fr</v>
      </c>
      <c r="N22" s="19" t="str">
        <f t="shared" si="6"/>
        <v>Sa</v>
      </c>
      <c r="O22" s="19" t="str">
        <f t="shared" si="6"/>
        <v>Su</v>
      </c>
      <c r="P22" s="19" t="str">
        <f t="shared" si="6"/>
        <v>Mo</v>
      </c>
      <c r="Q22" s="19" t="str">
        <f t="shared" si="6"/>
        <v>Tu</v>
      </c>
      <c r="R22" s="19" t="str">
        <f t="shared" si="6"/>
        <v>We</v>
      </c>
      <c r="S22" s="19" t="str">
        <f t="shared" si="6"/>
        <v>Th</v>
      </c>
      <c r="T22" s="19" t="str">
        <f t="shared" si="6"/>
        <v>Fr</v>
      </c>
      <c r="U22" s="19" t="str">
        <f t="shared" si="6"/>
        <v>Sa</v>
      </c>
      <c r="V22" s="19" t="str">
        <f t="shared" si="6"/>
        <v>Su</v>
      </c>
      <c r="W22" s="19" t="str">
        <f t="shared" si="6"/>
        <v>Mo</v>
      </c>
      <c r="X22" s="19" t="str">
        <f t="shared" si="6"/>
        <v>Tu</v>
      </c>
      <c r="Y22" s="19" t="str">
        <f t="shared" si="6"/>
        <v>We</v>
      </c>
      <c r="Z22" s="19" t="str">
        <f t="shared" si="6"/>
        <v>Th</v>
      </c>
      <c r="AA22" s="19" t="str">
        <f t="shared" si="6"/>
        <v>Fr</v>
      </c>
      <c r="AB22" s="19" t="str">
        <f t="shared" si="6"/>
        <v>Sa</v>
      </c>
      <c r="AC22" s="19" t="str">
        <f t="shared" si="6"/>
        <v>Su</v>
      </c>
      <c r="AD22" s="19" t="str">
        <f t="shared" si="6"/>
        <v>Mo</v>
      </c>
      <c r="AE22" s="19" t="str">
        <f t="shared" si="6"/>
        <v>Tu</v>
      </c>
      <c r="AF22" s="19" t="str">
        <f t="shared" si="6"/>
        <v>We</v>
      </c>
      <c r="AG22" s="19" t="str">
        <f t="shared" si="6"/>
        <v>Th</v>
      </c>
    </row>
    <row r="23" spans="2:33" ht="14.4" thickTop="1" thickBot="1">
      <c r="B23" s="32" t="str">
        <f>Roster!$C$119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2019</v>
      </c>
      <c r="C24" s="48" t="str">
        <f>Roster!D125</f>
        <v>.</v>
      </c>
      <c r="D24" s="49" t="str">
        <f>Roster!E125</f>
        <v>.</v>
      </c>
      <c r="E24" s="40" t="str">
        <f>Roster!F125</f>
        <v>.</v>
      </c>
      <c r="F24" s="40" t="str">
        <f>Roster!G125</f>
        <v>.</v>
      </c>
      <c r="G24" s="40" t="str">
        <f>Roster!H125</f>
        <v>.</v>
      </c>
      <c r="H24" s="40" t="str">
        <f>Roster!I125</f>
        <v>.</v>
      </c>
      <c r="I24" s="40" t="str">
        <f>Roster!J125</f>
        <v>.</v>
      </c>
      <c r="J24" s="40" t="str">
        <f>Roster!K125</f>
        <v>.</v>
      </c>
      <c r="K24" s="40" t="str">
        <f>Roster!L125</f>
        <v>.</v>
      </c>
      <c r="L24" s="40" t="str">
        <f>Roster!M125</f>
        <v>.</v>
      </c>
      <c r="M24" s="40" t="str">
        <f>Roster!N125</f>
        <v>.</v>
      </c>
      <c r="N24" s="40" t="str">
        <f>Roster!O125</f>
        <v>.</v>
      </c>
      <c r="O24" s="40" t="str">
        <f>Roster!P125</f>
        <v>.</v>
      </c>
      <c r="P24" s="40" t="str">
        <f>Roster!Q125</f>
        <v>.</v>
      </c>
      <c r="Q24" s="40" t="str">
        <f>Roster!R125</f>
        <v>.</v>
      </c>
      <c r="R24" s="40" t="str">
        <f>Roster!S125</f>
        <v>.</v>
      </c>
      <c r="S24" s="40" t="str">
        <f>Roster!T125</f>
        <v>.</v>
      </c>
      <c r="T24" s="40" t="str">
        <f>Roster!U125</f>
        <v>.</v>
      </c>
      <c r="U24" s="40" t="str">
        <f>Roster!V125</f>
        <v>.</v>
      </c>
      <c r="V24" s="40" t="str">
        <f>Roster!W125</f>
        <v>.</v>
      </c>
      <c r="W24" s="40" t="str">
        <f>Roster!X125</f>
        <v>.</v>
      </c>
      <c r="X24" s="40" t="str">
        <f>Roster!Y125</f>
        <v>.</v>
      </c>
      <c r="Y24" s="40" t="str">
        <f>Roster!Z125</f>
        <v>.</v>
      </c>
      <c r="Z24" s="40" t="str">
        <f>Roster!AA125</f>
        <v>.</v>
      </c>
      <c r="AA24" s="40" t="str">
        <f>Roster!AB125</f>
        <v>.</v>
      </c>
      <c r="AB24" s="40" t="str">
        <f>Roster!AC125</f>
        <v>.</v>
      </c>
      <c r="AC24" s="40" t="str">
        <f>Roster!AD125</f>
        <v>.</v>
      </c>
      <c r="AD24" s="40" t="str">
        <f>Roster!AE125</f>
        <v>.</v>
      </c>
      <c r="AE24" s="40" t="str">
        <f>Roster!AF125</f>
        <v>.</v>
      </c>
      <c r="AF24" s="40" t="str">
        <f>Roster!AG125</f>
        <v>.</v>
      </c>
      <c r="AG24" s="41" t="str">
        <f>Roster!AH125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Fr</v>
      </c>
      <c r="D25" s="22" t="str">
        <f t="shared" si="7"/>
        <v>Sa</v>
      </c>
      <c r="E25" s="22" t="str">
        <f t="shared" si="7"/>
        <v>Su</v>
      </c>
      <c r="F25" s="22" t="str">
        <f t="shared" si="7"/>
        <v>Mo</v>
      </c>
      <c r="G25" s="22" t="str">
        <f t="shared" si="7"/>
        <v>Tu</v>
      </c>
      <c r="H25" s="22" t="str">
        <f t="shared" si="7"/>
        <v>We</v>
      </c>
      <c r="I25" s="22" t="str">
        <f t="shared" si="7"/>
        <v>Th</v>
      </c>
      <c r="J25" s="22" t="str">
        <f t="shared" si="7"/>
        <v>Fr</v>
      </c>
      <c r="K25" s="22" t="str">
        <f t="shared" si="7"/>
        <v>Sa</v>
      </c>
      <c r="L25" s="22" t="str">
        <f t="shared" si="7"/>
        <v>Su</v>
      </c>
      <c r="M25" s="22" t="str">
        <f t="shared" si="7"/>
        <v>Mo</v>
      </c>
      <c r="N25" s="22" t="str">
        <f t="shared" si="7"/>
        <v>Tu</v>
      </c>
      <c r="O25" s="22" t="str">
        <f t="shared" si="7"/>
        <v>We</v>
      </c>
      <c r="P25" s="22" t="str">
        <f t="shared" si="7"/>
        <v>Th</v>
      </c>
      <c r="Q25" s="22" t="str">
        <f t="shared" si="7"/>
        <v>Fr</v>
      </c>
      <c r="R25" s="22" t="str">
        <f t="shared" si="7"/>
        <v>Sa</v>
      </c>
      <c r="S25" s="22" t="str">
        <f t="shared" si="7"/>
        <v>Su</v>
      </c>
      <c r="T25" s="22" t="str">
        <f t="shared" si="7"/>
        <v>Mo</v>
      </c>
      <c r="U25" s="22" t="str">
        <f t="shared" si="7"/>
        <v>Tu</v>
      </c>
      <c r="V25" s="22" t="str">
        <f t="shared" si="7"/>
        <v>We</v>
      </c>
      <c r="W25" s="22" t="str">
        <f t="shared" si="7"/>
        <v>Th</v>
      </c>
      <c r="X25" s="22" t="str">
        <f t="shared" si="7"/>
        <v>Fr</v>
      </c>
      <c r="Y25" s="22" t="str">
        <f t="shared" si="7"/>
        <v>Sa</v>
      </c>
      <c r="Z25" s="22" t="str">
        <f t="shared" si="7"/>
        <v>Su</v>
      </c>
      <c r="AA25" s="22" t="str">
        <f t="shared" si="7"/>
        <v>Mo</v>
      </c>
      <c r="AB25" s="22" t="str">
        <f t="shared" si="7"/>
        <v>Tu</v>
      </c>
      <c r="AC25" s="22" t="str">
        <f t="shared" si="7"/>
        <v>We</v>
      </c>
      <c r="AD25" s="22" t="str">
        <f t="shared" si="7"/>
        <v>Th</v>
      </c>
      <c r="AE25" s="131" t="str">
        <f t="shared" si="7"/>
        <v>29</v>
      </c>
      <c r="AF25" s="23"/>
      <c r="AG25" s="24"/>
    </row>
    <row r="26" spans="2:33" ht="14.4" thickTop="1" thickBot="1">
      <c r="B26" s="32" t="str">
        <f>Roster!$C$134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29">
        <v>29</v>
      </c>
      <c r="AF26" s="44"/>
    </row>
    <row r="27" spans="2:33" ht="14.4" thickTop="1" thickBot="1">
      <c r="B27" s="32" t="str">
        <f>CurYear</f>
        <v>2019</v>
      </c>
      <c r="C27" s="36" t="str">
        <f>Roster!D140</f>
        <v>.</v>
      </c>
      <c r="D27" s="37" t="str">
        <f>Roster!E140</f>
        <v>.</v>
      </c>
      <c r="E27" s="37" t="str">
        <f>Roster!F140</f>
        <v>.</v>
      </c>
      <c r="F27" s="37" t="str">
        <f>Roster!G140</f>
        <v>.</v>
      </c>
      <c r="G27" s="37" t="str">
        <f>Roster!H140</f>
        <v>.</v>
      </c>
      <c r="H27" s="37" t="str">
        <f>Roster!I140</f>
        <v>.</v>
      </c>
      <c r="I27" s="37" t="str">
        <f>Roster!J140</f>
        <v>.</v>
      </c>
      <c r="J27" s="37" t="str">
        <f>Roster!K140</f>
        <v>.</v>
      </c>
      <c r="K27" s="37" t="str">
        <f>Roster!L140</f>
        <v>.</v>
      </c>
      <c r="L27" s="37" t="str">
        <f>Roster!M140</f>
        <v>.</v>
      </c>
      <c r="M27" s="37" t="str">
        <f>Roster!N140</f>
        <v>.</v>
      </c>
      <c r="N27" s="37" t="str">
        <f>Roster!O140</f>
        <v>.</v>
      </c>
      <c r="O27" s="37" t="str">
        <f>Roster!P140</f>
        <v>.</v>
      </c>
      <c r="P27" s="37" t="str">
        <f>Roster!Q140</f>
        <v>.</v>
      </c>
      <c r="Q27" s="37" t="str">
        <f>Roster!Q139</f>
        <v>.</v>
      </c>
      <c r="R27" s="37" t="str">
        <f>Roster!S140</f>
        <v>.</v>
      </c>
      <c r="S27" s="37" t="str">
        <f>Roster!T140</f>
        <v>.</v>
      </c>
      <c r="T27" s="37" t="str">
        <f>Roster!U140</f>
        <v>.</v>
      </c>
      <c r="U27" s="37" t="str">
        <f>Roster!V140</f>
        <v>.</v>
      </c>
      <c r="V27" s="37" t="str">
        <f>Roster!W140</f>
        <v>.</v>
      </c>
      <c r="W27" s="37" t="str">
        <f>Roster!X140</f>
        <v>.</v>
      </c>
      <c r="X27" s="37" t="str">
        <f>Roster!Y140</f>
        <v>.</v>
      </c>
      <c r="Y27" s="37" t="str">
        <f>Roster!Z140</f>
        <v>.</v>
      </c>
      <c r="Z27" s="37" t="str">
        <f>Roster!AA140</f>
        <v>.</v>
      </c>
      <c r="AA27" s="37" t="str">
        <f>Roster!AB140</f>
        <v>.</v>
      </c>
      <c r="AB27" s="37" t="str">
        <f>Roster!AC140</f>
        <v>.</v>
      </c>
      <c r="AC27" s="37" t="str">
        <f>Roster!AD140</f>
        <v>.</v>
      </c>
      <c r="AD27" s="43" t="str">
        <f>Roster!AE140</f>
        <v>.</v>
      </c>
      <c r="AE27" s="130">
        <f>Roster!AF140</f>
        <v>0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Fr</v>
      </c>
      <c r="D28" s="25" t="str">
        <f t="shared" si="8"/>
        <v>Sa</v>
      </c>
      <c r="E28" s="25" t="str">
        <f t="shared" si="8"/>
        <v>Su</v>
      </c>
      <c r="F28" s="25" t="str">
        <f t="shared" si="8"/>
        <v>Mo</v>
      </c>
      <c r="G28" s="25" t="str">
        <f t="shared" si="8"/>
        <v>Tu</v>
      </c>
      <c r="H28" s="25" t="str">
        <f t="shared" si="8"/>
        <v>We</v>
      </c>
      <c r="I28" s="25" t="str">
        <f t="shared" si="8"/>
        <v>Th</v>
      </c>
      <c r="J28" s="25" t="str">
        <f t="shared" si="8"/>
        <v>Fr</v>
      </c>
      <c r="K28" s="25" t="str">
        <f t="shared" si="8"/>
        <v>Sa</v>
      </c>
      <c r="L28" s="25" t="str">
        <f t="shared" si="8"/>
        <v>Su</v>
      </c>
      <c r="M28" s="25" t="str">
        <f t="shared" si="8"/>
        <v>Mo</v>
      </c>
      <c r="N28" s="25" t="str">
        <f t="shared" si="8"/>
        <v>Tu</v>
      </c>
      <c r="O28" s="25" t="str">
        <f t="shared" si="8"/>
        <v>We</v>
      </c>
      <c r="P28" s="25" t="str">
        <f t="shared" si="8"/>
        <v>Th</v>
      </c>
      <c r="Q28" s="25" t="str">
        <f t="shared" si="8"/>
        <v>Fr</v>
      </c>
      <c r="R28" s="25" t="str">
        <f t="shared" si="8"/>
        <v>Sa</v>
      </c>
      <c r="S28" s="25" t="str">
        <f t="shared" si="8"/>
        <v>Su</v>
      </c>
      <c r="T28" s="25" t="str">
        <f t="shared" si="8"/>
        <v>Mo</v>
      </c>
      <c r="U28" s="25" t="str">
        <f t="shared" si="8"/>
        <v>Tu</v>
      </c>
      <c r="V28" s="25" t="str">
        <f t="shared" si="8"/>
        <v>We</v>
      </c>
      <c r="W28" s="25" t="str">
        <f t="shared" si="8"/>
        <v>Th</v>
      </c>
      <c r="X28" s="25" t="str">
        <f t="shared" si="8"/>
        <v>Fr</v>
      </c>
      <c r="Y28" s="25" t="str">
        <f t="shared" si="8"/>
        <v>Sa</v>
      </c>
      <c r="Z28" s="25" t="str">
        <f t="shared" si="8"/>
        <v>Su</v>
      </c>
      <c r="AA28" s="25" t="str">
        <f t="shared" si="8"/>
        <v>Mo</v>
      </c>
      <c r="AB28" s="25" t="str">
        <f t="shared" si="8"/>
        <v>Tu</v>
      </c>
      <c r="AC28" s="25" t="str">
        <f t="shared" si="8"/>
        <v>We</v>
      </c>
      <c r="AD28" s="25" t="str">
        <f t="shared" si="8"/>
        <v>Th</v>
      </c>
      <c r="AE28" s="45" t="str">
        <f t="shared" si="8"/>
        <v>Fr</v>
      </c>
      <c r="AF28" s="47" t="str">
        <f t="shared" si="8"/>
        <v>Sa</v>
      </c>
      <c r="AG28" s="47" t="str">
        <f t="shared" si="8"/>
        <v>Su</v>
      </c>
    </row>
    <row r="29" spans="2:33" ht="14.4" thickTop="1" thickBot="1">
      <c r="B29" s="32" t="str">
        <f>Roster!$C$149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2019</v>
      </c>
      <c r="C30" s="36" t="str">
        <f>Roster!D155</f>
        <v>.</v>
      </c>
      <c r="D30" s="37" t="str">
        <f>Roster!E155</f>
        <v>.</v>
      </c>
      <c r="E30" s="37" t="str">
        <f>Roster!F155</f>
        <v>.</v>
      </c>
      <c r="F30" s="37" t="str">
        <f>Roster!G155</f>
        <v>.</v>
      </c>
      <c r="G30" s="37" t="str">
        <f>Roster!H155</f>
        <v>.</v>
      </c>
      <c r="H30" s="37" t="str">
        <f>Roster!I155</f>
        <v>.</v>
      </c>
      <c r="I30" s="37" t="str">
        <f>Roster!J155</f>
        <v>.</v>
      </c>
      <c r="J30" s="37" t="str">
        <f>Roster!K155</f>
        <v>.</v>
      </c>
      <c r="K30" s="37" t="str">
        <f>Roster!L155</f>
        <v>.</v>
      </c>
      <c r="L30" s="37" t="str">
        <f>Roster!M155</f>
        <v>.</v>
      </c>
      <c r="M30" s="37" t="str">
        <f>Roster!N155</f>
        <v>.</v>
      </c>
      <c r="N30" s="37" t="str">
        <f>Roster!O155</f>
        <v>.</v>
      </c>
      <c r="O30" s="37" t="str">
        <f>Roster!P155</f>
        <v>.</v>
      </c>
      <c r="P30" s="37" t="str">
        <f>Roster!Q155</f>
        <v>.</v>
      </c>
      <c r="Q30" s="37" t="str">
        <f>Roster!R155</f>
        <v>.</v>
      </c>
      <c r="R30" s="37" t="str">
        <f>Roster!S155</f>
        <v>.</v>
      </c>
      <c r="S30" s="37" t="str">
        <f>Roster!T155</f>
        <v>.</v>
      </c>
      <c r="T30" s="37" t="str">
        <f>Roster!U155</f>
        <v>.</v>
      </c>
      <c r="U30" s="37" t="str">
        <f>Roster!V155</f>
        <v>.</v>
      </c>
      <c r="V30" s="37" t="str">
        <f>Roster!W155</f>
        <v>.</v>
      </c>
      <c r="W30" s="37" t="str">
        <f>Roster!X155</f>
        <v>.</v>
      </c>
      <c r="X30" s="37" t="str">
        <f>Roster!Y155</f>
        <v>.</v>
      </c>
      <c r="Y30" s="37" t="str">
        <f>Roster!Z155</f>
        <v>.</v>
      </c>
      <c r="Z30" s="37" t="str">
        <f>Roster!AA155</f>
        <v>.</v>
      </c>
      <c r="AA30" s="37" t="str">
        <f>Roster!AB155</f>
        <v>.</v>
      </c>
      <c r="AB30" s="37" t="str">
        <f>Roster!AC155</f>
        <v>.</v>
      </c>
      <c r="AC30" s="37" t="str">
        <f>Roster!AD155</f>
        <v>.</v>
      </c>
      <c r="AD30" s="37" t="str">
        <f>Roster!AE155</f>
        <v>.</v>
      </c>
      <c r="AE30" s="37" t="str">
        <f>Roster!AF155</f>
        <v>.</v>
      </c>
      <c r="AF30" s="37" t="str">
        <f>Roster!AG155</f>
        <v>.</v>
      </c>
      <c r="AG30" s="38" t="str">
        <f>Roster!AH155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Mo</v>
      </c>
      <c r="D31" s="25" t="str">
        <f t="shared" si="9"/>
        <v>Tu</v>
      </c>
      <c r="E31" s="25" t="str">
        <f t="shared" si="9"/>
        <v>We</v>
      </c>
      <c r="F31" s="25" t="str">
        <f t="shared" si="9"/>
        <v>Th</v>
      </c>
      <c r="G31" s="25" t="str">
        <f t="shared" si="9"/>
        <v>Fr</v>
      </c>
      <c r="H31" s="25" t="str">
        <f t="shared" si="9"/>
        <v>Sa</v>
      </c>
      <c r="I31" s="25" t="str">
        <f t="shared" si="9"/>
        <v>Su</v>
      </c>
      <c r="J31" s="25" t="str">
        <f t="shared" si="9"/>
        <v>Mo</v>
      </c>
      <c r="K31" s="25" t="str">
        <f t="shared" si="9"/>
        <v>Tu</v>
      </c>
      <c r="L31" s="25" t="str">
        <f t="shared" si="9"/>
        <v>We</v>
      </c>
      <c r="M31" s="25" t="str">
        <f t="shared" si="9"/>
        <v>Th</v>
      </c>
      <c r="N31" s="25" t="str">
        <f t="shared" si="9"/>
        <v>Fr</v>
      </c>
      <c r="O31" s="25" t="str">
        <f t="shared" si="9"/>
        <v>Sa</v>
      </c>
      <c r="P31" s="25" t="str">
        <f t="shared" si="9"/>
        <v>Su</v>
      </c>
      <c r="Q31" s="25" t="str">
        <f t="shared" si="9"/>
        <v>Mo</v>
      </c>
      <c r="R31" s="25" t="str">
        <f t="shared" si="9"/>
        <v>Tu</v>
      </c>
      <c r="S31" s="25" t="str">
        <f t="shared" si="9"/>
        <v>We</v>
      </c>
      <c r="T31" s="25" t="str">
        <f t="shared" si="9"/>
        <v>Th</v>
      </c>
      <c r="U31" s="25" t="str">
        <f t="shared" si="9"/>
        <v>Fr</v>
      </c>
      <c r="V31" s="25" t="str">
        <f t="shared" si="9"/>
        <v>Sa</v>
      </c>
      <c r="W31" s="25" t="str">
        <f t="shared" si="9"/>
        <v>Su</v>
      </c>
      <c r="X31" s="25" t="str">
        <f t="shared" si="9"/>
        <v>Mo</v>
      </c>
      <c r="Y31" s="25" t="str">
        <f t="shared" si="9"/>
        <v>Tu</v>
      </c>
      <c r="Z31" s="25" t="str">
        <f t="shared" si="9"/>
        <v>We</v>
      </c>
      <c r="AA31" s="25" t="str">
        <f t="shared" si="9"/>
        <v>Th</v>
      </c>
      <c r="AB31" s="25" t="str">
        <f t="shared" si="9"/>
        <v>Fr</v>
      </c>
      <c r="AC31" s="25" t="str">
        <f t="shared" si="9"/>
        <v>Sa</v>
      </c>
      <c r="AD31" s="25" t="str">
        <f t="shared" si="9"/>
        <v>Su</v>
      </c>
      <c r="AE31" s="25" t="str">
        <f t="shared" si="9"/>
        <v>Mo</v>
      </c>
      <c r="AF31" s="25" t="str">
        <f t="shared" si="9"/>
        <v>Tu</v>
      </c>
      <c r="AG31" s="27"/>
    </row>
    <row r="32" spans="2:33" ht="14.4" thickTop="1" thickBot="1">
      <c r="B32" s="32" t="str">
        <f>Roster!$C$164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2019</v>
      </c>
      <c r="C33" s="36" t="str">
        <f>Roster!D170</f>
        <v>.</v>
      </c>
      <c r="D33" s="37" t="str">
        <f>Roster!E170</f>
        <v>.</v>
      </c>
      <c r="E33" s="37" t="str">
        <f>Roster!F170</f>
        <v>.</v>
      </c>
      <c r="F33" s="37" t="str">
        <f>Roster!G170</f>
        <v>.</v>
      </c>
      <c r="G33" s="37" t="str">
        <f>Roster!H170</f>
        <v>.</v>
      </c>
      <c r="H33" s="37" t="str">
        <f>Roster!I170</f>
        <v>.</v>
      </c>
      <c r="I33" s="37" t="str">
        <f>Roster!J170</f>
        <v>.</v>
      </c>
      <c r="J33" s="37" t="str">
        <f>Roster!K170</f>
        <v>.</v>
      </c>
      <c r="K33" s="37" t="str">
        <f>Roster!L170</f>
        <v>.</v>
      </c>
      <c r="L33" s="37" t="str">
        <f>Roster!M170</f>
        <v>.</v>
      </c>
      <c r="M33" s="37" t="str">
        <f>Roster!N170</f>
        <v>.</v>
      </c>
      <c r="N33" s="37" t="str">
        <f>Roster!O170</f>
        <v>.</v>
      </c>
      <c r="O33" s="37" t="str">
        <f>Roster!P170</f>
        <v>.</v>
      </c>
      <c r="P33" s="37" t="str">
        <f>Roster!Q170</f>
        <v>.</v>
      </c>
      <c r="Q33" s="37" t="str">
        <f>Roster!R170</f>
        <v>.</v>
      </c>
      <c r="R33" s="37" t="str">
        <f>Roster!S170</f>
        <v>.</v>
      </c>
      <c r="S33" s="37" t="str">
        <f>Roster!T170</f>
        <v>.</v>
      </c>
      <c r="T33" s="37" t="str">
        <f>Roster!U170</f>
        <v>.</v>
      </c>
      <c r="U33" s="37" t="str">
        <f>Roster!V170</f>
        <v>.</v>
      </c>
      <c r="V33" s="37" t="str">
        <f>Roster!W170</f>
        <v>.</v>
      </c>
      <c r="W33" s="37" t="str">
        <f>Roster!X170</f>
        <v>.</v>
      </c>
      <c r="X33" s="37" t="str">
        <f>Roster!Y170</f>
        <v>.</v>
      </c>
      <c r="Y33" s="37" t="str">
        <f>Roster!Z170</f>
        <v>.</v>
      </c>
      <c r="Z33" s="37" t="str">
        <f>Roster!AA170</f>
        <v>.</v>
      </c>
      <c r="AA33" s="37" t="str">
        <f>Roster!AB170</f>
        <v>.</v>
      </c>
      <c r="AB33" s="37" t="str">
        <f>Roster!AC170</f>
        <v>.</v>
      </c>
      <c r="AC33" s="37" t="str">
        <f>Roster!AD170</f>
        <v>.</v>
      </c>
      <c r="AD33" s="37" t="str">
        <f>Roster!AE170</f>
        <v>.</v>
      </c>
      <c r="AE33" s="37" t="str">
        <f>Roster!AF170</f>
        <v>.</v>
      </c>
      <c r="AF33" s="38" t="str">
        <f>Roster!AG170</f>
        <v>.</v>
      </c>
    </row>
    <row r="34" spans="2:33" ht="14.4" thickTop="1" thickBot="1">
      <c r="C34" s="21" t="str">
        <f t="shared" ref="C34:AG34" si="10">LEFT(TEXT(C35&amp;"-"&amp;$B35&amp;"-"&amp;CurYear,"ddd"),2)</f>
        <v>We</v>
      </c>
      <c r="D34" s="21" t="str">
        <f t="shared" si="10"/>
        <v>Th</v>
      </c>
      <c r="E34" s="21" t="str">
        <f t="shared" si="10"/>
        <v>Fr</v>
      </c>
      <c r="F34" s="21" t="str">
        <f t="shared" si="10"/>
        <v>Sa</v>
      </c>
      <c r="G34" s="21" t="str">
        <f t="shared" si="10"/>
        <v>Su</v>
      </c>
      <c r="H34" s="21" t="str">
        <f t="shared" si="10"/>
        <v>Mo</v>
      </c>
      <c r="I34" s="21" t="str">
        <f t="shared" si="10"/>
        <v>Tu</v>
      </c>
      <c r="J34" s="21" t="str">
        <f t="shared" si="10"/>
        <v>We</v>
      </c>
      <c r="K34" s="21" t="str">
        <f t="shared" si="10"/>
        <v>Th</v>
      </c>
      <c r="L34" s="21" t="str">
        <f t="shared" si="10"/>
        <v>Fr</v>
      </c>
      <c r="M34" s="21" t="str">
        <f t="shared" si="10"/>
        <v>Sa</v>
      </c>
      <c r="N34" s="21" t="str">
        <f t="shared" si="10"/>
        <v>Su</v>
      </c>
      <c r="O34" s="21" t="str">
        <f t="shared" si="10"/>
        <v>Mo</v>
      </c>
      <c r="P34" s="21" t="str">
        <f t="shared" si="10"/>
        <v>Tu</v>
      </c>
      <c r="Q34" s="21" t="str">
        <f t="shared" si="10"/>
        <v>We</v>
      </c>
      <c r="R34" s="21" t="str">
        <f t="shared" si="10"/>
        <v>Th</v>
      </c>
      <c r="S34" s="21" t="str">
        <f t="shared" si="10"/>
        <v>Fr</v>
      </c>
      <c r="T34" s="21" t="str">
        <f t="shared" si="10"/>
        <v>Sa</v>
      </c>
      <c r="U34" s="21" t="str">
        <f t="shared" si="10"/>
        <v>Su</v>
      </c>
      <c r="V34" s="21" t="str">
        <f t="shared" si="10"/>
        <v>Mo</v>
      </c>
      <c r="W34" s="21" t="str">
        <f t="shared" si="10"/>
        <v>Tu</v>
      </c>
      <c r="X34" s="21" t="str">
        <f t="shared" si="10"/>
        <v>We</v>
      </c>
      <c r="Y34" s="21" t="str">
        <f t="shared" si="10"/>
        <v>Th</v>
      </c>
      <c r="Z34" s="21" t="str">
        <f t="shared" si="10"/>
        <v>Fr</v>
      </c>
      <c r="AA34" s="21" t="str">
        <f t="shared" si="10"/>
        <v>Sa</v>
      </c>
      <c r="AB34" s="21" t="str">
        <f t="shared" si="10"/>
        <v>Su</v>
      </c>
      <c r="AC34" s="21" t="str">
        <f t="shared" si="10"/>
        <v>Mo</v>
      </c>
      <c r="AD34" s="21" t="str">
        <f t="shared" si="10"/>
        <v>Tu</v>
      </c>
      <c r="AE34" s="21" t="str">
        <f t="shared" si="10"/>
        <v>We</v>
      </c>
      <c r="AF34" s="21" t="str">
        <f t="shared" si="10"/>
        <v>Th</v>
      </c>
      <c r="AG34" s="46" t="str">
        <f t="shared" si="10"/>
        <v>Fr</v>
      </c>
    </row>
    <row r="35" spans="2:33" ht="14.4" thickTop="1" thickBot="1">
      <c r="B35" s="32" t="str">
        <f>Roster!$C$179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2019</v>
      </c>
      <c r="C36" s="36" t="str">
        <f>Roster!D185</f>
        <v>.</v>
      </c>
      <c r="D36" s="37" t="str">
        <f>Roster!E185</f>
        <v>.</v>
      </c>
      <c r="E36" s="37" t="str">
        <f>Roster!F185</f>
        <v>.</v>
      </c>
      <c r="F36" s="37" t="str">
        <f>Roster!G185</f>
        <v>.</v>
      </c>
      <c r="G36" s="37" t="str">
        <f>Roster!H185</f>
        <v>.</v>
      </c>
      <c r="H36" s="37" t="str">
        <f>Roster!I185</f>
        <v>.</v>
      </c>
      <c r="I36" s="37" t="str">
        <f>Roster!J185</f>
        <v>.</v>
      </c>
      <c r="J36" s="37" t="str">
        <f>Roster!K185</f>
        <v>.</v>
      </c>
      <c r="K36" s="37" t="str">
        <f>Roster!L185</f>
        <v>.</v>
      </c>
      <c r="L36" s="37" t="str">
        <f>Roster!M185</f>
        <v>.</v>
      </c>
      <c r="M36" s="37" t="str">
        <f>Roster!N185</f>
        <v>.</v>
      </c>
      <c r="N36" s="37" t="str">
        <f>Roster!O185</f>
        <v>.</v>
      </c>
      <c r="O36" s="37" t="str">
        <f>Roster!P185</f>
        <v>.</v>
      </c>
      <c r="P36" s="37" t="str">
        <f>Roster!Q185</f>
        <v>.</v>
      </c>
      <c r="Q36" s="37" t="str">
        <f>Roster!R185</f>
        <v>.</v>
      </c>
      <c r="R36" s="37" t="str">
        <f>Roster!S185</f>
        <v>.</v>
      </c>
      <c r="S36" s="37" t="str">
        <f>Roster!T185</f>
        <v>.</v>
      </c>
      <c r="T36" s="37" t="str">
        <f>Roster!U185</f>
        <v>.</v>
      </c>
      <c r="U36" s="37" t="str">
        <f>Roster!V185</f>
        <v>.</v>
      </c>
      <c r="V36" s="37" t="str">
        <f>Roster!W185</f>
        <v>.</v>
      </c>
      <c r="W36" s="37" t="str">
        <f>Roster!X185</f>
        <v>.</v>
      </c>
      <c r="X36" s="37" t="str">
        <f>Roster!Y185</f>
        <v>.</v>
      </c>
      <c r="Y36" s="37" t="str">
        <f>Roster!Z185</f>
        <v>.</v>
      </c>
      <c r="Z36" s="37" t="str">
        <f>Roster!AA185</f>
        <v>.</v>
      </c>
      <c r="AA36" s="37" t="str">
        <f>Roster!AB185</f>
        <v>.</v>
      </c>
      <c r="AB36" s="37" t="str">
        <f>Roster!AC185</f>
        <v>.</v>
      </c>
      <c r="AC36" s="37" t="str">
        <f>Roster!AD185</f>
        <v>.</v>
      </c>
      <c r="AD36" s="37" t="str">
        <f>Roster!AE185</f>
        <v>.</v>
      </c>
      <c r="AE36" s="37" t="str">
        <f>Roster!AF185</f>
        <v>.</v>
      </c>
      <c r="AF36" s="37" t="str">
        <f>Roster!AG185</f>
        <v>.</v>
      </c>
      <c r="AG36" s="38" t="str">
        <f>Roster!AH185</f>
        <v>.</v>
      </c>
    </row>
    <row r="37" spans="2:33" ht="14.4" thickTop="1" thickBot="1">
      <c r="C37" s="21" t="str">
        <f t="shared" ref="C37:AF37" si="11">LEFT(TEXT(C38&amp;"-"&amp;$B38&amp;"-"&amp;CurYear,"ddd"),2)</f>
        <v>Sa</v>
      </c>
      <c r="D37" s="21" t="str">
        <f t="shared" si="11"/>
        <v>Su</v>
      </c>
      <c r="E37" s="21" t="str">
        <f t="shared" si="11"/>
        <v>Mo</v>
      </c>
      <c r="F37" s="21" t="str">
        <f t="shared" si="11"/>
        <v>Tu</v>
      </c>
      <c r="G37" s="21" t="str">
        <f t="shared" si="11"/>
        <v>We</v>
      </c>
      <c r="H37" s="21" t="str">
        <f t="shared" si="11"/>
        <v>Th</v>
      </c>
      <c r="I37" s="21" t="str">
        <f t="shared" si="11"/>
        <v>Fr</v>
      </c>
      <c r="J37" s="21" t="str">
        <f t="shared" si="11"/>
        <v>Sa</v>
      </c>
      <c r="K37" s="21" t="str">
        <f t="shared" si="11"/>
        <v>Su</v>
      </c>
      <c r="L37" s="21" t="str">
        <f t="shared" si="11"/>
        <v>Mo</v>
      </c>
      <c r="M37" s="21" t="str">
        <f t="shared" si="11"/>
        <v>Tu</v>
      </c>
      <c r="N37" s="21" t="str">
        <f t="shared" si="11"/>
        <v>We</v>
      </c>
      <c r="O37" s="21" t="str">
        <f t="shared" si="11"/>
        <v>Th</v>
      </c>
      <c r="P37" s="21" t="str">
        <f t="shared" si="11"/>
        <v>Fr</v>
      </c>
      <c r="Q37" s="21" t="str">
        <f t="shared" si="11"/>
        <v>Sa</v>
      </c>
      <c r="R37" s="21" t="str">
        <f t="shared" si="11"/>
        <v>Su</v>
      </c>
      <c r="S37" s="21" t="str">
        <f t="shared" si="11"/>
        <v>Mo</v>
      </c>
      <c r="T37" s="21" t="str">
        <f t="shared" si="11"/>
        <v>Tu</v>
      </c>
      <c r="U37" s="21" t="str">
        <f t="shared" si="11"/>
        <v>We</v>
      </c>
      <c r="V37" s="21" t="str">
        <f t="shared" si="11"/>
        <v>Th</v>
      </c>
      <c r="W37" s="21" t="str">
        <f t="shared" si="11"/>
        <v>Fr</v>
      </c>
      <c r="X37" s="21" t="str">
        <f t="shared" si="11"/>
        <v>Sa</v>
      </c>
      <c r="Y37" s="21" t="str">
        <f t="shared" si="11"/>
        <v>Su</v>
      </c>
      <c r="Z37" s="21" t="str">
        <f t="shared" si="11"/>
        <v>Mo</v>
      </c>
      <c r="AA37" s="21" t="str">
        <f t="shared" si="11"/>
        <v>Tu</v>
      </c>
      <c r="AB37" s="21" t="str">
        <f t="shared" si="11"/>
        <v>We</v>
      </c>
      <c r="AC37" s="21" t="str">
        <f t="shared" si="11"/>
        <v>Th</v>
      </c>
      <c r="AD37" s="21" t="str">
        <f t="shared" si="11"/>
        <v>Fr</v>
      </c>
      <c r="AE37" s="21" t="str">
        <f t="shared" si="11"/>
        <v>Sa</v>
      </c>
      <c r="AF37" s="21" t="str">
        <f t="shared" si="11"/>
        <v>Su</v>
      </c>
      <c r="AG37" s="17"/>
    </row>
    <row r="38" spans="2:33" ht="14.4" thickTop="1" thickBot="1">
      <c r="B38" s="32" t="str">
        <f>Roster!C194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2019</v>
      </c>
      <c r="C39" s="36" t="str">
        <f>Roster!D200</f>
        <v>.</v>
      </c>
      <c r="D39" s="37" t="str">
        <f>Roster!E200</f>
        <v>.</v>
      </c>
      <c r="E39" s="37" t="str">
        <f>Roster!F200</f>
        <v>.</v>
      </c>
      <c r="F39" s="37" t="str">
        <f>Roster!G200</f>
        <v>.</v>
      </c>
      <c r="G39" s="37" t="str">
        <f>Roster!H200</f>
        <v>.</v>
      </c>
      <c r="H39" s="37" t="str">
        <f>Roster!I200</f>
        <v>.</v>
      </c>
      <c r="I39" s="37" t="str">
        <f>Roster!J200</f>
        <v>.</v>
      </c>
      <c r="J39" s="37" t="str">
        <f>Roster!K200</f>
        <v>.</v>
      </c>
      <c r="K39" s="37" t="str">
        <f>Roster!L200</f>
        <v>.</v>
      </c>
      <c r="L39" s="37" t="str">
        <f>Roster!M200</f>
        <v>.</v>
      </c>
      <c r="M39" s="37" t="str">
        <f>Roster!N200</f>
        <v>.</v>
      </c>
      <c r="N39" s="37" t="str">
        <f>Roster!O200</f>
        <v>.</v>
      </c>
      <c r="O39" s="37" t="str">
        <f>Roster!P200</f>
        <v>.</v>
      </c>
      <c r="P39" s="37" t="str">
        <f>Roster!Q200</f>
        <v>.</v>
      </c>
      <c r="Q39" s="37" t="str">
        <f>Roster!R200</f>
        <v>.</v>
      </c>
      <c r="R39" s="37" t="str">
        <f>Roster!S200</f>
        <v>.</v>
      </c>
      <c r="S39" s="37" t="str">
        <f>Roster!T200</f>
        <v>.</v>
      </c>
      <c r="T39" s="37" t="str">
        <f>Roster!U200</f>
        <v>.</v>
      </c>
      <c r="U39" s="37" t="str">
        <f>Roster!V200</f>
        <v>.</v>
      </c>
      <c r="V39" s="37" t="str">
        <f>Roster!W200</f>
        <v>.</v>
      </c>
      <c r="W39" s="37" t="str">
        <f>Roster!X200</f>
        <v>.</v>
      </c>
      <c r="X39" s="37" t="str">
        <f>Roster!Y200</f>
        <v>.</v>
      </c>
      <c r="Y39" s="37" t="str">
        <f>Roster!Z200</f>
        <v>.</v>
      </c>
      <c r="Z39" s="37" t="str">
        <f>Roster!AA200</f>
        <v>.</v>
      </c>
      <c r="AA39" s="37" t="str">
        <f>Roster!AB200</f>
        <v>.</v>
      </c>
      <c r="AB39" s="37" t="str">
        <f>Roster!AC200</f>
        <v>.</v>
      </c>
      <c r="AC39" s="37" t="str">
        <f>Roster!AD200</f>
        <v>.</v>
      </c>
      <c r="AD39" s="37" t="str">
        <f>Roster!AE200</f>
        <v>.</v>
      </c>
      <c r="AE39" s="37" t="str">
        <f>Roster!AF200</f>
        <v>.</v>
      </c>
      <c r="AF39" s="38" t="str">
        <f>Roster!AG200</f>
        <v>.</v>
      </c>
    </row>
    <row r="40" spans="2:33" ht="13.8" thickTop="1"/>
  </sheetData>
  <sheetProtection sheet="1" objects="1" scenarios="1" selectLockedCells="1"/>
  <customSheetViews>
    <customSheetView guid="{9CC23DA7-DD7F-416D-ABE1-6A68EF4528AC}" scale="91" showGridLines="0" showRowCol="0" zeroValues="0" showRuler="0" topLeftCell="B2">
      <selection activeCell="B2" sqref="B2:AG39"/>
    </customSheetView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7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8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8" t="str">
        <f xml:space="preserve"> "Financial Year Commencing 1st July, " &amp; CurYear -1</f>
        <v>Financial Year Commencing 1st July, 2018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30" customFormat="1" ht="27" customHeight="1">
      <c r="B3" s="140"/>
      <c r="I3" s="142" t="s">
        <v>25</v>
      </c>
      <c r="R3" s="142" t="str">
        <f>EmpGName07 &amp;" " &amp; EmpSName07</f>
        <v>Troy Sorensen</v>
      </c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</row>
    <row r="4" spans="2:33" ht="13.8" thickBot="1">
      <c r="C4" s="28" t="str">
        <f t="shared" ref="C4:AG4" si="0">LEFT(TEXT(C5&amp;"-"&amp;$B5&amp;"-"&amp;CurYear-1,"ddd"),2)</f>
        <v>Su</v>
      </c>
      <c r="D4" s="28" t="str">
        <f t="shared" si="0"/>
        <v>Mo</v>
      </c>
      <c r="E4" s="28" t="str">
        <f t="shared" si="0"/>
        <v>Tu</v>
      </c>
      <c r="F4" s="28" t="str">
        <f t="shared" si="0"/>
        <v>We</v>
      </c>
      <c r="G4" s="28" t="str">
        <f t="shared" si="0"/>
        <v>Th</v>
      </c>
      <c r="H4" s="28" t="str">
        <f t="shared" si="0"/>
        <v>Fr</v>
      </c>
      <c r="I4" s="28" t="str">
        <f t="shared" si="0"/>
        <v>Sa</v>
      </c>
      <c r="J4" s="28" t="str">
        <f t="shared" si="0"/>
        <v>Su</v>
      </c>
      <c r="K4" s="28" t="str">
        <f t="shared" si="0"/>
        <v>Mo</v>
      </c>
      <c r="L4" s="28" t="str">
        <f t="shared" si="0"/>
        <v>Tu</v>
      </c>
      <c r="M4" s="28" t="str">
        <f t="shared" si="0"/>
        <v>We</v>
      </c>
      <c r="N4" s="28" t="str">
        <f t="shared" si="0"/>
        <v>Th</v>
      </c>
      <c r="O4" s="28" t="str">
        <f t="shared" si="0"/>
        <v>Fr</v>
      </c>
      <c r="P4" s="28" t="str">
        <f t="shared" si="0"/>
        <v>Sa</v>
      </c>
      <c r="Q4" s="28" t="str">
        <f t="shared" si="0"/>
        <v>Su</v>
      </c>
      <c r="R4" s="28" t="str">
        <f t="shared" si="0"/>
        <v>Mo</v>
      </c>
      <c r="S4" s="28" t="str">
        <f t="shared" si="0"/>
        <v>Tu</v>
      </c>
      <c r="T4" s="28" t="str">
        <f t="shared" si="0"/>
        <v>We</v>
      </c>
      <c r="U4" s="28" t="str">
        <f t="shared" si="0"/>
        <v>Th</v>
      </c>
      <c r="V4" s="28" t="str">
        <f t="shared" si="0"/>
        <v>Fr</v>
      </c>
      <c r="W4" s="28" t="str">
        <f t="shared" si="0"/>
        <v>Sa</v>
      </c>
      <c r="X4" s="28" t="str">
        <f t="shared" si="0"/>
        <v>Su</v>
      </c>
      <c r="Y4" s="28" t="str">
        <f t="shared" si="0"/>
        <v>Mo</v>
      </c>
      <c r="Z4" s="28" t="str">
        <f t="shared" si="0"/>
        <v>Tu</v>
      </c>
      <c r="AA4" s="28" t="str">
        <f t="shared" si="0"/>
        <v>We</v>
      </c>
      <c r="AB4" s="28" t="str">
        <f t="shared" si="0"/>
        <v>Th</v>
      </c>
      <c r="AC4" s="28" t="str">
        <f t="shared" si="0"/>
        <v>Fr</v>
      </c>
      <c r="AD4" s="28" t="str">
        <f t="shared" si="0"/>
        <v>Sa</v>
      </c>
      <c r="AE4" s="28" t="str">
        <f t="shared" si="0"/>
        <v>Su</v>
      </c>
      <c r="AF4" s="28" t="str">
        <f t="shared" si="0"/>
        <v>Mo</v>
      </c>
      <c r="AG4" s="20" t="str">
        <f t="shared" si="0"/>
        <v>Tu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2018</v>
      </c>
      <c r="C6" s="36" t="str">
        <f>Roster!D20</f>
        <v>.</v>
      </c>
      <c r="D6" s="37" t="str">
        <f>Roster!E20</f>
        <v>.</v>
      </c>
      <c r="E6" s="37" t="str">
        <f>Roster!F20</f>
        <v>.</v>
      </c>
      <c r="F6" s="37" t="str">
        <f>Roster!G20</f>
        <v>.</v>
      </c>
      <c r="G6" s="37" t="str">
        <f>Roster!H20</f>
        <v>.</v>
      </c>
      <c r="H6" s="37" t="str">
        <f>Roster!I20</f>
        <v>.</v>
      </c>
      <c r="I6" s="37" t="str">
        <f>Roster!J20</f>
        <v>.</v>
      </c>
      <c r="J6" s="37" t="str">
        <f>Roster!K20</f>
        <v>.</v>
      </c>
      <c r="K6" s="37" t="str">
        <f>Roster!L20</f>
        <v>.</v>
      </c>
      <c r="L6" s="37" t="str">
        <f>Roster!M20</f>
        <v>.</v>
      </c>
      <c r="M6" s="37" t="str">
        <f>Roster!N20</f>
        <v>.</v>
      </c>
      <c r="N6" s="37" t="str">
        <f>Roster!O20</f>
        <v>.</v>
      </c>
      <c r="O6" s="37" t="str">
        <f>Roster!P20</f>
        <v>.</v>
      </c>
      <c r="P6" s="37" t="str">
        <f>Roster!Q20</f>
        <v>.</v>
      </c>
      <c r="Q6" s="37" t="str">
        <f>Roster!R20</f>
        <v>.</v>
      </c>
      <c r="R6" s="37" t="str">
        <f>Roster!S20</f>
        <v>.</v>
      </c>
      <c r="S6" s="37" t="str">
        <f>Roster!T20</f>
        <v>.</v>
      </c>
      <c r="T6" s="37" t="str">
        <f>Roster!U20</f>
        <v>.</v>
      </c>
      <c r="U6" s="37" t="str">
        <f>Roster!V20</f>
        <v>.</v>
      </c>
      <c r="V6" s="37" t="str">
        <f>Roster!W20</f>
        <v>.</v>
      </c>
      <c r="W6" s="37" t="str">
        <f>Roster!X20</f>
        <v>.</v>
      </c>
      <c r="X6" s="37" t="str">
        <f>Roster!Y20</f>
        <v>.</v>
      </c>
      <c r="Y6" s="37" t="str">
        <f>Roster!Z20</f>
        <v>.</v>
      </c>
      <c r="Z6" s="37" t="str">
        <f>Roster!AA20</f>
        <v>.</v>
      </c>
      <c r="AA6" s="37" t="str">
        <f>Roster!AB20</f>
        <v>.</v>
      </c>
      <c r="AB6" s="37" t="str">
        <f>Roster!AC20</f>
        <v>.</v>
      </c>
      <c r="AC6" s="37" t="str">
        <f>Roster!AD20</f>
        <v>.</v>
      </c>
      <c r="AD6" s="37" t="str">
        <f>Roster!AE20</f>
        <v>.</v>
      </c>
      <c r="AE6" s="37" t="str">
        <f>Roster!AF20</f>
        <v>.</v>
      </c>
      <c r="AF6" s="37" t="str">
        <f>Roster!AG20</f>
        <v>.</v>
      </c>
      <c r="AG6" s="38" t="str">
        <f>Roster!AH20</f>
        <v>.</v>
      </c>
    </row>
    <row r="7" spans="2:33" ht="14.4" thickTop="1" thickBot="1">
      <c r="C7" s="21" t="str">
        <f t="shared" ref="C7:AG7" si="1">LEFT(TEXT(C8&amp;"-"&amp;$B8&amp;"-"&amp;CurYear-1,"ddd"),2)</f>
        <v>We</v>
      </c>
      <c r="D7" s="21" t="str">
        <f t="shared" si="1"/>
        <v>Th</v>
      </c>
      <c r="E7" s="21" t="str">
        <f t="shared" si="1"/>
        <v>Fr</v>
      </c>
      <c r="F7" s="21" t="str">
        <f t="shared" si="1"/>
        <v>Sa</v>
      </c>
      <c r="G7" s="21" t="str">
        <f t="shared" si="1"/>
        <v>Su</v>
      </c>
      <c r="H7" s="21" t="str">
        <f t="shared" si="1"/>
        <v>Mo</v>
      </c>
      <c r="I7" s="21" t="str">
        <f t="shared" si="1"/>
        <v>Tu</v>
      </c>
      <c r="J7" s="21" t="str">
        <f t="shared" si="1"/>
        <v>We</v>
      </c>
      <c r="K7" s="21" t="str">
        <f t="shared" si="1"/>
        <v>Th</v>
      </c>
      <c r="L7" s="21" t="str">
        <f t="shared" si="1"/>
        <v>Fr</v>
      </c>
      <c r="M7" s="21" t="str">
        <f t="shared" si="1"/>
        <v>Sa</v>
      </c>
      <c r="N7" s="21" t="str">
        <f t="shared" si="1"/>
        <v>Su</v>
      </c>
      <c r="O7" s="21" t="str">
        <f t="shared" si="1"/>
        <v>Mo</v>
      </c>
      <c r="P7" s="21" t="str">
        <f t="shared" si="1"/>
        <v>Tu</v>
      </c>
      <c r="Q7" s="21" t="str">
        <f t="shared" si="1"/>
        <v>We</v>
      </c>
      <c r="R7" s="21" t="str">
        <f t="shared" si="1"/>
        <v>Th</v>
      </c>
      <c r="S7" s="21" t="str">
        <f t="shared" si="1"/>
        <v>Fr</v>
      </c>
      <c r="T7" s="21" t="str">
        <f t="shared" si="1"/>
        <v>Sa</v>
      </c>
      <c r="U7" s="21" t="str">
        <f t="shared" si="1"/>
        <v>Su</v>
      </c>
      <c r="V7" s="21" t="str">
        <f t="shared" si="1"/>
        <v>Mo</v>
      </c>
      <c r="W7" s="21" t="str">
        <f t="shared" si="1"/>
        <v>Tu</v>
      </c>
      <c r="X7" s="21" t="str">
        <f t="shared" si="1"/>
        <v>We</v>
      </c>
      <c r="Y7" s="21" t="str">
        <f t="shared" si="1"/>
        <v>Th</v>
      </c>
      <c r="Z7" s="21" t="str">
        <f t="shared" si="1"/>
        <v>Fr</v>
      </c>
      <c r="AA7" s="21" t="str">
        <f t="shared" si="1"/>
        <v>Sa</v>
      </c>
      <c r="AB7" s="21" t="str">
        <f t="shared" si="1"/>
        <v>Su</v>
      </c>
      <c r="AC7" s="21" t="str">
        <f t="shared" si="1"/>
        <v>Mo</v>
      </c>
      <c r="AD7" s="21" t="str">
        <f t="shared" si="1"/>
        <v>Tu</v>
      </c>
      <c r="AE7" s="21" t="str">
        <f t="shared" si="1"/>
        <v>We</v>
      </c>
      <c r="AF7" s="21" t="str">
        <f t="shared" si="1"/>
        <v>Th</v>
      </c>
      <c r="AG7" s="21" t="str">
        <f t="shared" si="1"/>
        <v>Fr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2018</v>
      </c>
      <c r="C9" s="36" t="str">
        <f>Roster!D51</f>
        <v>.</v>
      </c>
      <c r="D9" s="39" t="str">
        <f>Roster!E51</f>
        <v>.</v>
      </c>
      <c r="E9" s="37" t="str">
        <f>Roster!F51</f>
        <v>.</v>
      </c>
      <c r="F9" s="37" t="str">
        <f>Roster!G51</f>
        <v>.</v>
      </c>
      <c r="G9" s="37" t="str">
        <f>Roster!H51</f>
        <v>.</v>
      </c>
      <c r="H9" s="37" t="str">
        <f>Roster!I51</f>
        <v>.</v>
      </c>
      <c r="I9" s="37" t="str">
        <f>Roster!J51</f>
        <v>.</v>
      </c>
      <c r="J9" s="37" t="str">
        <f>Roster!K51</f>
        <v>.</v>
      </c>
      <c r="K9" s="37" t="str">
        <f>Roster!L51</f>
        <v>.</v>
      </c>
      <c r="L9" s="37" t="str">
        <f>Roster!M51</f>
        <v>.</v>
      </c>
      <c r="M9" s="37" t="str">
        <f>Roster!N51</f>
        <v>.</v>
      </c>
      <c r="N9" s="37" t="str">
        <f>Roster!O51</f>
        <v>.</v>
      </c>
      <c r="O9" s="37" t="str">
        <f>Roster!P51</f>
        <v>.</v>
      </c>
      <c r="P9" s="37" t="str">
        <f>Roster!Q51</f>
        <v>.</v>
      </c>
      <c r="Q9" s="37" t="str">
        <f>Roster!R51</f>
        <v>.</v>
      </c>
      <c r="R9" s="37" t="str">
        <f>Roster!S51</f>
        <v>.</v>
      </c>
      <c r="S9" s="37" t="str">
        <f>Roster!T51</f>
        <v>.</v>
      </c>
      <c r="T9" s="37" t="str">
        <f>Roster!U51</f>
        <v>.</v>
      </c>
      <c r="U9" s="37" t="str">
        <f>Roster!V51</f>
        <v>.</v>
      </c>
      <c r="V9" s="37" t="str">
        <f>Roster!W51</f>
        <v>.</v>
      </c>
      <c r="W9" s="37" t="str">
        <f>Roster!X51</f>
        <v>.</v>
      </c>
      <c r="X9" s="37" t="str">
        <f>Roster!Y51</f>
        <v>.</v>
      </c>
      <c r="Y9" s="37" t="str">
        <f>Roster!Z51</f>
        <v>.</v>
      </c>
      <c r="Z9" s="37" t="str">
        <f>Roster!AA51</f>
        <v>.</v>
      </c>
      <c r="AA9" s="37" t="str">
        <f>Roster!AB51</f>
        <v>.</v>
      </c>
      <c r="AB9" s="37" t="str">
        <f>Roster!AC51</f>
        <v>.</v>
      </c>
      <c r="AC9" s="37" t="str">
        <f>Roster!AD51</f>
        <v>.</v>
      </c>
      <c r="AD9" s="37" t="str">
        <f>Roster!AE51</f>
        <v>.</v>
      </c>
      <c r="AE9" s="37" t="str">
        <f>Roster!AF51</f>
        <v>.</v>
      </c>
      <c r="AF9" s="37" t="str">
        <f>Roster!AG51</f>
        <v>.</v>
      </c>
      <c r="AG9" s="38" t="str">
        <f>Roster!AH51</f>
        <v>.</v>
      </c>
    </row>
    <row r="10" spans="2:33" ht="14.4" thickTop="1" thickBot="1">
      <c r="C10" s="21" t="str">
        <f t="shared" ref="C10:AF10" si="2">LEFT(TEXT(C11&amp;"-"&amp;$B11&amp;"-"&amp;CurYear-1,"ddd"),2)</f>
        <v>Sa</v>
      </c>
      <c r="D10" s="21" t="str">
        <f t="shared" si="2"/>
        <v>Su</v>
      </c>
      <c r="E10" s="21" t="str">
        <f t="shared" si="2"/>
        <v>Mo</v>
      </c>
      <c r="F10" s="21" t="str">
        <f t="shared" si="2"/>
        <v>Tu</v>
      </c>
      <c r="G10" s="21" t="str">
        <f t="shared" si="2"/>
        <v>We</v>
      </c>
      <c r="H10" s="21" t="str">
        <f t="shared" si="2"/>
        <v>Th</v>
      </c>
      <c r="I10" s="21" t="str">
        <f t="shared" si="2"/>
        <v>Fr</v>
      </c>
      <c r="J10" s="21" t="str">
        <f t="shared" si="2"/>
        <v>Sa</v>
      </c>
      <c r="K10" s="21" t="str">
        <f t="shared" si="2"/>
        <v>Su</v>
      </c>
      <c r="L10" s="21" t="str">
        <f t="shared" si="2"/>
        <v>Mo</v>
      </c>
      <c r="M10" s="21" t="str">
        <f t="shared" si="2"/>
        <v>Tu</v>
      </c>
      <c r="N10" s="21" t="str">
        <f t="shared" si="2"/>
        <v>We</v>
      </c>
      <c r="O10" s="21" t="str">
        <f t="shared" si="2"/>
        <v>Th</v>
      </c>
      <c r="P10" s="21" t="str">
        <f t="shared" si="2"/>
        <v>Fr</v>
      </c>
      <c r="Q10" s="21" t="str">
        <f t="shared" si="2"/>
        <v>Sa</v>
      </c>
      <c r="R10" s="21" t="str">
        <f t="shared" si="2"/>
        <v>Su</v>
      </c>
      <c r="S10" s="21" t="str">
        <f t="shared" si="2"/>
        <v>Mo</v>
      </c>
      <c r="T10" s="21" t="str">
        <f t="shared" si="2"/>
        <v>Tu</v>
      </c>
      <c r="U10" s="21" t="str">
        <f t="shared" si="2"/>
        <v>We</v>
      </c>
      <c r="V10" s="21" t="str">
        <f t="shared" si="2"/>
        <v>Th</v>
      </c>
      <c r="W10" s="21" t="str">
        <f t="shared" si="2"/>
        <v>Fr</v>
      </c>
      <c r="X10" s="21" t="str">
        <f t="shared" si="2"/>
        <v>Sa</v>
      </c>
      <c r="Y10" s="21" t="str">
        <f t="shared" si="2"/>
        <v>Su</v>
      </c>
      <c r="Z10" s="21" t="str">
        <f t="shared" si="2"/>
        <v>Mo</v>
      </c>
      <c r="AA10" s="21" t="str">
        <f t="shared" si="2"/>
        <v>Tu</v>
      </c>
      <c r="AB10" s="21" t="str">
        <f t="shared" si="2"/>
        <v>We</v>
      </c>
      <c r="AC10" s="21" t="str">
        <f t="shared" si="2"/>
        <v>Th</v>
      </c>
      <c r="AD10" s="21" t="str">
        <f t="shared" si="2"/>
        <v>Fr</v>
      </c>
      <c r="AE10" s="21" t="str">
        <f t="shared" si="2"/>
        <v>Sa</v>
      </c>
      <c r="AF10" s="21" t="str">
        <f t="shared" si="2"/>
        <v>Su</v>
      </c>
      <c r="AG10" s="17"/>
    </row>
    <row r="11" spans="2:33" ht="14.4" thickTop="1" thickBot="1">
      <c r="B11" s="32" t="str">
        <f>Roster!C59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2018</v>
      </c>
      <c r="C12" s="36" t="str">
        <f>Roster!D66</f>
        <v>.</v>
      </c>
      <c r="D12" s="37" t="str">
        <f>Roster!E66</f>
        <v>.</v>
      </c>
      <c r="E12" s="37" t="str">
        <f>Roster!F66</f>
        <v>.</v>
      </c>
      <c r="F12" s="37" t="str">
        <f>Roster!G66</f>
        <v>.</v>
      </c>
      <c r="G12" s="37" t="str">
        <f>Roster!H66</f>
        <v>.</v>
      </c>
      <c r="H12" s="37" t="str">
        <f>Roster!I66</f>
        <v>.</v>
      </c>
      <c r="I12" s="37" t="str">
        <f>Roster!J66</f>
        <v>.</v>
      </c>
      <c r="J12" s="37" t="str">
        <f>Roster!K66</f>
        <v>.</v>
      </c>
      <c r="K12" s="37" t="str">
        <f>Roster!L66</f>
        <v>.</v>
      </c>
      <c r="L12" s="37" t="str">
        <f>Roster!M66</f>
        <v>.</v>
      </c>
      <c r="M12" s="37" t="str">
        <f>Roster!N66</f>
        <v>.</v>
      </c>
      <c r="N12" s="37" t="str">
        <f>Roster!O66</f>
        <v>.</v>
      </c>
      <c r="O12" s="37" t="str">
        <f>Roster!P66</f>
        <v>.</v>
      </c>
      <c r="P12" s="37" t="str">
        <f>Roster!Q66</f>
        <v>.</v>
      </c>
      <c r="Q12" s="37" t="str">
        <f>Roster!R66</f>
        <v>.</v>
      </c>
      <c r="R12" s="37" t="str">
        <f>Roster!S66</f>
        <v>.</v>
      </c>
      <c r="S12" s="37" t="str">
        <f>Roster!T66</f>
        <v>.</v>
      </c>
      <c r="T12" s="37" t="str">
        <f>Roster!U66</f>
        <v>.</v>
      </c>
      <c r="U12" s="37" t="str">
        <f>Roster!V66</f>
        <v>.</v>
      </c>
      <c r="V12" s="37" t="str">
        <f>Roster!W66</f>
        <v>.</v>
      </c>
      <c r="W12" s="37" t="str">
        <f>Roster!X66</f>
        <v>.</v>
      </c>
      <c r="X12" s="37" t="str">
        <f>Roster!Y66</f>
        <v>.</v>
      </c>
      <c r="Y12" s="37" t="str">
        <f>Roster!Z66</f>
        <v>.</v>
      </c>
      <c r="Z12" s="37" t="str">
        <f>Roster!AA66</f>
        <v>.</v>
      </c>
      <c r="AA12" s="37" t="str">
        <f>Roster!AB66</f>
        <v>.</v>
      </c>
      <c r="AB12" s="37" t="str">
        <f>Roster!AC66</f>
        <v>.</v>
      </c>
      <c r="AC12" s="37" t="str">
        <f>Roster!AD66</f>
        <v>.</v>
      </c>
      <c r="AD12" s="37" t="str">
        <f>Roster!AE66</f>
        <v>.</v>
      </c>
      <c r="AE12" s="37" t="str">
        <f>Roster!AF66</f>
        <v>.</v>
      </c>
      <c r="AF12" s="38" t="str">
        <f>Roster!AG66</f>
        <v>.</v>
      </c>
    </row>
    <row r="13" spans="2:33" ht="14.4" thickTop="1" thickBot="1">
      <c r="C13" s="21" t="str">
        <f t="shared" ref="C13:AG13" si="3">LEFT(TEXT(C14&amp;"-"&amp;$B14&amp;"-"&amp;CurYear-1,"ddd"),2)</f>
        <v>Mo</v>
      </c>
      <c r="D13" s="21" t="str">
        <f t="shared" si="3"/>
        <v>Tu</v>
      </c>
      <c r="E13" s="21" t="str">
        <f t="shared" si="3"/>
        <v>We</v>
      </c>
      <c r="F13" s="21" t="str">
        <f t="shared" si="3"/>
        <v>Th</v>
      </c>
      <c r="G13" s="21" t="str">
        <f t="shared" si="3"/>
        <v>Fr</v>
      </c>
      <c r="H13" s="21" t="str">
        <f t="shared" si="3"/>
        <v>Sa</v>
      </c>
      <c r="I13" s="21" t="str">
        <f t="shared" si="3"/>
        <v>Su</v>
      </c>
      <c r="J13" s="21" t="str">
        <f t="shared" si="3"/>
        <v>Mo</v>
      </c>
      <c r="K13" s="21" t="str">
        <f t="shared" si="3"/>
        <v>Tu</v>
      </c>
      <c r="L13" s="21" t="str">
        <f t="shared" si="3"/>
        <v>We</v>
      </c>
      <c r="M13" s="21" t="str">
        <f t="shared" si="3"/>
        <v>Th</v>
      </c>
      <c r="N13" s="21" t="str">
        <f t="shared" si="3"/>
        <v>Fr</v>
      </c>
      <c r="O13" s="21" t="str">
        <f t="shared" si="3"/>
        <v>Sa</v>
      </c>
      <c r="P13" s="21" t="str">
        <f t="shared" si="3"/>
        <v>Su</v>
      </c>
      <c r="Q13" s="21" t="str">
        <f t="shared" si="3"/>
        <v>Mo</v>
      </c>
      <c r="R13" s="21" t="str">
        <f t="shared" si="3"/>
        <v>Tu</v>
      </c>
      <c r="S13" s="21" t="str">
        <f t="shared" si="3"/>
        <v>We</v>
      </c>
      <c r="T13" s="21" t="str">
        <f t="shared" si="3"/>
        <v>Th</v>
      </c>
      <c r="U13" s="21" t="str">
        <f t="shared" si="3"/>
        <v>Fr</v>
      </c>
      <c r="V13" s="21" t="str">
        <f t="shared" si="3"/>
        <v>Sa</v>
      </c>
      <c r="W13" s="21" t="str">
        <f t="shared" si="3"/>
        <v>Su</v>
      </c>
      <c r="X13" s="21" t="str">
        <f t="shared" si="3"/>
        <v>Mo</v>
      </c>
      <c r="Y13" s="21" t="str">
        <f t="shared" si="3"/>
        <v>Tu</v>
      </c>
      <c r="Z13" s="21" t="str">
        <f t="shared" si="3"/>
        <v>We</v>
      </c>
      <c r="AA13" s="21" t="str">
        <f t="shared" si="3"/>
        <v>Th</v>
      </c>
      <c r="AB13" s="21" t="str">
        <f t="shared" si="3"/>
        <v>Fr</v>
      </c>
      <c r="AC13" s="21" t="str">
        <f t="shared" si="3"/>
        <v>Sa</v>
      </c>
      <c r="AD13" s="21" t="str">
        <f t="shared" si="3"/>
        <v>Su</v>
      </c>
      <c r="AE13" s="21" t="str">
        <f t="shared" si="3"/>
        <v>Mo</v>
      </c>
      <c r="AF13" s="21" t="str">
        <f t="shared" si="3"/>
        <v>Tu</v>
      </c>
      <c r="AG13" s="20" t="str">
        <f t="shared" si="3"/>
        <v>We</v>
      </c>
    </row>
    <row r="14" spans="2:33" ht="14.4" thickTop="1" thickBot="1">
      <c r="B14" s="32" t="str">
        <f>Roster!C74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2018</v>
      </c>
      <c r="C15" s="36" t="str">
        <f>Roster!D81</f>
        <v>.</v>
      </c>
      <c r="D15" s="37" t="str">
        <f>Roster!E81</f>
        <v>.</v>
      </c>
      <c r="E15" s="37" t="str">
        <f>Roster!F81</f>
        <v>.</v>
      </c>
      <c r="F15" s="37" t="str">
        <f>Roster!G81</f>
        <v>.</v>
      </c>
      <c r="G15" s="37" t="str">
        <f>Roster!H81</f>
        <v>.</v>
      </c>
      <c r="H15" s="37" t="str">
        <f>Roster!I81</f>
        <v>.</v>
      </c>
      <c r="I15" s="37" t="str">
        <f>Roster!J81</f>
        <v>.</v>
      </c>
      <c r="J15" s="37" t="str">
        <f>Roster!K81</f>
        <v>.</v>
      </c>
      <c r="K15" s="37" t="str">
        <f>Roster!L81</f>
        <v>.</v>
      </c>
      <c r="L15" s="37" t="str">
        <f>Roster!M81</f>
        <v>.</v>
      </c>
      <c r="M15" s="37" t="str">
        <f>Roster!N81</f>
        <v>.</v>
      </c>
      <c r="N15" s="37" t="str">
        <f>Roster!O81</f>
        <v>.</v>
      </c>
      <c r="O15" s="37" t="str">
        <f>Roster!P81</f>
        <v>.</v>
      </c>
      <c r="P15" s="37" t="str">
        <f>Roster!Q81</f>
        <v>.</v>
      </c>
      <c r="Q15" s="37" t="str">
        <f>Roster!R81</f>
        <v>.</v>
      </c>
      <c r="R15" s="37" t="str">
        <f>Roster!S81</f>
        <v>.</v>
      </c>
      <c r="S15" s="37" t="str">
        <f>Roster!T81</f>
        <v>.</v>
      </c>
      <c r="T15" s="37" t="str">
        <f>Roster!U81</f>
        <v>.</v>
      </c>
      <c r="U15" s="37" t="str">
        <f>Roster!V81</f>
        <v>.</v>
      </c>
      <c r="V15" s="37" t="str">
        <f>Roster!W81</f>
        <v>.</v>
      </c>
      <c r="W15" s="37" t="str">
        <f>Roster!X81</f>
        <v>.</v>
      </c>
      <c r="X15" s="37" t="str">
        <f>Roster!Y81</f>
        <v>.</v>
      </c>
      <c r="Y15" s="37" t="str">
        <f>Roster!Z81</f>
        <v>.</v>
      </c>
      <c r="Z15" s="37" t="str">
        <f>Roster!AA81</f>
        <v>.</v>
      </c>
      <c r="AA15" s="37" t="str">
        <f>Roster!AB81</f>
        <v>.</v>
      </c>
      <c r="AB15" s="37" t="str">
        <f>Roster!AC81</f>
        <v>.</v>
      </c>
      <c r="AC15" s="37" t="str">
        <f>Roster!AD81</f>
        <v>.</v>
      </c>
      <c r="AD15" s="37" t="str">
        <f>Roster!AE81</f>
        <v>.</v>
      </c>
      <c r="AE15" s="37" t="str">
        <f>Roster!AF81</f>
        <v>.</v>
      </c>
      <c r="AF15" s="37" t="str">
        <f>Roster!AG81</f>
        <v>.</v>
      </c>
      <c r="AG15" s="38" t="str">
        <f>Roster!AH81</f>
        <v>.</v>
      </c>
    </row>
    <row r="16" spans="2:33" ht="14.4" thickTop="1" thickBot="1">
      <c r="C16" s="21" t="str">
        <f t="shared" ref="C16:AF16" si="4">LEFT(TEXT(C17&amp;"-"&amp;$B17&amp;"-"&amp;CurYear-1,"ddd"),2)</f>
        <v>Th</v>
      </c>
      <c r="D16" s="21" t="str">
        <f t="shared" si="4"/>
        <v>Fr</v>
      </c>
      <c r="E16" s="21" t="str">
        <f t="shared" si="4"/>
        <v>Sa</v>
      </c>
      <c r="F16" s="21" t="str">
        <f t="shared" si="4"/>
        <v>Su</v>
      </c>
      <c r="G16" s="21" t="str">
        <f t="shared" si="4"/>
        <v>Mo</v>
      </c>
      <c r="H16" s="21" t="str">
        <f t="shared" si="4"/>
        <v>Tu</v>
      </c>
      <c r="I16" s="21" t="str">
        <f t="shared" si="4"/>
        <v>We</v>
      </c>
      <c r="J16" s="21" t="str">
        <f t="shared" si="4"/>
        <v>Th</v>
      </c>
      <c r="K16" s="21" t="str">
        <f t="shared" si="4"/>
        <v>Fr</v>
      </c>
      <c r="L16" s="21" t="str">
        <f t="shared" si="4"/>
        <v>Sa</v>
      </c>
      <c r="M16" s="21" t="str">
        <f t="shared" si="4"/>
        <v>Su</v>
      </c>
      <c r="N16" s="21" t="str">
        <f t="shared" si="4"/>
        <v>Mo</v>
      </c>
      <c r="O16" s="21" t="str">
        <f t="shared" si="4"/>
        <v>Tu</v>
      </c>
      <c r="P16" s="21" t="str">
        <f t="shared" si="4"/>
        <v>We</v>
      </c>
      <c r="Q16" s="21" t="str">
        <f t="shared" si="4"/>
        <v>Th</v>
      </c>
      <c r="R16" s="21" t="str">
        <f t="shared" si="4"/>
        <v>Fr</v>
      </c>
      <c r="S16" s="21" t="str">
        <f t="shared" si="4"/>
        <v>Sa</v>
      </c>
      <c r="T16" s="21" t="str">
        <f t="shared" si="4"/>
        <v>Su</v>
      </c>
      <c r="U16" s="21" t="str">
        <f t="shared" si="4"/>
        <v>Mo</v>
      </c>
      <c r="V16" s="21" t="str">
        <f t="shared" si="4"/>
        <v>Tu</v>
      </c>
      <c r="W16" s="21" t="str">
        <f t="shared" si="4"/>
        <v>We</v>
      </c>
      <c r="X16" s="21" t="str">
        <f t="shared" si="4"/>
        <v>Th</v>
      </c>
      <c r="Y16" s="21" t="str">
        <f t="shared" si="4"/>
        <v>Fr</v>
      </c>
      <c r="Z16" s="21" t="str">
        <f t="shared" si="4"/>
        <v>Sa</v>
      </c>
      <c r="AA16" s="21" t="str">
        <f t="shared" si="4"/>
        <v>Su</v>
      </c>
      <c r="AB16" s="21" t="str">
        <f t="shared" si="4"/>
        <v>Mo</v>
      </c>
      <c r="AC16" s="21" t="str">
        <f t="shared" si="4"/>
        <v>Tu</v>
      </c>
      <c r="AD16" s="21" t="str">
        <f t="shared" si="4"/>
        <v>We</v>
      </c>
      <c r="AE16" s="21" t="str">
        <f t="shared" si="4"/>
        <v>Th</v>
      </c>
      <c r="AF16" s="21" t="str">
        <f t="shared" si="4"/>
        <v>Fr</v>
      </c>
      <c r="AG16" s="17"/>
    </row>
    <row r="17" spans="2:33" ht="14.4" thickTop="1" thickBot="1">
      <c r="B17" s="32" t="str">
        <f>Roster!C89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2018</v>
      </c>
      <c r="C18" s="36" t="str">
        <f>Roster!D96</f>
        <v>.</v>
      </c>
      <c r="D18" s="37" t="str">
        <f>Roster!E96</f>
        <v>.</v>
      </c>
      <c r="E18" s="37" t="str">
        <f>Roster!F96</f>
        <v>.</v>
      </c>
      <c r="F18" s="37" t="str">
        <f>Roster!G96</f>
        <v>.</v>
      </c>
      <c r="G18" s="37" t="str">
        <f>Roster!H96</f>
        <v>.</v>
      </c>
      <c r="H18" s="37" t="str">
        <f>Roster!I96</f>
        <v>.</v>
      </c>
      <c r="I18" s="37" t="str">
        <f>Roster!J96</f>
        <v>.</v>
      </c>
      <c r="J18" s="37" t="str">
        <f>Roster!K96</f>
        <v>.</v>
      </c>
      <c r="K18" s="37" t="str">
        <f>Roster!L96</f>
        <v>.</v>
      </c>
      <c r="L18" s="37" t="str">
        <f>Roster!M96</f>
        <v>.</v>
      </c>
      <c r="M18" s="37" t="str">
        <f>Roster!N96</f>
        <v>.</v>
      </c>
      <c r="N18" s="37" t="str">
        <f>Roster!O96</f>
        <v>.</v>
      </c>
      <c r="O18" s="37" t="str">
        <f>Roster!P96</f>
        <v>.</v>
      </c>
      <c r="P18" s="37" t="str">
        <f>Roster!Q96</f>
        <v>.</v>
      </c>
      <c r="Q18" s="37" t="str">
        <f>Roster!R96</f>
        <v>.</v>
      </c>
      <c r="R18" s="37" t="str">
        <f>Roster!S96</f>
        <v>.</v>
      </c>
      <c r="S18" s="37" t="str">
        <f>Roster!T96</f>
        <v>.</v>
      </c>
      <c r="T18" s="37" t="str">
        <f>Roster!U96</f>
        <v>.</v>
      </c>
      <c r="U18" s="37" t="str">
        <f>Roster!V96</f>
        <v>.</v>
      </c>
      <c r="V18" s="37" t="str">
        <f>Roster!W96</f>
        <v>.</v>
      </c>
      <c r="W18" s="37" t="str">
        <f>Roster!X96</f>
        <v>.</v>
      </c>
      <c r="X18" s="37" t="str">
        <f>Roster!Y96</f>
        <v>.</v>
      </c>
      <c r="Y18" s="37" t="str">
        <f>Roster!Z96</f>
        <v>.</v>
      </c>
      <c r="Z18" s="37" t="str">
        <f>Roster!AA96</f>
        <v>.</v>
      </c>
      <c r="AA18" s="37" t="str">
        <f>Roster!AB96</f>
        <v>.</v>
      </c>
      <c r="AB18" s="37" t="str">
        <f>Roster!AC96</f>
        <v>.</v>
      </c>
      <c r="AC18" s="37" t="str">
        <f>Roster!AD96</f>
        <v>.</v>
      </c>
      <c r="AD18" s="37" t="str">
        <f>Roster!AE96</f>
        <v>.</v>
      </c>
      <c r="AE18" s="37" t="str">
        <f>Roster!AF96</f>
        <v>.</v>
      </c>
      <c r="AF18" s="38" t="str">
        <f>Roster!AG96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Sa</v>
      </c>
      <c r="D19" s="21" t="str">
        <f t="shared" si="5"/>
        <v>Su</v>
      </c>
      <c r="E19" s="21" t="str">
        <f t="shared" si="5"/>
        <v>Mo</v>
      </c>
      <c r="F19" s="21" t="str">
        <f t="shared" si="5"/>
        <v>Tu</v>
      </c>
      <c r="G19" s="21" t="str">
        <f t="shared" si="5"/>
        <v>We</v>
      </c>
      <c r="H19" s="21" t="str">
        <f t="shared" si="5"/>
        <v>Th</v>
      </c>
      <c r="I19" s="21" t="str">
        <f t="shared" si="5"/>
        <v>Fr</v>
      </c>
      <c r="J19" s="21" t="str">
        <f t="shared" si="5"/>
        <v>Sa</v>
      </c>
      <c r="K19" s="21" t="str">
        <f t="shared" si="5"/>
        <v>Su</v>
      </c>
      <c r="L19" s="21" t="str">
        <f t="shared" si="5"/>
        <v>Mo</v>
      </c>
      <c r="M19" s="21" t="str">
        <f t="shared" si="5"/>
        <v>Tu</v>
      </c>
      <c r="N19" s="21" t="str">
        <f t="shared" si="5"/>
        <v>We</v>
      </c>
      <c r="O19" s="21" t="str">
        <f t="shared" si="5"/>
        <v>Th</v>
      </c>
      <c r="P19" s="21" t="str">
        <f t="shared" si="5"/>
        <v>Fr</v>
      </c>
      <c r="Q19" s="21" t="str">
        <f t="shared" si="5"/>
        <v>Sa</v>
      </c>
      <c r="R19" s="21" t="str">
        <f t="shared" si="5"/>
        <v>Su</v>
      </c>
      <c r="S19" s="21" t="str">
        <f t="shared" si="5"/>
        <v>Mo</v>
      </c>
      <c r="T19" s="21" t="str">
        <f t="shared" si="5"/>
        <v>Tu</v>
      </c>
      <c r="U19" s="21" t="str">
        <f t="shared" si="5"/>
        <v>We</v>
      </c>
      <c r="V19" s="21" t="str">
        <f t="shared" si="5"/>
        <v>Th</v>
      </c>
      <c r="W19" s="21" t="str">
        <f t="shared" si="5"/>
        <v>Fr</v>
      </c>
      <c r="X19" s="21" t="str">
        <f t="shared" si="5"/>
        <v>Sa</v>
      </c>
      <c r="Y19" s="21" t="str">
        <f t="shared" si="5"/>
        <v>Su</v>
      </c>
      <c r="Z19" s="21" t="str">
        <f t="shared" si="5"/>
        <v>Mo</v>
      </c>
      <c r="AA19" s="21" t="str">
        <f t="shared" si="5"/>
        <v>Tu</v>
      </c>
      <c r="AB19" s="21" t="str">
        <f t="shared" si="5"/>
        <v>We</v>
      </c>
      <c r="AC19" s="21" t="str">
        <f t="shared" si="5"/>
        <v>Th</v>
      </c>
      <c r="AD19" s="21" t="str">
        <f t="shared" si="5"/>
        <v>Fr</v>
      </c>
      <c r="AE19" s="21" t="str">
        <f t="shared" si="5"/>
        <v>Sa</v>
      </c>
      <c r="AF19" s="21" t="str">
        <f t="shared" si="5"/>
        <v>Su</v>
      </c>
      <c r="AG19" s="28" t="str">
        <f t="shared" si="5"/>
        <v>Mo</v>
      </c>
    </row>
    <row r="20" spans="2:33" ht="14.4" thickTop="1" thickBot="1">
      <c r="B20" s="32" t="str">
        <f>Roster!C104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2018</v>
      </c>
      <c r="C21" s="36" t="str">
        <f>Roster!D111</f>
        <v>.</v>
      </c>
      <c r="D21" s="37" t="str">
        <f>Roster!E111</f>
        <v>.</v>
      </c>
      <c r="E21" s="37" t="str">
        <f>Roster!F111</f>
        <v>.</v>
      </c>
      <c r="F21" s="37" t="str">
        <f>Roster!G111</f>
        <v>.</v>
      </c>
      <c r="G21" s="37" t="str">
        <f>Roster!H111</f>
        <v>.</v>
      </c>
      <c r="H21" s="37" t="str">
        <f>Roster!I111</f>
        <v>.</v>
      </c>
      <c r="I21" s="37" t="str">
        <f>Roster!J111</f>
        <v>.</v>
      </c>
      <c r="J21" s="37" t="str">
        <f>Roster!K111</f>
        <v>.</v>
      </c>
      <c r="K21" s="37" t="str">
        <f>Roster!L111</f>
        <v>.</v>
      </c>
      <c r="L21" s="37" t="str">
        <f>Roster!M111</f>
        <v>.</v>
      </c>
      <c r="M21" s="37" t="str">
        <f>Roster!N111</f>
        <v>.</v>
      </c>
      <c r="N21" s="37" t="str">
        <f>Roster!O111</f>
        <v>.</v>
      </c>
      <c r="O21" s="37" t="str">
        <f>Roster!P111</f>
        <v>.</v>
      </c>
      <c r="P21" s="37" t="str">
        <f>Roster!Q111</f>
        <v>.</v>
      </c>
      <c r="Q21" s="37" t="str">
        <f>Roster!R111</f>
        <v>.</v>
      </c>
      <c r="R21" s="37" t="str">
        <f>Roster!S111</f>
        <v>.</v>
      </c>
      <c r="S21" s="37" t="str">
        <f>Roster!T111</f>
        <v>.</v>
      </c>
      <c r="T21" s="37" t="str">
        <f>Roster!U111</f>
        <v>.</v>
      </c>
      <c r="U21" s="37" t="str">
        <f>Roster!V111</f>
        <v>.</v>
      </c>
      <c r="V21" s="37" t="str">
        <f>Roster!W111</f>
        <v>.</v>
      </c>
      <c r="W21" s="37" t="str">
        <f>Roster!X111</f>
        <v>.</v>
      </c>
      <c r="X21" s="37" t="str">
        <f>Roster!Y111</f>
        <v>.</v>
      </c>
      <c r="Y21" s="37" t="str">
        <f>Roster!Z111</f>
        <v>.</v>
      </c>
      <c r="Z21" s="37" t="str">
        <f>Roster!AA111</f>
        <v>.</v>
      </c>
      <c r="AA21" s="37" t="str">
        <f>Roster!AB111</f>
        <v>.</v>
      </c>
      <c r="AB21" s="37" t="str">
        <f>Roster!AC111</f>
        <v>.</v>
      </c>
      <c r="AC21" s="37" t="str">
        <f>Roster!AD111</f>
        <v>.</v>
      </c>
      <c r="AD21" s="37" t="str">
        <f>Roster!AE111</f>
        <v>.</v>
      </c>
      <c r="AE21" s="37" t="str">
        <f>Roster!AF111</f>
        <v>.</v>
      </c>
      <c r="AF21" s="37" t="str">
        <f>Roster!AG111</f>
        <v>.</v>
      </c>
      <c r="AG21" s="38" t="str">
        <f>Roster!AH111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Tu</v>
      </c>
      <c r="D22" s="19" t="str">
        <f t="shared" si="6"/>
        <v>We</v>
      </c>
      <c r="E22" s="19" t="str">
        <f t="shared" si="6"/>
        <v>Th</v>
      </c>
      <c r="F22" s="19" t="str">
        <f t="shared" si="6"/>
        <v>Fr</v>
      </c>
      <c r="G22" s="19" t="str">
        <f t="shared" si="6"/>
        <v>Sa</v>
      </c>
      <c r="H22" s="19" t="str">
        <f t="shared" si="6"/>
        <v>Su</v>
      </c>
      <c r="I22" s="19" t="str">
        <f t="shared" si="6"/>
        <v>Mo</v>
      </c>
      <c r="J22" s="19" t="str">
        <f t="shared" si="6"/>
        <v>Tu</v>
      </c>
      <c r="K22" s="19" t="str">
        <f t="shared" si="6"/>
        <v>We</v>
      </c>
      <c r="L22" s="19" t="str">
        <f t="shared" si="6"/>
        <v>Th</v>
      </c>
      <c r="M22" s="19" t="str">
        <f t="shared" si="6"/>
        <v>Fr</v>
      </c>
      <c r="N22" s="19" t="str">
        <f t="shared" si="6"/>
        <v>Sa</v>
      </c>
      <c r="O22" s="19" t="str">
        <f t="shared" si="6"/>
        <v>Su</v>
      </c>
      <c r="P22" s="19" t="str">
        <f t="shared" si="6"/>
        <v>Mo</v>
      </c>
      <c r="Q22" s="19" t="str">
        <f t="shared" si="6"/>
        <v>Tu</v>
      </c>
      <c r="R22" s="19" t="str">
        <f t="shared" si="6"/>
        <v>We</v>
      </c>
      <c r="S22" s="19" t="str">
        <f t="shared" si="6"/>
        <v>Th</v>
      </c>
      <c r="T22" s="19" t="str">
        <f t="shared" si="6"/>
        <v>Fr</v>
      </c>
      <c r="U22" s="19" t="str">
        <f t="shared" si="6"/>
        <v>Sa</v>
      </c>
      <c r="V22" s="19" t="str">
        <f t="shared" si="6"/>
        <v>Su</v>
      </c>
      <c r="W22" s="19" t="str">
        <f t="shared" si="6"/>
        <v>Mo</v>
      </c>
      <c r="X22" s="19" t="str">
        <f t="shared" si="6"/>
        <v>Tu</v>
      </c>
      <c r="Y22" s="19" t="str">
        <f t="shared" si="6"/>
        <v>We</v>
      </c>
      <c r="Z22" s="19" t="str">
        <f t="shared" si="6"/>
        <v>Th</v>
      </c>
      <c r="AA22" s="19" t="str">
        <f t="shared" si="6"/>
        <v>Fr</v>
      </c>
      <c r="AB22" s="19" t="str">
        <f t="shared" si="6"/>
        <v>Sa</v>
      </c>
      <c r="AC22" s="19" t="str">
        <f t="shared" si="6"/>
        <v>Su</v>
      </c>
      <c r="AD22" s="19" t="str">
        <f t="shared" si="6"/>
        <v>Mo</v>
      </c>
      <c r="AE22" s="19" t="str">
        <f t="shared" si="6"/>
        <v>Tu</v>
      </c>
      <c r="AF22" s="19" t="str">
        <f t="shared" si="6"/>
        <v>We</v>
      </c>
      <c r="AG22" s="19" t="str">
        <f t="shared" si="6"/>
        <v>Th</v>
      </c>
    </row>
    <row r="23" spans="2:33" ht="14.4" thickTop="1" thickBot="1">
      <c r="B23" s="32" t="str">
        <f>Roster!$C$119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2019</v>
      </c>
      <c r="C24" s="52" t="str">
        <f>Roster!D126</f>
        <v>.</v>
      </c>
      <c r="D24" s="53" t="str">
        <f>Roster!E126</f>
        <v>.</v>
      </c>
      <c r="E24" s="53" t="str">
        <f>Roster!F126</f>
        <v>.</v>
      </c>
      <c r="F24" s="53" t="str">
        <f>Roster!G126</f>
        <v>.</v>
      </c>
      <c r="G24" s="53" t="str">
        <f>Roster!H126</f>
        <v>.</v>
      </c>
      <c r="H24" s="53" t="str">
        <f>Roster!I126</f>
        <v>.</v>
      </c>
      <c r="I24" s="53" t="str">
        <f>Roster!J126</f>
        <v>.</v>
      </c>
      <c r="J24" s="53" t="str">
        <f>Roster!K126</f>
        <v>.</v>
      </c>
      <c r="K24" s="53" t="str">
        <f>Roster!L126</f>
        <v>.</v>
      </c>
      <c r="L24" s="53" t="str">
        <f>Roster!M126</f>
        <v>.</v>
      </c>
      <c r="M24" s="53" t="str">
        <f>Roster!N126</f>
        <v>.</v>
      </c>
      <c r="N24" s="53" t="str">
        <f>Roster!O126</f>
        <v>.</v>
      </c>
      <c r="O24" s="53" t="str">
        <f>Roster!P126</f>
        <v>.</v>
      </c>
      <c r="P24" s="53" t="str">
        <f>Roster!Q126</f>
        <v>.</v>
      </c>
      <c r="Q24" s="53" t="str">
        <f>Roster!R126</f>
        <v>.</v>
      </c>
      <c r="R24" s="53" t="str">
        <f>Roster!S126</f>
        <v>.</v>
      </c>
      <c r="S24" s="53" t="str">
        <f>Roster!T126</f>
        <v>.</v>
      </c>
      <c r="T24" s="53" t="str">
        <f>Roster!U126</f>
        <v>.</v>
      </c>
      <c r="U24" s="53" t="str">
        <f>Roster!V126</f>
        <v>.</v>
      </c>
      <c r="V24" s="53" t="str">
        <f>Roster!W126</f>
        <v>.</v>
      </c>
      <c r="W24" s="53" t="str">
        <f>Roster!X126</f>
        <v>.</v>
      </c>
      <c r="X24" s="53" t="str">
        <f>Roster!Y126</f>
        <v>.</v>
      </c>
      <c r="Y24" s="53" t="str">
        <f>Roster!Z126</f>
        <v>.</v>
      </c>
      <c r="Z24" s="53" t="str">
        <f>Roster!AA126</f>
        <v>.</v>
      </c>
      <c r="AA24" s="53" t="str">
        <f>Roster!AB126</f>
        <v>.</v>
      </c>
      <c r="AB24" s="53" t="str">
        <f>Roster!AC126</f>
        <v>.</v>
      </c>
      <c r="AC24" s="53" t="str">
        <f>Roster!AD126</f>
        <v>.</v>
      </c>
      <c r="AD24" s="53" t="str">
        <f>Roster!AE126</f>
        <v>.</v>
      </c>
      <c r="AE24" s="53" t="str">
        <f>Roster!AF126</f>
        <v>.</v>
      </c>
      <c r="AF24" s="53" t="str">
        <f>Roster!AG126</f>
        <v>.</v>
      </c>
      <c r="AG24" s="54" t="str">
        <f>Roster!AH126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Fr</v>
      </c>
      <c r="D25" s="22" t="str">
        <f t="shared" si="7"/>
        <v>Sa</v>
      </c>
      <c r="E25" s="22" t="str">
        <f t="shared" si="7"/>
        <v>Su</v>
      </c>
      <c r="F25" s="22" t="str">
        <f t="shared" si="7"/>
        <v>Mo</v>
      </c>
      <c r="G25" s="22" t="str">
        <f t="shared" si="7"/>
        <v>Tu</v>
      </c>
      <c r="H25" s="22" t="str">
        <f t="shared" si="7"/>
        <v>We</v>
      </c>
      <c r="I25" s="22" t="str">
        <f t="shared" si="7"/>
        <v>Th</v>
      </c>
      <c r="J25" s="22" t="str">
        <f t="shared" si="7"/>
        <v>Fr</v>
      </c>
      <c r="K25" s="22" t="str">
        <f t="shared" si="7"/>
        <v>Sa</v>
      </c>
      <c r="L25" s="22" t="str">
        <f t="shared" si="7"/>
        <v>Su</v>
      </c>
      <c r="M25" s="22" t="str">
        <f t="shared" si="7"/>
        <v>Mo</v>
      </c>
      <c r="N25" s="22" t="str">
        <f t="shared" si="7"/>
        <v>Tu</v>
      </c>
      <c r="O25" s="22" t="str">
        <f t="shared" si="7"/>
        <v>We</v>
      </c>
      <c r="P25" s="22" t="str">
        <f t="shared" si="7"/>
        <v>Th</v>
      </c>
      <c r="Q25" s="22" t="str">
        <f t="shared" si="7"/>
        <v>Fr</v>
      </c>
      <c r="R25" s="22" t="str">
        <f t="shared" si="7"/>
        <v>Sa</v>
      </c>
      <c r="S25" s="22" t="str">
        <f t="shared" si="7"/>
        <v>Su</v>
      </c>
      <c r="T25" s="22" t="str">
        <f t="shared" si="7"/>
        <v>Mo</v>
      </c>
      <c r="U25" s="22" t="str">
        <f t="shared" si="7"/>
        <v>Tu</v>
      </c>
      <c r="V25" s="22" t="str">
        <f t="shared" si="7"/>
        <v>We</v>
      </c>
      <c r="W25" s="22" t="str">
        <f t="shared" si="7"/>
        <v>Th</v>
      </c>
      <c r="X25" s="22" t="str">
        <f t="shared" si="7"/>
        <v>Fr</v>
      </c>
      <c r="Y25" s="22" t="str">
        <f t="shared" si="7"/>
        <v>Sa</v>
      </c>
      <c r="Z25" s="22" t="str">
        <f t="shared" si="7"/>
        <v>Su</v>
      </c>
      <c r="AA25" s="22" t="str">
        <f t="shared" si="7"/>
        <v>Mo</v>
      </c>
      <c r="AB25" s="22" t="str">
        <f t="shared" si="7"/>
        <v>Tu</v>
      </c>
      <c r="AC25" s="22" t="str">
        <f t="shared" si="7"/>
        <v>We</v>
      </c>
      <c r="AD25" s="22" t="str">
        <f t="shared" si="7"/>
        <v>Th</v>
      </c>
      <c r="AE25" s="131" t="str">
        <f t="shared" si="7"/>
        <v>29</v>
      </c>
      <c r="AF25" s="23"/>
      <c r="AG25" s="24"/>
    </row>
    <row r="26" spans="2:33" ht="14.4" thickTop="1" thickBot="1">
      <c r="B26" s="32" t="str">
        <f>Roster!$C$134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45">
        <v>29</v>
      </c>
      <c r="AF26" s="44"/>
    </row>
    <row r="27" spans="2:33" ht="14.4" thickTop="1" thickBot="1">
      <c r="B27" s="32" t="str">
        <f>CurYear</f>
        <v>2019</v>
      </c>
      <c r="C27" s="51" t="str">
        <f>Roster!D141</f>
        <v>.</v>
      </c>
      <c r="D27" s="37" t="str">
        <f>Roster!E141</f>
        <v>.</v>
      </c>
      <c r="E27" s="37" t="str">
        <f>Roster!F141</f>
        <v>.</v>
      </c>
      <c r="F27" s="37" t="str">
        <f>Roster!G141</f>
        <v>.</v>
      </c>
      <c r="G27" s="37" t="str">
        <f>Roster!H141</f>
        <v>.</v>
      </c>
      <c r="H27" s="37" t="str">
        <f>Roster!I141</f>
        <v>.</v>
      </c>
      <c r="I27" s="37" t="str">
        <f>Roster!J141</f>
        <v>.</v>
      </c>
      <c r="J27" s="37" t="str">
        <f>Roster!K141</f>
        <v>.</v>
      </c>
      <c r="K27" s="37" t="str">
        <f>Roster!L141</f>
        <v>.</v>
      </c>
      <c r="L27" s="37" t="str">
        <f>Roster!M141</f>
        <v>.</v>
      </c>
      <c r="M27" s="37" t="str">
        <f>Roster!N141</f>
        <v>.</v>
      </c>
      <c r="N27" s="37" t="str">
        <f>Roster!O141</f>
        <v>.</v>
      </c>
      <c r="O27" s="37" t="str">
        <f>Roster!P141</f>
        <v>.</v>
      </c>
      <c r="P27" s="37" t="str">
        <f>Roster!Q141</f>
        <v>.</v>
      </c>
      <c r="Q27" s="37" t="str">
        <f>Roster!R141</f>
        <v>.</v>
      </c>
      <c r="R27" s="37" t="str">
        <f>Roster!S141</f>
        <v>.</v>
      </c>
      <c r="S27" s="37" t="str">
        <f>Roster!T141</f>
        <v>.</v>
      </c>
      <c r="T27" s="37" t="str">
        <f>Roster!U141</f>
        <v>.</v>
      </c>
      <c r="U27" s="37" t="str">
        <f>Roster!V141</f>
        <v>.</v>
      </c>
      <c r="V27" s="37" t="str">
        <f>Roster!W141</f>
        <v>.</v>
      </c>
      <c r="W27" s="37" t="str">
        <f>Roster!X141</f>
        <v>.</v>
      </c>
      <c r="X27" s="37" t="str">
        <f>Roster!Y141</f>
        <v>.</v>
      </c>
      <c r="Y27" s="37" t="str">
        <f>Roster!Z141</f>
        <v>.</v>
      </c>
      <c r="Z27" s="37" t="str">
        <f>Roster!AA141</f>
        <v>.</v>
      </c>
      <c r="AA27" s="37" t="str">
        <f>Roster!AB141</f>
        <v>.</v>
      </c>
      <c r="AB27" s="37" t="str">
        <f>Roster!AC141</f>
        <v>.</v>
      </c>
      <c r="AC27" s="37" t="str">
        <f>Roster!AD141</f>
        <v>.</v>
      </c>
      <c r="AD27" s="43" t="str">
        <f>Roster!AE141</f>
        <v>.</v>
      </c>
      <c r="AE27" s="130">
        <f>Roster!AF141</f>
        <v>0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Fr</v>
      </c>
      <c r="D28" s="25" t="str">
        <f t="shared" si="8"/>
        <v>Sa</v>
      </c>
      <c r="E28" s="25" t="str">
        <f t="shared" si="8"/>
        <v>Su</v>
      </c>
      <c r="F28" s="25" t="str">
        <f t="shared" si="8"/>
        <v>Mo</v>
      </c>
      <c r="G28" s="25" t="str">
        <f t="shared" si="8"/>
        <v>Tu</v>
      </c>
      <c r="H28" s="25" t="str">
        <f t="shared" si="8"/>
        <v>We</v>
      </c>
      <c r="I28" s="25" t="str">
        <f t="shared" si="8"/>
        <v>Th</v>
      </c>
      <c r="J28" s="25" t="str">
        <f t="shared" si="8"/>
        <v>Fr</v>
      </c>
      <c r="K28" s="25" t="str">
        <f t="shared" si="8"/>
        <v>Sa</v>
      </c>
      <c r="L28" s="25" t="str">
        <f t="shared" si="8"/>
        <v>Su</v>
      </c>
      <c r="M28" s="25" t="str">
        <f t="shared" si="8"/>
        <v>Mo</v>
      </c>
      <c r="N28" s="25" t="str">
        <f t="shared" si="8"/>
        <v>Tu</v>
      </c>
      <c r="O28" s="25" t="str">
        <f t="shared" si="8"/>
        <v>We</v>
      </c>
      <c r="P28" s="25" t="str">
        <f t="shared" si="8"/>
        <v>Th</v>
      </c>
      <c r="Q28" s="25" t="str">
        <f t="shared" si="8"/>
        <v>Fr</v>
      </c>
      <c r="R28" s="25" t="str">
        <f t="shared" si="8"/>
        <v>Sa</v>
      </c>
      <c r="S28" s="25" t="str">
        <f t="shared" si="8"/>
        <v>Su</v>
      </c>
      <c r="T28" s="25" t="str">
        <f t="shared" si="8"/>
        <v>Mo</v>
      </c>
      <c r="U28" s="25" t="str">
        <f t="shared" si="8"/>
        <v>Tu</v>
      </c>
      <c r="V28" s="25" t="str">
        <f t="shared" si="8"/>
        <v>We</v>
      </c>
      <c r="W28" s="25" t="str">
        <f t="shared" si="8"/>
        <v>Th</v>
      </c>
      <c r="X28" s="25" t="str">
        <f t="shared" si="8"/>
        <v>Fr</v>
      </c>
      <c r="Y28" s="25" t="str">
        <f t="shared" si="8"/>
        <v>Sa</v>
      </c>
      <c r="Z28" s="25" t="str">
        <f t="shared" si="8"/>
        <v>Su</v>
      </c>
      <c r="AA28" s="25" t="str">
        <f t="shared" si="8"/>
        <v>Mo</v>
      </c>
      <c r="AB28" s="25" t="str">
        <f t="shared" si="8"/>
        <v>Tu</v>
      </c>
      <c r="AC28" s="25" t="str">
        <f t="shared" si="8"/>
        <v>We</v>
      </c>
      <c r="AD28" s="25" t="str">
        <f t="shared" si="8"/>
        <v>Th</v>
      </c>
      <c r="AE28" s="45" t="str">
        <f t="shared" si="8"/>
        <v>Fr</v>
      </c>
      <c r="AF28" s="26" t="str">
        <f t="shared" si="8"/>
        <v>Sa</v>
      </c>
      <c r="AG28" s="26" t="str">
        <f t="shared" si="8"/>
        <v>Su</v>
      </c>
    </row>
    <row r="29" spans="2:33" ht="14.4" thickTop="1" thickBot="1">
      <c r="B29" s="32" t="str">
        <f>Roster!$C$149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2019</v>
      </c>
      <c r="C30" s="36" t="str">
        <f>Roster!D156</f>
        <v>.</v>
      </c>
      <c r="D30" s="37" t="str">
        <f>Roster!E156</f>
        <v>.</v>
      </c>
      <c r="E30" s="37" t="str">
        <f>Roster!F156</f>
        <v>.</v>
      </c>
      <c r="F30" s="37" t="str">
        <f>Roster!G156</f>
        <v>.</v>
      </c>
      <c r="G30" s="37" t="str">
        <f>Roster!H156</f>
        <v>.</v>
      </c>
      <c r="H30" s="37" t="str">
        <f>Roster!I156</f>
        <v>.</v>
      </c>
      <c r="I30" s="37" t="str">
        <f>Roster!J156</f>
        <v>.</v>
      </c>
      <c r="J30" s="37" t="str">
        <f>Roster!K156</f>
        <v>.</v>
      </c>
      <c r="K30" s="37" t="str">
        <f>Roster!L156</f>
        <v>.</v>
      </c>
      <c r="L30" s="37" t="str">
        <f>Roster!M156</f>
        <v>.</v>
      </c>
      <c r="M30" s="37" t="str">
        <f>Roster!N156</f>
        <v>.</v>
      </c>
      <c r="N30" s="37" t="str">
        <f>Roster!O156</f>
        <v>.</v>
      </c>
      <c r="O30" s="37" t="str">
        <f>Roster!P156</f>
        <v>.</v>
      </c>
      <c r="P30" s="37" t="str">
        <f>Roster!Q156</f>
        <v>.</v>
      </c>
      <c r="Q30" s="37" t="str">
        <f>Roster!R156</f>
        <v>.</v>
      </c>
      <c r="R30" s="37" t="str">
        <f>Roster!S156</f>
        <v>.</v>
      </c>
      <c r="S30" s="37" t="str">
        <f>Roster!T156</f>
        <v>.</v>
      </c>
      <c r="T30" s="37" t="str">
        <f>Roster!U156</f>
        <v>.</v>
      </c>
      <c r="U30" s="37" t="str">
        <f>Roster!V156</f>
        <v>.</v>
      </c>
      <c r="V30" s="37" t="str">
        <f>Roster!W156</f>
        <v>.</v>
      </c>
      <c r="W30" s="37" t="str">
        <f>Roster!X156</f>
        <v>.</v>
      </c>
      <c r="X30" s="37" t="str">
        <f>Roster!Y156</f>
        <v>.</v>
      </c>
      <c r="Y30" s="37" t="str">
        <f>Roster!Z156</f>
        <v>.</v>
      </c>
      <c r="Z30" s="37" t="str">
        <f>Roster!AA156</f>
        <v>.</v>
      </c>
      <c r="AA30" s="37" t="str">
        <f>Roster!AB156</f>
        <v>.</v>
      </c>
      <c r="AB30" s="37" t="str">
        <f>Roster!AC156</f>
        <v>.</v>
      </c>
      <c r="AC30" s="37" t="str">
        <f>Roster!AD156</f>
        <v>.</v>
      </c>
      <c r="AD30" s="37" t="str">
        <f>Roster!AE156</f>
        <v>.</v>
      </c>
      <c r="AE30" s="37" t="str">
        <f>Roster!AF156</f>
        <v>.</v>
      </c>
      <c r="AF30" s="37" t="str">
        <f>Roster!AG156</f>
        <v>.</v>
      </c>
      <c r="AG30" s="38" t="str">
        <f>Roster!AH156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Mo</v>
      </c>
      <c r="D31" s="25" t="str">
        <f t="shared" si="9"/>
        <v>Tu</v>
      </c>
      <c r="E31" s="25" t="str">
        <f t="shared" si="9"/>
        <v>We</v>
      </c>
      <c r="F31" s="25" t="str">
        <f t="shared" si="9"/>
        <v>Th</v>
      </c>
      <c r="G31" s="25" t="str">
        <f t="shared" si="9"/>
        <v>Fr</v>
      </c>
      <c r="H31" s="25" t="str">
        <f t="shared" si="9"/>
        <v>Sa</v>
      </c>
      <c r="I31" s="25" t="str">
        <f t="shared" si="9"/>
        <v>Su</v>
      </c>
      <c r="J31" s="25" t="str">
        <f t="shared" si="9"/>
        <v>Mo</v>
      </c>
      <c r="K31" s="25" t="str">
        <f t="shared" si="9"/>
        <v>Tu</v>
      </c>
      <c r="L31" s="25" t="str">
        <f t="shared" si="9"/>
        <v>We</v>
      </c>
      <c r="M31" s="25" t="str">
        <f t="shared" si="9"/>
        <v>Th</v>
      </c>
      <c r="N31" s="25" t="str">
        <f t="shared" si="9"/>
        <v>Fr</v>
      </c>
      <c r="O31" s="25" t="str">
        <f t="shared" si="9"/>
        <v>Sa</v>
      </c>
      <c r="P31" s="25" t="str">
        <f t="shared" si="9"/>
        <v>Su</v>
      </c>
      <c r="Q31" s="25" t="str">
        <f t="shared" si="9"/>
        <v>Mo</v>
      </c>
      <c r="R31" s="25" t="str">
        <f t="shared" si="9"/>
        <v>Tu</v>
      </c>
      <c r="S31" s="25" t="str">
        <f t="shared" si="9"/>
        <v>We</v>
      </c>
      <c r="T31" s="25" t="str">
        <f t="shared" si="9"/>
        <v>Th</v>
      </c>
      <c r="U31" s="25" t="str">
        <f t="shared" si="9"/>
        <v>Fr</v>
      </c>
      <c r="V31" s="25" t="str">
        <f t="shared" si="9"/>
        <v>Sa</v>
      </c>
      <c r="W31" s="25" t="str">
        <f t="shared" si="9"/>
        <v>Su</v>
      </c>
      <c r="X31" s="25" t="str">
        <f t="shared" si="9"/>
        <v>Mo</v>
      </c>
      <c r="Y31" s="25" t="str">
        <f t="shared" si="9"/>
        <v>Tu</v>
      </c>
      <c r="Z31" s="25" t="str">
        <f t="shared" si="9"/>
        <v>We</v>
      </c>
      <c r="AA31" s="25" t="str">
        <f t="shared" si="9"/>
        <v>Th</v>
      </c>
      <c r="AB31" s="25" t="str">
        <f t="shared" si="9"/>
        <v>Fr</v>
      </c>
      <c r="AC31" s="25" t="str">
        <f t="shared" si="9"/>
        <v>Sa</v>
      </c>
      <c r="AD31" s="25" t="str">
        <f t="shared" si="9"/>
        <v>Su</v>
      </c>
      <c r="AE31" s="25" t="str">
        <f t="shared" si="9"/>
        <v>Mo</v>
      </c>
      <c r="AF31" s="25" t="str">
        <f t="shared" si="9"/>
        <v>Tu</v>
      </c>
      <c r="AG31" s="27"/>
    </row>
    <row r="32" spans="2:33" ht="14.4" thickTop="1" thickBot="1">
      <c r="B32" s="32" t="str">
        <f>Roster!$C$164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2019</v>
      </c>
      <c r="C33" s="36" t="str">
        <f>Roster!D171</f>
        <v>.</v>
      </c>
      <c r="D33" s="37" t="str">
        <f>Roster!E171</f>
        <v>.</v>
      </c>
      <c r="E33" s="37" t="str">
        <f>Roster!F171</f>
        <v>.</v>
      </c>
      <c r="F33" s="37" t="str">
        <f>Roster!G171</f>
        <v>.</v>
      </c>
      <c r="G33" s="37" t="str">
        <f>Roster!H171</f>
        <v>.</v>
      </c>
      <c r="H33" s="37" t="str">
        <f>Roster!I171</f>
        <v>.</v>
      </c>
      <c r="I33" s="37" t="str">
        <f>Roster!J171</f>
        <v>.</v>
      </c>
      <c r="J33" s="37" t="str">
        <f>Roster!K171</f>
        <v>.</v>
      </c>
      <c r="K33" s="37" t="str">
        <f>Roster!L171</f>
        <v>.</v>
      </c>
      <c r="L33" s="37" t="str">
        <f>Roster!M171</f>
        <v>.</v>
      </c>
      <c r="M33" s="37" t="str">
        <f>Roster!N171</f>
        <v>.</v>
      </c>
      <c r="N33" s="37" t="str">
        <f>Roster!O171</f>
        <v>.</v>
      </c>
      <c r="O33" s="37" t="str">
        <f>Roster!P171</f>
        <v>.</v>
      </c>
      <c r="P33" s="37" t="str">
        <f>Roster!Q171</f>
        <v>.</v>
      </c>
      <c r="Q33" s="37" t="str">
        <f>Roster!R171</f>
        <v>.</v>
      </c>
      <c r="R33" s="37" t="str">
        <f>Roster!S171</f>
        <v>.</v>
      </c>
      <c r="S33" s="37" t="str">
        <f>Roster!T171</f>
        <v>.</v>
      </c>
      <c r="T33" s="37" t="str">
        <f>Roster!U171</f>
        <v>.</v>
      </c>
      <c r="U33" s="37" t="str">
        <f>Roster!V171</f>
        <v>.</v>
      </c>
      <c r="V33" s="37" t="str">
        <f>Roster!W171</f>
        <v>.</v>
      </c>
      <c r="W33" s="37" t="str">
        <f>Roster!X171</f>
        <v>.</v>
      </c>
      <c r="X33" s="37" t="str">
        <f>Roster!Y171</f>
        <v>.</v>
      </c>
      <c r="Y33" s="37" t="str">
        <f>Roster!Z171</f>
        <v>.</v>
      </c>
      <c r="Z33" s="37" t="str">
        <f>Roster!AA171</f>
        <v>.</v>
      </c>
      <c r="AA33" s="37" t="str">
        <f>Roster!AB171</f>
        <v>.</v>
      </c>
      <c r="AB33" s="37" t="str">
        <f>Roster!AC171</f>
        <v>.</v>
      </c>
      <c r="AC33" s="37" t="str">
        <f>Roster!AD171</f>
        <v>.</v>
      </c>
      <c r="AD33" s="37" t="str">
        <f>Roster!AE171</f>
        <v>.</v>
      </c>
      <c r="AE33" s="37" t="str">
        <f>Roster!AF171</f>
        <v>.</v>
      </c>
      <c r="AF33" s="38" t="str">
        <f>Roster!AG171</f>
        <v>.</v>
      </c>
    </row>
    <row r="34" spans="2:33" ht="14.4" thickTop="1" thickBot="1">
      <c r="C34" s="21" t="str">
        <f t="shared" ref="C34:AG34" si="10">LEFT(TEXT(C35&amp;"-"&amp;$B35&amp;"-"&amp;CurYear,"ddd"),2)</f>
        <v>We</v>
      </c>
      <c r="D34" s="21" t="str">
        <f t="shared" si="10"/>
        <v>Th</v>
      </c>
      <c r="E34" s="21" t="str">
        <f t="shared" si="10"/>
        <v>Fr</v>
      </c>
      <c r="F34" s="21" t="str">
        <f t="shared" si="10"/>
        <v>Sa</v>
      </c>
      <c r="G34" s="21" t="str">
        <f t="shared" si="10"/>
        <v>Su</v>
      </c>
      <c r="H34" s="21" t="str">
        <f t="shared" si="10"/>
        <v>Mo</v>
      </c>
      <c r="I34" s="21" t="str">
        <f t="shared" si="10"/>
        <v>Tu</v>
      </c>
      <c r="J34" s="21" t="str">
        <f t="shared" si="10"/>
        <v>We</v>
      </c>
      <c r="K34" s="21" t="str">
        <f t="shared" si="10"/>
        <v>Th</v>
      </c>
      <c r="L34" s="21" t="str">
        <f t="shared" si="10"/>
        <v>Fr</v>
      </c>
      <c r="M34" s="21" t="str">
        <f t="shared" si="10"/>
        <v>Sa</v>
      </c>
      <c r="N34" s="21" t="str">
        <f t="shared" si="10"/>
        <v>Su</v>
      </c>
      <c r="O34" s="21" t="str">
        <f t="shared" si="10"/>
        <v>Mo</v>
      </c>
      <c r="P34" s="21" t="str">
        <f t="shared" si="10"/>
        <v>Tu</v>
      </c>
      <c r="Q34" s="21" t="str">
        <f t="shared" si="10"/>
        <v>We</v>
      </c>
      <c r="R34" s="21" t="str">
        <f t="shared" si="10"/>
        <v>Th</v>
      </c>
      <c r="S34" s="21" t="str">
        <f t="shared" si="10"/>
        <v>Fr</v>
      </c>
      <c r="T34" s="21" t="str">
        <f t="shared" si="10"/>
        <v>Sa</v>
      </c>
      <c r="U34" s="21" t="str">
        <f t="shared" si="10"/>
        <v>Su</v>
      </c>
      <c r="V34" s="21" t="str">
        <f t="shared" si="10"/>
        <v>Mo</v>
      </c>
      <c r="W34" s="21" t="str">
        <f t="shared" si="10"/>
        <v>Tu</v>
      </c>
      <c r="X34" s="21" t="str">
        <f t="shared" si="10"/>
        <v>We</v>
      </c>
      <c r="Y34" s="21" t="str">
        <f t="shared" si="10"/>
        <v>Th</v>
      </c>
      <c r="Z34" s="21" t="str">
        <f t="shared" si="10"/>
        <v>Fr</v>
      </c>
      <c r="AA34" s="21" t="str">
        <f t="shared" si="10"/>
        <v>Sa</v>
      </c>
      <c r="AB34" s="21" t="str">
        <f t="shared" si="10"/>
        <v>Su</v>
      </c>
      <c r="AC34" s="21" t="str">
        <f t="shared" si="10"/>
        <v>Mo</v>
      </c>
      <c r="AD34" s="21" t="str">
        <f t="shared" si="10"/>
        <v>Tu</v>
      </c>
      <c r="AE34" s="21" t="str">
        <f t="shared" si="10"/>
        <v>We</v>
      </c>
      <c r="AF34" s="21" t="str">
        <f t="shared" si="10"/>
        <v>Th</v>
      </c>
      <c r="AG34" s="20" t="str">
        <f t="shared" si="10"/>
        <v>Fr</v>
      </c>
    </row>
    <row r="35" spans="2:33" ht="14.4" thickTop="1" thickBot="1">
      <c r="B35" s="32" t="str">
        <f>Roster!$C$179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2019</v>
      </c>
      <c r="C36" s="36" t="str">
        <f>Roster!D186</f>
        <v>.</v>
      </c>
      <c r="D36" s="37" t="str">
        <f>Roster!E186</f>
        <v>.</v>
      </c>
      <c r="E36" s="37" t="str">
        <f>Roster!F186</f>
        <v>.</v>
      </c>
      <c r="F36" s="37" t="str">
        <f>Roster!G186</f>
        <v>.</v>
      </c>
      <c r="G36" s="37" t="str">
        <f>Roster!H186</f>
        <v>.</v>
      </c>
      <c r="H36" s="37" t="str">
        <f>Roster!I186</f>
        <v>.</v>
      </c>
      <c r="I36" s="37" t="str">
        <f>Roster!J186</f>
        <v>.</v>
      </c>
      <c r="J36" s="37" t="str">
        <f>Roster!K186</f>
        <v>.</v>
      </c>
      <c r="K36" s="37" t="str">
        <f>Roster!L186</f>
        <v>.</v>
      </c>
      <c r="L36" s="37" t="str">
        <f>Roster!M186</f>
        <v>.</v>
      </c>
      <c r="M36" s="37" t="str">
        <f>Roster!N186</f>
        <v>.</v>
      </c>
      <c r="N36" s="37" t="str">
        <f>Roster!O186</f>
        <v>.</v>
      </c>
      <c r="O36" s="37" t="str">
        <f>Roster!P186</f>
        <v>.</v>
      </c>
      <c r="P36" s="37" t="str">
        <f>Roster!Q186</f>
        <v>.</v>
      </c>
      <c r="Q36" s="37" t="str">
        <f>Roster!R186</f>
        <v>.</v>
      </c>
      <c r="R36" s="37" t="str">
        <f>Roster!S186</f>
        <v>.</v>
      </c>
      <c r="S36" s="37" t="str">
        <f>Roster!T186</f>
        <v>.</v>
      </c>
      <c r="T36" s="37" t="str">
        <f>Roster!U186</f>
        <v>.</v>
      </c>
      <c r="U36" s="37" t="str">
        <f>Roster!V186</f>
        <v>.</v>
      </c>
      <c r="V36" s="37" t="str">
        <f>Roster!W186</f>
        <v>.</v>
      </c>
      <c r="W36" s="37" t="str">
        <f>Roster!X186</f>
        <v>.</v>
      </c>
      <c r="X36" s="37" t="str">
        <f>Roster!Y186</f>
        <v>.</v>
      </c>
      <c r="Y36" s="37" t="str">
        <f>Roster!Z186</f>
        <v>.</v>
      </c>
      <c r="Z36" s="37" t="str">
        <f>Roster!AA186</f>
        <v>.</v>
      </c>
      <c r="AA36" s="37" t="str">
        <f>Roster!AB186</f>
        <v>.</v>
      </c>
      <c r="AB36" s="37" t="str">
        <f>Roster!AC186</f>
        <v>.</v>
      </c>
      <c r="AC36" s="37" t="str">
        <f>Roster!AD186</f>
        <v>.</v>
      </c>
      <c r="AD36" s="37" t="str">
        <f>Roster!AE186</f>
        <v>.</v>
      </c>
      <c r="AE36" s="37" t="str">
        <f>Roster!AF186</f>
        <v>.</v>
      </c>
      <c r="AF36" s="37" t="str">
        <f>Roster!AG186</f>
        <v>.</v>
      </c>
      <c r="AG36" s="38" t="str">
        <f>Roster!AH186</f>
        <v>.</v>
      </c>
    </row>
    <row r="37" spans="2:33" ht="14.4" thickTop="1" thickBot="1">
      <c r="C37" s="21" t="str">
        <f t="shared" ref="C37:AF37" si="11">LEFT(TEXT(C38&amp;"-"&amp;$B38&amp;"-"&amp;CurYear,"ddd"),2)</f>
        <v>Sa</v>
      </c>
      <c r="D37" s="21" t="str">
        <f t="shared" si="11"/>
        <v>Su</v>
      </c>
      <c r="E37" s="21" t="str">
        <f t="shared" si="11"/>
        <v>Mo</v>
      </c>
      <c r="F37" s="21" t="str">
        <f t="shared" si="11"/>
        <v>Tu</v>
      </c>
      <c r="G37" s="21" t="str">
        <f t="shared" si="11"/>
        <v>We</v>
      </c>
      <c r="H37" s="21" t="str">
        <f t="shared" si="11"/>
        <v>Th</v>
      </c>
      <c r="I37" s="21" t="str">
        <f t="shared" si="11"/>
        <v>Fr</v>
      </c>
      <c r="J37" s="21" t="str">
        <f t="shared" si="11"/>
        <v>Sa</v>
      </c>
      <c r="K37" s="21" t="str">
        <f t="shared" si="11"/>
        <v>Su</v>
      </c>
      <c r="L37" s="21" t="str">
        <f t="shared" si="11"/>
        <v>Mo</v>
      </c>
      <c r="M37" s="21" t="str">
        <f t="shared" si="11"/>
        <v>Tu</v>
      </c>
      <c r="N37" s="21" t="str">
        <f t="shared" si="11"/>
        <v>We</v>
      </c>
      <c r="O37" s="21" t="str">
        <f t="shared" si="11"/>
        <v>Th</v>
      </c>
      <c r="P37" s="21" t="str">
        <f t="shared" si="11"/>
        <v>Fr</v>
      </c>
      <c r="Q37" s="21" t="str">
        <f t="shared" si="11"/>
        <v>Sa</v>
      </c>
      <c r="R37" s="21" t="str">
        <f t="shared" si="11"/>
        <v>Su</v>
      </c>
      <c r="S37" s="21" t="str">
        <f t="shared" si="11"/>
        <v>Mo</v>
      </c>
      <c r="T37" s="21" t="str">
        <f t="shared" si="11"/>
        <v>Tu</v>
      </c>
      <c r="U37" s="21" t="str">
        <f t="shared" si="11"/>
        <v>We</v>
      </c>
      <c r="V37" s="21" t="str">
        <f t="shared" si="11"/>
        <v>Th</v>
      </c>
      <c r="W37" s="21" t="str">
        <f t="shared" si="11"/>
        <v>Fr</v>
      </c>
      <c r="X37" s="21" t="str">
        <f t="shared" si="11"/>
        <v>Sa</v>
      </c>
      <c r="Y37" s="21" t="str">
        <f t="shared" si="11"/>
        <v>Su</v>
      </c>
      <c r="Z37" s="21" t="str">
        <f t="shared" si="11"/>
        <v>Mo</v>
      </c>
      <c r="AA37" s="21" t="str">
        <f t="shared" si="11"/>
        <v>Tu</v>
      </c>
      <c r="AB37" s="21" t="str">
        <f t="shared" si="11"/>
        <v>We</v>
      </c>
      <c r="AC37" s="21" t="str">
        <f t="shared" si="11"/>
        <v>Th</v>
      </c>
      <c r="AD37" s="21" t="str">
        <f t="shared" si="11"/>
        <v>Fr</v>
      </c>
      <c r="AE37" s="21" t="str">
        <f t="shared" si="11"/>
        <v>Sa</v>
      </c>
      <c r="AF37" s="21" t="str">
        <f t="shared" si="11"/>
        <v>Su</v>
      </c>
      <c r="AG37" s="17"/>
    </row>
    <row r="38" spans="2:33" ht="14.4" thickTop="1" thickBot="1">
      <c r="B38" s="32" t="str">
        <f>Roster!C194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2019</v>
      </c>
      <c r="C39" s="36" t="str">
        <f>Roster!D201</f>
        <v>.</v>
      </c>
      <c r="D39" s="37" t="str">
        <f>Roster!E201</f>
        <v>.</v>
      </c>
      <c r="E39" s="37" t="str">
        <f>Roster!F201</f>
        <v>.</v>
      </c>
      <c r="F39" s="37" t="str">
        <f>Roster!G201</f>
        <v>.</v>
      </c>
      <c r="G39" s="37" t="str">
        <f>Roster!H201</f>
        <v>.</v>
      </c>
      <c r="H39" s="37" t="str">
        <f>Roster!I201</f>
        <v>.</v>
      </c>
      <c r="I39" s="37" t="str">
        <f>Roster!J201</f>
        <v>.</v>
      </c>
      <c r="J39" s="37" t="str">
        <f>Roster!K201</f>
        <v>.</v>
      </c>
      <c r="K39" s="37" t="str">
        <f>Roster!L201</f>
        <v>.</v>
      </c>
      <c r="L39" s="37" t="str">
        <f>Roster!M201</f>
        <v>.</v>
      </c>
      <c r="M39" s="37" t="str">
        <f>Roster!N201</f>
        <v>.</v>
      </c>
      <c r="N39" s="37" t="str">
        <f>Roster!O201</f>
        <v>.</v>
      </c>
      <c r="O39" s="37" t="str">
        <f>Roster!P201</f>
        <v>.</v>
      </c>
      <c r="P39" s="37" t="str">
        <f>Roster!Q201</f>
        <v>.</v>
      </c>
      <c r="Q39" s="37" t="str">
        <f>Roster!R201</f>
        <v>.</v>
      </c>
      <c r="R39" s="37" t="str">
        <f>Roster!S201</f>
        <v>.</v>
      </c>
      <c r="S39" s="37" t="str">
        <f>Roster!T201</f>
        <v>.</v>
      </c>
      <c r="T39" s="37" t="str">
        <f>Roster!U201</f>
        <v>.</v>
      </c>
      <c r="U39" s="37" t="str">
        <f>Roster!V201</f>
        <v>.</v>
      </c>
      <c r="V39" s="37" t="str">
        <f>Roster!W201</f>
        <v>.</v>
      </c>
      <c r="W39" s="37" t="str">
        <f>Roster!X201</f>
        <v>.</v>
      </c>
      <c r="X39" s="37" t="str">
        <f>Roster!Y201</f>
        <v>.</v>
      </c>
      <c r="Y39" s="37" t="str">
        <f>Roster!Z201</f>
        <v>.</v>
      </c>
      <c r="Z39" s="37" t="str">
        <f>Roster!AA201</f>
        <v>.</v>
      </c>
      <c r="AA39" s="37" t="str">
        <f>Roster!AB201</f>
        <v>.</v>
      </c>
      <c r="AB39" s="37" t="str">
        <f>Roster!AC201</f>
        <v>.</v>
      </c>
      <c r="AC39" s="37" t="str">
        <f>Roster!AD201</f>
        <v>.</v>
      </c>
      <c r="AD39" s="37" t="str">
        <f>Roster!AE201</f>
        <v>.</v>
      </c>
      <c r="AE39" s="37" t="str">
        <f>Roster!AF201</f>
        <v>.</v>
      </c>
      <c r="AF39" s="38" t="str">
        <f>Roster!AG201</f>
        <v>.</v>
      </c>
    </row>
    <row r="40" spans="2:33" ht="13.8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8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8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8" t="str">
        <f xml:space="preserve"> "Financial Year Commencing 1st July, " &amp; CurYear -1</f>
        <v>Financial Year Commencing 1st July, 2018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30" customFormat="1" ht="27" customHeight="1">
      <c r="B3" s="140"/>
      <c r="I3" s="142" t="s">
        <v>25</v>
      </c>
      <c r="R3" s="142" t="str">
        <f>EmpGName08 &amp;" " &amp; EmpSName08</f>
        <v xml:space="preserve">Bodd Odd </v>
      </c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</row>
    <row r="4" spans="2:33" ht="13.8" thickBot="1">
      <c r="C4" s="28" t="str">
        <f t="shared" ref="C4:AG4" si="0">LEFT(TEXT(C5&amp;"-"&amp;$B5&amp;"-"&amp;CurYear-1,"ddd"),2)</f>
        <v>Su</v>
      </c>
      <c r="D4" s="28" t="str">
        <f t="shared" si="0"/>
        <v>Mo</v>
      </c>
      <c r="E4" s="28" t="str">
        <f t="shared" si="0"/>
        <v>Tu</v>
      </c>
      <c r="F4" s="28" t="str">
        <f t="shared" si="0"/>
        <v>We</v>
      </c>
      <c r="G4" s="28" t="str">
        <f t="shared" si="0"/>
        <v>Th</v>
      </c>
      <c r="H4" s="28" t="str">
        <f t="shared" si="0"/>
        <v>Fr</v>
      </c>
      <c r="I4" s="28" t="str">
        <f t="shared" si="0"/>
        <v>Sa</v>
      </c>
      <c r="J4" s="28" t="str">
        <f t="shared" si="0"/>
        <v>Su</v>
      </c>
      <c r="K4" s="28" t="str">
        <f t="shared" si="0"/>
        <v>Mo</v>
      </c>
      <c r="L4" s="28" t="str">
        <f t="shared" si="0"/>
        <v>Tu</v>
      </c>
      <c r="M4" s="28" t="str">
        <f t="shared" si="0"/>
        <v>We</v>
      </c>
      <c r="N4" s="28" t="str">
        <f t="shared" si="0"/>
        <v>Th</v>
      </c>
      <c r="O4" s="28" t="str">
        <f t="shared" si="0"/>
        <v>Fr</v>
      </c>
      <c r="P4" s="28" t="str">
        <f t="shared" si="0"/>
        <v>Sa</v>
      </c>
      <c r="Q4" s="28" t="str">
        <f t="shared" si="0"/>
        <v>Su</v>
      </c>
      <c r="R4" s="28" t="str">
        <f t="shared" si="0"/>
        <v>Mo</v>
      </c>
      <c r="S4" s="28" t="str">
        <f t="shared" si="0"/>
        <v>Tu</v>
      </c>
      <c r="T4" s="28" t="str">
        <f t="shared" si="0"/>
        <v>We</v>
      </c>
      <c r="U4" s="28" t="str">
        <f t="shared" si="0"/>
        <v>Th</v>
      </c>
      <c r="V4" s="28" t="str">
        <f t="shared" si="0"/>
        <v>Fr</v>
      </c>
      <c r="W4" s="28" t="str">
        <f t="shared" si="0"/>
        <v>Sa</v>
      </c>
      <c r="X4" s="28" t="str">
        <f t="shared" si="0"/>
        <v>Su</v>
      </c>
      <c r="Y4" s="28" t="str">
        <f t="shared" si="0"/>
        <v>Mo</v>
      </c>
      <c r="Z4" s="28" t="str">
        <f t="shared" si="0"/>
        <v>Tu</v>
      </c>
      <c r="AA4" s="28" t="str">
        <f t="shared" si="0"/>
        <v>We</v>
      </c>
      <c r="AB4" s="28" t="str">
        <f t="shared" si="0"/>
        <v>Th</v>
      </c>
      <c r="AC4" s="28" t="str">
        <f t="shared" si="0"/>
        <v>Fr</v>
      </c>
      <c r="AD4" s="28" t="str">
        <f t="shared" si="0"/>
        <v>Sa</v>
      </c>
      <c r="AE4" s="28" t="str">
        <f t="shared" si="0"/>
        <v>Su</v>
      </c>
      <c r="AF4" s="28" t="str">
        <f t="shared" si="0"/>
        <v>Mo</v>
      </c>
      <c r="AG4" s="20" t="str">
        <f t="shared" si="0"/>
        <v>Tu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2018</v>
      </c>
      <c r="C6" s="36" t="str">
        <f>Roster!D21</f>
        <v>.</v>
      </c>
      <c r="D6" s="37" t="str">
        <f>Roster!E21</f>
        <v>.</v>
      </c>
      <c r="E6" s="37" t="str">
        <f>Roster!F21</f>
        <v>.</v>
      </c>
      <c r="F6" s="37" t="str">
        <f>Roster!G21</f>
        <v>.</v>
      </c>
      <c r="G6" s="37" t="str">
        <f>Roster!H21</f>
        <v>.</v>
      </c>
      <c r="H6" s="37" t="str">
        <f>Roster!I21</f>
        <v>.</v>
      </c>
      <c r="I6" s="37" t="str">
        <f>Roster!J21</f>
        <v>.</v>
      </c>
      <c r="J6" s="37" t="str">
        <f>Roster!K21</f>
        <v>.</v>
      </c>
      <c r="K6" s="37" t="str">
        <f>Roster!L21</f>
        <v>.</v>
      </c>
      <c r="L6" s="37" t="str">
        <f>Roster!M21</f>
        <v>.</v>
      </c>
      <c r="M6" s="37" t="str">
        <f>Roster!N21</f>
        <v>.</v>
      </c>
      <c r="N6" s="37" t="str">
        <f>Roster!O21</f>
        <v>.</v>
      </c>
      <c r="O6" s="37" t="str">
        <f>Roster!P21</f>
        <v>.</v>
      </c>
      <c r="P6" s="37" t="str">
        <f>Roster!Q21</f>
        <v>.</v>
      </c>
      <c r="Q6" s="37" t="str">
        <f>Roster!R21</f>
        <v>.</v>
      </c>
      <c r="R6" s="37" t="str">
        <f>Roster!S21</f>
        <v>.</v>
      </c>
      <c r="S6" s="37" t="str">
        <f>Roster!T21</f>
        <v>.</v>
      </c>
      <c r="T6" s="37" t="str">
        <f>Roster!U21</f>
        <v>.</v>
      </c>
      <c r="U6" s="37" t="str">
        <f>Roster!V21</f>
        <v>.</v>
      </c>
      <c r="V6" s="37" t="str">
        <f>Roster!W21</f>
        <v>.</v>
      </c>
      <c r="W6" s="37" t="str">
        <f>Roster!X21</f>
        <v>.</v>
      </c>
      <c r="X6" s="37" t="str">
        <f>Roster!Y21</f>
        <v>.</v>
      </c>
      <c r="Y6" s="37" t="str">
        <f>Roster!Z21</f>
        <v>.</v>
      </c>
      <c r="Z6" s="37" t="str">
        <f>Roster!AA21</f>
        <v>.</v>
      </c>
      <c r="AA6" s="37" t="str">
        <f>Roster!AB21</f>
        <v>.</v>
      </c>
      <c r="AB6" s="37" t="str">
        <f>Roster!AC21</f>
        <v>.</v>
      </c>
      <c r="AC6" s="37" t="str">
        <f>Roster!AD21</f>
        <v>.</v>
      </c>
      <c r="AD6" s="37" t="str">
        <f>Roster!AE21</f>
        <v>.</v>
      </c>
      <c r="AE6" s="37" t="str">
        <f>Roster!AF21</f>
        <v>.</v>
      </c>
      <c r="AF6" s="37" t="str">
        <f>Roster!AG21</f>
        <v>.</v>
      </c>
      <c r="AG6" s="38" t="str">
        <f>Roster!AH21</f>
        <v>.</v>
      </c>
    </row>
    <row r="7" spans="2:33" ht="14.4" thickTop="1" thickBot="1">
      <c r="C7" s="21" t="str">
        <f t="shared" ref="C7:AG7" si="1">LEFT(TEXT(C8&amp;"-"&amp;$B8&amp;"-"&amp;CurYear-1,"ddd"),2)</f>
        <v>We</v>
      </c>
      <c r="D7" s="21" t="str">
        <f t="shared" si="1"/>
        <v>Th</v>
      </c>
      <c r="E7" s="21" t="str">
        <f t="shared" si="1"/>
        <v>Fr</v>
      </c>
      <c r="F7" s="21" t="str">
        <f t="shared" si="1"/>
        <v>Sa</v>
      </c>
      <c r="G7" s="21" t="str">
        <f t="shared" si="1"/>
        <v>Su</v>
      </c>
      <c r="H7" s="21" t="str">
        <f t="shared" si="1"/>
        <v>Mo</v>
      </c>
      <c r="I7" s="21" t="str">
        <f t="shared" si="1"/>
        <v>Tu</v>
      </c>
      <c r="J7" s="21" t="str">
        <f t="shared" si="1"/>
        <v>We</v>
      </c>
      <c r="K7" s="21" t="str">
        <f t="shared" si="1"/>
        <v>Th</v>
      </c>
      <c r="L7" s="21" t="str">
        <f t="shared" si="1"/>
        <v>Fr</v>
      </c>
      <c r="M7" s="21" t="str">
        <f t="shared" si="1"/>
        <v>Sa</v>
      </c>
      <c r="N7" s="21" t="str">
        <f t="shared" si="1"/>
        <v>Su</v>
      </c>
      <c r="O7" s="21" t="str">
        <f t="shared" si="1"/>
        <v>Mo</v>
      </c>
      <c r="P7" s="21" t="str">
        <f t="shared" si="1"/>
        <v>Tu</v>
      </c>
      <c r="Q7" s="21" t="str">
        <f t="shared" si="1"/>
        <v>We</v>
      </c>
      <c r="R7" s="21" t="str">
        <f t="shared" si="1"/>
        <v>Th</v>
      </c>
      <c r="S7" s="21" t="str">
        <f t="shared" si="1"/>
        <v>Fr</v>
      </c>
      <c r="T7" s="21" t="str">
        <f t="shared" si="1"/>
        <v>Sa</v>
      </c>
      <c r="U7" s="21" t="str">
        <f t="shared" si="1"/>
        <v>Su</v>
      </c>
      <c r="V7" s="21" t="str">
        <f t="shared" si="1"/>
        <v>Mo</v>
      </c>
      <c r="W7" s="21" t="str">
        <f t="shared" si="1"/>
        <v>Tu</v>
      </c>
      <c r="X7" s="21" t="str">
        <f t="shared" si="1"/>
        <v>We</v>
      </c>
      <c r="Y7" s="21" t="str">
        <f t="shared" si="1"/>
        <v>Th</v>
      </c>
      <c r="Z7" s="21" t="str">
        <f t="shared" si="1"/>
        <v>Fr</v>
      </c>
      <c r="AA7" s="21" t="str">
        <f t="shared" si="1"/>
        <v>Sa</v>
      </c>
      <c r="AB7" s="21" t="str">
        <f t="shared" si="1"/>
        <v>Su</v>
      </c>
      <c r="AC7" s="21" t="str">
        <f t="shared" si="1"/>
        <v>Mo</v>
      </c>
      <c r="AD7" s="21" t="str">
        <f t="shared" si="1"/>
        <v>Tu</v>
      </c>
      <c r="AE7" s="21" t="str">
        <f t="shared" si="1"/>
        <v>We</v>
      </c>
      <c r="AF7" s="21" t="str">
        <f t="shared" si="1"/>
        <v>Th</v>
      </c>
      <c r="AG7" s="21" t="str">
        <f t="shared" si="1"/>
        <v>Fr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2018</v>
      </c>
      <c r="C9" s="36" t="str">
        <f>Roster!D52</f>
        <v>.</v>
      </c>
      <c r="D9" s="39" t="str">
        <f>Roster!E52</f>
        <v>.</v>
      </c>
      <c r="E9" s="37" t="str">
        <f>Roster!F52</f>
        <v>.</v>
      </c>
      <c r="F9" s="37" t="str">
        <f>Roster!G52</f>
        <v>.</v>
      </c>
      <c r="G9" s="37" t="str">
        <f>Roster!H52</f>
        <v>.</v>
      </c>
      <c r="H9" s="37" t="str">
        <f>Roster!I52</f>
        <v>.</v>
      </c>
      <c r="I9" s="37" t="str">
        <f>Roster!J52</f>
        <v>.</v>
      </c>
      <c r="J9" s="37" t="str">
        <f>Roster!K52</f>
        <v>.</v>
      </c>
      <c r="K9" s="37" t="str">
        <f>Roster!L52</f>
        <v>.</v>
      </c>
      <c r="L9" s="37" t="str">
        <f>Roster!M52</f>
        <v>.</v>
      </c>
      <c r="M9" s="37" t="str">
        <f>Roster!N52</f>
        <v>.</v>
      </c>
      <c r="N9" s="37" t="str">
        <f>Roster!O52</f>
        <v>.</v>
      </c>
      <c r="O9" s="37" t="str">
        <f>Roster!P52</f>
        <v>.</v>
      </c>
      <c r="P9" s="37" t="str">
        <f>Roster!Q52</f>
        <v>.</v>
      </c>
      <c r="Q9" s="37" t="str">
        <f>Roster!R52</f>
        <v>.</v>
      </c>
      <c r="R9" s="37" t="str">
        <f>Roster!S52</f>
        <v>.</v>
      </c>
      <c r="S9" s="37" t="str">
        <f>Roster!T52</f>
        <v>.</v>
      </c>
      <c r="T9" s="37" t="str">
        <f>Roster!U52</f>
        <v>.</v>
      </c>
      <c r="U9" s="37" t="str">
        <f>Roster!V52</f>
        <v>.</v>
      </c>
      <c r="V9" s="37" t="str">
        <f>Roster!W52</f>
        <v>.</v>
      </c>
      <c r="W9" s="37" t="str">
        <f>Roster!X52</f>
        <v>.</v>
      </c>
      <c r="X9" s="37" t="str">
        <f>Roster!Y52</f>
        <v>.</v>
      </c>
      <c r="Y9" s="37" t="str">
        <f>Roster!Z52</f>
        <v>.</v>
      </c>
      <c r="Z9" s="37" t="str">
        <f>Roster!AA52</f>
        <v>.</v>
      </c>
      <c r="AA9" s="37" t="str">
        <f>Roster!AB52</f>
        <v>.</v>
      </c>
      <c r="AB9" s="37" t="str">
        <f>Roster!AC52</f>
        <v>.</v>
      </c>
      <c r="AC9" s="37" t="str">
        <f>Roster!AD52</f>
        <v>.</v>
      </c>
      <c r="AD9" s="37" t="str">
        <f>Roster!AE52</f>
        <v>.</v>
      </c>
      <c r="AE9" s="37" t="str">
        <f>Roster!AF52</f>
        <v>.</v>
      </c>
      <c r="AF9" s="37" t="str">
        <f>Roster!AG52</f>
        <v>.</v>
      </c>
      <c r="AG9" s="38" t="str">
        <f>Roster!AH52</f>
        <v>.</v>
      </c>
    </row>
    <row r="10" spans="2:33" ht="14.4" thickTop="1" thickBot="1">
      <c r="C10" s="21" t="str">
        <f t="shared" ref="C10:AF10" si="2">LEFT(TEXT(C11&amp;"-"&amp;$B11&amp;"-"&amp;CurYear-1,"ddd"),2)</f>
        <v>Sa</v>
      </c>
      <c r="D10" s="21" t="str">
        <f t="shared" si="2"/>
        <v>Su</v>
      </c>
      <c r="E10" s="21" t="str">
        <f t="shared" si="2"/>
        <v>Mo</v>
      </c>
      <c r="F10" s="21" t="str">
        <f t="shared" si="2"/>
        <v>Tu</v>
      </c>
      <c r="G10" s="21" t="str">
        <f t="shared" si="2"/>
        <v>We</v>
      </c>
      <c r="H10" s="21" t="str">
        <f t="shared" si="2"/>
        <v>Th</v>
      </c>
      <c r="I10" s="21" t="str">
        <f t="shared" si="2"/>
        <v>Fr</v>
      </c>
      <c r="J10" s="21" t="str">
        <f t="shared" si="2"/>
        <v>Sa</v>
      </c>
      <c r="K10" s="21" t="str">
        <f t="shared" si="2"/>
        <v>Su</v>
      </c>
      <c r="L10" s="21" t="str">
        <f t="shared" si="2"/>
        <v>Mo</v>
      </c>
      <c r="M10" s="21" t="str">
        <f t="shared" si="2"/>
        <v>Tu</v>
      </c>
      <c r="N10" s="21" t="str">
        <f t="shared" si="2"/>
        <v>We</v>
      </c>
      <c r="O10" s="21" t="str">
        <f t="shared" si="2"/>
        <v>Th</v>
      </c>
      <c r="P10" s="21" t="str">
        <f t="shared" si="2"/>
        <v>Fr</v>
      </c>
      <c r="Q10" s="21" t="str">
        <f t="shared" si="2"/>
        <v>Sa</v>
      </c>
      <c r="R10" s="21" t="str">
        <f t="shared" si="2"/>
        <v>Su</v>
      </c>
      <c r="S10" s="21" t="str">
        <f t="shared" si="2"/>
        <v>Mo</v>
      </c>
      <c r="T10" s="21" t="str">
        <f t="shared" si="2"/>
        <v>Tu</v>
      </c>
      <c r="U10" s="21" t="str">
        <f t="shared" si="2"/>
        <v>We</v>
      </c>
      <c r="V10" s="21" t="str">
        <f t="shared" si="2"/>
        <v>Th</v>
      </c>
      <c r="W10" s="21" t="str">
        <f t="shared" si="2"/>
        <v>Fr</v>
      </c>
      <c r="X10" s="21" t="str">
        <f t="shared" si="2"/>
        <v>Sa</v>
      </c>
      <c r="Y10" s="21" t="str">
        <f t="shared" si="2"/>
        <v>Su</v>
      </c>
      <c r="Z10" s="21" t="str">
        <f t="shared" si="2"/>
        <v>Mo</v>
      </c>
      <c r="AA10" s="21" t="str">
        <f t="shared" si="2"/>
        <v>Tu</v>
      </c>
      <c r="AB10" s="21" t="str">
        <f t="shared" si="2"/>
        <v>We</v>
      </c>
      <c r="AC10" s="21" t="str">
        <f t="shared" si="2"/>
        <v>Th</v>
      </c>
      <c r="AD10" s="21" t="str">
        <f t="shared" si="2"/>
        <v>Fr</v>
      </c>
      <c r="AE10" s="21" t="str">
        <f t="shared" si="2"/>
        <v>Sa</v>
      </c>
      <c r="AF10" s="21" t="str">
        <f t="shared" si="2"/>
        <v>Su</v>
      </c>
      <c r="AG10" s="17"/>
    </row>
    <row r="11" spans="2:33" ht="14.4" thickTop="1" thickBot="1">
      <c r="B11" s="32" t="str">
        <f>Roster!C59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2018</v>
      </c>
      <c r="C12" s="36" t="str">
        <f>Roster!D67</f>
        <v>.</v>
      </c>
      <c r="D12" s="37" t="str">
        <f>Roster!E67</f>
        <v>.</v>
      </c>
      <c r="E12" s="37" t="str">
        <f>Roster!F67</f>
        <v>.</v>
      </c>
      <c r="F12" s="37" t="str">
        <f>Roster!G67</f>
        <v>.</v>
      </c>
      <c r="G12" s="37" t="str">
        <f>Roster!H67</f>
        <v>.</v>
      </c>
      <c r="H12" s="37" t="str">
        <f>Roster!I67</f>
        <v>.</v>
      </c>
      <c r="I12" s="37" t="str">
        <f>Roster!J67</f>
        <v>.</v>
      </c>
      <c r="J12" s="37" t="str">
        <f>Roster!K67</f>
        <v>.</v>
      </c>
      <c r="K12" s="37" t="str">
        <f>Roster!L67</f>
        <v>.</v>
      </c>
      <c r="L12" s="37" t="str">
        <f>Roster!M67</f>
        <v>.</v>
      </c>
      <c r="M12" s="37" t="str">
        <f>Roster!N67</f>
        <v>.</v>
      </c>
      <c r="N12" s="37" t="str">
        <f>Roster!O67</f>
        <v>.</v>
      </c>
      <c r="O12" s="37" t="str">
        <f>Roster!P67</f>
        <v>.</v>
      </c>
      <c r="P12" s="37" t="str">
        <f>Roster!Q67</f>
        <v>.</v>
      </c>
      <c r="Q12" s="37" t="str">
        <f>Roster!R67</f>
        <v>.</v>
      </c>
      <c r="R12" s="37" t="str">
        <f>Roster!S67</f>
        <v>.</v>
      </c>
      <c r="S12" s="37" t="str">
        <f>Roster!T67</f>
        <v>.</v>
      </c>
      <c r="T12" s="37" t="str">
        <f>Roster!U67</f>
        <v>.</v>
      </c>
      <c r="U12" s="37" t="str">
        <f>Roster!V67</f>
        <v>.</v>
      </c>
      <c r="V12" s="37" t="str">
        <f>Roster!W67</f>
        <v>.</v>
      </c>
      <c r="W12" s="37" t="str">
        <f>Roster!X67</f>
        <v>.</v>
      </c>
      <c r="X12" s="37" t="str">
        <f>Roster!Y67</f>
        <v>.</v>
      </c>
      <c r="Y12" s="37" t="str">
        <f>Roster!Z67</f>
        <v>.</v>
      </c>
      <c r="Z12" s="37" t="str">
        <f>Roster!AA67</f>
        <v>.</v>
      </c>
      <c r="AA12" s="37" t="str">
        <f>Roster!AB67</f>
        <v>.</v>
      </c>
      <c r="AB12" s="37" t="str">
        <f>Roster!AC67</f>
        <v>.</v>
      </c>
      <c r="AC12" s="37" t="str">
        <f>Roster!AD67</f>
        <v>.</v>
      </c>
      <c r="AD12" s="37" t="str">
        <f>Roster!AE67</f>
        <v>.</v>
      </c>
      <c r="AE12" s="37" t="str">
        <f>Roster!AF67</f>
        <v>.</v>
      </c>
      <c r="AF12" s="38" t="str">
        <f>Roster!AG67</f>
        <v>.</v>
      </c>
    </row>
    <row r="13" spans="2:33" ht="14.4" thickTop="1" thickBot="1">
      <c r="C13" s="21" t="str">
        <f t="shared" ref="C13:AG13" si="3">LEFT(TEXT(C14&amp;"-"&amp;$B14&amp;"-"&amp;CurYear-1,"ddd"),2)</f>
        <v>Mo</v>
      </c>
      <c r="D13" s="21" t="str">
        <f t="shared" si="3"/>
        <v>Tu</v>
      </c>
      <c r="E13" s="21" t="str">
        <f t="shared" si="3"/>
        <v>We</v>
      </c>
      <c r="F13" s="21" t="str">
        <f t="shared" si="3"/>
        <v>Th</v>
      </c>
      <c r="G13" s="21" t="str">
        <f t="shared" si="3"/>
        <v>Fr</v>
      </c>
      <c r="H13" s="21" t="str">
        <f t="shared" si="3"/>
        <v>Sa</v>
      </c>
      <c r="I13" s="21" t="str">
        <f t="shared" si="3"/>
        <v>Su</v>
      </c>
      <c r="J13" s="21" t="str">
        <f t="shared" si="3"/>
        <v>Mo</v>
      </c>
      <c r="K13" s="21" t="str">
        <f t="shared" si="3"/>
        <v>Tu</v>
      </c>
      <c r="L13" s="21" t="str">
        <f t="shared" si="3"/>
        <v>We</v>
      </c>
      <c r="M13" s="21" t="str">
        <f t="shared" si="3"/>
        <v>Th</v>
      </c>
      <c r="N13" s="21" t="str">
        <f t="shared" si="3"/>
        <v>Fr</v>
      </c>
      <c r="O13" s="21" t="str">
        <f t="shared" si="3"/>
        <v>Sa</v>
      </c>
      <c r="P13" s="21" t="str">
        <f t="shared" si="3"/>
        <v>Su</v>
      </c>
      <c r="Q13" s="21" t="str">
        <f t="shared" si="3"/>
        <v>Mo</v>
      </c>
      <c r="R13" s="21" t="str">
        <f t="shared" si="3"/>
        <v>Tu</v>
      </c>
      <c r="S13" s="21" t="str">
        <f t="shared" si="3"/>
        <v>We</v>
      </c>
      <c r="T13" s="21" t="str">
        <f t="shared" si="3"/>
        <v>Th</v>
      </c>
      <c r="U13" s="21" t="str">
        <f t="shared" si="3"/>
        <v>Fr</v>
      </c>
      <c r="V13" s="21" t="str">
        <f t="shared" si="3"/>
        <v>Sa</v>
      </c>
      <c r="W13" s="21" t="str">
        <f t="shared" si="3"/>
        <v>Su</v>
      </c>
      <c r="X13" s="21" t="str">
        <f t="shared" si="3"/>
        <v>Mo</v>
      </c>
      <c r="Y13" s="21" t="str">
        <f t="shared" si="3"/>
        <v>Tu</v>
      </c>
      <c r="Z13" s="21" t="str">
        <f t="shared" si="3"/>
        <v>We</v>
      </c>
      <c r="AA13" s="21" t="str">
        <f t="shared" si="3"/>
        <v>Th</v>
      </c>
      <c r="AB13" s="21" t="str">
        <f t="shared" si="3"/>
        <v>Fr</v>
      </c>
      <c r="AC13" s="21" t="str">
        <f t="shared" si="3"/>
        <v>Sa</v>
      </c>
      <c r="AD13" s="21" t="str">
        <f t="shared" si="3"/>
        <v>Su</v>
      </c>
      <c r="AE13" s="21" t="str">
        <f t="shared" si="3"/>
        <v>Mo</v>
      </c>
      <c r="AF13" s="21" t="str">
        <f t="shared" si="3"/>
        <v>Tu</v>
      </c>
      <c r="AG13" s="20" t="str">
        <f t="shared" si="3"/>
        <v>We</v>
      </c>
    </row>
    <row r="14" spans="2:33" ht="14.4" thickTop="1" thickBot="1">
      <c r="B14" s="32" t="str">
        <f>Roster!C74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2018</v>
      </c>
      <c r="C15" s="36" t="str">
        <f>Roster!D82</f>
        <v>.</v>
      </c>
      <c r="D15" s="37" t="str">
        <f>Roster!E82</f>
        <v>.</v>
      </c>
      <c r="E15" s="37" t="str">
        <f>Roster!F82</f>
        <v>.</v>
      </c>
      <c r="F15" s="37" t="str">
        <f>Roster!G82</f>
        <v>.</v>
      </c>
      <c r="G15" s="37" t="str">
        <f>Roster!H82</f>
        <v>.</v>
      </c>
      <c r="H15" s="37" t="str">
        <f>Roster!I82</f>
        <v>.</v>
      </c>
      <c r="I15" s="37" t="str">
        <f>Roster!J82</f>
        <v>.</v>
      </c>
      <c r="J15" s="37" t="str">
        <f>Roster!K82</f>
        <v>.</v>
      </c>
      <c r="K15" s="37" t="str">
        <f>Roster!L82</f>
        <v>.</v>
      </c>
      <c r="L15" s="37" t="str">
        <f>Roster!M82</f>
        <v>.</v>
      </c>
      <c r="M15" s="37" t="str">
        <f>Roster!N82</f>
        <v>.</v>
      </c>
      <c r="N15" s="37" t="str">
        <f>Roster!O82</f>
        <v>.</v>
      </c>
      <c r="O15" s="37" t="str">
        <f>Roster!P82</f>
        <v>.</v>
      </c>
      <c r="P15" s="37" t="str">
        <f>Roster!Q82</f>
        <v>.</v>
      </c>
      <c r="Q15" s="37" t="str">
        <f>Roster!R82</f>
        <v>.</v>
      </c>
      <c r="R15" s="37" t="str">
        <f>Roster!S82</f>
        <v>.</v>
      </c>
      <c r="S15" s="37" t="str">
        <f>Roster!T82</f>
        <v>.</v>
      </c>
      <c r="T15" s="37" t="str">
        <f>Roster!U82</f>
        <v>.</v>
      </c>
      <c r="U15" s="37" t="str">
        <f>Roster!V82</f>
        <v>.</v>
      </c>
      <c r="V15" s="37" t="str">
        <f>Roster!W82</f>
        <v>.</v>
      </c>
      <c r="W15" s="37" t="str">
        <f>Roster!X82</f>
        <v>.</v>
      </c>
      <c r="X15" s="37" t="str">
        <f>Roster!Y82</f>
        <v>.</v>
      </c>
      <c r="Y15" s="37" t="str">
        <f>Roster!Z82</f>
        <v>.</v>
      </c>
      <c r="Z15" s="37" t="str">
        <f>Roster!AA82</f>
        <v>.</v>
      </c>
      <c r="AA15" s="37" t="str">
        <f>Roster!AB82</f>
        <v>.</v>
      </c>
      <c r="AB15" s="37" t="str">
        <f>Roster!AC82</f>
        <v>.</v>
      </c>
      <c r="AC15" s="37" t="str">
        <f>Roster!AD82</f>
        <v>.</v>
      </c>
      <c r="AD15" s="37" t="str">
        <f>Roster!AE82</f>
        <v>.</v>
      </c>
      <c r="AE15" s="37" t="str">
        <f>Roster!AF82</f>
        <v>.</v>
      </c>
      <c r="AF15" s="37" t="str">
        <f>Roster!AG82</f>
        <v>.</v>
      </c>
      <c r="AG15" s="38" t="str">
        <f>Roster!AH82</f>
        <v>.</v>
      </c>
    </row>
    <row r="16" spans="2:33" ht="14.4" thickTop="1" thickBot="1">
      <c r="C16" s="21" t="str">
        <f t="shared" ref="C16:AF16" si="4">LEFT(TEXT(C17&amp;"-"&amp;$B17&amp;"-"&amp;CurYear-1,"ddd"),2)</f>
        <v>Th</v>
      </c>
      <c r="D16" s="21" t="str">
        <f t="shared" si="4"/>
        <v>Fr</v>
      </c>
      <c r="E16" s="21" t="str">
        <f t="shared" si="4"/>
        <v>Sa</v>
      </c>
      <c r="F16" s="21" t="str">
        <f t="shared" si="4"/>
        <v>Su</v>
      </c>
      <c r="G16" s="21" t="str">
        <f t="shared" si="4"/>
        <v>Mo</v>
      </c>
      <c r="H16" s="21" t="str">
        <f t="shared" si="4"/>
        <v>Tu</v>
      </c>
      <c r="I16" s="21" t="str">
        <f t="shared" si="4"/>
        <v>We</v>
      </c>
      <c r="J16" s="21" t="str">
        <f t="shared" si="4"/>
        <v>Th</v>
      </c>
      <c r="K16" s="21" t="str">
        <f t="shared" si="4"/>
        <v>Fr</v>
      </c>
      <c r="L16" s="21" t="str">
        <f t="shared" si="4"/>
        <v>Sa</v>
      </c>
      <c r="M16" s="21" t="str">
        <f t="shared" si="4"/>
        <v>Su</v>
      </c>
      <c r="N16" s="21" t="str">
        <f t="shared" si="4"/>
        <v>Mo</v>
      </c>
      <c r="O16" s="21" t="str">
        <f t="shared" si="4"/>
        <v>Tu</v>
      </c>
      <c r="P16" s="21" t="str">
        <f t="shared" si="4"/>
        <v>We</v>
      </c>
      <c r="Q16" s="21" t="str">
        <f t="shared" si="4"/>
        <v>Th</v>
      </c>
      <c r="R16" s="21" t="str">
        <f t="shared" si="4"/>
        <v>Fr</v>
      </c>
      <c r="S16" s="21" t="str">
        <f t="shared" si="4"/>
        <v>Sa</v>
      </c>
      <c r="T16" s="21" t="str">
        <f t="shared" si="4"/>
        <v>Su</v>
      </c>
      <c r="U16" s="21" t="str">
        <f t="shared" si="4"/>
        <v>Mo</v>
      </c>
      <c r="V16" s="21" t="str">
        <f t="shared" si="4"/>
        <v>Tu</v>
      </c>
      <c r="W16" s="21" t="str">
        <f t="shared" si="4"/>
        <v>We</v>
      </c>
      <c r="X16" s="21" t="str">
        <f t="shared" si="4"/>
        <v>Th</v>
      </c>
      <c r="Y16" s="21" t="str">
        <f t="shared" si="4"/>
        <v>Fr</v>
      </c>
      <c r="Z16" s="21" t="str">
        <f t="shared" si="4"/>
        <v>Sa</v>
      </c>
      <c r="AA16" s="21" t="str">
        <f t="shared" si="4"/>
        <v>Su</v>
      </c>
      <c r="AB16" s="21" t="str">
        <f t="shared" si="4"/>
        <v>Mo</v>
      </c>
      <c r="AC16" s="21" t="str">
        <f t="shared" si="4"/>
        <v>Tu</v>
      </c>
      <c r="AD16" s="21" t="str">
        <f t="shared" si="4"/>
        <v>We</v>
      </c>
      <c r="AE16" s="21" t="str">
        <f t="shared" si="4"/>
        <v>Th</v>
      </c>
      <c r="AF16" s="21" t="str">
        <f t="shared" si="4"/>
        <v>Fr</v>
      </c>
      <c r="AG16" s="17"/>
    </row>
    <row r="17" spans="2:33" ht="14.4" thickTop="1" thickBot="1">
      <c r="B17" s="32" t="str">
        <f>Roster!C89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2018</v>
      </c>
      <c r="C18" s="36" t="str">
        <f>Roster!D97</f>
        <v>.</v>
      </c>
      <c r="D18" s="37" t="str">
        <f>Roster!E97</f>
        <v>.</v>
      </c>
      <c r="E18" s="37" t="str">
        <f>Roster!F97</f>
        <v>.</v>
      </c>
      <c r="F18" s="37" t="str">
        <f>Roster!G97</f>
        <v>.</v>
      </c>
      <c r="G18" s="37" t="str">
        <f>Roster!H97</f>
        <v>.</v>
      </c>
      <c r="H18" s="37" t="str">
        <f>Roster!I97</f>
        <v>.</v>
      </c>
      <c r="I18" s="37" t="str">
        <f>Roster!J97</f>
        <v>.</v>
      </c>
      <c r="J18" s="37" t="str">
        <f>Roster!K97</f>
        <v>.</v>
      </c>
      <c r="K18" s="37" t="str">
        <f>Roster!L97</f>
        <v>.</v>
      </c>
      <c r="L18" s="37" t="str">
        <f>Roster!M97</f>
        <v>.</v>
      </c>
      <c r="M18" s="37" t="str">
        <f>Roster!N97</f>
        <v>.</v>
      </c>
      <c r="N18" s="37" t="str">
        <f>Roster!O97</f>
        <v>.</v>
      </c>
      <c r="O18" s="37" t="str">
        <f>Roster!P97</f>
        <v>.</v>
      </c>
      <c r="P18" s="37" t="str">
        <f>Roster!Q97</f>
        <v>.</v>
      </c>
      <c r="Q18" s="37" t="str">
        <f>Roster!R97</f>
        <v>.</v>
      </c>
      <c r="R18" s="37" t="str">
        <f>Roster!S97</f>
        <v>.</v>
      </c>
      <c r="S18" s="37" t="str">
        <f>Roster!T97</f>
        <v>.</v>
      </c>
      <c r="T18" s="37" t="str">
        <f>Roster!U97</f>
        <v>.</v>
      </c>
      <c r="U18" s="37" t="str">
        <f>Roster!V97</f>
        <v>.</v>
      </c>
      <c r="V18" s="37" t="str">
        <f>Roster!W97</f>
        <v>.</v>
      </c>
      <c r="W18" s="37" t="str">
        <f>Roster!X97</f>
        <v>.</v>
      </c>
      <c r="X18" s="37" t="str">
        <f>Roster!Y97</f>
        <v>.</v>
      </c>
      <c r="Y18" s="37" t="str">
        <f>Roster!Z97</f>
        <v>.</v>
      </c>
      <c r="Z18" s="37" t="str">
        <f>Roster!AA97</f>
        <v>.</v>
      </c>
      <c r="AA18" s="37" t="str">
        <f>Roster!AB97</f>
        <v>.</v>
      </c>
      <c r="AB18" s="37" t="str">
        <f>Roster!AC97</f>
        <v>.</v>
      </c>
      <c r="AC18" s="37" t="str">
        <f>Roster!AD97</f>
        <v>.</v>
      </c>
      <c r="AD18" s="37" t="str">
        <f>Roster!AE97</f>
        <v>.</v>
      </c>
      <c r="AE18" s="37" t="str">
        <f>Roster!AF97</f>
        <v>.</v>
      </c>
      <c r="AF18" s="38" t="str">
        <f>Roster!AG97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Sa</v>
      </c>
      <c r="D19" s="21" t="str">
        <f t="shared" si="5"/>
        <v>Su</v>
      </c>
      <c r="E19" s="21" t="str">
        <f t="shared" si="5"/>
        <v>Mo</v>
      </c>
      <c r="F19" s="21" t="str">
        <f t="shared" si="5"/>
        <v>Tu</v>
      </c>
      <c r="G19" s="21" t="str">
        <f t="shared" si="5"/>
        <v>We</v>
      </c>
      <c r="H19" s="21" t="str">
        <f t="shared" si="5"/>
        <v>Th</v>
      </c>
      <c r="I19" s="21" t="str">
        <f t="shared" si="5"/>
        <v>Fr</v>
      </c>
      <c r="J19" s="21" t="str">
        <f t="shared" si="5"/>
        <v>Sa</v>
      </c>
      <c r="K19" s="21" t="str">
        <f t="shared" si="5"/>
        <v>Su</v>
      </c>
      <c r="L19" s="21" t="str">
        <f t="shared" si="5"/>
        <v>Mo</v>
      </c>
      <c r="M19" s="21" t="str">
        <f t="shared" si="5"/>
        <v>Tu</v>
      </c>
      <c r="N19" s="21" t="str">
        <f t="shared" si="5"/>
        <v>We</v>
      </c>
      <c r="O19" s="21" t="str">
        <f t="shared" si="5"/>
        <v>Th</v>
      </c>
      <c r="P19" s="21" t="str">
        <f t="shared" si="5"/>
        <v>Fr</v>
      </c>
      <c r="Q19" s="21" t="str">
        <f t="shared" si="5"/>
        <v>Sa</v>
      </c>
      <c r="R19" s="21" t="str">
        <f t="shared" si="5"/>
        <v>Su</v>
      </c>
      <c r="S19" s="21" t="str">
        <f t="shared" si="5"/>
        <v>Mo</v>
      </c>
      <c r="T19" s="21" t="str">
        <f t="shared" si="5"/>
        <v>Tu</v>
      </c>
      <c r="U19" s="21" t="str">
        <f t="shared" si="5"/>
        <v>We</v>
      </c>
      <c r="V19" s="21" t="str">
        <f t="shared" si="5"/>
        <v>Th</v>
      </c>
      <c r="W19" s="21" t="str">
        <f t="shared" si="5"/>
        <v>Fr</v>
      </c>
      <c r="X19" s="21" t="str">
        <f t="shared" si="5"/>
        <v>Sa</v>
      </c>
      <c r="Y19" s="21" t="str">
        <f t="shared" si="5"/>
        <v>Su</v>
      </c>
      <c r="Z19" s="21" t="str">
        <f t="shared" si="5"/>
        <v>Mo</v>
      </c>
      <c r="AA19" s="21" t="str">
        <f t="shared" si="5"/>
        <v>Tu</v>
      </c>
      <c r="AB19" s="21" t="str">
        <f t="shared" si="5"/>
        <v>We</v>
      </c>
      <c r="AC19" s="21" t="str">
        <f t="shared" si="5"/>
        <v>Th</v>
      </c>
      <c r="AD19" s="21" t="str">
        <f t="shared" si="5"/>
        <v>Fr</v>
      </c>
      <c r="AE19" s="21" t="str">
        <f t="shared" si="5"/>
        <v>Sa</v>
      </c>
      <c r="AF19" s="21" t="str">
        <f t="shared" si="5"/>
        <v>Su</v>
      </c>
      <c r="AG19" s="28" t="str">
        <f t="shared" si="5"/>
        <v>Mo</v>
      </c>
    </row>
    <row r="20" spans="2:33" ht="14.4" thickTop="1" thickBot="1">
      <c r="B20" s="32" t="str">
        <f>Roster!C104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2018</v>
      </c>
      <c r="C21" s="36" t="str">
        <f>Roster!D112</f>
        <v>.</v>
      </c>
      <c r="D21" s="37" t="str">
        <f>Roster!E112</f>
        <v>.</v>
      </c>
      <c r="E21" s="37" t="str">
        <f>Roster!F112</f>
        <v>.</v>
      </c>
      <c r="F21" s="37" t="str">
        <f>Roster!G112</f>
        <v>.</v>
      </c>
      <c r="G21" s="37" t="str">
        <f>Roster!H112</f>
        <v>.</v>
      </c>
      <c r="H21" s="37" t="str">
        <f>Roster!I112</f>
        <v>.</v>
      </c>
      <c r="I21" s="37" t="str">
        <f>Roster!J112</f>
        <v>.</v>
      </c>
      <c r="J21" s="37" t="str">
        <f>Roster!K112</f>
        <v>.</v>
      </c>
      <c r="K21" s="37" t="str">
        <f>Roster!L112</f>
        <v>.</v>
      </c>
      <c r="L21" s="37" t="str">
        <f>Roster!M112</f>
        <v>.</v>
      </c>
      <c r="M21" s="37" t="str">
        <f>Roster!N112</f>
        <v>.</v>
      </c>
      <c r="N21" s="37" t="str">
        <f>Roster!O112</f>
        <v>.</v>
      </c>
      <c r="O21" s="37" t="str">
        <f>Roster!P112</f>
        <v>.</v>
      </c>
      <c r="P21" s="37" t="str">
        <f>Roster!Q112</f>
        <v>.</v>
      </c>
      <c r="Q21" s="37" t="str">
        <f>Roster!R112</f>
        <v>.</v>
      </c>
      <c r="R21" s="37" t="str">
        <f>Roster!S112</f>
        <v>.</v>
      </c>
      <c r="S21" s="37" t="str">
        <f>Roster!T112</f>
        <v>.</v>
      </c>
      <c r="T21" s="37" t="str">
        <f>Roster!U112</f>
        <v>.</v>
      </c>
      <c r="U21" s="37" t="str">
        <f>Roster!V112</f>
        <v>.</v>
      </c>
      <c r="V21" s="37" t="str">
        <f>Roster!W112</f>
        <v>.</v>
      </c>
      <c r="W21" s="37" t="str">
        <f>Roster!X112</f>
        <v>.</v>
      </c>
      <c r="X21" s="37" t="str">
        <f>Roster!Y112</f>
        <v>.</v>
      </c>
      <c r="Y21" s="37" t="str">
        <f>Roster!Z112</f>
        <v>.</v>
      </c>
      <c r="Z21" s="37" t="str">
        <f>Roster!AA112</f>
        <v>.</v>
      </c>
      <c r="AA21" s="37" t="str">
        <f>Roster!AB112</f>
        <v>.</v>
      </c>
      <c r="AB21" s="37" t="str">
        <f>Roster!AC112</f>
        <v>.</v>
      </c>
      <c r="AC21" s="37" t="str">
        <f>Roster!AD112</f>
        <v>.</v>
      </c>
      <c r="AD21" s="37" t="str">
        <f>Roster!AE112</f>
        <v>.</v>
      </c>
      <c r="AE21" s="37" t="str">
        <f>Roster!AF112</f>
        <v>.</v>
      </c>
      <c r="AF21" s="37" t="str">
        <f>Roster!AG112</f>
        <v>.</v>
      </c>
      <c r="AG21" s="38" t="str">
        <f>Roster!AH112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Tu</v>
      </c>
      <c r="D22" s="19" t="str">
        <f t="shared" si="6"/>
        <v>We</v>
      </c>
      <c r="E22" s="19" t="str">
        <f t="shared" si="6"/>
        <v>Th</v>
      </c>
      <c r="F22" s="19" t="str">
        <f t="shared" si="6"/>
        <v>Fr</v>
      </c>
      <c r="G22" s="19" t="str">
        <f t="shared" si="6"/>
        <v>Sa</v>
      </c>
      <c r="H22" s="19" t="str">
        <f t="shared" si="6"/>
        <v>Su</v>
      </c>
      <c r="I22" s="19" t="str">
        <f t="shared" si="6"/>
        <v>Mo</v>
      </c>
      <c r="J22" s="19" t="str">
        <f t="shared" si="6"/>
        <v>Tu</v>
      </c>
      <c r="K22" s="19" t="str">
        <f t="shared" si="6"/>
        <v>We</v>
      </c>
      <c r="L22" s="19" t="str">
        <f t="shared" si="6"/>
        <v>Th</v>
      </c>
      <c r="M22" s="19" t="str">
        <f t="shared" si="6"/>
        <v>Fr</v>
      </c>
      <c r="N22" s="19" t="str">
        <f t="shared" si="6"/>
        <v>Sa</v>
      </c>
      <c r="O22" s="19" t="str">
        <f t="shared" si="6"/>
        <v>Su</v>
      </c>
      <c r="P22" s="19" t="str">
        <f t="shared" si="6"/>
        <v>Mo</v>
      </c>
      <c r="Q22" s="19" t="str">
        <f t="shared" si="6"/>
        <v>Tu</v>
      </c>
      <c r="R22" s="19" t="str">
        <f t="shared" si="6"/>
        <v>We</v>
      </c>
      <c r="S22" s="19" t="str">
        <f t="shared" si="6"/>
        <v>Th</v>
      </c>
      <c r="T22" s="19" t="str">
        <f t="shared" si="6"/>
        <v>Fr</v>
      </c>
      <c r="U22" s="19" t="str">
        <f t="shared" si="6"/>
        <v>Sa</v>
      </c>
      <c r="V22" s="19" t="str">
        <f t="shared" si="6"/>
        <v>Su</v>
      </c>
      <c r="W22" s="19" t="str">
        <f t="shared" si="6"/>
        <v>Mo</v>
      </c>
      <c r="X22" s="19" t="str">
        <f t="shared" si="6"/>
        <v>Tu</v>
      </c>
      <c r="Y22" s="19" t="str">
        <f t="shared" si="6"/>
        <v>We</v>
      </c>
      <c r="Z22" s="19" t="str">
        <f t="shared" si="6"/>
        <v>Th</v>
      </c>
      <c r="AA22" s="19" t="str">
        <f t="shared" si="6"/>
        <v>Fr</v>
      </c>
      <c r="AB22" s="19" t="str">
        <f t="shared" si="6"/>
        <v>Sa</v>
      </c>
      <c r="AC22" s="19" t="str">
        <f t="shared" si="6"/>
        <v>Su</v>
      </c>
      <c r="AD22" s="19" t="str">
        <f t="shared" si="6"/>
        <v>Mo</v>
      </c>
      <c r="AE22" s="19" t="str">
        <f t="shared" si="6"/>
        <v>Tu</v>
      </c>
      <c r="AF22" s="19" t="str">
        <f t="shared" si="6"/>
        <v>We</v>
      </c>
      <c r="AG22" s="19" t="str">
        <f t="shared" si="6"/>
        <v>Th</v>
      </c>
    </row>
    <row r="23" spans="2:33" ht="14.4" thickTop="1" thickBot="1">
      <c r="B23" s="32" t="str">
        <f>Roster!$C$119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2019</v>
      </c>
      <c r="C24" s="52" t="str">
        <f>Roster!D127</f>
        <v>.</v>
      </c>
      <c r="D24" s="53" t="str">
        <f>Roster!E127</f>
        <v>.</v>
      </c>
      <c r="E24" s="53" t="str">
        <f>Roster!F127</f>
        <v>.</v>
      </c>
      <c r="F24" s="53" t="str">
        <f>Roster!G127</f>
        <v>.</v>
      </c>
      <c r="G24" s="53" t="str">
        <f>Roster!H127</f>
        <v>.</v>
      </c>
      <c r="H24" s="53" t="str">
        <f>Roster!I127</f>
        <v>.</v>
      </c>
      <c r="I24" s="53" t="str">
        <f>Roster!J127</f>
        <v>.</v>
      </c>
      <c r="J24" s="53" t="str">
        <f>Roster!K127</f>
        <v>.</v>
      </c>
      <c r="K24" s="53" t="str">
        <f>Roster!L127</f>
        <v>.</v>
      </c>
      <c r="L24" s="53" t="str">
        <f>Roster!M127</f>
        <v>.</v>
      </c>
      <c r="M24" s="53" t="str">
        <f>Roster!N127</f>
        <v>.</v>
      </c>
      <c r="N24" s="53" t="str">
        <f>Roster!O127</f>
        <v>.</v>
      </c>
      <c r="O24" s="53" t="str">
        <f>Roster!P127</f>
        <v>.</v>
      </c>
      <c r="P24" s="53" t="str">
        <f>Roster!Q127</f>
        <v>.</v>
      </c>
      <c r="Q24" s="53" t="str">
        <f>Roster!R127</f>
        <v>.</v>
      </c>
      <c r="R24" s="53" t="str">
        <f>Roster!S127</f>
        <v>.</v>
      </c>
      <c r="S24" s="53" t="str">
        <f>Roster!T127</f>
        <v>.</v>
      </c>
      <c r="T24" s="53" t="str">
        <f>Roster!U127</f>
        <v>.</v>
      </c>
      <c r="U24" s="53" t="str">
        <f>Roster!V127</f>
        <v>.</v>
      </c>
      <c r="V24" s="53" t="str">
        <f>Roster!W127</f>
        <v>.</v>
      </c>
      <c r="W24" s="53" t="str">
        <f>Roster!X127</f>
        <v>.</v>
      </c>
      <c r="X24" s="53" t="str">
        <f>Roster!Y127</f>
        <v>.</v>
      </c>
      <c r="Y24" s="53" t="str">
        <f>Roster!Z127</f>
        <v>.</v>
      </c>
      <c r="Z24" s="53" t="str">
        <f>Roster!AA127</f>
        <v>.</v>
      </c>
      <c r="AA24" s="53" t="str">
        <f>Roster!AB127</f>
        <v>.</v>
      </c>
      <c r="AB24" s="53" t="str">
        <f>Roster!AC127</f>
        <v>.</v>
      </c>
      <c r="AC24" s="53" t="str">
        <f>Roster!AD127</f>
        <v>.</v>
      </c>
      <c r="AD24" s="53" t="str">
        <f>Roster!AE127</f>
        <v>.</v>
      </c>
      <c r="AE24" s="53" t="str">
        <f>Roster!AF127</f>
        <v>.</v>
      </c>
      <c r="AF24" s="53" t="str">
        <f>Roster!AG127</f>
        <v>.</v>
      </c>
      <c r="AG24" s="54" t="str">
        <f>Roster!AH127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Fr</v>
      </c>
      <c r="D25" s="22" t="str">
        <f t="shared" si="7"/>
        <v>Sa</v>
      </c>
      <c r="E25" s="22" t="str">
        <f t="shared" si="7"/>
        <v>Su</v>
      </c>
      <c r="F25" s="22" t="str">
        <f t="shared" si="7"/>
        <v>Mo</v>
      </c>
      <c r="G25" s="22" t="str">
        <f t="shared" si="7"/>
        <v>Tu</v>
      </c>
      <c r="H25" s="22" t="str">
        <f t="shared" si="7"/>
        <v>We</v>
      </c>
      <c r="I25" s="22" t="str">
        <f t="shared" si="7"/>
        <v>Th</v>
      </c>
      <c r="J25" s="22" t="str">
        <f t="shared" si="7"/>
        <v>Fr</v>
      </c>
      <c r="K25" s="22" t="str">
        <f t="shared" si="7"/>
        <v>Sa</v>
      </c>
      <c r="L25" s="22" t="str">
        <f t="shared" si="7"/>
        <v>Su</v>
      </c>
      <c r="M25" s="22" t="str">
        <f t="shared" si="7"/>
        <v>Mo</v>
      </c>
      <c r="N25" s="22" t="str">
        <f t="shared" si="7"/>
        <v>Tu</v>
      </c>
      <c r="O25" s="22" t="str">
        <f t="shared" si="7"/>
        <v>We</v>
      </c>
      <c r="P25" s="22" t="str">
        <f t="shared" si="7"/>
        <v>Th</v>
      </c>
      <c r="Q25" s="22" t="str">
        <f t="shared" si="7"/>
        <v>Fr</v>
      </c>
      <c r="R25" s="22" t="str">
        <f t="shared" si="7"/>
        <v>Sa</v>
      </c>
      <c r="S25" s="22" t="str">
        <f t="shared" si="7"/>
        <v>Su</v>
      </c>
      <c r="T25" s="22" t="str">
        <f t="shared" si="7"/>
        <v>Mo</v>
      </c>
      <c r="U25" s="22" t="str">
        <f t="shared" si="7"/>
        <v>Tu</v>
      </c>
      <c r="V25" s="22" t="str">
        <f t="shared" si="7"/>
        <v>We</v>
      </c>
      <c r="W25" s="22" t="str">
        <f t="shared" si="7"/>
        <v>Th</v>
      </c>
      <c r="X25" s="22" t="str">
        <f t="shared" si="7"/>
        <v>Fr</v>
      </c>
      <c r="Y25" s="22" t="str">
        <f t="shared" si="7"/>
        <v>Sa</v>
      </c>
      <c r="Z25" s="22" t="str">
        <f t="shared" si="7"/>
        <v>Su</v>
      </c>
      <c r="AA25" s="22" t="str">
        <f t="shared" si="7"/>
        <v>Mo</v>
      </c>
      <c r="AB25" s="22" t="str">
        <f t="shared" si="7"/>
        <v>Tu</v>
      </c>
      <c r="AC25" s="22" t="str">
        <f t="shared" si="7"/>
        <v>We</v>
      </c>
      <c r="AD25" s="22" t="str">
        <f t="shared" si="7"/>
        <v>Th</v>
      </c>
      <c r="AE25" s="131" t="str">
        <f t="shared" si="7"/>
        <v>29</v>
      </c>
      <c r="AF25" s="23"/>
      <c r="AG25" s="24"/>
    </row>
    <row r="26" spans="2:33" ht="14.4" thickTop="1" thickBot="1">
      <c r="B26" s="32" t="str">
        <f>Roster!$C$134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45">
        <v>29</v>
      </c>
      <c r="AF26" s="44"/>
    </row>
    <row r="27" spans="2:33" ht="14.4" thickTop="1" thickBot="1">
      <c r="B27" s="32" t="str">
        <f>CurYear</f>
        <v>2019</v>
      </c>
      <c r="C27" s="51" t="str">
        <f>Roster!D142</f>
        <v>.</v>
      </c>
      <c r="D27" s="37" t="str">
        <f>Roster!E142</f>
        <v>.</v>
      </c>
      <c r="E27" s="37" t="str">
        <f>Roster!F142</f>
        <v>.</v>
      </c>
      <c r="F27" s="37" t="str">
        <f>Roster!G142</f>
        <v>.</v>
      </c>
      <c r="G27" s="37" t="str">
        <f>Roster!H142</f>
        <v>.</v>
      </c>
      <c r="H27" s="37" t="str">
        <f>Roster!I142</f>
        <v>.</v>
      </c>
      <c r="I27" s="37" t="str">
        <f>Roster!J142</f>
        <v>.</v>
      </c>
      <c r="J27" s="37" t="str">
        <f>Roster!K142</f>
        <v>.</v>
      </c>
      <c r="K27" s="37" t="str">
        <f>Roster!L142</f>
        <v>.</v>
      </c>
      <c r="L27" s="37" t="str">
        <f>Roster!M142</f>
        <v>.</v>
      </c>
      <c r="M27" s="37" t="str">
        <f>Roster!N142</f>
        <v>.</v>
      </c>
      <c r="N27" s="37" t="str">
        <f>Roster!O142</f>
        <v>.</v>
      </c>
      <c r="O27" s="37" t="str">
        <f>Roster!P142</f>
        <v>.</v>
      </c>
      <c r="P27" s="37" t="str">
        <f>Roster!Q142</f>
        <v>.</v>
      </c>
      <c r="Q27" s="37" t="str">
        <f>Roster!R142</f>
        <v>.</v>
      </c>
      <c r="R27" s="37" t="str">
        <f>Roster!S142</f>
        <v>.</v>
      </c>
      <c r="S27" s="37" t="str">
        <f>Roster!T142</f>
        <v>.</v>
      </c>
      <c r="T27" s="37" t="str">
        <f>Roster!U142</f>
        <v>.</v>
      </c>
      <c r="U27" s="37" t="str">
        <f>Roster!V142</f>
        <v>.</v>
      </c>
      <c r="V27" s="37" t="str">
        <f>Roster!W142</f>
        <v>.</v>
      </c>
      <c r="W27" s="37" t="str">
        <f>Roster!X142</f>
        <v>.</v>
      </c>
      <c r="X27" s="37" t="str">
        <f>Roster!Y142</f>
        <v>.</v>
      </c>
      <c r="Y27" s="37" t="str">
        <f>Roster!Z142</f>
        <v>.</v>
      </c>
      <c r="Z27" s="37" t="str">
        <f>Roster!AA142</f>
        <v>.</v>
      </c>
      <c r="AA27" s="37" t="str">
        <f>Roster!AB142</f>
        <v>.</v>
      </c>
      <c r="AB27" s="37" t="str">
        <f>Roster!AC142</f>
        <v>.</v>
      </c>
      <c r="AC27" s="37" t="str">
        <f>Roster!AD142</f>
        <v>.</v>
      </c>
      <c r="AD27" s="43" t="str">
        <f>Roster!AE142</f>
        <v>.</v>
      </c>
      <c r="AE27" s="130">
        <f>Roster!AF142</f>
        <v>0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Fr</v>
      </c>
      <c r="D28" s="25" t="str">
        <f t="shared" si="8"/>
        <v>Sa</v>
      </c>
      <c r="E28" s="25" t="str">
        <f t="shared" si="8"/>
        <v>Su</v>
      </c>
      <c r="F28" s="25" t="str">
        <f t="shared" si="8"/>
        <v>Mo</v>
      </c>
      <c r="G28" s="25" t="str">
        <f t="shared" si="8"/>
        <v>Tu</v>
      </c>
      <c r="H28" s="25" t="str">
        <f t="shared" si="8"/>
        <v>We</v>
      </c>
      <c r="I28" s="25" t="str">
        <f t="shared" si="8"/>
        <v>Th</v>
      </c>
      <c r="J28" s="25" t="str">
        <f t="shared" si="8"/>
        <v>Fr</v>
      </c>
      <c r="K28" s="25" t="str">
        <f t="shared" si="8"/>
        <v>Sa</v>
      </c>
      <c r="L28" s="25" t="str">
        <f t="shared" si="8"/>
        <v>Su</v>
      </c>
      <c r="M28" s="25" t="str">
        <f t="shared" si="8"/>
        <v>Mo</v>
      </c>
      <c r="N28" s="25" t="str">
        <f t="shared" si="8"/>
        <v>Tu</v>
      </c>
      <c r="O28" s="25" t="str">
        <f t="shared" si="8"/>
        <v>We</v>
      </c>
      <c r="P28" s="25" t="str">
        <f t="shared" si="8"/>
        <v>Th</v>
      </c>
      <c r="Q28" s="25" t="str">
        <f t="shared" si="8"/>
        <v>Fr</v>
      </c>
      <c r="R28" s="25" t="str">
        <f t="shared" si="8"/>
        <v>Sa</v>
      </c>
      <c r="S28" s="25" t="str">
        <f t="shared" si="8"/>
        <v>Su</v>
      </c>
      <c r="T28" s="25" t="str">
        <f t="shared" si="8"/>
        <v>Mo</v>
      </c>
      <c r="U28" s="25" t="str">
        <f t="shared" si="8"/>
        <v>Tu</v>
      </c>
      <c r="V28" s="25" t="str">
        <f t="shared" si="8"/>
        <v>We</v>
      </c>
      <c r="W28" s="25" t="str">
        <f t="shared" si="8"/>
        <v>Th</v>
      </c>
      <c r="X28" s="25" t="str">
        <f t="shared" si="8"/>
        <v>Fr</v>
      </c>
      <c r="Y28" s="25" t="str">
        <f t="shared" si="8"/>
        <v>Sa</v>
      </c>
      <c r="Z28" s="25" t="str">
        <f t="shared" si="8"/>
        <v>Su</v>
      </c>
      <c r="AA28" s="25" t="str">
        <f t="shared" si="8"/>
        <v>Mo</v>
      </c>
      <c r="AB28" s="25" t="str">
        <f t="shared" si="8"/>
        <v>Tu</v>
      </c>
      <c r="AC28" s="25" t="str">
        <f t="shared" si="8"/>
        <v>We</v>
      </c>
      <c r="AD28" s="25" t="str">
        <f t="shared" si="8"/>
        <v>Th</v>
      </c>
      <c r="AE28" s="45" t="str">
        <f t="shared" si="8"/>
        <v>Fr</v>
      </c>
      <c r="AF28" s="26" t="str">
        <f t="shared" si="8"/>
        <v>Sa</v>
      </c>
      <c r="AG28" s="26" t="str">
        <f t="shared" si="8"/>
        <v>Su</v>
      </c>
    </row>
    <row r="29" spans="2:33" ht="14.4" thickTop="1" thickBot="1">
      <c r="B29" s="32" t="str">
        <f>Roster!$C$149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2019</v>
      </c>
      <c r="C30" s="36" t="str">
        <f>Roster!D157</f>
        <v>.</v>
      </c>
      <c r="D30" s="37" t="str">
        <f>Roster!E157</f>
        <v>.</v>
      </c>
      <c r="E30" s="37" t="str">
        <f>Roster!F157</f>
        <v>.</v>
      </c>
      <c r="F30" s="37" t="str">
        <f>Roster!G157</f>
        <v>.</v>
      </c>
      <c r="G30" s="37" t="str">
        <f>Roster!H157</f>
        <v>.</v>
      </c>
      <c r="H30" s="37" t="str">
        <f>Roster!I157</f>
        <v>.</v>
      </c>
      <c r="I30" s="37" t="str">
        <f>Roster!J157</f>
        <v>.</v>
      </c>
      <c r="J30" s="37" t="str">
        <f>Roster!K157</f>
        <v>.</v>
      </c>
      <c r="K30" s="37" t="str">
        <f>Roster!L157</f>
        <v>.</v>
      </c>
      <c r="L30" s="37" t="str">
        <f>Roster!M157</f>
        <v>.</v>
      </c>
      <c r="M30" s="37" t="str">
        <f>Roster!N157</f>
        <v>.</v>
      </c>
      <c r="N30" s="37" t="str">
        <f>Roster!O157</f>
        <v>.</v>
      </c>
      <c r="O30" s="37" t="str">
        <f>Roster!P157</f>
        <v>.</v>
      </c>
      <c r="P30" s="37" t="str">
        <f>Roster!Q157</f>
        <v>.</v>
      </c>
      <c r="Q30" s="37" t="str">
        <f>Roster!R157</f>
        <v>.</v>
      </c>
      <c r="R30" s="37" t="str">
        <f>Roster!S157</f>
        <v>.</v>
      </c>
      <c r="S30" s="37" t="str">
        <f>Roster!T157</f>
        <v>.</v>
      </c>
      <c r="T30" s="37" t="str">
        <f>Roster!U157</f>
        <v>.</v>
      </c>
      <c r="U30" s="37" t="str">
        <f>Roster!V157</f>
        <v>.</v>
      </c>
      <c r="V30" s="37" t="str">
        <f>Roster!W157</f>
        <v>.</v>
      </c>
      <c r="W30" s="37" t="str">
        <f>Roster!X157</f>
        <v>.</v>
      </c>
      <c r="X30" s="37" t="str">
        <f>Roster!Y157</f>
        <v>.</v>
      </c>
      <c r="Y30" s="37" t="str">
        <f>Roster!Z157</f>
        <v>.</v>
      </c>
      <c r="Z30" s="37" t="str">
        <f>Roster!AA157</f>
        <v>.</v>
      </c>
      <c r="AA30" s="37" t="str">
        <f>Roster!AB157</f>
        <v>.</v>
      </c>
      <c r="AB30" s="37" t="str">
        <f>Roster!AC157</f>
        <v>.</v>
      </c>
      <c r="AC30" s="37" t="str">
        <f>Roster!AD157</f>
        <v>.</v>
      </c>
      <c r="AD30" s="37" t="str">
        <f>Roster!AE157</f>
        <v>.</v>
      </c>
      <c r="AE30" s="37" t="str">
        <f>Roster!AF157</f>
        <v>.</v>
      </c>
      <c r="AF30" s="37" t="str">
        <f>Roster!AG157</f>
        <v>.</v>
      </c>
      <c r="AG30" s="38" t="str">
        <f>Roster!AH157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Mo</v>
      </c>
      <c r="D31" s="25" t="str">
        <f t="shared" si="9"/>
        <v>Tu</v>
      </c>
      <c r="E31" s="25" t="str">
        <f t="shared" si="9"/>
        <v>We</v>
      </c>
      <c r="F31" s="25" t="str">
        <f t="shared" si="9"/>
        <v>Th</v>
      </c>
      <c r="G31" s="25" t="str">
        <f t="shared" si="9"/>
        <v>Fr</v>
      </c>
      <c r="H31" s="25" t="str">
        <f t="shared" si="9"/>
        <v>Sa</v>
      </c>
      <c r="I31" s="25" t="str">
        <f t="shared" si="9"/>
        <v>Su</v>
      </c>
      <c r="J31" s="25" t="str">
        <f t="shared" si="9"/>
        <v>Mo</v>
      </c>
      <c r="K31" s="25" t="str">
        <f t="shared" si="9"/>
        <v>Tu</v>
      </c>
      <c r="L31" s="25" t="str">
        <f t="shared" si="9"/>
        <v>We</v>
      </c>
      <c r="M31" s="25" t="str">
        <f t="shared" si="9"/>
        <v>Th</v>
      </c>
      <c r="N31" s="25" t="str">
        <f t="shared" si="9"/>
        <v>Fr</v>
      </c>
      <c r="O31" s="25" t="str">
        <f t="shared" si="9"/>
        <v>Sa</v>
      </c>
      <c r="P31" s="25" t="str">
        <f t="shared" si="9"/>
        <v>Su</v>
      </c>
      <c r="Q31" s="25" t="str">
        <f t="shared" si="9"/>
        <v>Mo</v>
      </c>
      <c r="R31" s="25" t="str">
        <f t="shared" si="9"/>
        <v>Tu</v>
      </c>
      <c r="S31" s="25" t="str">
        <f t="shared" si="9"/>
        <v>We</v>
      </c>
      <c r="T31" s="25" t="str">
        <f t="shared" si="9"/>
        <v>Th</v>
      </c>
      <c r="U31" s="25" t="str">
        <f t="shared" si="9"/>
        <v>Fr</v>
      </c>
      <c r="V31" s="25" t="str">
        <f t="shared" si="9"/>
        <v>Sa</v>
      </c>
      <c r="W31" s="25" t="str">
        <f t="shared" si="9"/>
        <v>Su</v>
      </c>
      <c r="X31" s="25" t="str">
        <f t="shared" si="9"/>
        <v>Mo</v>
      </c>
      <c r="Y31" s="25" t="str">
        <f t="shared" si="9"/>
        <v>Tu</v>
      </c>
      <c r="Z31" s="25" t="str">
        <f t="shared" si="9"/>
        <v>We</v>
      </c>
      <c r="AA31" s="25" t="str">
        <f t="shared" si="9"/>
        <v>Th</v>
      </c>
      <c r="AB31" s="25" t="str">
        <f t="shared" si="9"/>
        <v>Fr</v>
      </c>
      <c r="AC31" s="25" t="str">
        <f t="shared" si="9"/>
        <v>Sa</v>
      </c>
      <c r="AD31" s="25" t="str">
        <f t="shared" si="9"/>
        <v>Su</v>
      </c>
      <c r="AE31" s="25" t="str">
        <f t="shared" si="9"/>
        <v>Mo</v>
      </c>
      <c r="AF31" s="25" t="str">
        <f t="shared" si="9"/>
        <v>Tu</v>
      </c>
      <c r="AG31" s="27"/>
    </row>
    <row r="32" spans="2:33" ht="14.4" thickTop="1" thickBot="1">
      <c r="B32" s="32" t="str">
        <f>Roster!$C$164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2019</v>
      </c>
      <c r="C33" s="36" t="str">
        <f>Roster!D172</f>
        <v>.</v>
      </c>
      <c r="D33" s="37" t="str">
        <f>Roster!E172</f>
        <v>.</v>
      </c>
      <c r="E33" s="37" t="str">
        <f>Roster!F172</f>
        <v>.</v>
      </c>
      <c r="F33" s="37" t="str">
        <f>Roster!G172</f>
        <v>.</v>
      </c>
      <c r="G33" s="37" t="str">
        <f>Roster!H172</f>
        <v>.</v>
      </c>
      <c r="H33" s="37" t="str">
        <f>Roster!I172</f>
        <v>.</v>
      </c>
      <c r="I33" s="37" t="str">
        <f>Roster!J172</f>
        <v>.</v>
      </c>
      <c r="J33" s="37" t="str">
        <f>Roster!K172</f>
        <v>.</v>
      </c>
      <c r="K33" s="37" t="str">
        <f>Roster!L172</f>
        <v>.</v>
      </c>
      <c r="L33" s="37" t="str">
        <f>Roster!M172</f>
        <v>.</v>
      </c>
      <c r="M33" s="37" t="str">
        <f>Roster!N172</f>
        <v>.</v>
      </c>
      <c r="N33" s="37" t="str">
        <f>Roster!O172</f>
        <v>.</v>
      </c>
      <c r="O33" s="37" t="str">
        <f>Roster!P172</f>
        <v>.</v>
      </c>
      <c r="P33" s="37" t="str">
        <f>Roster!Q172</f>
        <v>.</v>
      </c>
      <c r="Q33" s="37" t="str">
        <f>Roster!R172</f>
        <v>.</v>
      </c>
      <c r="R33" s="37" t="str">
        <f>Roster!S172</f>
        <v>.</v>
      </c>
      <c r="S33" s="37" t="str">
        <f>Roster!T172</f>
        <v>.</v>
      </c>
      <c r="T33" s="37" t="str">
        <f>Roster!U172</f>
        <v>.</v>
      </c>
      <c r="U33" s="37" t="str">
        <f>Roster!V172</f>
        <v>.</v>
      </c>
      <c r="V33" s="37" t="str">
        <f>Roster!W172</f>
        <v>.</v>
      </c>
      <c r="W33" s="37" t="str">
        <f>Roster!X172</f>
        <v>.</v>
      </c>
      <c r="X33" s="37" t="str">
        <f>Roster!Y172</f>
        <v>.</v>
      </c>
      <c r="Y33" s="37" t="str">
        <f>Roster!Z172</f>
        <v>.</v>
      </c>
      <c r="Z33" s="37" t="str">
        <f>Roster!AA172</f>
        <v>.</v>
      </c>
      <c r="AA33" s="37" t="str">
        <f>Roster!AB172</f>
        <v>.</v>
      </c>
      <c r="AB33" s="37" t="str">
        <f>Roster!AC172</f>
        <v>.</v>
      </c>
      <c r="AC33" s="37" t="str">
        <f>Roster!AD172</f>
        <v>.</v>
      </c>
      <c r="AD33" s="37" t="str">
        <f>Roster!AE172</f>
        <v>.</v>
      </c>
      <c r="AE33" s="37" t="str">
        <f>Roster!AF172</f>
        <v>.</v>
      </c>
      <c r="AF33" s="38" t="str">
        <f>Roster!AG172</f>
        <v>.</v>
      </c>
    </row>
    <row r="34" spans="2:33" ht="14.4" thickTop="1" thickBot="1">
      <c r="C34" s="21" t="str">
        <f t="shared" ref="C34:AG34" si="10">LEFT(TEXT(C35&amp;"-"&amp;$B35&amp;"-"&amp;CurYear,"ddd"),2)</f>
        <v>We</v>
      </c>
      <c r="D34" s="21" t="str">
        <f t="shared" si="10"/>
        <v>Th</v>
      </c>
      <c r="E34" s="21" t="str">
        <f t="shared" si="10"/>
        <v>Fr</v>
      </c>
      <c r="F34" s="21" t="str">
        <f t="shared" si="10"/>
        <v>Sa</v>
      </c>
      <c r="G34" s="21" t="str">
        <f t="shared" si="10"/>
        <v>Su</v>
      </c>
      <c r="H34" s="21" t="str">
        <f t="shared" si="10"/>
        <v>Mo</v>
      </c>
      <c r="I34" s="21" t="str">
        <f t="shared" si="10"/>
        <v>Tu</v>
      </c>
      <c r="J34" s="21" t="str">
        <f t="shared" si="10"/>
        <v>We</v>
      </c>
      <c r="K34" s="21" t="str">
        <f t="shared" si="10"/>
        <v>Th</v>
      </c>
      <c r="L34" s="21" t="str">
        <f t="shared" si="10"/>
        <v>Fr</v>
      </c>
      <c r="M34" s="21" t="str">
        <f t="shared" si="10"/>
        <v>Sa</v>
      </c>
      <c r="N34" s="21" t="str">
        <f t="shared" si="10"/>
        <v>Su</v>
      </c>
      <c r="O34" s="21" t="str">
        <f t="shared" si="10"/>
        <v>Mo</v>
      </c>
      <c r="P34" s="21" t="str">
        <f t="shared" si="10"/>
        <v>Tu</v>
      </c>
      <c r="Q34" s="21" t="str">
        <f t="shared" si="10"/>
        <v>We</v>
      </c>
      <c r="R34" s="21" t="str">
        <f t="shared" si="10"/>
        <v>Th</v>
      </c>
      <c r="S34" s="21" t="str">
        <f t="shared" si="10"/>
        <v>Fr</v>
      </c>
      <c r="T34" s="21" t="str">
        <f t="shared" si="10"/>
        <v>Sa</v>
      </c>
      <c r="U34" s="21" t="str">
        <f t="shared" si="10"/>
        <v>Su</v>
      </c>
      <c r="V34" s="21" t="str">
        <f t="shared" si="10"/>
        <v>Mo</v>
      </c>
      <c r="W34" s="21" t="str">
        <f t="shared" si="10"/>
        <v>Tu</v>
      </c>
      <c r="X34" s="21" t="str">
        <f t="shared" si="10"/>
        <v>We</v>
      </c>
      <c r="Y34" s="21" t="str">
        <f t="shared" si="10"/>
        <v>Th</v>
      </c>
      <c r="Z34" s="21" t="str">
        <f t="shared" si="10"/>
        <v>Fr</v>
      </c>
      <c r="AA34" s="21" t="str">
        <f t="shared" si="10"/>
        <v>Sa</v>
      </c>
      <c r="AB34" s="21" t="str">
        <f t="shared" si="10"/>
        <v>Su</v>
      </c>
      <c r="AC34" s="21" t="str">
        <f t="shared" si="10"/>
        <v>Mo</v>
      </c>
      <c r="AD34" s="21" t="str">
        <f t="shared" si="10"/>
        <v>Tu</v>
      </c>
      <c r="AE34" s="21" t="str">
        <f t="shared" si="10"/>
        <v>We</v>
      </c>
      <c r="AF34" s="21" t="str">
        <f t="shared" si="10"/>
        <v>Th</v>
      </c>
      <c r="AG34" s="20" t="str">
        <f t="shared" si="10"/>
        <v>Fr</v>
      </c>
    </row>
    <row r="35" spans="2:33" ht="14.4" thickTop="1" thickBot="1">
      <c r="B35" s="32" t="str">
        <f>Roster!$C$179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2019</v>
      </c>
      <c r="C36" s="36" t="str">
        <f>Roster!D187</f>
        <v>.</v>
      </c>
      <c r="D36" s="37" t="str">
        <f>Roster!E187</f>
        <v>.</v>
      </c>
      <c r="E36" s="37" t="str">
        <f>Roster!F187</f>
        <v>.</v>
      </c>
      <c r="F36" s="37" t="str">
        <f>Roster!G187</f>
        <v>.</v>
      </c>
      <c r="G36" s="37" t="str">
        <f>Roster!H187</f>
        <v>.</v>
      </c>
      <c r="H36" s="37" t="str">
        <f>Roster!I187</f>
        <v>.</v>
      </c>
      <c r="I36" s="37" t="str">
        <f>Roster!J187</f>
        <v>.</v>
      </c>
      <c r="J36" s="37" t="str">
        <f>Roster!K187</f>
        <v>.</v>
      </c>
      <c r="K36" s="37" t="str">
        <f>Roster!L187</f>
        <v>.</v>
      </c>
      <c r="L36" s="37" t="str">
        <f>Roster!M187</f>
        <v>.</v>
      </c>
      <c r="M36" s="37" t="str">
        <f>Roster!N187</f>
        <v>.</v>
      </c>
      <c r="N36" s="37" t="str">
        <f>Roster!O187</f>
        <v>.</v>
      </c>
      <c r="O36" s="37" t="str">
        <f>Roster!P187</f>
        <v>.</v>
      </c>
      <c r="P36" s="37" t="str">
        <f>Roster!Q187</f>
        <v>.</v>
      </c>
      <c r="Q36" s="37" t="str">
        <f>Roster!R187</f>
        <v>.</v>
      </c>
      <c r="R36" s="37" t="str">
        <f>Roster!S187</f>
        <v>.</v>
      </c>
      <c r="S36" s="37" t="str">
        <f>Roster!T187</f>
        <v>.</v>
      </c>
      <c r="T36" s="37" t="str">
        <f>Roster!U187</f>
        <v>.</v>
      </c>
      <c r="U36" s="37" t="str">
        <f>Roster!V187</f>
        <v>.</v>
      </c>
      <c r="V36" s="37" t="str">
        <f>Roster!W187</f>
        <v>.</v>
      </c>
      <c r="W36" s="37" t="str">
        <f>Roster!X187</f>
        <v>.</v>
      </c>
      <c r="X36" s="37" t="str">
        <f>Roster!Y187</f>
        <v>.</v>
      </c>
      <c r="Y36" s="37" t="str">
        <f>Roster!Z187</f>
        <v>.</v>
      </c>
      <c r="Z36" s="37" t="str">
        <f>Roster!AA187</f>
        <v>.</v>
      </c>
      <c r="AA36" s="37" t="str">
        <f>Roster!AB187</f>
        <v>.</v>
      </c>
      <c r="AB36" s="37" t="str">
        <f>Roster!AC187</f>
        <v>.</v>
      </c>
      <c r="AC36" s="37" t="str">
        <f>Roster!AD187</f>
        <v>.</v>
      </c>
      <c r="AD36" s="37" t="str">
        <f>Roster!AE187</f>
        <v>.</v>
      </c>
      <c r="AE36" s="37" t="str">
        <f>Roster!AF187</f>
        <v>.</v>
      </c>
      <c r="AF36" s="37" t="str">
        <f>Roster!AG187</f>
        <v>.</v>
      </c>
      <c r="AG36" s="38" t="str">
        <f>Roster!AH187</f>
        <v>.</v>
      </c>
    </row>
    <row r="37" spans="2:33" ht="14.4" thickTop="1" thickBot="1">
      <c r="C37" s="21" t="str">
        <f t="shared" ref="C37:AF37" si="11">LEFT(TEXT(C38&amp;"-"&amp;$B38&amp;"-"&amp;CurYear,"ddd"),2)</f>
        <v>Sa</v>
      </c>
      <c r="D37" s="21" t="str">
        <f t="shared" si="11"/>
        <v>Su</v>
      </c>
      <c r="E37" s="21" t="str">
        <f t="shared" si="11"/>
        <v>Mo</v>
      </c>
      <c r="F37" s="21" t="str">
        <f t="shared" si="11"/>
        <v>Tu</v>
      </c>
      <c r="G37" s="21" t="str">
        <f t="shared" si="11"/>
        <v>We</v>
      </c>
      <c r="H37" s="21" t="str">
        <f t="shared" si="11"/>
        <v>Th</v>
      </c>
      <c r="I37" s="21" t="str">
        <f t="shared" si="11"/>
        <v>Fr</v>
      </c>
      <c r="J37" s="21" t="str">
        <f t="shared" si="11"/>
        <v>Sa</v>
      </c>
      <c r="K37" s="21" t="str">
        <f t="shared" si="11"/>
        <v>Su</v>
      </c>
      <c r="L37" s="21" t="str">
        <f t="shared" si="11"/>
        <v>Mo</v>
      </c>
      <c r="M37" s="21" t="str">
        <f t="shared" si="11"/>
        <v>Tu</v>
      </c>
      <c r="N37" s="21" t="str">
        <f t="shared" si="11"/>
        <v>We</v>
      </c>
      <c r="O37" s="21" t="str">
        <f t="shared" si="11"/>
        <v>Th</v>
      </c>
      <c r="P37" s="21" t="str">
        <f t="shared" si="11"/>
        <v>Fr</v>
      </c>
      <c r="Q37" s="21" t="str">
        <f t="shared" si="11"/>
        <v>Sa</v>
      </c>
      <c r="R37" s="21" t="str">
        <f t="shared" si="11"/>
        <v>Su</v>
      </c>
      <c r="S37" s="21" t="str">
        <f t="shared" si="11"/>
        <v>Mo</v>
      </c>
      <c r="T37" s="21" t="str">
        <f t="shared" si="11"/>
        <v>Tu</v>
      </c>
      <c r="U37" s="21" t="str">
        <f t="shared" si="11"/>
        <v>We</v>
      </c>
      <c r="V37" s="21" t="str">
        <f t="shared" si="11"/>
        <v>Th</v>
      </c>
      <c r="W37" s="21" t="str">
        <f t="shared" si="11"/>
        <v>Fr</v>
      </c>
      <c r="X37" s="21" t="str">
        <f t="shared" si="11"/>
        <v>Sa</v>
      </c>
      <c r="Y37" s="21" t="str">
        <f t="shared" si="11"/>
        <v>Su</v>
      </c>
      <c r="Z37" s="21" t="str">
        <f t="shared" si="11"/>
        <v>Mo</v>
      </c>
      <c r="AA37" s="21" t="str">
        <f t="shared" si="11"/>
        <v>Tu</v>
      </c>
      <c r="AB37" s="21" t="str">
        <f t="shared" si="11"/>
        <v>We</v>
      </c>
      <c r="AC37" s="21" t="str">
        <f t="shared" si="11"/>
        <v>Th</v>
      </c>
      <c r="AD37" s="21" t="str">
        <f t="shared" si="11"/>
        <v>Fr</v>
      </c>
      <c r="AE37" s="21" t="str">
        <f t="shared" si="11"/>
        <v>Sa</v>
      </c>
      <c r="AF37" s="21" t="str">
        <f t="shared" si="11"/>
        <v>Su</v>
      </c>
      <c r="AG37" s="17"/>
    </row>
    <row r="38" spans="2:33" ht="14.4" thickTop="1" thickBot="1">
      <c r="B38" s="32" t="str">
        <f>Roster!C194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2019</v>
      </c>
      <c r="C39" s="36" t="str">
        <f>Roster!D202</f>
        <v>.</v>
      </c>
      <c r="D39" s="37" t="str">
        <f>Roster!E202</f>
        <v>.</v>
      </c>
      <c r="E39" s="37" t="str">
        <f>Roster!F202</f>
        <v>.</v>
      </c>
      <c r="F39" s="37" t="str">
        <f>Roster!G202</f>
        <v>.</v>
      </c>
      <c r="G39" s="37" t="str">
        <f>Roster!H202</f>
        <v>.</v>
      </c>
      <c r="H39" s="37" t="str">
        <f>Roster!I202</f>
        <v>.</v>
      </c>
      <c r="I39" s="37" t="str">
        <f>Roster!J202</f>
        <v>.</v>
      </c>
      <c r="J39" s="37" t="str">
        <f>Roster!K202</f>
        <v>.</v>
      </c>
      <c r="K39" s="37" t="str">
        <f>Roster!L202</f>
        <v>.</v>
      </c>
      <c r="L39" s="37" t="str">
        <f>Roster!M202</f>
        <v>.</v>
      </c>
      <c r="M39" s="37" t="str">
        <f>Roster!N202</f>
        <v>.</v>
      </c>
      <c r="N39" s="37" t="str">
        <f>Roster!O202</f>
        <v>.</v>
      </c>
      <c r="O39" s="37" t="str">
        <f>Roster!P202</f>
        <v>.</v>
      </c>
      <c r="P39" s="37" t="str">
        <f>Roster!Q202</f>
        <v>.</v>
      </c>
      <c r="Q39" s="37" t="str">
        <f>Roster!R202</f>
        <v>.</v>
      </c>
      <c r="R39" s="37" t="str">
        <f>Roster!S202</f>
        <v>.</v>
      </c>
      <c r="S39" s="37" t="str">
        <f>Roster!T202</f>
        <v>.</v>
      </c>
      <c r="T39" s="37" t="str">
        <f>Roster!U202</f>
        <v>.</v>
      </c>
      <c r="U39" s="37" t="str">
        <f>Roster!V202</f>
        <v>.</v>
      </c>
      <c r="V39" s="37" t="str">
        <f>Roster!W202</f>
        <v>.</v>
      </c>
      <c r="W39" s="37" t="str">
        <f>Roster!X202</f>
        <v>.</v>
      </c>
      <c r="X39" s="37" t="str">
        <f>Roster!Y202</f>
        <v>.</v>
      </c>
      <c r="Y39" s="37" t="str">
        <f>Roster!Z202</f>
        <v>.</v>
      </c>
      <c r="Z39" s="37" t="str">
        <f>Roster!AA202</f>
        <v>.</v>
      </c>
      <c r="AA39" s="37" t="str">
        <f>Roster!AB202</f>
        <v>.</v>
      </c>
      <c r="AB39" s="37" t="str">
        <f>Roster!AC202</f>
        <v>.</v>
      </c>
      <c r="AC39" s="37" t="str">
        <f>Roster!AD202</f>
        <v>.</v>
      </c>
      <c r="AD39" s="37" t="str">
        <f>Roster!AE202</f>
        <v>.</v>
      </c>
      <c r="AE39" s="37" t="str">
        <f>Roster!AF202</f>
        <v>.</v>
      </c>
      <c r="AF39" s="38" t="str">
        <f>Roster!AG202</f>
        <v>.</v>
      </c>
    </row>
    <row r="40" spans="2:33" ht="13.8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9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8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8" t="str">
        <f xml:space="preserve"> "Financial Year Commencing 1st July, " &amp; CurYear -1</f>
        <v>Financial Year Commencing 1st July, 2018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39" t="s">
        <v>25</v>
      </c>
      <c r="R3" s="139" t="str">
        <f>EmpGName09 &amp;" " &amp; EmpSName09</f>
        <v>1Bod Odd1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s="44" customFormat="1" ht="13.8" thickBot="1">
      <c r="B4" s="143"/>
      <c r="C4" s="28" t="str">
        <f t="shared" ref="C4:AG4" si="0">LEFT(TEXT(C5&amp;"-"&amp;$B5&amp;"-"&amp;CurYear-1,"ddd"),2)</f>
        <v>Su</v>
      </c>
      <c r="D4" s="28" t="str">
        <f t="shared" si="0"/>
        <v>Mo</v>
      </c>
      <c r="E4" s="28" t="str">
        <f t="shared" si="0"/>
        <v>Tu</v>
      </c>
      <c r="F4" s="28" t="str">
        <f t="shared" si="0"/>
        <v>We</v>
      </c>
      <c r="G4" s="28" t="str">
        <f t="shared" si="0"/>
        <v>Th</v>
      </c>
      <c r="H4" s="28" t="str">
        <f t="shared" si="0"/>
        <v>Fr</v>
      </c>
      <c r="I4" s="28" t="str">
        <f t="shared" si="0"/>
        <v>Sa</v>
      </c>
      <c r="J4" s="28" t="str">
        <f t="shared" si="0"/>
        <v>Su</v>
      </c>
      <c r="K4" s="28" t="str">
        <f t="shared" si="0"/>
        <v>Mo</v>
      </c>
      <c r="L4" s="28" t="str">
        <f t="shared" si="0"/>
        <v>Tu</v>
      </c>
      <c r="M4" s="28" t="str">
        <f t="shared" si="0"/>
        <v>We</v>
      </c>
      <c r="N4" s="28" t="str">
        <f t="shared" si="0"/>
        <v>Th</v>
      </c>
      <c r="O4" s="28" t="str">
        <f t="shared" si="0"/>
        <v>Fr</v>
      </c>
      <c r="P4" s="28" t="str">
        <f t="shared" si="0"/>
        <v>Sa</v>
      </c>
      <c r="Q4" s="28" t="str">
        <f t="shared" si="0"/>
        <v>Su</v>
      </c>
      <c r="R4" s="28" t="str">
        <f t="shared" si="0"/>
        <v>Mo</v>
      </c>
      <c r="S4" s="28" t="str">
        <f t="shared" si="0"/>
        <v>Tu</v>
      </c>
      <c r="T4" s="28" t="str">
        <f t="shared" si="0"/>
        <v>We</v>
      </c>
      <c r="U4" s="28" t="str">
        <f t="shared" si="0"/>
        <v>Th</v>
      </c>
      <c r="V4" s="28" t="str">
        <f t="shared" si="0"/>
        <v>Fr</v>
      </c>
      <c r="W4" s="28" t="str">
        <f t="shared" si="0"/>
        <v>Sa</v>
      </c>
      <c r="X4" s="28" t="str">
        <f t="shared" si="0"/>
        <v>Su</v>
      </c>
      <c r="Y4" s="28" t="str">
        <f t="shared" si="0"/>
        <v>Mo</v>
      </c>
      <c r="Z4" s="28" t="str">
        <f t="shared" si="0"/>
        <v>Tu</v>
      </c>
      <c r="AA4" s="28" t="str">
        <f t="shared" si="0"/>
        <v>We</v>
      </c>
      <c r="AB4" s="28" t="str">
        <f t="shared" si="0"/>
        <v>Th</v>
      </c>
      <c r="AC4" s="28" t="str">
        <f t="shared" si="0"/>
        <v>Fr</v>
      </c>
      <c r="AD4" s="28" t="str">
        <f t="shared" si="0"/>
        <v>Sa</v>
      </c>
      <c r="AE4" s="28" t="str">
        <f t="shared" si="0"/>
        <v>Su</v>
      </c>
      <c r="AF4" s="28" t="str">
        <f t="shared" si="0"/>
        <v>Mo</v>
      </c>
      <c r="AG4" s="106" t="str">
        <f t="shared" si="0"/>
        <v>Tu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2018</v>
      </c>
      <c r="C6" s="36" t="str">
        <f>Roster!D22</f>
        <v>.</v>
      </c>
      <c r="D6" s="37" t="str">
        <f>Roster!E22</f>
        <v>.</v>
      </c>
      <c r="E6" s="37" t="str">
        <f>Roster!F22</f>
        <v>.</v>
      </c>
      <c r="F6" s="37" t="str">
        <f>Roster!G22</f>
        <v>.</v>
      </c>
      <c r="G6" s="37" t="str">
        <f>Roster!H22</f>
        <v>.</v>
      </c>
      <c r="H6" s="37" t="str">
        <f>Roster!I22</f>
        <v>.</v>
      </c>
      <c r="I6" s="37" t="str">
        <f>Roster!J22</f>
        <v>.</v>
      </c>
      <c r="J6" s="37" t="str">
        <f>Roster!K22</f>
        <v>.</v>
      </c>
      <c r="K6" s="37" t="str">
        <f>Roster!L22</f>
        <v>.</v>
      </c>
      <c r="L6" s="37" t="str">
        <f>Roster!M22</f>
        <v>.</v>
      </c>
      <c r="M6" s="37" t="str">
        <f>Roster!N22</f>
        <v>.</v>
      </c>
      <c r="N6" s="37" t="str">
        <f>Roster!O22</f>
        <v>.</v>
      </c>
      <c r="O6" s="37" t="str">
        <f>Roster!P22</f>
        <v>.</v>
      </c>
      <c r="P6" s="37" t="str">
        <f>Roster!Q22</f>
        <v>.</v>
      </c>
      <c r="Q6" s="37" t="str">
        <f>Roster!R22</f>
        <v>.</v>
      </c>
      <c r="R6" s="37" t="str">
        <f>Roster!S22</f>
        <v>.</v>
      </c>
      <c r="S6" s="37" t="str">
        <f>Roster!T22</f>
        <v>.</v>
      </c>
      <c r="T6" s="37" t="str">
        <f>Roster!U22</f>
        <v>.</v>
      </c>
      <c r="U6" s="37" t="str">
        <f>Roster!V22</f>
        <v>.</v>
      </c>
      <c r="V6" s="37" t="str">
        <f>Roster!W22</f>
        <v>.</v>
      </c>
      <c r="W6" s="37" t="str">
        <f>Roster!X22</f>
        <v>.</v>
      </c>
      <c r="X6" s="37" t="str">
        <f>Roster!Y22</f>
        <v>.</v>
      </c>
      <c r="Y6" s="37" t="str">
        <f>Roster!Z22</f>
        <v>.</v>
      </c>
      <c r="Z6" s="37" t="str">
        <f>Roster!AA22</f>
        <v>.</v>
      </c>
      <c r="AA6" s="37" t="str">
        <f>Roster!AB22</f>
        <v>.</v>
      </c>
      <c r="AB6" s="37" t="str">
        <f>Roster!AC22</f>
        <v>.</v>
      </c>
      <c r="AC6" s="37" t="str">
        <f>Roster!AD22</f>
        <v>.</v>
      </c>
      <c r="AD6" s="37" t="str">
        <f>Roster!AE22</f>
        <v>.</v>
      </c>
      <c r="AE6" s="37" t="str">
        <f>Roster!AF22</f>
        <v>.</v>
      </c>
      <c r="AF6" s="37" t="str">
        <f>Roster!AG22</f>
        <v>.</v>
      </c>
      <c r="AG6" s="38" t="str">
        <f>Roster!AH22</f>
        <v>.</v>
      </c>
    </row>
    <row r="7" spans="2:33" ht="14.4" thickTop="1" thickBot="1">
      <c r="C7" s="21" t="str">
        <f t="shared" ref="C7:AG7" si="1">LEFT(TEXT(C8&amp;"-"&amp;$B8&amp;"-"&amp;CurYear-1,"ddd"),2)</f>
        <v>We</v>
      </c>
      <c r="D7" s="21" t="str">
        <f t="shared" si="1"/>
        <v>Th</v>
      </c>
      <c r="E7" s="21" t="str">
        <f t="shared" si="1"/>
        <v>Fr</v>
      </c>
      <c r="F7" s="21" t="str">
        <f t="shared" si="1"/>
        <v>Sa</v>
      </c>
      <c r="G7" s="21" t="str">
        <f t="shared" si="1"/>
        <v>Su</v>
      </c>
      <c r="H7" s="21" t="str">
        <f t="shared" si="1"/>
        <v>Mo</v>
      </c>
      <c r="I7" s="21" t="str">
        <f t="shared" si="1"/>
        <v>Tu</v>
      </c>
      <c r="J7" s="21" t="str">
        <f t="shared" si="1"/>
        <v>We</v>
      </c>
      <c r="K7" s="21" t="str">
        <f t="shared" si="1"/>
        <v>Th</v>
      </c>
      <c r="L7" s="21" t="str">
        <f t="shared" si="1"/>
        <v>Fr</v>
      </c>
      <c r="M7" s="21" t="str">
        <f t="shared" si="1"/>
        <v>Sa</v>
      </c>
      <c r="N7" s="21" t="str">
        <f t="shared" si="1"/>
        <v>Su</v>
      </c>
      <c r="O7" s="21" t="str">
        <f t="shared" si="1"/>
        <v>Mo</v>
      </c>
      <c r="P7" s="21" t="str">
        <f t="shared" si="1"/>
        <v>Tu</v>
      </c>
      <c r="Q7" s="21" t="str">
        <f t="shared" si="1"/>
        <v>We</v>
      </c>
      <c r="R7" s="21" t="str">
        <f t="shared" si="1"/>
        <v>Th</v>
      </c>
      <c r="S7" s="21" t="str">
        <f t="shared" si="1"/>
        <v>Fr</v>
      </c>
      <c r="T7" s="21" t="str">
        <f t="shared" si="1"/>
        <v>Sa</v>
      </c>
      <c r="U7" s="21" t="str">
        <f t="shared" si="1"/>
        <v>Su</v>
      </c>
      <c r="V7" s="21" t="str">
        <f t="shared" si="1"/>
        <v>Mo</v>
      </c>
      <c r="W7" s="21" t="str">
        <f t="shared" si="1"/>
        <v>Tu</v>
      </c>
      <c r="X7" s="21" t="str">
        <f t="shared" si="1"/>
        <v>We</v>
      </c>
      <c r="Y7" s="21" t="str">
        <f t="shared" si="1"/>
        <v>Th</v>
      </c>
      <c r="Z7" s="21" t="str">
        <f t="shared" si="1"/>
        <v>Fr</v>
      </c>
      <c r="AA7" s="21" t="str">
        <f t="shared" si="1"/>
        <v>Sa</v>
      </c>
      <c r="AB7" s="21" t="str">
        <f t="shared" si="1"/>
        <v>Su</v>
      </c>
      <c r="AC7" s="21" t="str">
        <f t="shared" si="1"/>
        <v>Mo</v>
      </c>
      <c r="AD7" s="21" t="str">
        <f t="shared" si="1"/>
        <v>Tu</v>
      </c>
      <c r="AE7" s="21" t="str">
        <f t="shared" si="1"/>
        <v>We</v>
      </c>
      <c r="AF7" s="21" t="str">
        <f t="shared" si="1"/>
        <v>Th</v>
      </c>
      <c r="AG7" s="21" t="str">
        <f t="shared" si="1"/>
        <v>Fr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2018</v>
      </c>
      <c r="C9" s="36" t="str">
        <f>Roster!D53</f>
        <v>.</v>
      </c>
      <c r="D9" s="39" t="str">
        <f>Roster!E53</f>
        <v>.</v>
      </c>
      <c r="E9" s="37" t="str">
        <f>Roster!F53</f>
        <v>.</v>
      </c>
      <c r="F9" s="37" t="str">
        <f>Roster!G53</f>
        <v>.</v>
      </c>
      <c r="G9" s="37" t="str">
        <f>Roster!H53</f>
        <v>.</v>
      </c>
      <c r="H9" s="37" t="str">
        <f>Roster!I53</f>
        <v>.</v>
      </c>
      <c r="I9" s="37" t="str">
        <f>Roster!J53</f>
        <v>.</v>
      </c>
      <c r="J9" s="37" t="str">
        <f>Roster!K53</f>
        <v>.</v>
      </c>
      <c r="K9" s="37" t="str">
        <f>Roster!L53</f>
        <v>.</v>
      </c>
      <c r="L9" s="37" t="str">
        <f>Roster!M53</f>
        <v>.</v>
      </c>
      <c r="M9" s="37" t="str">
        <f>Roster!N53</f>
        <v>.</v>
      </c>
      <c r="N9" s="37" t="str">
        <f>Roster!O53</f>
        <v>.</v>
      </c>
      <c r="O9" s="37" t="str">
        <f>Roster!P53</f>
        <v>.</v>
      </c>
      <c r="P9" s="37" t="str">
        <f>Roster!Q53</f>
        <v>.</v>
      </c>
      <c r="Q9" s="37" t="str">
        <f>Roster!R53</f>
        <v>.</v>
      </c>
      <c r="R9" s="37" t="str">
        <f>Roster!S53</f>
        <v>.</v>
      </c>
      <c r="S9" s="37" t="str">
        <f>Roster!T53</f>
        <v>.</v>
      </c>
      <c r="T9" s="37" t="str">
        <f>Roster!U53</f>
        <v>.</v>
      </c>
      <c r="U9" s="37" t="str">
        <f>Roster!V53</f>
        <v>.</v>
      </c>
      <c r="V9" s="37" t="str">
        <f>Roster!W53</f>
        <v>.</v>
      </c>
      <c r="W9" s="37" t="str">
        <f>Roster!X53</f>
        <v>.</v>
      </c>
      <c r="X9" s="37" t="str">
        <f>Roster!Y53</f>
        <v>.</v>
      </c>
      <c r="Y9" s="37" t="str">
        <f>Roster!Z53</f>
        <v>.</v>
      </c>
      <c r="Z9" s="37" t="str">
        <f>Roster!AA53</f>
        <v>.</v>
      </c>
      <c r="AA9" s="37" t="str">
        <f>Roster!AB53</f>
        <v>.</v>
      </c>
      <c r="AB9" s="37" t="str">
        <f>Roster!AC53</f>
        <v>.</v>
      </c>
      <c r="AC9" s="37" t="str">
        <f>Roster!AD53</f>
        <v>.</v>
      </c>
      <c r="AD9" s="37" t="str">
        <f>Roster!AE53</f>
        <v>.</v>
      </c>
      <c r="AE9" s="37" t="str">
        <f>Roster!AF53</f>
        <v>.</v>
      </c>
      <c r="AF9" s="37" t="str">
        <f>Roster!AG53</f>
        <v>.</v>
      </c>
      <c r="AG9" s="38" t="str">
        <f>Roster!AH53</f>
        <v>.</v>
      </c>
    </row>
    <row r="10" spans="2:33" ht="14.4" thickTop="1" thickBot="1">
      <c r="C10" s="21" t="str">
        <f t="shared" ref="C10:AF10" si="2">LEFT(TEXT(C11&amp;"-"&amp;$B11&amp;"-"&amp;CurYear-1,"ddd"),2)</f>
        <v>Sa</v>
      </c>
      <c r="D10" s="21" t="str">
        <f t="shared" si="2"/>
        <v>Su</v>
      </c>
      <c r="E10" s="21" t="str">
        <f t="shared" si="2"/>
        <v>Mo</v>
      </c>
      <c r="F10" s="21" t="str">
        <f t="shared" si="2"/>
        <v>Tu</v>
      </c>
      <c r="G10" s="21" t="str">
        <f t="shared" si="2"/>
        <v>We</v>
      </c>
      <c r="H10" s="21" t="str">
        <f t="shared" si="2"/>
        <v>Th</v>
      </c>
      <c r="I10" s="21" t="str">
        <f t="shared" si="2"/>
        <v>Fr</v>
      </c>
      <c r="J10" s="21" t="str">
        <f t="shared" si="2"/>
        <v>Sa</v>
      </c>
      <c r="K10" s="21" t="str">
        <f t="shared" si="2"/>
        <v>Su</v>
      </c>
      <c r="L10" s="21" t="str">
        <f t="shared" si="2"/>
        <v>Mo</v>
      </c>
      <c r="M10" s="21" t="str">
        <f t="shared" si="2"/>
        <v>Tu</v>
      </c>
      <c r="N10" s="21" t="str">
        <f t="shared" si="2"/>
        <v>We</v>
      </c>
      <c r="O10" s="21" t="str">
        <f t="shared" si="2"/>
        <v>Th</v>
      </c>
      <c r="P10" s="21" t="str">
        <f t="shared" si="2"/>
        <v>Fr</v>
      </c>
      <c r="Q10" s="21" t="str">
        <f t="shared" si="2"/>
        <v>Sa</v>
      </c>
      <c r="R10" s="21" t="str">
        <f t="shared" si="2"/>
        <v>Su</v>
      </c>
      <c r="S10" s="21" t="str">
        <f t="shared" si="2"/>
        <v>Mo</v>
      </c>
      <c r="T10" s="21" t="str">
        <f t="shared" si="2"/>
        <v>Tu</v>
      </c>
      <c r="U10" s="21" t="str">
        <f t="shared" si="2"/>
        <v>We</v>
      </c>
      <c r="V10" s="21" t="str">
        <f t="shared" si="2"/>
        <v>Th</v>
      </c>
      <c r="W10" s="21" t="str">
        <f t="shared" si="2"/>
        <v>Fr</v>
      </c>
      <c r="X10" s="21" t="str">
        <f t="shared" si="2"/>
        <v>Sa</v>
      </c>
      <c r="Y10" s="21" t="str">
        <f t="shared" si="2"/>
        <v>Su</v>
      </c>
      <c r="Z10" s="21" t="str">
        <f t="shared" si="2"/>
        <v>Mo</v>
      </c>
      <c r="AA10" s="21" t="str">
        <f t="shared" si="2"/>
        <v>Tu</v>
      </c>
      <c r="AB10" s="21" t="str">
        <f t="shared" si="2"/>
        <v>We</v>
      </c>
      <c r="AC10" s="21" t="str">
        <f t="shared" si="2"/>
        <v>Th</v>
      </c>
      <c r="AD10" s="21" t="str">
        <f t="shared" si="2"/>
        <v>Fr</v>
      </c>
      <c r="AE10" s="21" t="str">
        <f t="shared" si="2"/>
        <v>Sa</v>
      </c>
      <c r="AF10" s="21" t="str">
        <f t="shared" si="2"/>
        <v>Su</v>
      </c>
      <c r="AG10" s="17"/>
    </row>
    <row r="11" spans="2:33" ht="14.4" thickTop="1" thickBot="1">
      <c r="B11" s="32" t="str">
        <f>Roster!C59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2018</v>
      </c>
      <c r="C12" s="36" t="str">
        <f>Roster!D68</f>
        <v>.</v>
      </c>
      <c r="D12" s="37" t="str">
        <f>Roster!E68</f>
        <v>.</v>
      </c>
      <c r="E12" s="37" t="str">
        <f>Roster!F68</f>
        <v>.</v>
      </c>
      <c r="F12" s="37" t="str">
        <f>Roster!G68</f>
        <v>.</v>
      </c>
      <c r="G12" s="37" t="str">
        <f>Roster!H68</f>
        <v>.</v>
      </c>
      <c r="H12" s="37" t="str">
        <f>Roster!I68</f>
        <v>.</v>
      </c>
      <c r="I12" s="37" t="str">
        <f>Roster!J68</f>
        <v>.</v>
      </c>
      <c r="J12" s="37" t="str">
        <f>Roster!K68</f>
        <v>.</v>
      </c>
      <c r="K12" s="37" t="str">
        <f>Roster!L68</f>
        <v>.</v>
      </c>
      <c r="L12" s="37" t="str">
        <f>Roster!M68</f>
        <v>.</v>
      </c>
      <c r="M12" s="37" t="str">
        <f>Roster!N68</f>
        <v>.</v>
      </c>
      <c r="N12" s="37" t="str">
        <f>Roster!O68</f>
        <v>.</v>
      </c>
      <c r="O12" s="37" t="str">
        <f>Roster!P68</f>
        <v>.</v>
      </c>
      <c r="P12" s="37" t="str">
        <f>Roster!Q68</f>
        <v>.</v>
      </c>
      <c r="Q12" s="37" t="str">
        <f>Roster!R68</f>
        <v>.</v>
      </c>
      <c r="R12" s="37" t="str">
        <f>Roster!S68</f>
        <v>.</v>
      </c>
      <c r="S12" s="37" t="str">
        <f>Roster!T68</f>
        <v>.</v>
      </c>
      <c r="T12" s="37" t="str">
        <f>Roster!U68</f>
        <v>.</v>
      </c>
      <c r="U12" s="37" t="str">
        <f>Roster!V68</f>
        <v>.</v>
      </c>
      <c r="V12" s="37" t="str">
        <f>Roster!W68</f>
        <v>.</v>
      </c>
      <c r="W12" s="37" t="str">
        <f>Roster!X68</f>
        <v>.</v>
      </c>
      <c r="X12" s="37" t="str">
        <f>Roster!Y68</f>
        <v>.</v>
      </c>
      <c r="Y12" s="37" t="str">
        <f>Roster!Z68</f>
        <v>.</v>
      </c>
      <c r="Z12" s="37" t="str">
        <f>Roster!AA68</f>
        <v>.</v>
      </c>
      <c r="AA12" s="37" t="str">
        <f>Roster!AB68</f>
        <v>.</v>
      </c>
      <c r="AB12" s="37" t="str">
        <f>Roster!AC68</f>
        <v>.</v>
      </c>
      <c r="AC12" s="37" t="str">
        <f>Roster!AD68</f>
        <v>.</v>
      </c>
      <c r="AD12" s="37" t="str">
        <f>Roster!AE68</f>
        <v>.</v>
      </c>
      <c r="AE12" s="37" t="str">
        <f>Roster!AF68</f>
        <v>.</v>
      </c>
      <c r="AF12" s="38" t="str">
        <f>Roster!AG68</f>
        <v>.</v>
      </c>
    </row>
    <row r="13" spans="2:33" ht="14.4" thickTop="1" thickBot="1">
      <c r="C13" s="21" t="str">
        <f t="shared" ref="C13:AG13" si="3">LEFT(TEXT(C14&amp;"-"&amp;$B14&amp;"-"&amp;CurYear-1,"ddd"),2)</f>
        <v>Mo</v>
      </c>
      <c r="D13" s="21" t="str">
        <f t="shared" si="3"/>
        <v>Tu</v>
      </c>
      <c r="E13" s="21" t="str">
        <f t="shared" si="3"/>
        <v>We</v>
      </c>
      <c r="F13" s="21" t="str">
        <f t="shared" si="3"/>
        <v>Th</v>
      </c>
      <c r="G13" s="21" t="str">
        <f t="shared" si="3"/>
        <v>Fr</v>
      </c>
      <c r="H13" s="21" t="str">
        <f t="shared" si="3"/>
        <v>Sa</v>
      </c>
      <c r="I13" s="21" t="str">
        <f t="shared" si="3"/>
        <v>Su</v>
      </c>
      <c r="J13" s="21" t="str">
        <f t="shared" si="3"/>
        <v>Mo</v>
      </c>
      <c r="K13" s="21" t="str">
        <f t="shared" si="3"/>
        <v>Tu</v>
      </c>
      <c r="L13" s="21" t="str">
        <f t="shared" si="3"/>
        <v>We</v>
      </c>
      <c r="M13" s="21" t="str">
        <f t="shared" si="3"/>
        <v>Th</v>
      </c>
      <c r="N13" s="21" t="str">
        <f t="shared" si="3"/>
        <v>Fr</v>
      </c>
      <c r="O13" s="21" t="str">
        <f t="shared" si="3"/>
        <v>Sa</v>
      </c>
      <c r="P13" s="21" t="str">
        <f t="shared" si="3"/>
        <v>Su</v>
      </c>
      <c r="Q13" s="21" t="str">
        <f t="shared" si="3"/>
        <v>Mo</v>
      </c>
      <c r="R13" s="21" t="str">
        <f t="shared" si="3"/>
        <v>Tu</v>
      </c>
      <c r="S13" s="21" t="str">
        <f t="shared" si="3"/>
        <v>We</v>
      </c>
      <c r="T13" s="21" t="str">
        <f t="shared" si="3"/>
        <v>Th</v>
      </c>
      <c r="U13" s="21" t="str">
        <f t="shared" si="3"/>
        <v>Fr</v>
      </c>
      <c r="V13" s="21" t="str">
        <f t="shared" si="3"/>
        <v>Sa</v>
      </c>
      <c r="W13" s="21" t="str">
        <f t="shared" si="3"/>
        <v>Su</v>
      </c>
      <c r="X13" s="21" t="str">
        <f t="shared" si="3"/>
        <v>Mo</v>
      </c>
      <c r="Y13" s="21" t="str">
        <f t="shared" si="3"/>
        <v>Tu</v>
      </c>
      <c r="Z13" s="21" t="str">
        <f t="shared" si="3"/>
        <v>We</v>
      </c>
      <c r="AA13" s="21" t="str">
        <f t="shared" si="3"/>
        <v>Th</v>
      </c>
      <c r="AB13" s="21" t="str">
        <f t="shared" si="3"/>
        <v>Fr</v>
      </c>
      <c r="AC13" s="21" t="str">
        <f t="shared" si="3"/>
        <v>Sa</v>
      </c>
      <c r="AD13" s="21" t="str">
        <f t="shared" si="3"/>
        <v>Su</v>
      </c>
      <c r="AE13" s="21" t="str">
        <f t="shared" si="3"/>
        <v>Mo</v>
      </c>
      <c r="AF13" s="21" t="str">
        <f t="shared" si="3"/>
        <v>Tu</v>
      </c>
      <c r="AG13" s="20" t="str">
        <f t="shared" si="3"/>
        <v>We</v>
      </c>
    </row>
    <row r="14" spans="2:33" ht="14.4" thickTop="1" thickBot="1">
      <c r="B14" s="32" t="str">
        <f>Roster!C74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2018</v>
      </c>
      <c r="C15" s="36" t="str">
        <f>Roster!D83</f>
        <v>.</v>
      </c>
      <c r="D15" s="37" t="str">
        <f>Roster!E83</f>
        <v>.</v>
      </c>
      <c r="E15" s="37" t="str">
        <f>Roster!F83</f>
        <v>.</v>
      </c>
      <c r="F15" s="37" t="str">
        <f>Roster!G83</f>
        <v>.</v>
      </c>
      <c r="G15" s="37" t="str">
        <f>Roster!H83</f>
        <v>.</v>
      </c>
      <c r="H15" s="37" t="str">
        <f>Roster!I83</f>
        <v>.</v>
      </c>
      <c r="I15" s="37" t="str">
        <f>Roster!J83</f>
        <v>.</v>
      </c>
      <c r="J15" s="37" t="str">
        <f>Roster!K83</f>
        <v>.</v>
      </c>
      <c r="K15" s="37" t="str">
        <f>Roster!L83</f>
        <v>.</v>
      </c>
      <c r="L15" s="37" t="str">
        <f>Roster!M83</f>
        <v>.</v>
      </c>
      <c r="M15" s="37" t="str">
        <f>Roster!N83</f>
        <v>.</v>
      </c>
      <c r="N15" s="37" t="str">
        <f>Roster!O83</f>
        <v>.</v>
      </c>
      <c r="O15" s="37" t="str">
        <f>Roster!P83</f>
        <v>.</v>
      </c>
      <c r="P15" s="37" t="str">
        <f>Roster!Q83</f>
        <v>.</v>
      </c>
      <c r="Q15" s="37" t="str">
        <f>Roster!R83</f>
        <v>.</v>
      </c>
      <c r="R15" s="37" t="str">
        <f>Roster!S83</f>
        <v>.</v>
      </c>
      <c r="S15" s="37" t="str">
        <f>Roster!T83</f>
        <v>.</v>
      </c>
      <c r="T15" s="37" t="str">
        <f>Roster!U83</f>
        <v>.</v>
      </c>
      <c r="U15" s="37" t="str">
        <f>Roster!V83</f>
        <v>.</v>
      </c>
      <c r="V15" s="37" t="str">
        <f>Roster!W83</f>
        <v>.</v>
      </c>
      <c r="W15" s="37" t="str">
        <f>Roster!X83</f>
        <v>.</v>
      </c>
      <c r="X15" s="37" t="str">
        <f>Roster!Y83</f>
        <v>.</v>
      </c>
      <c r="Y15" s="37" t="str">
        <f>Roster!Z83</f>
        <v>.</v>
      </c>
      <c r="Z15" s="37" t="str">
        <f>Roster!AA83</f>
        <v>.</v>
      </c>
      <c r="AA15" s="37" t="str">
        <f>Roster!AB83</f>
        <v>.</v>
      </c>
      <c r="AB15" s="37" t="str">
        <f>Roster!AC83</f>
        <v>.</v>
      </c>
      <c r="AC15" s="37" t="str">
        <f>Roster!AD83</f>
        <v>.</v>
      </c>
      <c r="AD15" s="37" t="str">
        <f>Roster!AE83</f>
        <v>.</v>
      </c>
      <c r="AE15" s="37" t="str">
        <f>Roster!AF83</f>
        <v>.</v>
      </c>
      <c r="AF15" s="37" t="str">
        <f>Roster!AG83</f>
        <v>.</v>
      </c>
      <c r="AG15" s="38" t="str">
        <f>Roster!AH83</f>
        <v>.</v>
      </c>
    </row>
    <row r="16" spans="2:33" ht="14.4" thickTop="1" thickBot="1">
      <c r="C16" s="21" t="str">
        <f t="shared" ref="C16:AF16" si="4">LEFT(TEXT(C17&amp;"-"&amp;$B17&amp;"-"&amp;CurYear-1,"ddd"),2)</f>
        <v>Th</v>
      </c>
      <c r="D16" s="21" t="str">
        <f t="shared" si="4"/>
        <v>Fr</v>
      </c>
      <c r="E16" s="21" t="str">
        <f t="shared" si="4"/>
        <v>Sa</v>
      </c>
      <c r="F16" s="21" t="str">
        <f t="shared" si="4"/>
        <v>Su</v>
      </c>
      <c r="G16" s="21" t="str">
        <f t="shared" si="4"/>
        <v>Mo</v>
      </c>
      <c r="H16" s="21" t="str">
        <f t="shared" si="4"/>
        <v>Tu</v>
      </c>
      <c r="I16" s="21" t="str">
        <f t="shared" si="4"/>
        <v>We</v>
      </c>
      <c r="J16" s="21" t="str">
        <f t="shared" si="4"/>
        <v>Th</v>
      </c>
      <c r="K16" s="21" t="str">
        <f t="shared" si="4"/>
        <v>Fr</v>
      </c>
      <c r="L16" s="21" t="str">
        <f t="shared" si="4"/>
        <v>Sa</v>
      </c>
      <c r="M16" s="21" t="str">
        <f t="shared" si="4"/>
        <v>Su</v>
      </c>
      <c r="N16" s="21" t="str">
        <f t="shared" si="4"/>
        <v>Mo</v>
      </c>
      <c r="O16" s="21" t="str">
        <f t="shared" si="4"/>
        <v>Tu</v>
      </c>
      <c r="P16" s="21" t="str">
        <f t="shared" si="4"/>
        <v>We</v>
      </c>
      <c r="Q16" s="21" t="str">
        <f t="shared" si="4"/>
        <v>Th</v>
      </c>
      <c r="R16" s="21" t="str">
        <f t="shared" si="4"/>
        <v>Fr</v>
      </c>
      <c r="S16" s="21" t="str">
        <f t="shared" si="4"/>
        <v>Sa</v>
      </c>
      <c r="T16" s="21" t="str">
        <f t="shared" si="4"/>
        <v>Su</v>
      </c>
      <c r="U16" s="21" t="str">
        <f t="shared" si="4"/>
        <v>Mo</v>
      </c>
      <c r="V16" s="21" t="str">
        <f t="shared" si="4"/>
        <v>Tu</v>
      </c>
      <c r="W16" s="21" t="str">
        <f t="shared" si="4"/>
        <v>We</v>
      </c>
      <c r="X16" s="21" t="str">
        <f t="shared" si="4"/>
        <v>Th</v>
      </c>
      <c r="Y16" s="21" t="str">
        <f t="shared" si="4"/>
        <v>Fr</v>
      </c>
      <c r="Z16" s="21" t="str">
        <f t="shared" si="4"/>
        <v>Sa</v>
      </c>
      <c r="AA16" s="21" t="str">
        <f t="shared" si="4"/>
        <v>Su</v>
      </c>
      <c r="AB16" s="21" t="str">
        <f t="shared" si="4"/>
        <v>Mo</v>
      </c>
      <c r="AC16" s="21" t="str">
        <f t="shared" si="4"/>
        <v>Tu</v>
      </c>
      <c r="AD16" s="21" t="str">
        <f t="shared" si="4"/>
        <v>We</v>
      </c>
      <c r="AE16" s="21" t="str">
        <f t="shared" si="4"/>
        <v>Th</v>
      </c>
      <c r="AF16" s="21" t="str">
        <f t="shared" si="4"/>
        <v>Fr</v>
      </c>
      <c r="AG16" s="17"/>
    </row>
    <row r="17" spans="2:33" ht="14.4" thickTop="1" thickBot="1">
      <c r="B17" s="32" t="str">
        <f>Roster!C89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2018</v>
      </c>
      <c r="C18" s="36" t="str">
        <f>Roster!D98</f>
        <v>.</v>
      </c>
      <c r="D18" s="37" t="str">
        <f>Roster!E98</f>
        <v>.</v>
      </c>
      <c r="E18" s="37" t="str">
        <f>Roster!F98</f>
        <v>.</v>
      </c>
      <c r="F18" s="37" t="str">
        <f>Roster!G98</f>
        <v>.</v>
      </c>
      <c r="G18" s="37" t="str">
        <f>Roster!H98</f>
        <v>.</v>
      </c>
      <c r="H18" s="37" t="str">
        <f>Roster!I98</f>
        <v>.</v>
      </c>
      <c r="I18" s="37" t="str">
        <f>Roster!J98</f>
        <v>.</v>
      </c>
      <c r="J18" s="37" t="str">
        <f>Roster!K98</f>
        <v>.</v>
      </c>
      <c r="K18" s="37" t="str">
        <f>Roster!L98</f>
        <v>.</v>
      </c>
      <c r="L18" s="37" t="str">
        <f>Roster!M98</f>
        <v>.</v>
      </c>
      <c r="M18" s="37" t="str">
        <f>Roster!N98</f>
        <v>.</v>
      </c>
      <c r="N18" s="37" t="str">
        <f>Roster!O98</f>
        <v>.</v>
      </c>
      <c r="O18" s="37" t="str">
        <f>Roster!P98</f>
        <v>.</v>
      </c>
      <c r="P18" s="37" t="str">
        <f>Roster!Q98</f>
        <v>.</v>
      </c>
      <c r="Q18" s="37" t="str">
        <f>Roster!R98</f>
        <v>.</v>
      </c>
      <c r="R18" s="37" t="str">
        <f>Roster!S98</f>
        <v>.</v>
      </c>
      <c r="S18" s="37" t="str">
        <f>Roster!T98</f>
        <v>.</v>
      </c>
      <c r="T18" s="37" t="str">
        <f>Roster!U98</f>
        <v>.</v>
      </c>
      <c r="U18" s="37" t="str">
        <f>Roster!V98</f>
        <v>.</v>
      </c>
      <c r="V18" s="37" t="str">
        <f>Roster!W98</f>
        <v>.</v>
      </c>
      <c r="W18" s="37" t="str">
        <f>Roster!X98</f>
        <v>.</v>
      </c>
      <c r="X18" s="37" t="str">
        <f>Roster!Y98</f>
        <v>.</v>
      </c>
      <c r="Y18" s="37" t="str">
        <f>Roster!Z98</f>
        <v>.</v>
      </c>
      <c r="Z18" s="37" t="str">
        <f>Roster!AA98</f>
        <v>.</v>
      </c>
      <c r="AA18" s="37" t="str">
        <f>Roster!AB98</f>
        <v>.</v>
      </c>
      <c r="AB18" s="37" t="str">
        <f>Roster!AC98</f>
        <v>.</v>
      </c>
      <c r="AC18" s="37" t="str">
        <f>Roster!AD98</f>
        <v>.</v>
      </c>
      <c r="AD18" s="37" t="str">
        <f>Roster!AE98</f>
        <v>.</v>
      </c>
      <c r="AE18" s="37" t="str">
        <f>Roster!AF98</f>
        <v>.</v>
      </c>
      <c r="AF18" s="38" t="str">
        <f>Roster!AG98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Sa</v>
      </c>
      <c r="D19" s="21" t="str">
        <f t="shared" si="5"/>
        <v>Su</v>
      </c>
      <c r="E19" s="21" t="str">
        <f t="shared" si="5"/>
        <v>Mo</v>
      </c>
      <c r="F19" s="21" t="str">
        <f t="shared" si="5"/>
        <v>Tu</v>
      </c>
      <c r="G19" s="21" t="str">
        <f t="shared" si="5"/>
        <v>We</v>
      </c>
      <c r="H19" s="21" t="str">
        <f t="shared" si="5"/>
        <v>Th</v>
      </c>
      <c r="I19" s="21" t="str">
        <f t="shared" si="5"/>
        <v>Fr</v>
      </c>
      <c r="J19" s="21" t="str">
        <f t="shared" si="5"/>
        <v>Sa</v>
      </c>
      <c r="K19" s="21" t="str">
        <f t="shared" si="5"/>
        <v>Su</v>
      </c>
      <c r="L19" s="21" t="str">
        <f t="shared" si="5"/>
        <v>Mo</v>
      </c>
      <c r="M19" s="21" t="str">
        <f t="shared" si="5"/>
        <v>Tu</v>
      </c>
      <c r="N19" s="21" t="str">
        <f t="shared" si="5"/>
        <v>We</v>
      </c>
      <c r="O19" s="21" t="str">
        <f t="shared" si="5"/>
        <v>Th</v>
      </c>
      <c r="P19" s="21" t="str">
        <f t="shared" si="5"/>
        <v>Fr</v>
      </c>
      <c r="Q19" s="21" t="str">
        <f t="shared" si="5"/>
        <v>Sa</v>
      </c>
      <c r="R19" s="21" t="str">
        <f t="shared" si="5"/>
        <v>Su</v>
      </c>
      <c r="S19" s="21" t="str">
        <f t="shared" si="5"/>
        <v>Mo</v>
      </c>
      <c r="T19" s="21" t="str">
        <f t="shared" si="5"/>
        <v>Tu</v>
      </c>
      <c r="U19" s="21" t="str">
        <f t="shared" si="5"/>
        <v>We</v>
      </c>
      <c r="V19" s="21" t="str">
        <f t="shared" si="5"/>
        <v>Th</v>
      </c>
      <c r="W19" s="21" t="str">
        <f t="shared" si="5"/>
        <v>Fr</v>
      </c>
      <c r="X19" s="21" t="str">
        <f t="shared" si="5"/>
        <v>Sa</v>
      </c>
      <c r="Y19" s="21" t="str">
        <f t="shared" si="5"/>
        <v>Su</v>
      </c>
      <c r="Z19" s="21" t="str">
        <f t="shared" si="5"/>
        <v>Mo</v>
      </c>
      <c r="AA19" s="21" t="str">
        <f t="shared" si="5"/>
        <v>Tu</v>
      </c>
      <c r="AB19" s="21" t="str">
        <f t="shared" si="5"/>
        <v>We</v>
      </c>
      <c r="AC19" s="21" t="str">
        <f t="shared" si="5"/>
        <v>Th</v>
      </c>
      <c r="AD19" s="21" t="str">
        <f t="shared" si="5"/>
        <v>Fr</v>
      </c>
      <c r="AE19" s="21" t="str">
        <f t="shared" si="5"/>
        <v>Sa</v>
      </c>
      <c r="AF19" s="21" t="str">
        <f t="shared" si="5"/>
        <v>Su</v>
      </c>
      <c r="AG19" s="28" t="str">
        <f t="shared" si="5"/>
        <v>Mo</v>
      </c>
    </row>
    <row r="20" spans="2:33" ht="14.4" thickTop="1" thickBot="1">
      <c r="B20" s="32" t="str">
        <f>Roster!C104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2018</v>
      </c>
      <c r="C21" s="36" t="str">
        <f>Roster!D113</f>
        <v>.</v>
      </c>
      <c r="D21" s="37" t="str">
        <f>Roster!E113</f>
        <v>.</v>
      </c>
      <c r="E21" s="37" t="str">
        <f>Roster!F113</f>
        <v>.</v>
      </c>
      <c r="F21" s="37" t="str">
        <f>Roster!G113</f>
        <v>.</v>
      </c>
      <c r="G21" s="37" t="str">
        <f>Roster!H113</f>
        <v>.</v>
      </c>
      <c r="H21" s="37" t="str">
        <f>Roster!I113</f>
        <v>.</v>
      </c>
      <c r="I21" s="37" t="str">
        <f>Roster!J113</f>
        <v>.</v>
      </c>
      <c r="J21" s="37" t="str">
        <f>Roster!K113</f>
        <v>.</v>
      </c>
      <c r="K21" s="37" t="str">
        <f>Roster!L113</f>
        <v>.</v>
      </c>
      <c r="L21" s="37" t="str">
        <f>Roster!M113</f>
        <v>.</v>
      </c>
      <c r="M21" s="37" t="str">
        <f>Roster!N113</f>
        <v>.</v>
      </c>
      <c r="N21" s="37" t="str">
        <f>Roster!O113</f>
        <v>.</v>
      </c>
      <c r="O21" s="37" t="str">
        <f>Roster!P113</f>
        <v>.</v>
      </c>
      <c r="P21" s="37" t="str">
        <f>Roster!Q113</f>
        <v>.</v>
      </c>
      <c r="Q21" s="37" t="str">
        <f>Roster!R113</f>
        <v>.</v>
      </c>
      <c r="R21" s="37" t="str">
        <f>Roster!S113</f>
        <v>.</v>
      </c>
      <c r="S21" s="37" t="str">
        <f>Roster!T113</f>
        <v>.</v>
      </c>
      <c r="T21" s="37" t="str">
        <f>Roster!U113</f>
        <v>.</v>
      </c>
      <c r="U21" s="37" t="str">
        <f>Roster!V113</f>
        <v>.</v>
      </c>
      <c r="V21" s="37" t="str">
        <f>Roster!W113</f>
        <v>.</v>
      </c>
      <c r="W21" s="37" t="str">
        <f>Roster!X113</f>
        <v>.</v>
      </c>
      <c r="X21" s="37" t="str">
        <f>Roster!Y113</f>
        <v>.</v>
      </c>
      <c r="Y21" s="37" t="str">
        <f>Roster!Z113</f>
        <v>.</v>
      </c>
      <c r="Z21" s="37" t="str">
        <f>Roster!AA113</f>
        <v>.</v>
      </c>
      <c r="AA21" s="37" t="str">
        <f>Roster!AB113</f>
        <v>.</v>
      </c>
      <c r="AB21" s="37" t="str">
        <f>Roster!AC113</f>
        <v>.</v>
      </c>
      <c r="AC21" s="37" t="str">
        <f>Roster!AD113</f>
        <v>.</v>
      </c>
      <c r="AD21" s="37" t="str">
        <f>Roster!AE113</f>
        <v>.</v>
      </c>
      <c r="AE21" s="37" t="str">
        <f>Roster!AF113</f>
        <v>.</v>
      </c>
      <c r="AF21" s="37" t="str">
        <f>Roster!AG113</f>
        <v>.</v>
      </c>
      <c r="AG21" s="38" t="str">
        <f>Roster!AH113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Tu</v>
      </c>
      <c r="D22" s="19" t="str">
        <f t="shared" si="6"/>
        <v>We</v>
      </c>
      <c r="E22" s="19" t="str">
        <f t="shared" si="6"/>
        <v>Th</v>
      </c>
      <c r="F22" s="19" t="str">
        <f t="shared" si="6"/>
        <v>Fr</v>
      </c>
      <c r="G22" s="19" t="str">
        <f t="shared" si="6"/>
        <v>Sa</v>
      </c>
      <c r="H22" s="19" t="str">
        <f t="shared" si="6"/>
        <v>Su</v>
      </c>
      <c r="I22" s="19" t="str">
        <f t="shared" si="6"/>
        <v>Mo</v>
      </c>
      <c r="J22" s="19" t="str">
        <f t="shared" si="6"/>
        <v>Tu</v>
      </c>
      <c r="K22" s="19" t="str">
        <f t="shared" si="6"/>
        <v>We</v>
      </c>
      <c r="L22" s="19" t="str">
        <f t="shared" si="6"/>
        <v>Th</v>
      </c>
      <c r="M22" s="19" t="str">
        <f t="shared" si="6"/>
        <v>Fr</v>
      </c>
      <c r="N22" s="19" t="str">
        <f t="shared" si="6"/>
        <v>Sa</v>
      </c>
      <c r="O22" s="19" t="str">
        <f t="shared" si="6"/>
        <v>Su</v>
      </c>
      <c r="P22" s="19" t="str">
        <f t="shared" si="6"/>
        <v>Mo</v>
      </c>
      <c r="Q22" s="19" t="str">
        <f t="shared" si="6"/>
        <v>Tu</v>
      </c>
      <c r="R22" s="19" t="str">
        <f t="shared" si="6"/>
        <v>We</v>
      </c>
      <c r="S22" s="19" t="str">
        <f t="shared" si="6"/>
        <v>Th</v>
      </c>
      <c r="T22" s="19" t="str">
        <f t="shared" si="6"/>
        <v>Fr</v>
      </c>
      <c r="U22" s="19" t="str">
        <f t="shared" si="6"/>
        <v>Sa</v>
      </c>
      <c r="V22" s="19" t="str">
        <f t="shared" si="6"/>
        <v>Su</v>
      </c>
      <c r="W22" s="19" t="str">
        <f t="shared" si="6"/>
        <v>Mo</v>
      </c>
      <c r="X22" s="19" t="str">
        <f t="shared" si="6"/>
        <v>Tu</v>
      </c>
      <c r="Y22" s="19" t="str">
        <f t="shared" si="6"/>
        <v>We</v>
      </c>
      <c r="Z22" s="19" t="str">
        <f t="shared" si="6"/>
        <v>Th</v>
      </c>
      <c r="AA22" s="19" t="str">
        <f t="shared" si="6"/>
        <v>Fr</v>
      </c>
      <c r="AB22" s="19" t="str">
        <f t="shared" si="6"/>
        <v>Sa</v>
      </c>
      <c r="AC22" s="19" t="str">
        <f t="shared" si="6"/>
        <v>Su</v>
      </c>
      <c r="AD22" s="19" t="str">
        <f t="shared" si="6"/>
        <v>Mo</v>
      </c>
      <c r="AE22" s="19" t="str">
        <f t="shared" si="6"/>
        <v>Tu</v>
      </c>
      <c r="AF22" s="19" t="str">
        <f t="shared" si="6"/>
        <v>We</v>
      </c>
      <c r="AG22" s="19" t="str">
        <f t="shared" si="6"/>
        <v>Th</v>
      </c>
    </row>
    <row r="23" spans="2:33" ht="14.4" thickTop="1" thickBot="1">
      <c r="B23" s="32" t="str">
        <f>Roster!$C$119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2019</v>
      </c>
      <c r="C24" s="52" t="str">
        <f>Roster!D128</f>
        <v>.</v>
      </c>
      <c r="D24" s="53" t="str">
        <f>Roster!E128</f>
        <v>.</v>
      </c>
      <c r="E24" s="53" t="str">
        <f>Roster!F128</f>
        <v>.</v>
      </c>
      <c r="F24" s="53" t="str">
        <f>Roster!G128</f>
        <v>.</v>
      </c>
      <c r="G24" s="53" t="str">
        <f>Roster!H128</f>
        <v>.</v>
      </c>
      <c r="H24" s="53" t="str">
        <f>Roster!I128</f>
        <v>.</v>
      </c>
      <c r="I24" s="53" t="str">
        <f>Roster!J128</f>
        <v>.</v>
      </c>
      <c r="J24" s="53" t="str">
        <f>Roster!K128</f>
        <v>.</v>
      </c>
      <c r="K24" s="53" t="str">
        <f>Roster!L128</f>
        <v>.</v>
      </c>
      <c r="L24" s="53" t="str">
        <f>Roster!M128</f>
        <v>.</v>
      </c>
      <c r="M24" s="53" t="str">
        <f>Roster!N128</f>
        <v>.</v>
      </c>
      <c r="N24" s="53" t="str">
        <f>Roster!O128</f>
        <v>.</v>
      </c>
      <c r="O24" s="53" t="str">
        <f>Roster!P128</f>
        <v>.</v>
      </c>
      <c r="P24" s="53" t="str">
        <f>Roster!Q128</f>
        <v>.</v>
      </c>
      <c r="Q24" s="53" t="str">
        <f>Roster!R128</f>
        <v>.</v>
      </c>
      <c r="R24" s="53" t="str">
        <f>Roster!S128</f>
        <v>.</v>
      </c>
      <c r="S24" s="53" t="str">
        <f>Roster!T128</f>
        <v>.</v>
      </c>
      <c r="T24" s="53" t="str">
        <f>Roster!U128</f>
        <v>.</v>
      </c>
      <c r="U24" s="53" t="str">
        <f>Roster!V128</f>
        <v>.</v>
      </c>
      <c r="V24" s="53" t="str">
        <f>Roster!W128</f>
        <v>.</v>
      </c>
      <c r="W24" s="53" t="str">
        <f>Roster!X128</f>
        <v>.</v>
      </c>
      <c r="X24" s="53" t="str">
        <f>Roster!Y128</f>
        <v>.</v>
      </c>
      <c r="Y24" s="53" t="str">
        <f>Roster!Z128</f>
        <v>.</v>
      </c>
      <c r="Z24" s="53" t="str">
        <f>Roster!AA128</f>
        <v>.</v>
      </c>
      <c r="AA24" s="53" t="str">
        <f>Roster!AB128</f>
        <v>.</v>
      </c>
      <c r="AB24" s="53" t="str">
        <f>Roster!AC128</f>
        <v>.</v>
      </c>
      <c r="AC24" s="53" t="str">
        <f>Roster!AD128</f>
        <v>.</v>
      </c>
      <c r="AD24" s="53" t="str">
        <f>Roster!AE128</f>
        <v>.</v>
      </c>
      <c r="AE24" s="53" t="str">
        <f>Roster!AF128</f>
        <v>.</v>
      </c>
      <c r="AF24" s="53" t="str">
        <f>Roster!AG128</f>
        <v>.</v>
      </c>
      <c r="AG24" s="54" t="str">
        <f>Roster!AH128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Fr</v>
      </c>
      <c r="D25" s="22" t="str">
        <f t="shared" si="7"/>
        <v>Sa</v>
      </c>
      <c r="E25" s="22" t="str">
        <f t="shared" si="7"/>
        <v>Su</v>
      </c>
      <c r="F25" s="22" t="str">
        <f t="shared" si="7"/>
        <v>Mo</v>
      </c>
      <c r="G25" s="22" t="str">
        <f t="shared" si="7"/>
        <v>Tu</v>
      </c>
      <c r="H25" s="22" t="str">
        <f t="shared" si="7"/>
        <v>We</v>
      </c>
      <c r="I25" s="22" t="str">
        <f t="shared" si="7"/>
        <v>Th</v>
      </c>
      <c r="J25" s="22" t="str">
        <f t="shared" si="7"/>
        <v>Fr</v>
      </c>
      <c r="K25" s="22" t="str">
        <f t="shared" si="7"/>
        <v>Sa</v>
      </c>
      <c r="L25" s="22" t="str">
        <f t="shared" si="7"/>
        <v>Su</v>
      </c>
      <c r="M25" s="22" t="str">
        <f t="shared" si="7"/>
        <v>Mo</v>
      </c>
      <c r="N25" s="22" t="str">
        <f t="shared" si="7"/>
        <v>Tu</v>
      </c>
      <c r="O25" s="22" t="str">
        <f t="shared" si="7"/>
        <v>We</v>
      </c>
      <c r="P25" s="22" t="str">
        <f t="shared" si="7"/>
        <v>Th</v>
      </c>
      <c r="Q25" s="22" t="str">
        <f t="shared" si="7"/>
        <v>Fr</v>
      </c>
      <c r="R25" s="22" t="str">
        <f t="shared" si="7"/>
        <v>Sa</v>
      </c>
      <c r="S25" s="22" t="str">
        <f t="shared" si="7"/>
        <v>Su</v>
      </c>
      <c r="T25" s="22" t="str">
        <f t="shared" si="7"/>
        <v>Mo</v>
      </c>
      <c r="U25" s="22" t="str">
        <f t="shared" si="7"/>
        <v>Tu</v>
      </c>
      <c r="V25" s="22" t="str">
        <f t="shared" si="7"/>
        <v>We</v>
      </c>
      <c r="W25" s="22" t="str">
        <f t="shared" si="7"/>
        <v>Th</v>
      </c>
      <c r="X25" s="22" t="str">
        <f t="shared" si="7"/>
        <v>Fr</v>
      </c>
      <c r="Y25" s="22" t="str">
        <f t="shared" si="7"/>
        <v>Sa</v>
      </c>
      <c r="Z25" s="22" t="str">
        <f t="shared" si="7"/>
        <v>Su</v>
      </c>
      <c r="AA25" s="22" t="str">
        <f t="shared" si="7"/>
        <v>Mo</v>
      </c>
      <c r="AB25" s="22" t="str">
        <f t="shared" si="7"/>
        <v>Tu</v>
      </c>
      <c r="AC25" s="22" t="str">
        <f t="shared" si="7"/>
        <v>We</v>
      </c>
      <c r="AD25" s="22" t="str">
        <f t="shared" si="7"/>
        <v>Th</v>
      </c>
      <c r="AE25" s="131" t="str">
        <f t="shared" si="7"/>
        <v>29</v>
      </c>
      <c r="AF25" s="23"/>
      <c r="AG25" s="24"/>
    </row>
    <row r="26" spans="2:33" ht="14.4" thickTop="1" thickBot="1">
      <c r="B26" s="32" t="str">
        <f>Roster!$C$134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45">
        <v>29</v>
      </c>
      <c r="AF26" s="44"/>
    </row>
    <row r="27" spans="2:33" ht="14.4" thickTop="1" thickBot="1">
      <c r="B27" s="32" t="str">
        <f>CurYear</f>
        <v>2019</v>
      </c>
      <c r="C27" s="51" t="str">
        <f>Roster!D143</f>
        <v>.</v>
      </c>
      <c r="D27" s="37" t="str">
        <f>Roster!E142</f>
        <v>.</v>
      </c>
      <c r="E27" s="37" t="str">
        <f>Roster!F142</f>
        <v>.</v>
      </c>
      <c r="F27" s="37" t="str">
        <f>Roster!G142</f>
        <v>.</v>
      </c>
      <c r="G27" s="37" t="str">
        <f>Roster!H142</f>
        <v>.</v>
      </c>
      <c r="H27" s="37" t="str">
        <f>Roster!I142</f>
        <v>.</v>
      </c>
      <c r="I27" s="37" t="str">
        <f>Roster!J142</f>
        <v>.</v>
      </c>
      <c r="J27" s="37" t="str">
        <f>Roster!K142</f>
        <v>.</v>
      </c>
      <c r="K27" s="37" t="str">
        <f>Roster!L142</f>
        <v>.</v>
      </c>
      <c r="L27" s="37" t="str">
        <f>Roster!M142</f>
        <v>.</v>
      </c>
      <c r="M27" s="37" t="str">
        <f>Roster!N142</f>
        <v>.</v>
      </c>
      <c r="N27" s="37" t="str">
        <f>Roster!O142</f>
        <v>.</v>
      </c>
      <c r="O27" s="37" t="str">
        <f>Roster!P142</f>
        <v>.</v>
      </c>
      <c r="P27" s="37" t="str">
        <f>Roster!Q142</f>
        <v>.</v>
      </c>
      <c r="Q27" s="37" t="str">
        <f>Roster!R142</f>
        <v>.</v>
      </c>
      <c r="R27" s="37" t="str">
        <f>Roster!S142</f>
        <v>.</v>
      </c>
      <c r="S27" s="37" t="str">
        <f>Roster!T142</f>
        <v>.</v>
      </c>
      <c r="T27" s="37" t="str">
        <f>Roster!U142</f>
        <v>.</v>
      </c>
      <c r="U27" s="37" t="str">
        <f>Roster!V142</f>
        <v>.</v>
      </c>
      <c r="V27" s="37" t="str">
        <f>Roster!W142</f>
        <v>.</v>
      </c>
      <c r="W27" s="37" t="str">
        <f>Roster!X142</f>
        <v>.</v>
      </c>
      <c r="X27" s="37" t="str">
        <f>Roster!Y142</f>
        <v>.</v>
      </c>
      <c r="Y27" s="37" t="str">
        <f>Roster!Z142</f>
        <v>.</v>
      </c>
      <c r="Z27" s="37" t="str">
        <f>Roster!AA142</f>
        <v>.</v>
      </c>
      <c r="AA27" s="37" t="str">
        <f>Roster!AB142</f>
        <v>.</v>
      </c>
      <c r="AB27" s="37" t="str">
        <f>Roster!AC142</f>
        <v>.</v>
      </c>
      <c r="AC27" s="37" t="str">
        <f>Roster!AD142</f>
        <v>.</v>
      </c>
      <c r="AD27" s="43" t="str">
        <f>Roster!AE142</f>
        <v>.</v>
      </c>
      <c r="AE27" s="130">
        <f>Roster!AF142</f>
        <v>0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Fr</v>
      </c>
      <c r="D28" s="25" t="str">
        <f t="shared" si="8"/>
        <v>Sa</v>
      </c>
      <c r="E28" s="25" t="str">
        <f t="shared" si="8"/>
        <v>Su</v>
      </c>
      <c r="F28" s="25" t="str">
        <f t="shared" si="8"/>
        <v>Mo</v>
      </c>
      <c r="G28" s="25" t="str">
        <f t="shared" si="8"/>
        <v>Tu</v>
      </c>
      <c r="H28" s="25" t="str">
        <f t="shared" si="8"/>
        <v>We</v>
      </c>
      <c r="I28" s="25" t="str">
        <f t="shared" si="8"/>
        <v>Th</v>
      </c>
      <c r="J28" s="25" t="str">
        <f t="shared" si="8"/>
        <v>Fr</v>
      </c>
      <c r="K28" s="25" t="str">
        <f t="shared" si="8"/>
        <v>Sa</v>
      </c>
      <c r="L28" s="25" t="str">
        <f t="shared" si="8"/>
        <v>Su</v>
      </c>
      <c r="M28" s="25" t="str">
        <f t="shared" si="8"/>
        <v>Mo</v>
      </c>
      <c r="N28" s="25" t="str">
        <f t="shared" si="8"/>
        <v>Tu</v>
      </c>
      <c r="O28" s="25" t="str">
        <f t="shared" si="8"/>
        <v>We</v>
      </c>
      <c r="P28" s="25" t="str">
        <f t="shared" si="8"/>
        <v>Th</v>
      </c>
      <c r="Q28" s="25" t="str">
        <f t="shared" si="8"/>
        <v>Fr</v>
      </c>
      <c r="R28" s="25" t="str">
        <f t="shared" si="8"/>
        <v>Sa</v>
      </c>
      <c r="S28" s="25" t="str">
        <f t="shared" si="8"/>
        <v>Su</v>
      </c>
      <c r="T28" s="25" t="str">
        <f t="shared" si="8"/>
        <v>Mo</v>
      </c>
      <c r="U28" s="25" t="str">
        <f t="shared" si="8"/>
        <v>Tu</v>
      </c>
      <c r="V28" s="25" t="str">
        <f t="shared" si="8"/>
        <v>We</v>
      </c>
      <c r="W28" s="25" t="str">
        <f t="shared" si="8"/>
        <v>Th</v>
      </c>
      <c r="X28" s="25" t="str">
        <f t="shared" si="8"/>
        <v>Fr</v>
      </c>
      <c r="Y28" s="25" t="str">
        <f t="shared" si="8"/>
        <v>Sa</v>
      </c>
      <c r="Z28" s="25" t="str">
        <f t="shared" si="8"/>
        <v>Su</v>
      </c>
      <c r="AA28" s="25" t="str">
        <f t="shared" si="8"/>
        <v>Mo</v>
      </c>
      <c r="AB28" s="25" t="str">
        <f t="shared" si="8"/>
        <v>Tu</v>
      </c>
      <c r="AC28" s="25" t="str">
        <f t="shared" si="8"/>
        <v>We</v>
      </c>
      <c r="AD28" s="25" t="str">
        <f t="shared" si="8"/>
        <v>Th</v>
      </c>
      <c r="AE28" s="45" t="str">
        <f t="shared" si="8"/>
        <v>Fr</v>
      </c>
      <c r="AF28" s="26" t="str">
        <f t="shared" si="8"/>
        <v>Sa</v>
      </c>
      <c r="AG28" s="26" t="str">
        <f t="shared" si="8"/>
        <v>Su</v>
      </c>
    </row>
    <row r="29" spans="2:33" ht="14.4" thickTop="1" thickBot="1">
      <c r="B29" s="32" t="str">
        <f>Roster!$C$149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2019</v>
      </c>
      <c r="C30" s="36" t="str">
        <f>Roster!D158</f>
        <v>.</v>
      </c>
      <c r="D30" s="37" t="str">
        <f>Roster!E158</f>
        <v>.</v>
      </c>
      <c r="E30" s="37" t="str">
        <f>Roster!F158</f>
        <v>.</v>
      </c>
      <c r="F30" s="37" t="str">
        <f>Roster!G158</f>
        <v>.</v>
      </c>
      <c r="G30" s="37" t="str">
        <f>Roster!H158</f>
        <v>.</v>
      </c>
      <c r="H30" s="37" t="str">
        <f>Roster!I158</f>
        <v>.</v>
      </c>
      <c r="I30" s="37" t="str">
        <f>Roster!J158</f>
        <v>.</v>
      </c>
      <c r="J30" s="37" t="str">
        <f>Roster!K158</f>
        <v>.</v>
      </c>
      <c r="K30" s="37" t="str">
        <f>Roster!L158</f>
        <v>.</v>
      </c>
      <c r="L30" s="37" t="str">
        <f>Roster!M158</f>
        <v>.</v>
      </c>
      <c r="M30" s="37" t="str">
        <f>Roster!N158</f>
        <v>.</v>
      </c>
      <c r="N30" s="37" t="str">
        <f>Roster!O158</f>
        <v>.</v>
      </c>
      <c r="O30" s="37" t="str">
        <f>Roster!P158</f>
        <v>.</v>
      </c>
      <c r="P30" s="37" t="str">
        <f>Roster!Q158</f>
        <v>.</v>
      </c>
      <c r="Q30" s="37" t="str">
        <f>Roster!R158</f>
        <v>.</v>
      </c>
      <c r="R30" s="37" t="str">
        <f>Roster!S158</f>
        <v>.</v>
      </c>
      <c r="S30" s="37" t="str">
        <f>Roster!T158</f>
        <v>.</v>
      </c>
      <c r="T30" s="37" t="str">
        <f>Roster!U158</f>
        <v>.</v>
      </c>
      <c r="U30" s="37" t="str">
        <f>Roster!V158</f>
        <v>.</v>
      </c>
      <c r="V30" s="37" t="str">
        <f>Roster!W158</f>
        <v>.</v>
      </c>
      <c r="W30" s="37" t="str">
        <f>Roster!X158</f>
        <v>.</v>
      </c>
      <c r="X30" s="37" t="str">
        <f>Roster!Y158</f>
        <v>.</v>
      </c>
      <c r="Y30" s="37" t="str">
        <f>Roster!Z158</f>
        <v>.</v>
      </c>
      <c r="Z30" s="37" t="str">
        <f>Roster!AA158</f>
        <v>.</v>
      </c>
      <c r="AA30" s="37" t="str">
        <f>Roster!AB158</f>
        <v>.</v>
      </c>
      <c r="AB30" s="37" t="str">
        <f>Roster!AC158</f>
        <v>.</v>
      </c>
      <c r="AC30" s="37" t="str">
        <f>Roster!AD158</f>
        <v>.</v>
      </c>
      <c r="AD30" s="37" t="str">
        <f>Roster!AE158</f>
        <v>.</v>
      </c>
      <c r="AE30" s="37" t="str">
        <f>Roster!AF158</f>
        <v>.</v>
      </c>
      <c r="AF30" s="37" t="str">
        <f>Roster!AG158</f>
        <v>.</v>
      </c>
      <c r="AG30" s="38" t="str">
        <f>Roster!AH158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Mo</v>
      </c>
      <c r="D31" s="25" t="str">
        <f t="shared" si="9"/>
        <v>Tu</v>
      </c>
      <c r="E31" s="25" t="str">
        <f t="shared" si="9"/>
        <v>We</v>
      </c>
      <c r="F31" s="25" t="str">
        <f t="shared" si="9"/>
        <v>Th</v>
      </c>
      <c r="G31" s="25" t="str">
        <f t="shared" si="9"/>
        <v>Fr</v>
      </c>
      <c r="H31" s="25" t="str">
        <f t="shared" si="9"/>
        <v>Sa</v>
      </c>
      <c r="I31" s="25" t="str">
        <f t="shared" si="9"/>
        <v>Su</v>
      </c>
      <c r="J31" s="25" t="str">
        <f t="shared" si="9"/>
        <v>Mo</v>
      </c>
      <c r="K31" s="25" t="str">
        <f t="shared" si="9"/>
        <v>Tu</v>
      </c>
      <c r="L31" s="25" t="str">
        <f t="shared" si="9"/>
        <v>We</v>
      </c>
      <c r="M31" s="25" t="str">
        <f t="shared" si="9"/>
        <v>Th</v>
      </c>
      <c r="N31" s="25" t="str">
        <f t="shared" si="9"/>
        <v>Fr</v>
      </c>
      <c r="O31" s="25" t="str">
        <f t="shared" si="9"/>
        <v>Sa</v>
      </c>
      <c r="P31" s="25" t="str">
        <f t="shared" si="9"/>
        <v>Su</v>
      </c>
      <c r="Q31" s="25" t="str">
        <f t="shared" si="9"/>
        <v>Mo</v>
      </c>
      <c r="R31" s="25" t="str">
        <f t="shared" si="9"/>
        <v>Tu</v>
      </c>
      <c r="S31" s="25" t="str">
        <f t="shared" si="9"/>
        <v>We</v>
      </c>
      <c r="T31" s="25" t="str">
        <f t="shared" si="9"/>
        <v>Th</v>
      </c>
      <c r="U31" s="25" t="str">
        <f t="shared" si="9"/>
        <v>Fr</v>
      </c>
      <c r="V31" s="25" t="str">
        <f t="shared" si="9"/>
        <v>Sa</v>
      </c>
      <c r="W31" s="25" t="str">
        <f t="shared" si="9"/>
        <v>Su</v>
      </c>
      <c r="X31" s="25" t="str">
        <f t="shared" si="9"/>
        <v>Mo</v>
      </c>
      <c r="Y31" s="25" t="str">
        <f t="shared" si="9"/>
        <v>Tu</v>
      </c>
      <c r="Z31" s="25" t="str">
        <f t="shared" si="9"/>
        <v>We</v>
      </c>
      <c r="AA31" s="25" t="str">
        <f t="shared" si="9"/>
        <v>Th</v>
      </c>
      <c r="AB31" s="25" t="str">
        <f t="shared" si="9"/>
        <v>Fr</v>
      </c>
      <c r="AC31" s="25" t="str">
        <f t="shared" si="9"/>
        <v>Sa</v>
      </c>
      <c r="AD31" s="25" t="str">
        <f t="shared" si="9"/>
        <v>Su</v>
      </c>
      <c r="AE31" s="25" t="str">
        <f t="shared" si="9"/>
        <v>Mo</v>
      </c>
      <c r="AF31" s="25" t="str">
        <f t="shared" si="9"/>
        <v>Tu</v>
      </c>
      <c r="AG31" s="27"/>
    </row>
    <row r="32" spans="2:33" ht="14.4" thickTop="1" thickBot="1">
      <c r="B32" s="32" t="str">
        <f>Roster!$C$164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2019</v>
      </c>
      <c r="C33" s="36" t="str">
        <f>Roster!D173</f>
        <v>.</v>
      </c>
      <c r="D33" s="37" t="str">
        <f>Roster!E173</f>
        <v>.</v>
      </c>
      <c r="E33" s="37" t="str">
        <f>Roster!F173</f>
        <v>.</v>
      </c>
      <c r="F33" s="37" t="str">
        <f>Roster!G173</f>
        <v>.</v>
      </c>
      <c r="G33" s="37" t="str">
        <f>Roster!H173</f>
        <v>.</v>
      </c>
      <c r="H33" s="37" t="str">
        <f>Roster!I173</f>
        <v>.</v>
      </c>
      <c r="I33" s="37" t="str">
        <f>Roster!J173</f>
        <v>.</v>
      </c>
      <c r="J33" s="37" t="str">
        <f>Roster!K173</f>
        <v>.</v>
      </c>
      <c r="K33" s="37" t="str">
        <f>Roster!L173</f>
        <v>.</v>
      </c>
      <c r="L33" s="37" t="str">
        <f>Roster!M173</f>
        <v>.</v>
      </c>
      <c r="M33" s="37" t="str">
        <f>Roster!N173</f>
        <v>.</v>
      </c>
      <c r="N33" s="37" t="str">
        <f>Roster!O173</f>
        <v>.</v>
      </c>
      <c r="O33" s="37" t="str">
        <f>Roster!P173</f>
        <v>.</v>
      </c>
      <c r="P33" s="37" t="str">
        <f>Roster!Q173</f>
        <v>.</v>
      </c>
      <c r="Q33" s="37" t="str">
        <f>Roster!R173</f>
        <v>.</v>
      </c>
      <c r="R33" s="37" t="str">
        <f>Roster!S173</f>
        <v>.</v>
      </c>
      <c r="S33" s="37" t="str">
        <f>Roster!T173</f>
        <v>.</v>
      </c>
      <c r="T33" s="37" t="str">
        <f>Roster!U173</f>
        <v>.</v>
      </c>
      <c r="U33" s="37" t="str">
        <f>Roster!V173</f>
        <v>.</v>
      </c>
      <c r="V33" s="37" t="str">
        <f>Roster!W173</f>
        <v>.</v>
      </c>
      <c r="W33" s="37" t="str">
        <f>Roster!X173</f>
        <v>.</v>
      </c>
      <c r="X33" s="37" t="str">
        <f>Roster!Y173</f>
        <v>.</v>
      </c>
      <c r="Y33" s="37" t="str">
        <f>Roster!Z173</f>
        <v>.</v>
      </c>
      <c r="Z33" s="37" t="str">
        <f>Roster!AA173</f>
        <v>.</v>
      </c>
      <c r="AA33" s="37" t="str">
        <f>Roster!AB173</f>
        <v>.</v>
      </c>
      <c r="AB33" s="37" t="str">
        <f>Roster!AC173</f>
        <v>.</v>
      </c>
      <c r="AC33" s="37" t="str">
        <f>Roster!AD173</f>
        <v>.</v>
      </c>
      <c r="AD33" s="37" t="str">
        <f>Roster!AE173</f>
        <v>.</v>
      </c>
      <c r="AE33" s="37" t="str">
        <f>Roster!AF173</f>
        <v>.</v>
      </c>
      <c r="AF33" s="38" t="str">
        <f>Roster!AG173</f>
        <v>.</v>
      </c>
    </row>
    <row r="34" spans="2:33" ht="14.4" thickTop="1" thickBot="1">
      <c r="C34" s="21" t="str">
        <f t="shared" ref="C34:AG34" si="10">LEFT(TEXT(C35&amp;"-"&amp;$B35&amp;"-"&amp;CurYear,"ddd"),2)</f>
        <v>We</v>
      </c>
      <c r="D34" s="21" t="str">
        <f t="shared" si="10"/>
        <v>Th</v>
      </c>
      <c r="E34" s="21" t="str">
        <f t="shared" si="10"/>
        <v>Fr</v>
      </c>
      <c r="F34" s="21" t="str">
        <f t="shared" si="10"/>
        <v>Sa</v>
      </c>
      <c r="G34" s="21" t="str">
        <f t="shared" si="10"/>
        <v>Su</v>
      </c>
      <c r="H34" s="21" t="str">
        <f t="shared" si="10"/>
        <v>Mo</v>
      </c>
      <c r="I34" s="21" t="str">
        <f t="shared" si="10"/>
        <v>Tu</v>
      </c>
      <c r="J34" s="21" t="str">
        <f t="shared" si="10"/>
        <v>We</v>
      </c>
      <c r="K34" s="21" t="str">
        <f t="shared" si="10"/>
        <v>Th</v>
      </c>
      <c r="L34" s="21" t="str">
        <f t="shared" si="10"/>
        <v>Fr</v>
      </c>
      <c r="M34" s="21" t="str">
        <f t="shared" si="10"/>
        <v>Sa</v>
      </c>
      <c r="N34" s="21" t="str">
        <f t="shared" si="10"/>
        <v>Su</v>
      </c>
      <c r="O34" s="21" t="str">
        <f t="shared" si="10"/>
        <v>Mo</v>
      </c>
      <c r="P34" s="21" t="str">
        <f t="shared" si="10"/>
        <v>Tu</v>
      </c>
      <c r="Q34" s="21" t="str">
        <f t="shared" si="10"/>
        <v>We</v>
      </c>
      <c r="R34" s="21" t="str">
        <f t="shared" si="10"/>
        <v>Th</v>
      </c>
      <c r="S34" s="21" t="str">
        <f t="shared" si="10"/>
        <v>Fr</v>
      </c>
      <c r="T34" s="21" t="str">
        <f t="shared" si="10"/>
        <v>Sa</v>
      </c>
      <c r="U34" s="21" t="str">
        <f t="shared" si="10"/>
        <v>Su</v>
      </c>
      <c r="V34" s="21" t="str">
        <f t="shared" si="10"/>
        <v>Mo</v>
      </c>
      <c r="W34" s="21" t="str">
        <f t="shared" si="10"/>
        <v>Tu</v>
      </c>
      <c r="X34" s="21" t="str">
        <f t="shared" si="10"/>
        <v>We</v>
      </c>
      <c r="Y34" s="21" t="str">
        <f t="shared" si="10"/>
        <v>Th</v>
      </c>
      <c r="Z34" s="21" t="str">
        <f t="shared" si="10"/>
        <v>Fr</v>
      </c>
      <c r="AA34" s="21" t="str">
        <f t="shared" si="10"/>
        <v>Sa</v>
      </c>
      <c r="AB34" s="21" t="str">
        <f t="shared" si="10"/>
        <v>Su</v>
      </c>
      <c r="AC34" s="21" t="str">
        <f t="shared" si="10"/>
        <v>Mo</v>
      </c>
      <c r="AD34" s="21" t="str">
        <f t="shared" si="10"/>
        <v>Tu</v>
      </c>
      <c r="AE34" s="21" t="str">
        <f t="shared" si="10"/>
        <v>We</v>
      </c>
      <c r="AF34" s="21" t="str">
        <f t="shared" si="10"/>
        <v>Th</v>
      </c>
      <c r="AG34" s="20" t="str">
        <f t="shared" si="10"/>
        <v>Fr</v>
      </c>
    </row>
    <row r="35" spans="2:33" ht="14.4" thickTop="1" thickBot="1">
      <c r="B35" s="32" t="str">
        <f>Roster!$C$179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2019</v>
      </c>
      <c r="C36" s="36" t="str">
        <f>Roster!D188</f>
        <v>.</v>
      </c>
      <c r="D36" s="37" t="str">
        <f>Roster!E188</f>
        <v>.</v>
      </c>
      <c r="E36" s="37" t="str">
        <f>Roster!F188</f>
        <v>.</v>
      </c>
      <c r="F36" s="37" t="str">
        <f>Roster!G188</f>
        <v>.</v>
      </c>
      <c r="G36" s="37" t="str">
        <f>Roster!H188</f>
        <v>.</v>
      </c>
      <c r="H36" s="37" t="str">
        <f>Roster!I188</f>
        <v>.</v>
      </c>
      <c r="I36" s="37" t="str">
        <f>Roster!J188</f>
        <v>.</v>
      </c>
      <c r="J36" s="37" t="str">
        <f>Roster!K188</f>
        <v>.</v>
      </c>
      <c r="K36" s="37" t="str">
        <f>Roster!L188</f>
        <v>.</v>
      </c>
      <c r="L36" s="37" t="str">
        <f>Roster!M188</f>
        <v>.</v>
      </c>
      <c r="M36" s="37" t="str">
        <f>Roster!N188</f>
        <v>.</v>
      </c>
      <c r="N36" s="37" t="str">
        <f>Roster!O188</f>
        <v>.</v>
      </c>
      <c r="O36" s="37" t="str">
        <f>Roster!P188</f>
        <v>.</v>
      </c>
      <c r="P36" s="37" t="str">
        <f>Roster!Q188</f>
        <v>.</v>
      </c>
      <c r="Q36" s="37" t="str">
        <f>Roster!R188</f>
        <v>.</v>
      </c>
      <c r="R36" s="37" t="str">
        <f>Roster!S188</f>
        <v>.</v>
      </c>
      <c r="S36" s="37" t="str">
        <f>Roster!T188</f>
        <v>.</v>
      </c>
      <c r="T36" s="37" t="str">
        <f>Roster!U188</f>
        <v>.</v>
      </c>
      <c r="U36" s="37" t="str">
        <f>Roster!V188</f>
        <v>.</v>
      </c>
      <c r="V36" s="37" t="str">
        <f>Roster!W188</f>
        <v>.</v>
      </c>
      <c r="W36" s="37" t="str">
        <f>Roster!X188</f>
        <v>.</v>
      </c>
      <c r="X36" s="37" t="str">
        <f>Roster!Y188</f>
        <v>.</v>
      </c>
      <c r="Y36" s="37" t="str">
        <f>Roster!Z188</f>
        <v>.</v>
      </c>
      <c r="Z36" s="37" t="str">
        <f>Roster!AA188</f>
        <v>.</v>
      </c>
      <c r="AA36" s="37" t="str">
        <f>Roster!AB188</f>
        <v>.</v>
      </c>
      <c r="AB36" s="37" t="str">
        <f>Roster!AC188</f>
        <v>.</v>
      </c>
      <c r="AC36" s="37" t="str">
        <f>Roster!AD188</f>
        <v>.</v>
      </c>
      <c r="AD36" s="37" t="str">
        <f>Roster!AE188</f>
        <v>.</v>
      </c>
      <c r="AE36" s="37" t="str">
        <f>Roster!AF188</f>
        <v>.</v>
      </c>
      <c r="AF36" s="37" t="str">
        <f>Roster!AG188</f>
        <v>.</v>
      </c>
      <c r="AG36" s="38" t="str">
        <f>Roster!AH188</f>
        <v>.</v>
      </c>
    </row>
    <row r="37" spans="2:33" ht="14.4" thickTop="1" thickBot="1">
      <c r="C37" s="21" t="str">
        <f t="shared" ref="C37:AF37" si="11">LEFT(TEXT(C38&amp;"-"&amp;$B38&amp;"-"&amp;CurYear,"ddd"),2)</f>
        <v>Sa</v>
      </c>
      <c r="D37" s="21" t="str">
        <f t="shared" si="11"/>
        <v>Su</v>
      </c>
      <c r="E37" s="21" t="str">
        <f t="shared" si="11"/>
        <v>Mo</v>
      </c>
      <c r="F37" s="21" t="str">
        <f t="shared" si="11"/>
        <v>Tu</v>
      </c>
      <c r="G37" s="21" t="str">
        <f t="shared" si="11"/>
        <v>We</v>
      </c>
      <c r="H37" s="21" t="str">
        <f t="shared" si="11"/>
        <v>Th</v>
      </c>
      <c r="I37" s="21" t="str">
        <f t="shared" si="11"/>
        <v>Fr</v>
      </c>
      <c r="J37" s="21" t="str">
        <f t="shared" si="11"/>
        <v>Sa</v>
      </c>
      <c r="K37" s="21" t="str">
        <f t="shared" si="11"/>
        <v>Su</v>
      </c>
      <c r="L37" s="21" t="str">
        <f t="shared" si="11"/>
        <v>Mo</v>
      </c>
      <c r="M37" s="21" t="str">
        <f t="shared" si="11"/>
        <v>Tu</v>
      </c>
      <c r="N37" s="21" t="str">
        <f t="shared" si="11"/>
        <v>We</v>
      </c>
      <c r="O37" s="21" t="str">
        <f t="shared" si="11"/>
        <v>Th</v>
      </c>
      <c r="P37" s="21" t="str">
        <f t="shared" si="11"/>
        <v>Fr</v>
      </c>
      <c r="Q37" s="21" t="str">
        <f t="shared" si="11"/>
        <v>Sa</v>
      </c>
      <c r="R37" s="21" t="str">
        <f t="shared" si="11"/>
        <v>Su</v>
      </c>
      <c r="S37" s="21" t="str">
        <f t="shared" si="11"/>
        <v>Mo</v>
      </c>
      <c r="T37" s="21" t="str">
        <f t="shared" si="11"/>
        <v>Tu</v>
      </c>
      <c r="U37" s="21" t="str">
        <f t="shared" si="11"/>
        <v>We</v>
      </c>
      <c r="V37" s="21" t="str">
        <f t="shared" si="11"/>
        <v>Th</v>
      </c>
      <c r="W37" s="21" t="str">
        <f t="shared" si="11"/>
        <v>Fr</v>
      </c>
      <c r="X37" s="21" t="str">
        <f t="shared" si="11"/>
        <v>Sa</v>
      </c>
      <c r="Y37" s="21" t="str">
        <f t="shared" si="11"/>
        <v>Su</v>
      </c>
      <c r="Z37" s="21" t="str">
        <f t="shared" si="11"/>
        <v>Mo</v>
      </c>
      <c r="AA37" s="21" t="str">
        <f t="shared" si="11"/>
        <v>Tu</v>
      </c>
      <c r="AB37" s="21" t="str">
        <f t="shared" si="11"/>
        <v>We</v>
      </c>
      <c r="AC37" s="21" t="str">
        <f t="shared" si="11"/>
        <v>Th</v>
      </c>
      <c r="AD37" s="21" t="str">
        <f t="shared" si="11"/>
        <v>Fr</v>
      </c>
      <c r="AE37" s="21" t="str">
        <f t="shared" si="11"/>
        <v>Sa</v>
      </c>
      <c r="AF37" s="21" t="str">
        <f t="shared" si="11"/>
        <v>Su</v>
      </c>
      <c r="AG37" s="17"/>
    </row>
    <row r="38" spans="2:33" ht="14.4" thickTop="1" thickBot="1">
      <c r="B38" s="32" t="str">
        <f>Roster!C194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2019</v>
      </c>
      <c r="C39" s="36" t="str">
        <f>Roster!D203</f>
        <v>.</v>
      </c>
      <c r="D39" s="37" t="str">
        <f>Roster!E203</f>
        <v>.</v>
      </c>
      <c r="E39" s="37" t="str">
        <f>Roster!F203</f>
        <v>.</v>
      </c>
      <c r="F39" s="37" t="str">
        <f>Roster!G203</f>
        <v>.</v>
      </c>
      <c r="G39" s="37" t="str">
        <f>Roster!H203</f>
        <v>.</v>
      </c>
      <c r="H39" s="37" t="str">
        <f>Roster!I203</f>
        <v>.</v>
      </c>
      <c r="I39" s="37" t="str">
        <f>Roster!J203</f>
        <v>.</v>
      </c>
      <c r="J39" s="37" t="str">
        <f>Roster!K203</f>
        <v>.</v>
      </c>
      <c r="K39" s="37" t="str">
        <f>Roster!L203</f>
        <v>.</v>
      </c>
      <c r="L39" s="37" t="str">
        <f>Roster!M203</f>
        <v>.</v>
      </c>
      <c r="M39" s="37" t="str">
        <f>Roster!N203</f>
        <v>.</v>
      </c>
      <c r="N39" s="37" t="str">
        <f>Roster!O203</f>
        <v>.</v>
      </c>
      <c r="O39" s="37" t="str">
        <f>Roster!P203</f>
        <v>.</v>
      </c>
      <c r="P39" s="37" t="str">
        <f>Roster!Q203</f>
        <v>.</v>
      </c>
      <c r="Q39" s="37" t="str">
        <f>Roster!R203</f>
        <v>.</v>
      </c>
      <c r="R39" s="37" t="str">
        <f>Roster!S203</f>
        <v>.</v>
      </c>
      <c r="S39" s="37" t="str">
        <f>Roster!T203</f>
        <v>.</v>
      </c>
      <c r="T39" s="37" t="str">
        <f>Roster!U203</f>
        <v>.</v>
      </c>
      <c r="U39" s="37" t="str">
        <f>Roster!V203</f>
        <v>.</v>
      </c>
      <c r="V39" s="37" t="str">
        <f>Roster!W203</f>
        <v>.</v>
      </c>
      <c r="W39" s="37" t="str">
        <f>Roster!X203</f>
        <v>.</v>
      </c>
      <c r="X39" s="37" t="str">
        <f>Roster!Y203</f>
        <v>.</v>
      </c>
      <c r="Y39" s="37" t="str">
        <f>Roster!Z203</f>
        <v>.</v>
      </c>
      <c r="Z39" s="37" t="str">
        <f>Roster!AA203</f>
        <v>.</v>
      </c>
      <c r="AA39" s="37" t="str">
        <f>Roster!AB203</f>
        <v>.</v>
      </c>
      <c r="AB39" s="37" t="str">
        <f>Roster!AC203</f>
        <v>.</v>
      </c>
      <c r="AC39" s="37" t="str">
        <f>Roster!AD203</f>
        <v>.</v>
      </c>
      <c r="AD39" s="37" t="str">
        <f>Roster!AE203</f>
        <v>.</v>
      </c>
      <c r="AE39" s="37" t="str">
        <f>Roster!AF203</f>
        <v>.</v>
      </c>
      <c r="AF39" s="38" t="str">
        <f>Roster!AG203</f>
        <v>.</v>
      </c>
    </row>
    <row r="40" spans="2:33" ht="13.8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10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8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8" t="str">
        <f xml:space="preserve"> "Financial Year Commencing 1st July, " &amp; CurYear -1</f>
        <v>Financial Year Commencing 1st July, 2018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39" t="s">
        <v>25</v>
      </c>
      <c r="R3" s="139" t="str">
        <f>EmpGName10 &amp;" " &amp; EmpSName10</f>
        <v>2Bod Odd2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8" thickBot="1">
      <c r="C4" s="28" t="str">
        <f t="shared" ref="C4:AG4" si="0">LEFT(TEXT(C5&amp;"-"&amp;$B5&amp;"-"&amp;CurYear-1,"ddd"),2)</f>
        <v>Su</v>
      </c>
      <c r="D4" s="28" t="str">
        <f t="shared" si="0"/>
        <v>Mo</v>
      </c>
      <c r="E4" s="28" t="str">
        <f t="shared" si="0"/>
        <v>Tu</v>
      </c>
      <c r="F4" s="28" t="str">
        <f t="shared" si="0"/>
        <v>We</v>
      </c>
      <c r="G4" s="28" t="str">
        <f t="shared" si="0"/>
        <v>Th</v>
      </c>
      <c r="H4" s="28" t="str">
        <f t="shared" si="0"/>
        <v>Fr</v>
      </c>
      <c r="I4" s="28" t="str">
        <f t="shared" si="0"/>
        <v>Sa</v>
      </c>
      <c r="J4" s="28" t="str">
        <f t="shared" si="0"/>
        <v>Su</v>
      </c>
      <c r="K4" s="28" t="str">
        <f t="shared" si="0"/>
        <v>Mo</v>
      </c>
      <c r="L4" s="28" t="str">
        <f t="shared" si="0"/>
        <v>Tu</v>
      </c>
      <c r="M4" s="28" t="str">
        <f t="shared" si="0"/>
        <v>We</v>
      </c>
      <c r="N4" s="28" t="str">
        <f t="shared" si="0"/>
        <v>Th</v>
      </c>
      <c r="O4" s="28" t="str">
        <f t="shared" si="0"/>
        <v>Fr</v>
      </c>
      <c r="P4" s="28" t="str">
        <f t="shared" si="0"/>
        <v>Sa</v>
      </c>
      <c r="Q4" s="28" t="str">
        <f t="shared" si="0"/>
        <v>Su</v>
      </c>
      <c r="R4" s="28" t="str">
        <f t="shared" si="0"/>
        <v>Mo</v>
      </c>
      <c r="S4" s="28" t="str">
        <f t="shared" si="0"/>
        <v>Tu</v>
      </c>
      <c r="T4" s="28" t="str">
        <f t="shared" si="0"/>
        <v>We</v>
      </c>
      <c r="U4" s="28" t="str">
        <f t="shared" si="0"/>
        <v>Th</v>
      </c>
      <c r="V4" s="28" t="str">
        <f t="shared" si="0"/>
        <v>Fr</v>
      </c>
      <c r="W4" s="28" t="str">
        <f t="shared" si="0"/>
        <v>Sa</v>
      </c>
      <c r="X4" s="28" t="str">
        <f t="shared" si="0"/>
        <v>Su</v>
      </c>
      <c r="Y4" s="28" t="str">
        <f t="shared" si="0"/>
        <v>Mo</v>
      </c>
      <c r="Z4" s="28" t="str">
        <f t="shared" si="0"/>
        <v>Tu</v>
      </c>
      <c r="AA4" s="28" t="str">
        <f t="shared" si="0"/>
        <v>We</v>
      </c>
      <c r="AB4" s="28" t="str">
        <f t="shared" si="0"/>
        <v>Th</v>
      </c>
      <c r="AC4" s="28" t="str">
        <f t="shared" si="0"/>
        <v>Fr</v>
      </c>
      <c r="AD4" s="28" t="str">
        <f t="shared" si="0"/>
        <v>Sa</v>
      </c>
      <c r="AE4" s="28" t="str">
        <f t="shared" si="0"/>
        <v>Su</v>
      </c>
      <c r="AF4" s="28" t="str">
        <f t="shared" si="0"/>
        <v>Mo</v>
      </c>
      <c r="AG4" s="20" t="str">
        <f t="shared" si="0"/>
        <v>Tu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2018</v>
      </c>
      <c r="C6" s="36" t="str">
        <f>Roster!D23</f>
        <v>.</v>
      </c>
      <c r="D6" s="37" t="str">
        <f>Roster!E23</f>
        <v>.</v>
      </c>
      <c r="E6" s="37" t="str">
        <f>Roster!F23</f>
        <v>.</v>
      </c>
      <c r="F6" s="37" t="str">
        <f>Roster!G23</f>
        <v>.</v>
      </c>
      <c r="G6" s="37" t="str">
        <f>Roster!H23</f>
        <v>.</v>
      </c>
      <c r="H6" s="37" t="str">
        <f>Roster!I23</f>
        <v>.</v>
      </c>
      <c r="I6" s="37" t="str">
        <f>Roster!J23</f>
        <v>.</v>
      </c>
      <c r="J6" s="37" t="str">
        <f>Roster!K23</f>
        <v>.</v>
      </c>
      <c r="K6" s="37" t="str">
        <f>Roster!L23</f>
        <v>.</v>
      </c>
      <c r="L6" s="37" t="str">
        <f>Roster!M23</f>
        <v>.</v>
      </c>
      <c r="M6" s="37" t="str">
        <f>Roster!N23</f>
        <v>.</v>
      </c>
      <c r="N6" s="37" t="str">
        <f>Roster!O23</f>
        <v>.</v>
      </c>
      <c r="O6" s="37" t="str">
        <f>Roster!P23</f>
        <v>.</v>
      </c>
      <c r="P6" s="37" t="str">
        <f>Roster!Q23</f>
        <v>.</v>
      </c>
      <c r="Q6" s="37" t="str">
        <f>Roster!R23</f>
        <v>.</v>
      </c>
      <c r="R6" s="37" t="str">
        <f>Roster!S23</f>
        <v>.</v>
      </c>
      <c r="S6" s="37" t="str">
        <f>Roster!T23</f>
        <v>.</v>
      </c>
      <c r="T6" s="37" t="str">
        <f>Roster!U23</f>
        <v>.</v>
      </c>
      <c r="U6" s="37" t="str">
        <f>Roster!V23</f>
        <v>.</v>
      </c>
      <c r="V6" s="37" t="str">
        <f>Roster!W23</f>
        <v>.</v>
      </c>
      <c r="W6" s="37" t="str">
        <f>Roster!X23</f>
        <v>.</v>
      </c>
      <c r="X6" s="37" t="str">
        <f>Roster!Y23</f>
        <v>.</v>
      </c>
      <c r="Y6" s="37" t="str">
        <f>Roster!Z23</f>
        <v>.</v>
      </c>
      <c r="Z6" s="37" t="str">
        <f>Roster!AA23</f>
        <v>.</v>
      </c>
      <c r="AA6" s="37" t="str">
        <f>Roster!AB23</f>
        <v>.</v>
      </c>
      <c r="AB6" s="37" t="str">
        <f>Roster!AC23</f>
        <v>.</v>
      </c>
      <c r="AC6" s="37" t="str">
        <f>Roster!AD23</f>
        <v>.</v>
      </c>
      <c r="AD6" s="37" t="str">
        <f>Roster!AE23</f>
        <v>.</v>
      </c>
      <c r="AE6" s="37" t="str">
        <f>Roster!AF23</f>
        <v>.</v>
      </c>
      <c r="AF6" s="37" t="str">
        <f>Roster!AG23</f>
        <v>.</v>
      </c>
      <c r="AG6" s="38" t="str">
        <f>Roster!AH23</f>
        <v>.</v>
      </c>
    </row>
    <row r="7" spans="2:33" ht="14.4" thickTop="1" thickBot="1">
      <c r="C7" s="21" t="str">
        <f t="shared" ref="C7:AG7" si="1">LEFT(TEXT(C8&amp;"-"&amp;$B8&amp;"-"&amp;CurYear-1,"ddd"),2)</f>
        <v>We</v>
      </c>
      <c r="D7" s="21" t="str">
        <f t="shared" si="1"/>
        <v>Th</v>
      </c>
      <c r="E7" s="21" t="str">
        <f t="shared" si="1"/>
        <v>Fr</v>
      </c>
      <c r="F7" s="21" t="str">
        <f t="shared" si="1"/>
        <v>Sa</v>
      </c>
      <c r="G7" s="21" t="str">
        <f t="shared" si="1"/>
        <v>Su</v>
      </c>
      <c r="H7" s="21" t="str">
        <f t="shared" si="1"/>
        <v>Mo</v>
      </c>
      <c r="I7" s="21" t="str">
        <f t="shared" si="1"/>
        <v>Tu</v>
      </c>
      <c r="J7" s="21" t="str">
        <f t="shared" si="1"/>
        <v>We</v>
      </c>
      <c r="K7" s="21" t="str">
        <f t="shared" si="1"/>
        <v>Th</v>
      </c>
      <c r="L7" s="21" t="str">
        <f t="shared" si="1"/>
        <v>Fr</v>
      </c>
      <c r="M7" s="21" t="str">
        <f t="shared" si="1"/>
        <v>Sa</v>
      </c>
      <c r="N7" s="21" t="str">
        <f t="shared" si="1"/>
        <v>Su</v>
      </c>
      <c r="O7" s="21" t="str">
        <f t="shared" si="1"/>
        <v>Mo</v>
      </c>
      <c r="P7" s="21" t="str">
        <f t="shared" si="1"/>
        <v>Tu</v>
      </c>
      <c r="Q7" s="21" t="str">
        <f t="shared" si="1"/>
        <v>We</v>
      </c>
      <c r="R7" s="21" t="str">
        <f t="shared" si="1"/>
        <v>Th</v>
      </c>
      <c r="S7" s="21" t="str">
        <f t="shared" si="1"/>
        <v>Fr</v>
      </c>
      <c r="T7" s="21" t="str">
        <f t="shared" si="1"/>
        <v>Sa</v>
      </c>
      <c r="U7" s="21" t="str">
        <f t="shared" si="1"/>
        <v>Su</v>
      </c>
      <c r="V7" s="21" t="str">
        <f t="shared" si="1"/>
        <v>Mo</v>
      </c>
      <c r="W7" s="21" t="str">
        <f t="shared" si="1"/>
        <v>Tu</v>
      </c>
      <c r="X7" s="21" t="str">
        <f t="shared" si="1"/>
        <v>We</v>
      </c>
      <c r="Y7" s="21" t="str">
        <f t="shared" si="1"/>
        <v>Th</v>
      </c>
      <c r="Z7" s="21" t="str">
        <f t="shared" si="1"/>
        <v>Fr</v>
      </c>
      <c r="AA7" s="21" t="str">
        <f t="shared" si="1"/>
        <v>Sa</v>
      </c>
      <c r="AB7" s="21" t="str">
        <f t="shared" si="1"/>
        <v>Su</v>
      </c>
      <c r="AC7" s="21" t="str">
        <f t="shared" si="1"/>
        <v>Mo</v>
      </c>
      <c r="AD7" s="21" t="str">
        <f t="shared" si="1"/>
        <v>Tu</v>
      </c>
      <c r="AE7" s="21" t="str">
        <f t="shared" si="1"/>
        <v>We</v>
      </c>
      <c r="AF7" s="21" t="str">
        <f t="shared" si="1"/>
        <v>Th</v>
      </c>
      <c r="AG7" s="21" t="str">
        <f t="shared" si="1"/>
        <v>Fr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2018</v>
      </c>
      <c r="C9" s="36" t="str">
        <f>Roster!D54</f>
        <v>.</v>
      </c>
      <c r="D9" s="39" t="str">
        <f>Roster!E54</f>
        <v>.</v>
      </c>
      <c r="E9" s="37" t="str">
        <f>Roster!F54</f>
        <v>.</v>
      </c>
      <c r="F9" s="37" t="str">
        <f>Roster!G54</f>
        <v>.</v>
      </c>
      <c r="G9" s="37" t="str">
        <f>Roster!H54</f>
        <v>.</v>
      </c>
      <c r="H9" s="37" t="str">
        <f>Roster!I54</f>
        <v>.</v>
      </c>
      <c r="I9" s="37" t="str">
        <f>Roster!J54</f>
        <v>.</v>
      </c>
      <c r="J9" s="37" t="str">
        <f>Roster!K54</f>
        <v>.</v>
      </c>
      <c r="K9" s="37" t="str">
        <f>Roster!L54</f>
        <v>.</v>
      </c>
      <c r="L9" s="37" t="str">
        <f>Roster!M54</f>
        <v>.</v>
      </c>
      <c r="M9" s="37" t="str">
        <f>Roster!N54</f>
        <v>.</v>
      </c>
      <c r="N9" s="37" t="str">
        <f>Roster!O54</f>
        <v>.</v>
      </c>
      <c r="O9" s="37" t="str">
        <f>Roster!P54</f>
        <v>.</v>
      </c>
      <c r="P9" s="37" t="str">
        <f>Roster!Q54</f>
        <v>.</v>
      </c>
      <c r="Q9" s="37" t="str">
        <f>Roster!R54</f>
        <v>.</v>
      </c>
      <c r="R9" s="37" t="str">
        <f>Roster!S54</f>
        <v>.</v>
      </c>
      <c r="S9" s="37" t="str">
        <f>Roster!T54</f>
        <v>.</v>
      </c>
      <c r="T9" s="37" t="str">
        <f>Roster!U54</f>
        <v>.</v>
      </c>
      <c r="U9" s="37" t="str">
        <f>Roster!V54</f>
        <v>.</v>
      </c>
      <c r="V9" s="37" t="str">
        <f>Roster!W54</f>
        <v>.</v>
      </c>
      <c r="W9" s="37" t="str">
        <f>Roster!X54</f>
        <v>.</v>
      </c>
      <c r="X9" s="37" t="str">
        <f>Roster!Y54</f>
        <v>.</v>
      </c>
      <c r="Y9" s="37" t="str">
        <f>Roster!Z54</f>
        <v>.</v>
      </c>
      <c r="Z9" s="37" t="str">
        <f>Roster!AA54</f>
        <v>.</v>
      </c>
      <c r="AA9" s="37" t="str">
        <f>Roster!AB54</f>
        <v>.</v>
      </c>
      <c r="AB9" s="37" t="str">
        <f>Roster!AC54</f>
        <v>.</v>
      </c>
      <c r="AC9" s="37" t="str">
        <f>Roster!AD54</f>
        <v>.</v>
      </c>
      <c r="AD9" s="37" t="str">
        <f>Roster!AE54</f>
        <v>.</v>
      </c>
      <c r="AE9" s="37" t="str">
        <f>Roster!AF54</f>
        <v>.</v>
      </c>
      <c r="AF9" s="37" t="str">
        <f>Roster!AG54</f>
        <v>.</v>
      </c>
      <c r="AG9" s="38" t="str">
        <f>Roster!AH54</f>
        <v>.</v>
      </c>
    </row>
    <row r="10" spans="2:33" ht="14.4" thickTop="1" thickBot="1">
      <c r="C10" s="21" t="str">
        <f t="shared" ref="C10:AF10" si="2">LEFT(TEXT(C11&amp;"-"&amp;$B11&amp;"-"&amp;CurYear-1,"ddd"),2)</f>
        <v>Sa</v>
      </c>
      <c r="D10" s="21" t="str">
        <f t="shared" si="2"/>
        <v>Su</v>
      </c>
      <c r="E10" s="21" t="str">
        <f t="shared" si="2"/>
        <v>Mo</v>
      </c>
      <c r="F10" s="21" t="str">
        <f t="shared" si="2"/>
        <v>Tu</v>
      </c>
      <c r="G10" s="21" t="str">
        <f t="shared" si="2"/>
        <v>We</v>
      </c>
      <c r="H10" s="21" t="str">
        <f t="shared" si="2"/>
        <v>Th</v>
      </c>
      <c r="I10" s="21" t="str">
        <f t="shared" si="2"/>
        <v>Fr</v>
      </c>
      <c r="J10" s="21" t="str">
        <f t="shared" si="2"/>
        <v>Sa</v>
      </c>
      <c r="K10" s="21" t="str">
        <f t="shared" si="2"/>
        <v>Su</v>
      </c>
      <c r="L10" s="21" t="str">
        <f t="shared" si="2"/>
        <v>Mo</v>
      </c>
      <c r="M10" s="21" t="str">
        <f t="shared" si="2"/>
        <v>Tu</v>
      </c>
      <c r="N10" s="21" t="str">
        <f t="shared" si="2"/>
        <v>We</v>
      </c>
      <c r="O10" s="21" t="str">
        <f t="shared" si="2"/>
        <v>Th</v>
      </c>
      <c r="P10" s="21" t="str">
        <f t="shared" si="2"/>
        <v>Fr</v>
      </c>
      <c r="Q10" s="21" t="str">
        <f t="shared" si="2"/>
        <v>Sa</v>
      </c>
      <c r="R10" s="21" t="str">
        <f t="shared" si="2"/>
        <v>Su</v>
      </c>
      <c r="S10" s="21" t="str">
        <f t="shared" si="2"/>
        <v>Mo</v>
      </c>
      <c r="T10" s="21" t="str">
        <f t="shared" si="2"/>
        <v>Tu</v>
      </c>
      <c r="U10" s="21" t="str">
        <f t="shared" si="2"/>
        <v>We</v>
      </c>
      <c r="V10" s="21" t="str">
        <f t="shared" si="2"/>
        <v>Th</v>
      </c>
      <c r="W10" s="21" t="str">
        <f t="shared" si="2"/>
        <v>Fr</v>
      </c>
      <c r="X10" s="21" t="str">
        <f t="shared" si="2"/>
        <v>Sa</v>
      </c>
      <c r="Y10" s="21" t="str">
        <f t="shared" si="2"/>
        <v>Su</v>
      </c>
      <c r="Z10" s="21" t="str">
        <f t="shared" si="2"/>
        <v>Mo</v>
      </c>
      <c r="AA10" s="21" t="str">
        <f t="shared" si="2"/>
        <v>Tu</v>
      </c>
      <c r="AB10" s="21" t="str">
        <f t="shared" si="2"/>
        <v>We</v>
      </c>
      <c r="AC10" s="21" t="str">
        <f t="shared" si="2"/>
        <v>Th</v>
      </c>
      <c r="AD10" s="21" t="str">
        <f t="shared" si="2"/>
        <v>Fr</v>
      </c>
      <c r="AE10" s="21" t="str">
        <f t="shared" si="2"/>
        <v>Sa</v>
      </c>
      <c r="AF10" s="21" t="str">
        <f t="shared" si="2"/>
        <v>Su</v>
      </c>
      <c r="AG10" s="17"/>
    </row>
    <row r="11" spans="2:33" ht="14.4" thickTop="1" thickBot="1">
      <c r="B11" s="32" t="str">
        <f>Roster!C59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2018</v>
      </c>
      <c r="C12" s="36" t="str">
        <f>Roster!D69</f>
        <v>.</v>
      </c>
      <c r="D12" s="37" t="str">
        <f>Roster!E69</f>
        <v>.</v>
      </c>
      <c r="E12" s="37" t="str">
        <f>Roster!F69</f>
        <v>.</v>
      </c>
      <c r="F12" s="37" t="str">
        <f>Roster!G69</f>
        <v>.</v>
      </c>
      <c r="G12" s="37" t="str">
        <f>Roster!H69</f>
        <v>.</v>
      </c>
      <c r="H12" s="37" t="str">
        <f>Roster!I69</f>
        <v>.</v>
      </c>
      <c r="I12" s="37" t="str">
        <f>Roster!J69</f>
        <v>.</v>
      </c>
      <c r="J12" s="37" t="str">
        <f>Roster!K69</f>
        <v>.</v>
      </c>
      <c r="K12" s="37" t="str">
        <f>Roster!L69</f>
        <v>.</v>
      </c>
      <c r="L12" s="37" t="str">
        <f>Roster!M69</f>
        <v>.</v>
      </c>
      <c r="M12" s="37" t="str">
        <f>Roster!N69</f>
        <v>.</v>
      </c>
      <c r="N12" s="37" t="str">
        <f>Roster!O69</f>
        <v>.</v>
      </c>
      <c r="O12" s="37" t="str">
        <f>Roster!P69</f>
        <v>.</v>
      </c>
      <c r="P12" s="37" t="str">
        <f>Roster!Q69</f>
        <v>.</v>
      </c>
      <c r="Q12" s="37" t="str">
        <f>Roster!R69</f>
        <v>.</v>
      </c>
      <c r="R12" s="37" t="str">
        <f>Roster!S69</f>
        <v>.</v>
      </c>
      <c r="S12" s="37" t="str">
        <f>Roster!T69</f>
        <v>.</v>
      </c>
      <c r="T12" s="37" t="str">
        <f>Roster!U69</f>
        <v>.</v>
      </c>
      <c r="U12" s="37" t="str">
        <f>Roster!V69</f>
        <v>.</v>
      </c>
      <c r="V12" s="37" t="str">
        <f>Roster!W69</f>
        <v>.</v>
      </c>
      <c r="W12" s="37" t="str">
        <f>Roster!X69</f>
        <v>.</v>
      </c>
      <c r="X12" s="37" t="str">
        <f>Roster!Y69</f>
        <v>.</v>
      </c>
      <c r="Y12" s="37" t="str">
        <f>Roster!Z69</f>
        <v>.</v>
      </c>
      <c r="Z12" s="37" t="str">
        <f>Roster!AA69</f>
        <v>.</v>
      </c>
      <c r="AA12" s="37" t="str">
        <f>Roster!AB69</f>
        <v>.</v>
      </c>
      <c r="AB12" s="37" t="str">
        <f>Roster!AC69</f>
        <v>.</v>
      </c>
      <c r="AC12" s="37" t="str">
        <f>Roster!AD69</f>
        <v>.</v>
      </c>
      <c r="AD12" s="37" t="str">
        <f>Roster!AE69</f>
        <v>.</v>
      </c>
      <c r="AE12" s="37" t="str">
        <f>Roster!AF69</f>
        <v>.</v>
      </c>
      <c r="AF12" s="38" t="str">
        <f>Roster!AG69</f>
        <v>.</v>
      </c>
    </row>
    <row r="13" spans="2:33" ht="14.4" thickTop="1" thickBot="1">
      <c r="C13" s="21" t="str">
        <f t="shared" ref="C13:AG13" si="3">LEFT(TEXT(C14&amp;"-"&amp;$B14&amp;"-"&amp;CurYear-1,"ddd"),2)</f>
        <v>Mo</v>
      </c>
      <c r="D13" s="21" t="str">
        <f t="shared" si="3"/>
        <v>Tu</v>
      </c>
      <c r="E13" s="21" t="str">
        <f t="shared" si="3"/>
        <v>We</v>
      </c>
      <c r="F13" s="21" t="str">
        <f t="shared" si="3"/>
        <v>Th</v>
      </c>
      <c r="G13" s="21" t="str">
        <f t="shared" si="3"/>
        <v>Fr</v>
      </c>
      <c r="H13" s="21" t="str">
        <f t="shared" si="3"/>
        <v>Sa</v>
      </c>
      <c r="I13" s="21" t="str">
        <f t="shared" si="3"/>
        <v>Su</v>
      </c>
      <c r="J13" s="21" t="str">
        <f t="shared" si="3"/>
        <v>Mo</v>
      </c>
      <c r="K13" s="21" t="str">
        <f t="shared" si="3"/>
        <v>Tu</v>
      </c>
      <c r="L13" s="21" t="str">
        <f t="shared" si="3"/>
        <v>We</v>
      </c>
      <c r="M13" s="21" t="str">
        <f t="shared" si="3"/>
        <v>Th</v>
      </c>
      <c r="N13" s="21" t="str">
        <f t="shared" si="3"/>
        <v>Fr</v>
      </c>
      <c r="O13" s="21" t="str">
        <f t="shared" si="3"/>
        <v>Sa</v>
      </c>
      <c r="P13" s="21" t="str">
        <f t="shared" si="3"/>
        <v>Su</v>
      </c>
      <c r="Q13" s="21" t="str">
        <f t="shared" si="3"/>
        <v>Mo</v>
      </c>
      <c r="R13" s="21" t="str">
        <f t="shared" si="3"/>
        <v>Tu</v>
      </c>
      <c r="S13" s="21" t="str">
        <f t="shared" si="3"/>
        <v>We</v>
      </c>
      <c r="T13" s="21" t="str">
        <f t="shared" si="3"/>
        <v>Th</v>
      </c>
      <c r="U13" s="21" t="str">
        <f t="shared" si="3"/>
        <v>Fr</v>
      </c>
      <c r="V13" s="21" t="str">
        <f t="shared" si="3"/>
        <v>Sa</v>
      </c>
      <c r="W13" s="21" t="str">
        <f t="shared" si="3"/>
        <v>Su</v>
      </c>
      <c r="X13" s="21" t="str">
        <f t="shared" si="3"/>
        <v>Mo</v>
      </c>
      <c r="Y13" s="21" t="str">
        <f t="shared" si="3"/>
        <v>Tu</v>
      </c>
      <c r="Z13" s="21" t="str">
        <f t="shared" si="3"/>
        <v>We</v>
      </c>
      <c r="AA13" s="21" t="str">
        <f t="shared" si="3"/>
        <v>Th</v>
      </c>
      <c r="AB13" s="21" t="str">
        <f t="shared" si="3"/>
        <v>Fr</v>
      </c>
      <c r="AC13" s="21" t="str">
        <f t="shared" si="3"/>
        <v>Sa</v>
      </c>
      <c r="AD13" s="21" t="str">
        <f t="shared" si="3"/>
        <v>Su</v>
      </c>
      <c r="AE13" s="21" t="str">
        <f t="shared" si="3"/>
        <v>Mo</v>
      </c>
      <c r="AF13" s="21" t="str">
        <f t="shared" si="3"/>
        <v>Tu</v>
      </c>
      <c r="AG13" s="20" t="str">
        <f t="shared" si="3"/>
        <v>We</v>
      </c>
    </row>
    <row r="14" spans="2:33" ht="14.4" thickTop="1" thickBot="1">
      <c r="B14" s="32" t="str">
        <f>Roster!C74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2018</v>
      </c>
      <c r="C15" s="36" t="str">
        <f>Roster!D84</f>
        <v>.</v>
      </c>
      <c r="D15" s="37" t="str">
        <f>Roster!E84</f>
        <v>.</v>
      </c>
      <c r="E15" s="37" t="str">
        <f>Roster!F84</f>
        <v>.</v>
      </c>
      <c r="F15" s="37" t="str">
        <f>Roster!G84</f>
        <v>.</v>
      </c>
      <c r="G15" s="37" t="str">
        <f>Roster!H84</f>
        <v>.</v>
      </c>
      <c r="H15" s="37" t="str">
        <f>Roster!I84</f>
        <v>.</v>
      </c>
      <c r="I15" s="37" t="str">
        <f>Roster!J84</f>
        <v>.</v>
      </c>
      <c r="J15" s="37" t="str">
        <f>Roster!K84</f>
        <v>.</v>
      </c>
      <c r="K15" s="37" t="str">
        <f>Roster!L84</f>
        <v>.</v>
      </c>
      <c r="L15" s="37" t="str">
        <f>Roster!M84</f>
        <v>.</v>
      </c>
      <c r="M15" s="37" t="str">
        <f>Roster!N84</f>
        <v>.</v>
      </c>
      <c r="N15" s="37" t="str">
        <f>Roster!O84</f>
        <v>.</v>
      </c>
      <c r="O15" s="37" t="str">
        <f>Roster!P84</f>
        <v>.</v>
      </c>
      <c r="P15" s="37" t="str">
        <f>Roster!Q84</f>
        <v>.</v>
      </c>
      <c r="Q15" s="37" t="str">
        <f>Roster!R84</f>
        <v>.</v>
      </c>
      <c r="R15" s="37" t="str">
        <f>Roster!S84</f>
        <v>.</v>
      </c>
      <c r="S15" s="37" t="str">
        <f>Roster!T84</f>
        <v>.</v>
      </c>
      <c r="T15" s="37" t="str">
        <f>Roster!U84</f>
        <v>.</v>
      </c>
      <c r="U15" s="37" t="str">
        <f>Roster!V84</f>
        <v>.</v>
      </c>
      <c r="V15" s="37" t="str">
        <f>Roster!W84</f>
        <v>.</v>
      </c>
      <c r="W15" s="37" t="str">
        <f>Roster!X84</f>
        <v>.</v>
      </c>
      <c r="X15" s="37" t="str">
        <f>Roster!Y84</f>
        <v>.</v>
      </c>
      <c r="Y15" s="37" t="str">
        <f>Roster!Z84</f>
        <v>.</v>
      </c>
      <c r="Z15" s="37" t="str">
        <f>Roster!AA84</f>
        <v>.</v>
      </c>
      <c r="AA15" s="37" t="str">
        <f>Roster!AB84</f>
        <v>.</v>
      </c>
      <c r="AB15" s="37" t="str">
        <f>Roster!AC84</f>
        <v>.</v>
      </c>
      <c r="AC15" s="37" t="str">
        <f>Roster!AD84</f>
        <v>.</v>
      </c>
      <c r="AD15" s="37" t="str">
        <f>Roster!AE84</f>
        <v>.</v>
      </c>
      <c r="AE15" s="37" t="str">
        <f>Roster!AF84</f>
        <v>.</v>
      </c>
      <c r="AF15" s="37" t="str">
        <f>Roster!AG84</f>
        <v>.</v>
      </c>
      <c r="AG15" s="38" t="str">
        <f>Roster!AH84</f>
        <v>.</v>
      </c>
    </row>
    <row r="16" spans="2:33" ht="14.4" thickTop="1" thickBot="1">
      <c r="C16" s="21" t="str">
        <f t="shared" ref="C16:AF16" si="4">LEFT(TEXT(C17&amp;"-"&amp;$B17&amp;"-"&amp;CurYear-1,"ddd"),2)</f>
        <v>Th</v>
      </c>
      <c r="D16" s="21" t="str">
        <f t="shared" si="4"/>
        <v>Fr</v>
      </c>
      <c r="E16" s="21" t="str">
        <f t="shared" si="4"/>
        <v>Sa</v>
      </c>
      <c r="F16" s="21" t="str">
        <f t="shared" si="4"/>
        <v>Su</v>
      </c>
      <c r="G16" s="21" t="str">
        <f t="shared" si="4"/>
        <v>Mo</v>
      </c>
      <c r="H16" s="21" t="str">
        <f t="shared" si="4"/>
        <v>Tu</v>
      </c>
      <c r="I16" s="21" t="str">
        <f t="shared" si="4"/>
        <v>We</v>
      </c>
      <c r="J16" s="21" t="str">
        <f t="shared" si="4"/>
        <v>Th</v>
      </c>
      <c r="K16" s="21" t="str">
        <f t="shared" si="4"/>
        <v>Fr</v>
      </c>
      <c r="L16" s="21" t="str">
        <f t="shared" si="4"/>
        <v>Sa</v>
      </c>
      <c r="M16" s="21" t="str">
        <f t="shared" si="4"/>
        <v>Su</v>
      </c>
      <c r="N16" s="21" t="str">
        <f t="shared" si="4"/>
        <v>Mo</v>
      </c>
      <c r="O16" s="21" t="str">
        <f t="shared" si="4"/>
        <v>Tu</v>
      </c>
      <c r="P16" s="21" t="str">
        <f t="shared" si="4"/>
        <v>We</v>
      </c>
      <c r="Q16" s="21" t="str">
        <f t="shared" si="4"/>
        <v>Th</v>
      </c>
      <c r="R16" s="21" t="str">
        <f t="shared" si="4"/>
        <v>Fr</v>
      </c>
      <c r="S16" s="21" t="str">
        <f t="shared" si="4"/>
        <v>Sa</v>
      </c>
      <c r="T16" s="21" t="str">
        <f t="shared" si="4"/>
        <v>Su</v>
      </c>
      <c r="U16" s="21" t="str">
        <f t="shared" si="4"/>
        <v>Mo</v>
      </c>
      <c r="V16" s="21" t="str">
        <f t="shared" si="4"/>
        <v>Tu</v>
      </c>
      <c r="W16" s="21" t="str">
        <f t="shared" si="4"/>
        <v>We</v>
      </c>
      <c r="X16" s="21" t="str">
        <f t="shared" si="4"/>
        <v>Th</v>
      </c>
      <c r="Y16" s="21" t="str">
        <f t="shared" si="4"/>
        <v>Fr</v>
      </c>
      <c r="Z16" s="21" t="str">
        <f t="shared" si="4"/>
        <v>Sa</v>
      </c>
      <c r="AA16" s="21" t="str">
        <f t="shared" si="4"/>
        <v>Su</v>
      </c>
      <c r="AB16" s="21" t="str">
        <f t="shared" si="4"/>
        <v>Mo</v>
      </c>
      <c r="AC16" s="21" t="str">
        <f t="shared" si="4"/>
        <v>Tu</v>
      </c>
      <c r="AD16" s="21" t="str">
        <f t="shared" si="4"/>
        <v>We</v>
      </c>
      <c r="AE16" s="21" t="str">
        <f t="shared" si="4"/>
        <v>Th</v>
      </c>
      <c r="AF16" s="21" t="str">
        <f t="shared" si="4"/>
        <v>Fr</v>
      </c>
      <c r="AG16" s="17"/>
    </row>
    <row r="17" spans="2:33" ht="14.4" thickTop="1" thickBot="1">
      <c r="B17" s="32" t="str">
        <f>Roster!C89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2018</v>
      </c>
      <c r="C18" s="36" t="str">
        <f>Roster!D99</f>
        <v>.</v>
      </c>
      <c r="D18" s="37" t="str">
        <f>Roster!E99</f>
        <v>.</v>
      </c>
      <c r="E18" s="37" t="str">
        <f>Roster!F99</f>
        <v>.</v>
      </c>
      <c r="F18" s="37" t="str">
        <f>Roster!G99</f>
        <v>.</v>
      </c>
      <c r="G18" s="37" t="str">
        <f>Roster!H99</f>
        <v>.</v>
      </c>
      <c r="H18" s="37" t="str">
        <f>Roster!I99</f>
        <v>.</v>
      </c>
      <c r="I18" s="37" t="str">
        <f>Roster!J99</f>
        <v>.</v>
      </c>
      <c r="J18" s="37" t="str">
        <f>Roster!K99</f>
        <v>.</v>
      </c>
      <c r="K18" s="37" t="str">
        <f>Roster!L99</f>
        <v>.</v>
      </c>
      <c r="L18" s="37" t="str">
        <f>Roster!M99</f>
        <v>.</v>
      </c>
      <c r="M18" s="37" t="str">
        <f>Roster!N99</f>
        <v>.</v>
      </c>
      <c r="N18" s="37" t="str">
        <f>Roster!O99</f>
        <v>.</v>
      </c>
      <c r="O18" s="37" t="str">
        <f>Roster!P99</f>
        <v>.</v>
      </c>
      <c r="P18" s="37" t="str">
        <f>Roster!Q99</f>
        <v>.</v>
      </c>
      <c r="Q18" s="37" t="str">
        <f>Roster!R99</f>
        <v>.</v>
      </c>
      <c r="R18" s="37" t="str">
        <f>Roster!S99</f>
        <v>.</v>
      </c>
      <c r="S18" s="37" t="str">
        <f>Roster!T99</f>
        <v>.</v>
      </c>
      <c r="T18" s="37" t="str">
        <f>Roster!U99</f>
        <v>.</v>
      </c>
      <c r="U18" s="37" t="str">
        <f>Roster!V99</f>
        <v>.</v>
      </c>
      <c r="V18" s="37" t="str">
        <f>Roster!W99</f>
        <v>.</v>
      </c>
      <c r="W18" s="37" t="str">
        <f>Roster!X99</f>
        <v>.</v>
      </c>
      <c r="X18" s="37" t="str">
        <f>Roster!Y99</f>
        <v>.</v>
      </c>
      <c r="Y18" s="37" t="str">
        <f>Roster!Z99</f>
        <v>.</v>
      </c>
      <c r="Z18" s="37" t="str">
        <f>Roster!AA99</f>
        <v>.</v>
      </c>
      <c r="AA18" s="37" t="str">
        <f>Roster!AB99</f>
        <v>.</v>
      </c>
      <c r="AB18" s="37" t="str">
        <f>Roster!AC99</f>
        <v>.</v>
      </c>
      <c r="AC18" s="37" t="str">
        <f>Roster!AD99</f>
        <v>.</v>
      </c>
      <c r="AD18" s="37" t="str">
        <f>Roster!AE99</f>
        <v>.</v>
      </c>
      <c r="AE18" s="37" t="str">
        <f>Roster!AF99</f>
        <v>.</v>
      </c>
      <c r="AF18" s="38" t="str">
        <f>Roster!AG99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Sa</v>
      </c>
      <c r="D19" s="21" t="str">
        <f t="shared" si="5"/>
        <v>Su</v>
      </c>
      <c r="E19" s="21" t="str">
        <f t="shared" si="5"/>
        <v>Mo</v>
      </c>
      <c r="F19" s="21" t="str">
        <f t="shared" si="5"/>
        <v>Tu</v>
      </c>
      <c r="G19" s="21" t="str">
        <f t="shared" si="5"/>
        <v>We</v>
      </c>
      <c r="H19" s="21" t="str">
        <f t="shared" si="5"/>
        <v>Th</v>
      </c>
      <c r="I19" s="21" t="str">
        <f t="shared" si="5"/>
        <v>Fr</v>
      </c>
      <c r="J19" s="21" t="str">
        <f t="shared" si="5"/>
        <v>Sa</v>
      </c>
      <c r="K19" s="21" t="str">
        <f t="shared" si="5"/>
        <v>Su</v>
      </c>
      <c r="L19" s="21" t="str">
        <f t="shared" si="5"/>
        <v>Mo</v>
      </c>
      <c r="M19" s="21" t="str">
        <f t="shared" si="5"/>
        <v>Tu</v>
      </c>
      <c r="N19" s="21" t="str">
        <f t="shared" si="5"/>
        <v>We</v>
      </c>
      <c r="O19" s="21" t="str">
        <f t="shared" si="5"/>
        <v>Th</v>
      </c>
      <c r="P19" s="21" t="str">
        <f t="shared" si="5"/>
        <v>Fr</v>
      </c>
      <c r="Q19" s="21" t="str">
        <f t="shared" si="5"/>
        <v>Sa</v>
      </c>
      <c r="R19" s="21" t="str">
        <f t="shared" si="5"/>
        <v>Su</v>
      </c>
      <c r="S19" s="21" t="str">
        <f t="shared" si="5"/>
        <v>Mo</v>
      </c>
      <c r="T19" s="21" t="str">
        <f t="shared" si="5"/>
        <v>Tu</v>
      </c>
      <c r="U19" s="21" t="str">
        <f t="shared" si="5"/>
        <v>We</v>
      </c>
      <c r="V19" s="21" t="str">
        <f t="shared" si="5"/>
        <v>Th</v>
      </c>
      <c r="W19" s="21" t="str">
        <f t="shared" si="5"/>
        <v>Fr</v>
      </c>
      <c r="X19" s="21" t="str">
        <f t="shared" si="5"/>
        <v>Sa</v>
      </c>
      <c r="Y19" s="21" t="str">
        <f t="shared" si="5"/>
        <v>Su</v>
      </c>
      <c r="Z19" s="21" t="str">
        <f t="shared" si="5"/>
        <v>Mo</v>
      </c>
      <c r="AA19" s="21" t="str">
        <f t="shared" si="5"/>
        <v>Tu</v>
      </c>
      <c r="AB19" s="21" t="str">
        <f t="shared" si="5"/>
        <v>We</v>
      </c>
      <c r="AC19" s="21" t="str">
        <f t="shared" si="5"/>
        <v>Th</v>
      </c>
      <c r="AD19" s="21" t="str">
        <f t="shared" si="5"/>
        <v>Fr</v>
      </c>
      <c r="AE19" s="21" t="str">
        <f t="shared" si="5"/>
        <v>Sa</v>
      </c>
      <c r="AF19" s="21" t="str">
        <f t="shared" si="5"/>
        <v>Su</v>
      </c>
      <c r="AG19" s="28" t="str">
        <f t="shared" si="5"/>
        <v>Mo</v>
      </c>
    </row>
    <row r="20" spans="2:33" ht="14.4" thickTop="1" thickBot="1">
      <c r="B20" s="32" t="str">
        <f>Roster!C104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2018</v>
      </c>
      <c r="C21" s="36" t="str">
        <f>Roster!D114</f>
        <v>.</v>
      </c>
      <c r="D21" s="37" t="str">
        <f>Roster!E114</f>
        <v>.</v>
      </c>
      <c r="E21" s="37" t="str">
        <f>Roster!F114</f>
        <v>.</v>
      </c>
      <c r="F21" s="37" t="str">
        <f>Roster!G114</f>
        <v>.</v>
      </c>
      <c r="G21" s="37" t="str">
        <f>Roster!H114</f>
        <v>.</v>
      </c>
      <c r="H21" s="37" t="str">
        <f>Roster!I114</f>
        <v>.</v>
      </c>
      <c r="I21" s="37" t="str">
        <f>Roster!J114</f>
        <v>.</v>
      </c>
      <c r="J21" s="37" t="str">
        <f>Roster!K114</f>
        <v>.</v>
      </c>
      <c r="K21" s="37" t="str">
        <f>Roster!L114</f>
        <v>.</v>
      </c>
      <c r="L21" s="37" t="str">
        <f>Roster!M114</f>
        <v>.</v>
      </c>
      <c r="M21" s="37" t="str">
        <f>Roster!N114</f>
        <v>.</v>
      </c>
      <c r="N21" s="37" t="str">
        <f>Roster!O114</f>
        <v>.</v>
      </c>
      <c r="O21" s="37" t="str">
        <f>Roster!P114</f>
        <v>.</v>
      </c>
      <c r="P21" s="37" t="str">
        <f>Roster!Q114</f>
        <v>.</v>
      </c>
      <c r="Q21" s="37" t="str">
        <f>Roster!R114</f>
        <v>.</v>
      </c>
      <c r="R21" s="37" t="str">
        <f>Roster!S114</f>
        <v>.</v>
      </c>
      <c r="S21" s="37" t="str">
        <f>Roster!T114</f>
        <v>.</v>
      </c>
      <c r="T21" s="37" t="str">
        <f>Roster!U114</f>
        <v>.</v>
      </c>
      <c r="U21" s="37" t="str">
        <f>Roster!V114</f>
        <v>.</v>
      </c>
      <c r="V21" s="37" t="str">
        <f>Roster!W114</f>
        <v>.</v>
      </c>
      <c r="W21" s="37" t="str">
        <f>Roster!X114</f>
        <v>.</v>
      </c>
      <c r="X21" s="37" t="str">
        <f>Roster!Y114</f>
        <v>.</v>
      </c>
      <c r="Y21" s="37" t="str">
        <f>Roster!Z114</f>
        <v>.</v>
      </c>
      <c r="Z21" s="37" t="str">
        <f>Roster!AA114</f>
        <v>.</v>
      </c>
      <c r="AA21" s="37" t="str">
        <f>Roster!AB114</f>
        <v>.</v>
      </c>
      <c r="AB21" s="37" t="str">
        <f>Roster!AC114</f>
        <v>.</v>
      </c>
      <c r="AC21" s="37" t="str">
        <f>Roster!AD114</f>
        <v>.</v>
      </c>
      <c r="AD21" s="37" t="str">
        <f>Roster!AE114</f>
        <v>.</v>
      </c>
      <c r="AE21" s="37" t="str">
        <f>Roster!AF114</f>
        <v>.</v>
      </c>
      <c r="AF21" s="37" t="str">
        <f>Roster!AG114</f>
        <v>.</v>
      </c>
      <c r="AG21" s="38" t="str">
        <f>Roster!AH114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Tu</v>
      </c>
      <c r="D22" s="19" t="str">
        <f t="shared" si="6"/>
        <v>We</v>
      </c>
      <c r="E22" s="19" t="str">
        <f t="shared" si="6"/>
        <v>Th</v>
      </c>
      <c r="F22" s="19" t="str">
        <f t="shared" si="6"/>
        <v>Fr</v>
      </c>
      <c r="G22" s="19" t="str">
        <f t="shared" si="6"/>
        <v>Sa</v>
      </c>
      <c r="H22" s="19" t="str">
        <f t="shared" si="6"/>
        <v>Su</v>
      </c>
      <c r="I22" s="19" t="str">
        <f t="shared" si="6"/>
        <v>Mo</v>
      </c>
      <c r="J22" s="19" t="str">
        <f t="shared" si="6"/>
        <v>Tu</v>
      </c>
      <c r="K22" s="19" t="str">
        <f t="shared" si="6"/>
        <v>We</v>
      </c>
      <c r="L22" s="19" t="str">
        <f t="shared" si="6"/>
        <v>Th</v>
      </c>
      <c r="M22" s="19" t="str">
        <f t="shared" si="6"/>
        <v>Fr</v>
      </c>
      <c r="N22" s="19" t="str">
        <f t="shared" si="6"/>
        <v>Sa</v>
      </c>
      <c r="O22" s="19" t="str">
        <f t="shared" si="6"/>
        <v>Su</v>
      </c>
      <c r="P22" s="19" t="str">
        <f t="shared" si="6"/>
        <v>Mo</v>
      </c>
      <c r="Q22" s="19" t="str">
        <f t="shared" si="6"/>
        <v>Tu</v>
      </c>
      <c r="R22" s="19" t="str">
        <f t="shared" si="6"/>
        <v>We</v>
      </c>
      <c r="S22" s="19" t="str">
        <f t="shared" si="6"/>
        <v>Th</v>
      </c>
      <c r="T22" s="19" t="str">
        <f t="shared" si="6"/>
        <v>Fr</v>
      </c>
      <c r="U22" s="19" t="str">
        <f t="shared" si="6"/>
        <v>Sa</v>
      </c>
      <c r="V22" s="19" t="str">
        <f t="shared" si="6"/>
        <v>Su</v>
      </c>
      <c r="W22" s="19" t="str">
        <f t="shared" si="6"/>
        <v>Mo</v>
      </c>
      <c r="X22" s="19" t="str">
        <f t="shared" si="6"/>
        <v>Tu</v>
      </c>
      <c r="Y22" s="19" t="str">
        <f t="shared" si="6"/>
        <v>We</v>
      </c>
      <c r="Z22" s="19" t="str">
        <f t="shared" si="6"/>
        <v>Th</v>
      </c>
      <c r="AA22" s="19" t="str">
        <f t="shared" si="6"/>
        <v>Fr</v>
      </c>
      <c r="AB22" s="19" t="str">
        <f t="shared" si="6"/>
        <v>Sa</v>
      </c>
      <c r="AC22" s="19" t="str">
        <f t="shared" si="6"/>
        <v>Su</v>
      </c>
      <c r="AD22" s="19" t="str">
        <f t="shared" si="6"/>
        <v>Mo</v>
      </c>
      <c r="AE22" s="19" t="str">
        <f t="shared" si="6"/>
        <v>Tu</v>
      </c>
      <c r="AF22" s="19" t="str">
        <f t="shared" si="6"/>
        <v>We</v>
      </c>
      <c r="AG22" s="19" t="str">
        <f t="shared" si="6"/>
        <v>Th</v>
      </c>
    </row>
    <row r="23" spans="2:33" ht="14.4" thickTop="1" thickBot="1">
      <c r="B23" s="32" t="str">
        <f>Roster!$C$119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2019</v>
      </c>
      <c r="C24" s="52" t="str">
        <f>Roster!D129</f>
        <v>.</v>
      </c>
      <c r="D24" s="75" t="str">
        <f>Roster!E129</f>
        <v>.</v>
      </c>
      <c r="E24" s="75" t="str">
        <f>Roster!F129</f>
        <v>.</v>
      </c>
      <c r="F24" s="75" t="str">
        <f>Roster!G129</f>
        <v>.</v>
      </c>
      <c r="G24" s="75" t="str">
        <f>Roster!H129</f>
        <v>.</v>
      </c>
      <c r="H24" s="75" t="str">
        <f>Roster!I129</f>
        <v>.</v>
      </c>
      <c r="I24" s="75" t="str">
        <f>Roster!J129</f>
        <v>.</v>
      </c>
      <c r="J24" s="75" t="str">
        <f>Roster!K129</f>
        <v>.</v>
      </c>
      <c r="K24" s="75" t="str">
        <f>Roster!L129</f>
        <v>.</v>
      </c>
      <c r="L24" s="75" t="str">
        <f>Roster!M129</f>
        <v>.</v>
      </c>
      <c r="M24" s="75" t="str">
        <f>Roster!N129</f>
        <v>.</v>
      </c>
      <c r="N24" s="75" t="str">
        <f>Roster!O129</f>
        <v>.</v>
      </c>
      <c r="O24" s="75" t="str">
        <f>Roster!P129</f>
        <v>.</v>
      </c>
      <c r="P24" s="75" t="str">
        <f>Roster!Q129</f>
        <v>.</v>
      </c>
      <c r="Q24" s="75" t="str">
        <f>Roster!R129</f>
        <v>.</v>
      </c>
      <c r="R24" s="75" t="str">
        <f>Roster!S129</f>
        <v>.</v>
      </c>
      <c r="S24" s="75" t="str">
        <f>Roster!T129</f>
        <v>.</v>
      </c>
      <c r="T24" s="75" t="str">
        <f>Roster!U129</f>
        <v>.</v>
      </c>
      <c r="U24" s="75" t="str">
        <f>Roster!V129</f>
        <v>.</v>
      </c>
      <c r="V24" s="75" t="str">
        <f>Roster!W129</f>
        <v>.</v>
      </c>
      <c r="W24" s="75" t="str">
        <f>Roster!X129</f>
        <v>.</v>
      </c>
      <c r="X24" s="75" t="str">
        <f>Roster!Y129</f>
        <v>.</v>
      </c>
      <c r="Y24" s="75" t="str">
        <f>Roster!Z129</f>
        <v>.</v>
      </c>
      <c r="Z24" s="75" t="str">
        <f>Roster!AA129</f>
        <v>.</v>
      </c>
      <c r="AA24" s="75" t="str">
        <f>Roster!AB129</f>
        <v>.</v>
      </c>
      <c r="AB24" s="75" t="str">
        <f>Roster!AC129</f>
        <v>.</v>
      </c>
      <c r="AC24" s="75" t="str">
        <f>Roster!AD129</f>
        <v>.</v>
      </c>
      <c r="AD24" s="75" t="str">
        <f>Roster!AE129</f>
        <v>.</v>
      </c>
      <c r="AE24" s="75" t="str">
        <f>Roster!AF129</f>
        <v>.</v>
      </c>
      <c r="AF24" s="75" t="str">
        <f>Roster!AG129</f>
        <v>.</v>
      </c>
      <c r="AG24" s="76" t="str">
        <f>Roster!AH129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Fr</v>
      </c>
      <c r="D25" s="22" t="str">
        <f t="shared" si="7"/>
        <v>Sa</v>
      </c>
      <c r="E25" s="22" t="str">
        <f t="shared" si="7"/>
        <v>Su</v>
      </c>
      <c r="F25" s="22" t="str">
        <f t="shared" si="7"/>
        <v>Mo</v>
      </c>
      <c r="G25" s="22" t="str">
        <f t="shared" si="7"/>
        <v>Tu</v>
      </c>
      <c r="H25" s="22" t="str">
        <f t="shared" si="7"/>
        <v>We</v>
      </c>
      <c r="I25" s="22" t="str">
        <f t="shared" si="7"/>
        <v>Th</v>
      </c>
      <c r="J25" s="22" t="str">
        <f t="shared" si="7"/>
        <v>Fr</v>
      </c>
      <c r="K25" s="22" t="str">
        <f t="shared" si="7"/>
        <v>Sa</v>
      </c>
      <c r="L25" s="22" t="str">
        <f t="shared" si="7"/>
        <v>Su</v>
      </c>
      <c r="M25" s="22" t="str">
        <f t="shared" si="7"/>
        <v>Mo</v>
      </c>
      <c r="N25" s="22" t="str">
        <f t="shared" si="7"/>
        <v>Tu</v>
      </c>
      <c r="O25" s="22" t="str">
        <f t="shared" si="7"/>
        <v>We</v>
      </c>
      <c r="P25" s="22" t="str">
        <f t="shared" si="7"/>
        <v>Th</v>
      </c>
      <c r="Q25" s="22" t="str">
        <f t="shared" si="7"/>
        <v>Fr</v>
      </c>
      <c r="R25" s="22" t="str">
        <f t="shared" si="7"/>
        <v>Sa</v>
      </c>
      <c r="S25" s="22" t="str">
        <f t="shared" si="7"/>
        <v>Su</v>
      </c>
      <c r="T25" s="22" t="str">
        <f t="shared" si="7"/>
        <v>Mo</v>
      </c>
      <c r="U25" s="22" t="str">
        <f t="shared" si="7"/>
        <v>Tu</v>
      </c>
      <c r="V25" s="22" t="str">
        <f t="shared" si="7"/>
        <v>We</v>
      </c>
      <c r="W25" s="22" t="str">
        <f t="shared" si="7"/>
        <v>Th</v>
      </c>
      <c r="X25" s="22" t="str">
        <f t="shared" si="7"/>
        <v>Fr</v>
      </c>
      <c r="Y25" s="22" t="str">
        <f t="shared" si="7"/>
        <v>Sa</v>
      </c>
      <c r="Z25" s="22" t="str">
        <f t="shared" si="7"/>
        <v>Su</v>
      </c>
      <c r="AA25" s="22" t="str">
        <f t="shared" si="7"/>
        <v>Mo</v>
      </c>
      <c r="AB25" s="22" t="str">
        <f t="shared" si="7"/>
        <v>Tu</v>
      </c>
      <c r="AC25" s="22" t="str">
        <f t="shared" si="7"/>
        <v>We</v>
      </c>
      <c r="AD25" s="22" t="str">
        <f t="shared" si="7"/>
        <v>Th</v>
      </c>
      <c r="AE25" s="131" t="str">
        <f t="shared" si="7"/>
        <v>29</v>
      </c>
      <c r="AF25" s="23"/>
      <c r="AG25" s="24"/>
    </row>
    <row r="26" spans="2:33" ht="14.4" thickTop="1" thickBot="1">
      <c r="B26" s="32" t="str">
        <f>Roster!$C$134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45">
        <v>29</v>
      </c>
      <c r="AF26" s="44"/>
    </row>
    <row r="27" spans="2:33" ht="14.4" thickTop="1" thickBot="1">
      <c r="B27" s="32" t="str">
        <f>CurYear</f>
        <v>2019</v>
      </c>
      <c r="C27" s="51" t="str">
        <f>Roster!D144</f>
        <v>.</v>
      </c>
      <c r="D27" s="37" t="str">
        <f>Roster!E144</f>
        <v>.</v>
      </c>
      <c r="E27" s="37" t="str">
        <f>Roster!F144</f>
        <v>.</v>
      </c>
      <c r="F27" s="37" t="str">
        <f>Roster!G144</f>
        <v>.</v>
      </c>
      <c r="G27" s="37" t="str">
        <f>Roster!H144</f>
        <v>.</v>
      </c>
      <c r="H27" s="37" t="str">
        <f>Roster!I144</f>
        <v>.</v>
      </c>
      <c r="I27" s="37" t="str">
        <f>Roster!J144</f>
        <v>.</v>
      </c>
      <c r="J27" s="37" t="str">
        <f>Roster!K144</f>
        <v>.</v>
      </c>
      <c r="K27" s="37" t="str">
        <f>Roster!L144</f>
        <v>.</v>
      </c>
      <c r="L27" s="37" t="str">
        <f>Roster!M144</f>
        <v>.</v>
      </c>
      <c r="M27" s="37" t="str">
        <f>Roster!N144</f>
        <v>.</v>
      </c>
      <c r="N27" s="37" t="str">
        <f>Roster!O144</f>
        <v>.</v>
      </c>
      <c r="O27" s="37" t="str">
        <f>Roster!P144</f>
        <v>.</v>
      </c>
      <c r="P27" s="37" t="str">
        <f>Roster!Q144</f>
        <v>.</v>
      </c>
      <c r="Q27" s="37" t="str">
        <f>Roster!R144</f>
        <v>.</v>
      </c>
      <c r="R27" s="37" t="str">
        <f>Roster!S144</f>
        <v>.</v>
      </c>
      <c r="S27" s="37" t="str">
        <f>Roster!T144</f>
        <v>.</v>
      </c>
      <c r="T27" s="37" t="str">
        <f>Roster!U144</f>
        <v>.</v>
      </c>
      <c r="U27" s="37" t="str">
        <f>Roster!V144</f>
        <v>.</v>
      </c>
      <c r="V27" s="37" t="str">
        <f>Roster!W144</f>
        <v>.</v>
      </c>
      <c r="W27" s="37" t="str">
        <f>Roster!X144</f>
        <v>.</v>
      </c>
      <c r="X27" s="37" t="str">
        <f>Roster!Y144</f>
        <v>.</v>
      </c>
      <c r="Y27" s="37" t="str">
        <f>Roster!Z144</f>
        <v>.</v>
      </c>
      <c r="Z27" s="37" t="str">
        <f>Roster!AA144</f>
        <v>.</v>
      </c>
      <c r="AA27" s="37" t="str">
        <f>Roster!AB144</f>
        <v>.</v>
      </c>
      <c r="AB27" s="37" t="str">
        <f>Roster!AC144</f>
        <v>.</v>
      </c>
      <c r="AC27" s="37" t="str">
        <f>Roster!AD144</f>
        <v>.</v>
      </c>
      <c r="AD27" s="43" t="str">
        <f>Roster!AE144</f>
        <v>.</v>
      </c>
      <c r="AE27" s="130">
        <f>Roster!AF142</f>
        <v>0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Fr</v>
      </c>
      <c r="D28" s="25" t="str">
        <f t="shared" si="8"/>
        <v>Sa</v>
      </c>
      <c r="E28" s="25" t="str">
        <f t="shared" si="8"/>
        <v>Su</v>
      </c>
      <c r="F28" s="25" t="str">
        <f t="shared" si="8"/>
        <v>Mo</v>
      </c>
      <c r="G28" s="25" t="str">
        <f t="shared" si="8"/>
        <v>Tu</v>
      </c>
      <c r="H28" s="25" t="str">
        <f t="shared" si="8"/>
        <v>We</v>
      </c>
      <c r="I28" s="25" t="str">
        <f t="shared" si="8"/>
        <v>Th</v>
      </c>
      <c r="J28" s="25" t="str">
        <f t="shared" si="8"/>
        <v>Fr</v>
      </c>
      <c r="K28" s="25" t="str">
        <f t="shared" si="8"/>
        <v>Sa</v>
      </c>
      <c r="L28" s="25" t="str">
        <f t="shared" si="8"/>
        <v>Su</v>
      </c>
      <c r="M28" s="25" t="str">
        <f t="shared" si="8"/>
        <v>Mo</v>
      </c>
      <c r="N28" s="25" t="str">
        <f t="shared" si="8"/>
        <v>Tu</v>
      </c>
      <c r="O28" s="25" t="str">
        <f t="shared" si="8"/>
        <v>We</v>
      </c>
      <c r="P28" s="25" t="str">
        <f t="shared" si="8"/>
        <v>Th</v>
      </c>
      <c r="Q28" s="25" t="str">
        <f t="shared" si="8"/>
        <v>Fr</v>
      </c>
      <c r="R28" s="25" t="str">
        <f t="shared" si="8"/>
        <v>Sa</v>
      </c>
      <c r="S28" s="25" t="str">
        <f t="shared" si="8"/>
        <v>Su</v>
      </c>
      <c r="T28" s="25" t="str">
        <f t="shared" si="8"/>
        <v>Mo</v>
      </c>
      <c r="U28" s="25" t="str">
        <f t="shared" si="8"/>
        <v>Tu</v>
      </c>
      <c r="V28" s="25" t="str">
        <f t="shared" si="8"/>
        <v>We</v>
      </c>
      <c r="W28" s="25" t="str">
        <f t="shared" si="8"/>
        <v>Th</v>
      </c>
      <c r="X28" s="25" t="str">
        <f t="shared" si="8"/>
        <v>Fr</v>
      </c>
      <c r="Y28" s="25" t="str">
        <f t="shared" si="8"/>
        <v>Sa</v>
      </c>
      <c r="Z28" s="25" t="str">
        <f t="shared" si="8"/>
        <v>Su</v>
      </c>
      <c r="AA28" s="25" t="str">
        <f t="shared" si="8"/>
        <v>Mo</v>
      </c>
      <c r="AB28" s="25" t="str">
        <f t="shared" si="8"/>
        <v>Tu</v>
      </c>
      <c r="AC28" s="25" t="str">
        <f t="shared" si="8"/>
        <v>We</v>
      </c>
      <c r="AD28" s="25" t="str">
        <f t="shared" si="8"/>
        <v>Th</v>
      </c>
      <c r="AE28" s="45" t="str">
        <f t="shared" si="8"/>
        <v>Fr</v>
      </c>
      <c r="AF28" s="26" t="str">
        <f t="shared" si="8"/>
        <v>Sa</v>
      </c>
      <c r="AG28" s="26" t="str">
        <f t="shared" si="8"/>
        <v>Su</v>
      </c>
    </row>
    <row r="29" spans="2:33" ht="14.4" thickTop="1" thickBot="1">
      <c r="B29" s="32" t="str">
        <f>Roster!$C$149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2019</v>
      </c>
      <c r="C30" s="36" t="str">
        <f>Roster!D159</f>
        <v>.</v>
      </c>
      <c r="D30" s="37" t="str">
        <f>Roster!E159</f>
        <v>.</v>
      </c>
      <c r="E30" s="37" t="str">
        <f>Roster!F159</f>
        <v>.</v>
      </c>
      <c r="F30" s="37" t="str">
        <f>Roster!G159</f>
        <v>.</v>
      </c>
      <c r="G30" s="37" t="str">
        <f>Roster!H159</f>
        <v>.</v>
      </c>
      <c r="H30" s="37" t="str">
        <f>Roster!I159</f>
        <v>.</v>
      </c>
      <c r="I30" s="37" t="str">
        <f>Roster!J159</f>
        <v>.</v>
      </c>
      <c r="J30" s="37" t="str">
        <f>Roster!K159</f>
        <v>.</v>
      </c>
      <c r="K30" s="37" t="str">
        <f>Roster!L159</f>
        <v>.</v>
      </c>
      <c r="L30" s="37" t="str">
        <f>Roster!M159</f>
        <v>.</v>
      </c>
      <c r="M30" s="37" t="str">
        <f>Roster!N159</f>
        <v>.</v>
      </c>
      <c r="N30" s="37" t="str">
        <f>Roster!O159</f>
        <v>.</v>
      </c>
      <c r="O30" s="37" t="str">
        <f>Roster!P159</f>
        <v>.</v>
      </c>
      <c r="P30" s="37" t="str">
        <f>Roster!Q159</f>
        <v>.</v>
      </c>
      <c r="Q30" s="37" t="str">
        <f>Roster!R159</f>
        <v>.</v>
      </c>
      <c r="R30" s="37" t="str">
        <f>Roster!S159</f>
        <v>.</v>
      </c>
      <c r="S30" s="37" t="str">
        <f>Roster!T159</f>
        <v>.</v>
      </c>
      <c r="T30" s="37" t="str">
        <f>Roster!U159</f>
        <v>.</v>
      </c>
      <c r="U30" s="37" t="str">
        <f>Roster!V159</f>
        <v>.</v>
      </c>
      <c r="V30" s="37" t="str">
        <f>Roster!W159</f>
        <v>.</v>
      </c>
      <c r="W30" s="37" t="str">
        <f>Roster!X159</f>
        <v>.</v>
      </c>
      <c r="X30" s="37" t="str">
        <f>Roster!Y159</f>
        <v>.</v>
      </c>
      <c r="Y30" s="37" t="str">
        <f>Roster!Z159</f>
        <v>.</v>
      </c>
      <c r="Z30" s="37" t="str">
        <f>Roster!AA159</f>
        <v>.</v>
      </c>
      <c r="AA30" s="37" t="str">
        <f>Roster!AB159</f>
        <v>.</v>
      </c>
      <c r="AB30" s="37" t="str">
        <f>Roster!AC159</f>
        <v>.</v>
      </c>
      <c r="AC30" s="37" t="str">
        <f>Roster!AD159</f>
        <v>.</v>
      </c>
      <c r="AD30" s="37" t="str">
        <f>Roster!AE159</f>
        <v>.</v>
      </c>
      <c r="AE30" s="37" t="str">
        <f>Roster!AF159</f>
        <v>.</v>
      </c>
      <c r="AF30" s="37" t="str">
        <f>Roster!AG159</f>
        <v>.</v>
      </c>
      <c r="AG30" s="38" t="str">
        <f>Roster!AH159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Mo</v>
      </c>
      <c r="D31" s="25" t="str">
        <f t="shared" si="9"/>
        <v>Tu</v>
      </c>
      <c r="E31" s="25" t="str">
        <f t="shared" si="9"/>
        <v>We</v>
      </c>
      <c r="F31" s="25" t="str">
        <f t="shared" si="9"/>
        <v>Th</v>
      </c>
      <c r="G31" s="25" t="str">
        <f t="shared" si="9"/>
        <v>Fr</v>
      </c>
      <c r="H31" s="25" t="str">
        <f t="shared" si="9"/>
        <v>Sa</v>
      </c>
      <c r="I31" s="25" t="str">
        <f t="shared" si="9"/>
        <v>Su</v>
      </c>
      <c r="J31" s="25" t="str">
        <f t="shared" si="9"/>
        <v>Mo</v>
      </c>
      <c r="K31" s="25" t="str">
        <f t="shared" si="9"/>
        <v>Tu</v>
      </c>
      <c r="L31" s="25" t="str">
        <f t="shared" si="9"/>
        <v>We</v>
      </c>
      <c r="M31" s="25" t="str">
        <f t="shared" si="9"/>
        <v>Th</v>
      </c>
      <c r="N31" s="25" t="str">
        <f t="shared" si="9"/>
        <v>Fr</v>
      </c>
      <c r="O31" s="25" t="str">
        <f t="shared" si="9"/>
        <v>Sa</v>
      </c>
      <c r="P31" s="25" t="str">
        <f t="shared" si="9"/>
        <v>Su</v>
      </c>
      <c r="Q31" s="25" t="str">
        <f t="shared" si="9"/>
        <v>Mo</v>
      </c>
      <c r="R31" s="25" t="str">
        <f t="shared" si="9"/>
        <v>Tu</v>
      </c>
      <c r="S31" s="25" t="str">
        <f t="shared" si="9"/>
        <v>We</v>
      </c>
      <c r="T31" s="25" t="str">
        <f t="shared" si="9"/>
        <v>Th</v>
      </c>
      <c r="U31" s="25" t="str">
        <f t="shared" si="9"/>
        <v>Fr</v>
      </c>
      <c r="V31" s="25" t="str">
        <f t="shared" si="9"/>
        <v>Sa</v>
      </c>
      <c r="W31" s="25" t="str">
        <f t="shared" si="9"/>
        <v>Su</v>
      </c>
      <c r="X31" s="25" t="str">
        <f t="shared" si="9"/>
        <v>Mo</v>
      </c>
      <c r="Y31" s="25" t="str">
        <f t="shared" si="9"/>
        <v>Tu</v>
      </c>
      <c r="Z31" s="25" t="str">
        <f t="shared" si="9"/>
        <v>We</v>
      </c>
      <c r="AA31" s="25" t="str">
        <f t="shared" si="9"/>
        <v>Th</v>
      </c>
      <c r="AB31" s="25" t="str">
        <f t="shared" si="9"/>
        <v>Fr</v>
      </c>
      <c r="AC31" s="25" t="str">
        <f t="shared" si="9"/>
        <v>Sa</v>
      </c>
      <c r="AD31" s="25" t="str">
        <f t="shared" si="9"/>
        <v>Su</v>
      </c>
      <c r="AE31" s="25" t="str">
        <f t="shared" si="9"/>
        <v>Mo</v>
      </c>
      <c r="AF31" s="25" t="str">
        <f t="shared" si="9"/>
        <v>Tu</v>
      </c>
      <c r="AG31" s="27"/>
    </row>
    <row r="32" spans="2:33" ht="14.4" thickTop="1" thickBot="1">
      <c r="B32" s="32" t="str">
        <f>Roster!$C$164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2019</v>
      </c>
      <c r="C33" s="36" t="str">
        <f>Roster!D174</f>
        <v>.</v>
      </c>
      <c r="D33" s="37" t="str">
        <f>Roster!E174</f>
        <v>.</v>
      </c>
      <c r="E33" s="37" t="str">
        <f>Roster!F174</f>
        <v>.</v>
      </c>
      <c r="F33" s="37" t="str">
        <f>Roster!G174</f>
        <v>.</v>
      </c>
      <c r="G33" s="37" t="str">
        <f>Roster!H174</f>
        <v>.</v>
      </c>
      <c r="H33" s="37" t="str">
        <f>Roster!I174</f>
        <v>.</v>
      </c>
      <c r="I33" s="37" t="str">
        <f>Roster!J174</f>
        <v>.</v>
      </c>
      <c r="J33" s="37" t="str">
        <f>Roster!K174</f>
        <v>.</v>
      </c>
      <c r="K33" s="37" t="str">
        <f>Roster!L174</f>
        <v>.</v>
      </c>
      <c r="L33" s="37" t="str">
        <f>Roster!M174</f>
        <v>.</v>
      </c>
      <c r="M33" s="37" t="str">
        <f>Roster!N174</f>
        <v>.</v>
      </c>
      <c r="N33" s="37" t="str">
        <f>Roster!O174</f>
        <v>.</v>
      </c>
      <c r="O33" s="37" t="str">
        <f>Roster!P174</f>
        <v>.</v>
      </c>
      <c r="P33" s="37" t="str">
        <f>Roster!Q174</f>
        <v>.</v>
      </c>
      <c r="Q33" s="37" t="str">
        <f>Roster!R174</f>
        <v>.</v>
      </c>
      <c r="R33" s="37" t="str">
        <f>Roster!S174</f>
        <v>.</v>
      </c>
      <c r="S33" s="37" t="str">
        <f>Roster!T174</f>
        <v>.</v>
      </c>
      <c r="T33" s="37" t="str">
        <f>Roster!U174</f>
        <v>.</v>
      </c>
      <c r="U33" s="37" t="str">
        <f>Roster!V174</f>
        <v>.</v>
      </c>
      <c r="V33" s="37" t="str">
        <f>Roster!W174</f>
        <v>.</v>
      </c>
      <c r="W33" s="37" t="str">
        <f>Roster!X174</f>
        <v>.</v>
      </c>
      <c r="X33" s="37" t="str">
        <f>Roster!Y174</f>
        <v>.</v>
      </c>
      <c r="Y33" s="37" t="str">
        <f>Roster!Z174</f>
        <v>.</v>
      </c>
      <c r="Z33" s="37" t="str">
        <f>Roster!AA174</f>
        <v>.</v>
      </c>
      <c r="AA33" s="37" t="str">
        <f>Roster!AB174</f>
        <v>.</v>
      </c>
      <c r="AB33" s="37" t="str">
        <f>Roster!AC174</f>
        <v>.</v>
      </c>
      <c r="AC33" s="37" t="str">
        <f>Roster!AD174</f>
        <v>.</v>
      </c>
      <c r="AD33" s="37" t="str">
        <f>Roster!AE174</f>
        <v>.</v>
      </c>
      <c r="AE33" s="37" t="str">
        <f>Roster!AF174</f>
        <v>.</v>
      </c>
      <c r="AF33" s="38" t="str">
        <f>Roster!AG174</f>
        <v>.</v>
      </c>
    </row>
    <row r="34" spans="2:33" ht="14.4" thickTop="1" thickBot="1">
      <c r="C34" s="21" t="str">
        <f t="shared" ref="C34:AG34" si="10">LEFT(TEXT(C35&amp;"-"&amp;$B35&amp;"-"&amp;CurYear,"ddd"),2)</f>
        <v>We</v>
      </c>
      <c r="D34" s="21" t="str">
        <f t="shared" si="10"/>
        <v>Th</v>
      </c>
      <c r="E34" s="21" t="str">
        <f t="shared" si="10"/>
        <v>Fr</v>
      </c>
      <c r="F34" s="21" t="str">
        <f t="shared" si="10"/>
        <v>Sa</v>
      </c>
      <c r="G34" s="21" t="str">
        <f t="shared" si="10"/>
        <v>Su</v>
      </c>
      <c r="H34" s="21" t="str">
        <f t="shared" si="10"/>
        <v>Mo</v>
      </c>
      <c r="I34" s="21" t="str">
        <f t="shared" si="10"/>
        <v>Tu</v>
      </c>
      <c r="J34" s="21" t="str">
        <f t="shared" si="10"/>
        <v>We</v>
      </c>
      <c r="K34" s="21" t="str">
        <f t="shared" si="10"/>
        <v>Th</v>
      </c>
      <c r="L34" s="21" t="str">
        <f t="shared" si="10"/>
        <v>Fr</v>
      </c>
      <c r="M34" s="21" t="str">
        <f t="shared" si="10"/>
        <v>Sa</v>
      </c>
      <c r="N34" s="21" t="str">
        <f t="shared" si="10"/>
        <v>Su</v>
      </c>
      <c r="O34" s="21" t="str">
        <f t="shared" si="10"/>
        <v>Mo</v>
      </c>
      <c r="P34" s="21" t="str">
        <f t="shared" si="10"/>
        <v>Tu</v>
      </c>
      <c r="Q34" s="21" t="str">
        <f t="shared" si="10"/>
        <v>We</v>
      </c>
      <c r="R34" s="21" t="str">
        <f t="shared" si="10"/>
        <v>Th</v>
      </c>
      <c r="S34" s="21" t="str">
        <f t="shared" si="10"/>
        <v>Fr</v>
      </c>
      <c r="T34" s="21" t="str">
        <f t="shared" si="10"/>
        <v>Sa</v>
      </c>
      <c r="U34" s="21" t="str">
        <f t="shared" si="10"/>
        <v>Su</v>
      </c>
      <c r="V34" s="21" t="str">
        <f t="shared" si="10"/>
        <v>Mo</v>
      </c>
      <c r="W34" s="21" t="str">
        <f t="shared" si="10"/>
        <v>Tu</v>
      </c>
      <c r="X34" s="21" t="str">
        <f t="shared" si="10"/>
        <v>We</v>
      </c>
      <c r="Y34" s="21" t="str">
        <f t="shared" si="10"/>
        <v>Th</v>
      </c>
      <c r="Z34" s="21" t="str">
        <f t="shared" si="10"/>
        <v>Fr</v>
      </c>
      <c r="AA34" s="21" t="str">
        <f t="shared" si="10"/>
        <v>Sa</v>
      </c>
      <c r="AB34" s="21" t="str">
        <f t="shared" si="10"/>
        <v>Su</v>
      </c>
      <c r="AC34" s="21" t="str">
        <f t="shared" si="10"/>
        <v>Mo</v>
      </c>
      <c r="AD34" s="21" t="str">
        <f t="shared" si="10"/>
        <v>Tu</v>
      </c>
      <c r="AE34" s="21" t="str">
        <f t="shared" si="10"/>
        <v>We</v>
      </c>
      <c r="AF34" s="21" t="str">
        <f t="shared" si="10"/>
        <v>Th</v>
      </c>
      <c r="AG34" s="20" t="str">
        <f t="shared" si="10"/>
        <v>Fr</v>
      </c>
    </row>
    <row r="35" spans="2:33" ht="14.4" thickTop="1" thickBot="1">
      <c r="B35" s="32" t="str">
        <f>Roster!$C$179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2019</v>
      </c>
      <c r="C36" s="36" t="str">
        <f>Roster!D189</f>
        <v>.</v>
      </c>
      <c r="D36" s="37" t="str">
        <f>Roster!E189</f>
        <v>.</v>
      </c>
      <c r="E36" s="37" t="str">
        <f>Roster!F189</f>
        <v>.</v>
      </c>
      <c r="F36" s="37" t="str">
        <f>Roster!G189</f>
        <v>.</v>
      </c>
      <c r="G36" s="37" t="str">
        <f>Roster!H189</f>
        <v>.</v>
      </c>
      <c r="H36" s="37" t="str">
        <f>Roster!I189</f>
        <v>.</v>
      </c>
      <c r="I36" s="37" t="str">
        <f>Roster!J189</f>
        <v>.</v>
      </c>
      <c r="J36" s="37" t="str">
        <f>Roster!K189</f>
        <v>.</v>
      </c>
      <c r="K36" s="37" t="str">
        <f>Roster!L189</f>
        <v>.</v>
      </c>
      <c r="L36" s="37" t="str">
        <f>Roster!M189</f>
        <v>.</v>
      </c>
      <c r="M36" s="37" t="str">
        <f>Roster!N189</f>
        <v>.</v>
      </c>
      <c r="N36" s="37" t="str">
        <f>Roster!O189</f>
        <v>.</v>
      </c>
      <c r="O36" s="37" t="str">
        <f>Roster!P189</f>
        <v>.</v>
      </c>
      <c r="P36" s="37" t="str">
        <f>Roster!Q189</f>
        <v>.</v>
      </c>
      <c r="Q36" s="37" t="str">
        <f>Roster!R189</f>
        <v>.</v>
      </c>
      <c r="R36" s="37" t="str">
        <f>Roster!S189</f>
        <v>.</v>
      </c>
      <c r="S36" s="37" t="str">
        <f>Roster!T189</f>
        <v>.</v>
      </c>
      <c r="T36" s="37" t="str">
        <f>Roster!U189</f>
        <v>.</v>
      </c>
      <c r="U36" s="37" t="str">
        <f>Roster!V189</f>
        <v>.</v>
      </c>
      <c r="V36" s="37" t="str">
        <f>Roster!W189</f>
        <v>.</v>
      </c>
      <c r="W36" s="37" t="str">
        <f>Roster!X189</f>
        <v>.</v>
      </c>
      <c r="X36" s="37" t="str">
        <f>Roster!Y189</f>
        <v>.</v>
      </c>
      <c r="Y36" s="37" t="str">
        <f>Roster!Z189</f>
        <v>.</v>
      </c>
      <c r="Z36" s="37" t="str">
        <f>Roster!AA189</f>
        <v>.</v>
      </c>
      <c r="AA36" s="37" t="str">
        <f>Roster!AB189</f>
        <v>.</v>
      </c>
      <c r="AB36" s="37" t="str">
        <f>Roster!AC189</f>
        <v>.</v>
      </c>
      <c r="AC36" s="37" t="str">
        <f>Roster!AD189</f>
        <v>.</v>
      </c>
      <c r="AD36" s="37" t="str">
        <f>Roster!AE189</f>
        <v>.</v>
      </c>
      <c r="AE36" s="37" t="str">
        <f>Roster!AF189</f>
        <v>.</v>
      </c>
      <c r="AF36" s="37" t="str">
        <f>Roster!AG189</f>
        <v>.</v>
      </c>
      <c r="AG36" s="38" t="str">
        <f>Roster!AH189</f>
        <v>.</v>
      </c>
    </row>
    <row r="37" spans="2:33" ht="14.4" thickTop="1" thickBot="1">
      <c r="C37" s="21" t="str">
        <f t="shared" ref="C37:AF37" si="11">LEFT(TEXT(C38&amp;"-"&amp;$B38&amp;"-"&amp;CurYear,"ddd"),2)</f>
        <v>Sa</v>
      </c>
      <c r="D37" s="21" t="str">
        <f t="shared" si="11"/>
        <v>Su</v>
      </c>
      <c r="E37" s="21" t="str">
        <f t="shared" si="11"/>
        <v>Mo</v>
      </c>
      <c r="F37" s="21" t="str">
        <f t="shared" si="11"/>
        <v>Tu</v>
      </c>
      <c r="G37" s="21" t="str">
        <f t="shared" si="11"/>
        <v>We</v>
      </c>
      <c r="H37" s="21" t="str">
        <f t="shared" si="11"/>
        <v>Th</v>
      </c>
      <c r="I37" s="21" t="str">
        <f t="shared" si="11"/>
        <v>Fr</v>
      </c>
      <c r="J37" s="21" t="str">
        <f t="shared" si="11"/>
        <v>Sa</v>
      </c>
      <c r="K37" s="21" t="str">
        <f t="shared" si="11"/>
        <v>Su</v>
      </c>
      <c r="L37" s="21" t="str">
        <f t="shared" si="11"/>
        <v>Mo</v>
      </c>
      <c r="M37" s="21" t="str">
        <f t="shared" si="11"/>
        <v>Tu</v>
      </c>
      <c r="N37" s="21" t="str">
        <f t="shared" si="11"/>
        <v>We</v>
      </c>
      <c r="O37" s="21" t="str">
        <f t="shared" si="11"/>
        <v>Th</v>
      </c>
      <c r="P37" s="21" t="str">
        <f t="shared" si="11"/>
        <v>Fr</v>
      </c>
      <c r="Q37" s="21" t="str">
        <f t="shared" si="11"/>
        <v>Sa</v>
      </c>
      <c r="R37" s="21" t="str">
        <f t="shared" si="11"/>
        <v>Su</v>
      </c>
      <c r="S37" s="21" t="str">
        <f t="shared" si="11"/>
        <v>Mo</v>
      </c>
      <c r="T37" s="21" t="str">
        <f t="shared" si="11"/>
        <v>Tu</v>
      </c>
      <c r="U37" s="21" t="str">
        <f t="shared" si="11"/>
        <v>We</v>
      </c>
      <c r="V37" s="21" t="str">
        <f t="shared" si="11"/>
        <v>Th</v>
      </c>
      <c r="W37" s="21" t="str">
        <f t="shared" si="11"/>
        <v>Fr</v>
      </c>
      <c r="X37" s="21" t="str">
        <f t="shared" si="11"/>
        <v>Sa</v>
      </c>
      <c r="Y37" s="21" t="str">
        <f t="shared" si="11"/>
        <v>Su</v>
      </c>
      <c r="Z37" s="21" t="str">
        <f t="shared" si="11"/>
        <v>Mo</v>
      </c>
      <c r="AA37" s="21" t="str">
        <f t="shared" si="11"/>
        <v>Tu</v>
      </c>
      <c r="AB37" s="21" t="str">
        <f t="shared" si="11"/>
        <v>We</v>
      </c>
      <c r="AC37" s="21" t="str">
        <f t="shared" si="11"/>
        <v>Th</v>
      </c>
      <c r="AD37" s="21" t="str">
        <f t="shared" si="11"/>
        <v>Fr</v>
      </c>
      <c r="AE37" s="21" t="str">
        <f t="shared" si="11"/>
        <v>Sa</v>
      </c>
      <c r="AF37" s="21" t="str">
        <f t="shared" si="11"/>
        <v>Su</v>
      </c>
      <c r="AG37" s="17"/>
    </row>
    <row r="38" spans="2:33" ht="14.4" thickTop="1" thickBot="1">
      <c r="B38" s="32" t="str">
        <f>Roster!C194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2019</v>
      </c>
      <c r="C39" s="36" t="str">
        <f>Roster!D204</f>
        <v>.</v>
      </c>
      <c r="D39" s="37" t="str">
        <f>Roster!E204</f>
        <v>.</v>
      </c>
      <c r="E39" s="37" t="str">
        <f>Roster!F204</f>
        <v>.</v>
      </c>
      <c r="F39" s="37" t="str">
        <f>Roster!G204</f>
        <v>.</v>
      </c>
      <c r="G39" s="37" t="str">
        <f>Roster!H204</f>
        <v>.</v>
      </c>
      <c r="H39" s="37" t="str">
        <f>Roster!I204</f>
        <v>.</v>
      </c>
      <c r="I39" s="37" t="str">
        <f>Roster!J204</f>
        <v>.</v>
      </c>
      <c r="J39" s="37" t="str">
        <f>Roster!K204</f>
        <v>.</v>
      </c>
      <c r="K39" s="37" t="str">
        <f>Roster!L204</f>
        <v>.</v>
      </c>
      <c r="L39" s="37" t="str">
        <f>Roster!M204</f>
        <v>.</v>
      </c>
      <c r="M39" s="37" t="str">
        <f>Roster!N204</f>
        <v>.</v>
      </c>
      <c r="N39" s="37" t="str">
        <f>Roster!O204</f>
        <v>.</v>
      </c>
      <c r="O39" s="37" t="str">
        <f>Roster!P204</f>
        <v>.</v>
      </c>
      <c r="P39" s="37" t="str">
        <f>Roster!Q204</f>
        <v>.</v>
      </c>
      <c r="Q39" s="37" t="str">
        <f>Roster!R204</f>
        <v>.</v>
      </c>
      <c r="R39" s="37" t="str">
        <f>Roster!S204</f>
        <v>.</v>
      </c>
      <c r="S39" s="37" t="str">
        <f>Roster!T204</f>
        <v>.</v>
      </c>
      <c r="T39" s="37" t="str">
        <f>Roster!U204</f>
        <v>.</v>
      </c>
      <c r="U39" s="37" t="str">
        <f>Roster!V204</f>
        <v>.</v>
      </c>
      <c r="V39" s="37" t="str">
        <f>Roster!W204</f>
        <v>.</v>
      </c>
      <c r="W39" s="37" t="str">
        <f>Roster!X204</f>
        <v>.</v>
      </c>
      <c r="X39" s="37" t="str">
        <f>Roster!Y204</f>
        <v>.</v>
      </c>
      <c r="Y39" s="37" t="str">
        <f>Roster!Z204</f>
        <v>.</v>
      </c>
      <c r="Z39" s="37" t="str">
        <f>Roster!AA204</f>
        <v>.</v>
      </c>
      <c r="AA39" s="37" t="str">
        <f>Roster!AB204</f>
        <v>.</v>
      </c>
      <c r="AB39" s="37" t="str">
        <f>Roster!AC204</f>
        <v>.</v>
      </c>
      <c r="AC39" s="37" t="str">
        <f>Roster!AD204</f>
        <v>.</v>
      </c>
      <c r="AD39" s="37" t="str">
        <f>Roster!AE204</f>
        <v>.</v>
      </c>
      <c r="AE39" s="37" t="str">
        <f>Roster!AF204</f>
        <v>.</v>
      </c>
      <c r="AF39" s="38" t="str">
        <f>Roster!AG204</f>
        <v>.</v>
      </c>
    </row>
    <row r="40" spans="2:33" ht="13.8" thickTop="1"/>
  </sheetData>
  <sheetProtection sheet="1" objects="1" scenarios="1" selectLockedCells="1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11"/>
  <dimension ref="B1:AG40"/>
  <sheetViews>
    <sheetView showGridLines="0" showRowColHeaders="0" showZeros="0" topLeftCell="A2" zoomScale="86" zoomScaleNormal="86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8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8" t="str">
        <f xml:space="preserve"> "Financial Year Commencing 1st July, " &amp; CurYear -1</f>
        <v>Financial Year Commencing 1st July, 2018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39" t="s">
        <v>25</v>
      </c>
      <c r="R3" s="139" t="str">
        <f>EmpGName11 &amp;" " &amp; EmpSName11</f>
        <v>2Bod Odd3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8" thickBot="1">
      <c r="C4" s="28" t="str">
        <f t="shared" ref="C4:AG4" si="0">LEFT(TEXT(C5&amp;"-"&amp;$B5&amp;"-"&amp;CurYear-1,"ddd"),2)</f>
        <v>Su</v>
      </c>
      <c r="D4" s="28" t="str">
        <f t="shared" si="0"/>
        <v>Mo</v>
      </c>
      <c r="E4" s="28" t="str">
        <f t="shared" si="0"/>
        <v>Tu</v>
      </c>
      <c r="F4" s="28" t="str">
        <f t="shared" si="0"/>
        <v>We</v>
      </c>
      <c r="G4" s="28" t="str">
        <f t="shared" si="0"/>
        <v>Th</v>
      </c>
      <c r="H4" s="28" t="str">
        <f t="shared" si="0"/>
        <v>Fr</v>
      </c>
      <c r="I4" s="28" t="str">
        <f t="shared" si="0"/>
        <v>Sa</v>
      </c>
      <c r="J4" s="28" t="str">
        <f t="shared" si="0"/>
        <v>Su</v>
      </c>
      <c r="K4" s="28" t="str">
        <f t="shared" si="0"/>
        <v>Mo</v>
      </c>
      <c r="L4" s="28" t="str">
        <f t="shared" si="0"/>
        <v>Tu</v>
      </c>
      <c r="M4" s="28" t="str">
        <f t="shared" si="0"/>
        <v>We</v>
      </c>
      <c r="N4" s="28" t="str">
        <f t="shared" si="0"/>
        <v>Th</v>
      </c>
      <c r="O4" s="28" t="str">
        <f t="shared" si="0"/>
        <v>Fr</v>
      </c>
      <c r="P4" s="28" t="str">
        <f t="shared" si="0"/>
        <v>Sa</v>
      </c>
      <c r="Q4" s="28" t="str">
        <f t="shared" si="0"/>
        <v>Su</v>
      </c>
      <c r="R4" s="28" t="str">
        <f t="shared" si="0"/>
        <v>Mo</v>
      </c>
      <c r="S4" s="28" t="str">
        <f t="shared" si="0"/>
        <v>Tu</v>
      </c>
      <c r="T4" s="28" t="str">
        <f t="shared" si="0"/>
        <v>We</v>
      </c>
      <c r="U4" s="28" t="str">
        <f t="shared" si="0"/>
        <v>Th</v>
      </c>
      <c r="V4" s="28" t="str">
        <f t="shared" si="0"/>
        <v>Fr</v>
      </c>
      <c r="W4" s="28" t="str">
        <f t="shared" si="0"/>
        <v>Sa</v>
      </c>
      <c r="X4" s="28" t="str">
        <f t="shared" si="0"/>
        <v>Su</v>
      </c>
      <c r="Y4" s="28" t="str">
        <f t="shared" si="0"/>
        <v>Mo</v>
      </c>
      <c r="Z4" s="28" t="str">
        <f t="shared" si="0"/>
        <v>Tu</v>
      </c>
      <c r="AA4" s="28" t="str">
        <f t="shared" si="0"/>
        <v>We</v>
      </c>
      <c r="AB4" s="28" t="str">
        <f t="shared" si="0"/>
        <v>Th</v>
      </c>
      <c r="AC4" s="28" t="str">
        <f t="shared" si="0"/>
        <v>Fr</v>
      </c>
      <c r="AD4" s="28" t="str">
        <f t="shared" si="0"/>
        <v>Sa</v>
      </c>
      <c r="AE4" s="28" t="str">
        <f t="shared" si="0"/>
        <v>Su</v>
      </c>
      <c r="AF4" s="28" t="str">
        <f t="shared" si="0"/>
        <v>Mo</v>
      </c>
      <c r="AG4" s="20" t="str">
        <f t="shared" si="0"/>
        <v>Tu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2018</v>
      </c>
      <c r="C6" s="36" t="str">
        <f>Roster!D24</f>
        <v>.</v>
      </c>
      <c r="D6" s="37" t="str">
        <f>Roster!E24</f>
        <v>.</v>
      </c>
      <c r="E6" s="37" t="str">
        <f>Roster!F24</f>
        <v>.</v>
      </c>
      <c r="F6" s="37" t="str">
        <f>Roster!G24</f>
        <v>.</v>
      </c>
      <c r="G6" s="37" t="str">
        <f>Roster!H24</f>
        <v>.</v>
      </c>
      <c r="H6" s="37" t="str">
        <f>Roster!I24</f>
        <v>.</v>
      </c>
      <c r="I6" s="37" t="str">
        <f>Roster!J24</f>
        <v>.</v>
      </c>
      <c r="J6" s="37" t="str">
        <f>Roster!K24</f>
        <v>.</v>
      </c>
      <c r="K6" s="37" t="str">
        <f>Roster!L24</f>
        <v>.</v>
      </c>
      <c r="L6" s="37" t="str">
        <f>Roster!M24</f>
        <v>.</v>
      </c>
      <c r="M6" s="37" t="str">
        <f>Roster!N24</f>
        <v>.</v>
      </c>
      <c r="N6" s="37" t="str">
        <f>Roster!O24</f>
        <v>.</v>
      </c>
      <c r="O6" s="37" t="str">
        <f>Roster!P24</f>
        <v>.</v>
      </c>
      <c r="P6" s="37" t="str">
        <f>Roster!Q24</f>
        <v>.</v>
      </c>
      <c r="Q6" s="37" t="str">
        <f>Roster!R24</f>
        <v>.</v>
      </c>
      <c r="R6" s="37" t="str">
        <f>Roster!S24</f>
        <v>.</v>
      </c>
      <c r="S6" s="37" t="str">
        <f>Roster!T24</f>
        <v>.</v>
      </c>
      <c r="T6" s="37" t="str">
        <f>Roster!U24</f>
        <v>.</v>
      </c>
      <c r="U6" s="37" t="str">
        <f>Roster!V24</f>
        <v>.</v>
      </c>
      <c r="V6" s="37" t="str">
        <f>Roster!W24</f>
        <v>.</v>
      </c>
      <c r="W6" s="37" t="str">
        <f>Roster!X24</f>
        <v>.</v>
      </c>
      <c r="X6" s="37" t="str">
        <f>Roster!Y24</f>
        <v>.</v>
      </c>
      <c r="Y6" s="37" t="str">
        <f>Roster!Z24</f>
        <v>.</v>
      </c>
      <c r="Z6" s="37" t="str">
        <f>Roster!AA24</f>
        <v>.</v>
      </c>
      <c r="AA6" s="37" t="str">
        <f>Roster!AB24</f>
        <v>.</v>
      </c>
      <c r="AB6" s="37" t="str">
        <f>Roster!AC24</f>
        <v>.</v>
      </c>
      <c r="AC6" s="37" t="str">
        <f>Roster!AD24</f>
        <v>.</v>
      </c>
      <c r="AD6" s="37" t="str">
        <f>Roster!AE24</f>
        <v>.</v>
      </c>
      <c r="AE6" s="37" t="str">
        <f>Roster!AF24</f>
        <v>.</v>
      </c>
      <c r="AF6" s="37" t="str">
        <f>Roster!AG24</f>
        <v>.</v>
      </c>
      <c r="AG6" s="38" t="str">
        <f>Roster!AH24</f>
        <v>.</v>
      </c>
    </row>
    <row r="7" spans="2:33" ht="14.4" thickTop="1" thickBot="1">
      <c r="C7" s="21" t="str">
        <f t="shared" ref="C7:AG7" si="1">LEFT(TEXT(C8&amp;"-"&amp;$B8&amp;"-"&amp;CurYear-1,"ddd"),2)</f>
        <v>We</v>
      </c>
      <c r="D7" s="21" t="str">
        <f t="shared" si="1"/>
        <v>Th</v>
      </c>
      <c r="E7" s="21" t="str">
        <f t="shared" si="1"/>
        <v>Fr</v>
      </c>
      <c r="F7" s="21" t="str">
        <f t="shared" si="1"/>
        <v>Sa</v>
      </c>
      <c r="G7" s="21" t="str">
        <f t="shared" si="1"/>
        <v>Su</v>
      </c>
      <c r="H7" s="21" t="str">
        <f t="shared" si="1"/>
        <v>Mo</v>
      </c>
      <c r="I7" s="21" t="str">
        <f t="shared" si="1"/>
        <v>Tu</v>
      </c>
      <c r="J7" s="21" t="str">
        <f t="shared" si="1"/>
        <v>We</v>
      </c>
      <c r="K7" s="21" t="str">
        <f t="shared" si="1"/>
        <v>Th</v>
      </c>
      <c r="L7" s="21" t="str">
        <f t="shared" si="1"/>
        <v>Fr</v>
      </c>
      <c r="M7" s="21" t="str">
        <f t="shared" si="1"/>
        <v>Sa</v>
      </c>
      <c r="N7" s="21" t="str">
        <f t="shared" si="1"/>
        <v>Su</v>
      </c>
      <c r="O7" s="21" t="str">
        <f t="shared" si="1"/>
        <v>Mo</v>
      </c>
      <c r="P7" s="21" t="str">
        <f t="shared" si="1"/>
        <v>Tu</v>
      </c>
      <c r="Q7" s="21" t="str">
        <f t="shared" si="1"/>
        <v>We</v>
      </c>
      <c r="R7" s="21" t="str">
        <f t="shared" si="1"/>
        <v>Th</v>
      </c>
      <c r="S7" s="21" t="str">
        <f t="shared" si="1"/>
        <v>Fr</v>
      </c>
      <c r="T7" s="21" t="str">
        <f t="shared" si="1"/>
        <v>Sa</v>
      </c>
      <c r="U7" s="21" t="str">
        <f t="shared" si="1"/>
        <v>Su</v>
      </c>
      <c r="V7" s="21" t="str">
        <f t="shared" si="1"/>
        <v>Mo</v>
      </c>
      <c r="W7" s="21" t="str">
        <f t="shared" si="1"/>
        <v>Tu</v>
      </c>
      <c r="X7" s="21" t="str">
        <f t="shared" si="1"/>
        <v>We</v>
      </c>
      <c r="Y7" s="21" t="str">
        <f t="shared" si="1"/>
        <v>Th</v>
      </c>
      <c r="Z7" s="21" t="str">
        <f t="shared" si="1"/>
        <v>Fr</v>
      </c>
      <c r="AA7" s="21" t="str">
        <f t="shared" si="1"/>
        <v>Sa</v>
      </c>
      <c r="AB7" s="21" t="str">
        <f t="shared" si="1"/>
        <v>Su</v>
      </c>
      <c r="AC7" s="21" t="str">
        <f t="shared" si="1"/>
        <v>Mo</v>
      </c>
      <c r="AD7" s="21" t="str">
        <f t="shared" si="1"/>
        <v>Tu</v>
      </c>
      <c r="AE7" s="21" t="str">
        <f t="shared" si="1"/>
        <v>We</v>
      </c>
      <c r="AF7" s="21" t="str">
        <f t="shared" si="1"/>
        <v>Th</v>
      </c>
      <c r="AG7" s="21" t="str">
        <f t="shared" si="1"/>
        <v>Fr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2018</v>
      </c>
      <c r="C9" s="36" t="str">
        <f>Roster!D55</f>
        <v>.</v>
      </c>
      <c r="D9" s="39" t="str">
        <f>Roster!E55</f>
        <v>.</v>
      </c>
      <c r="E9" s="37" t="str">
        <f>Roster!F55</f>
        <v>.</v>
      </c>
      <c r="F9" s="37" t="str">
        <f>Roster!G55</f>
        <v>.</v>
      </c>
      <c r="G9" s="37" t="str">
        <f>Roster!H55</f>
        <v>.</v>
      </c>
      <c r="H9" s="37" t="str">
        <f>Roster!I55</f>
        <v>.</v>
      </c>
      <c r="I9" s="37" t="str">
        <f>Roster!J55</f>
        <v>.</v>
      </c>
      <c r="J9" s="37" t="str">
        <f>Roster!K55</f>
        <v>.</v>
      </c>
      <c r="K9" s="37" t="str">
        <f>Roster!L55</f>
        <v>.</v>
      </c>
      <c r="L9" s="37" t="str">
        <f>Roster!M55</f>
        <v>.</v>
      </c>
      <c r="M9" s="37" t="str">
        <f>Roster!N55</f>
        <v>.</v>
      </c>
      <c r="N9" s="37" t="str">
        <f>Roster!O55</f>
        <v>.</v>
      </c>
      <c r="O9" s="37" t="str">
        <f>Roster!P55</f>
        <v>.</v>
      </c>
      <c r="P9" s="37" t="str">
        <f>Roster!Q55</f>
        <v>.</v>
      </c>
      <c r="Q9" s="37" t="str">
        <f>Roster!R55</f>
        <v>.</v>
      </c>
      <c r="R9" s="37" t="str">
        <f>Roster!S55</f>
        <v>.</v>
      </c>
      <c r="S9" s="37" t="str">
        <f>Roster!T55</f>
        <v>.</v>
      </c>
      <c r="T9" s="37" t="str">
        <f>Roster!U55</f>
        <v>.</v>
      </c>
      <c r="U9" s="37" t="str">
        <f>Roster!V55</f>
        <v>.</v>
      </c>
      <c r="V9" s="37" t="str">
        <f>Roster!W55</f>
        <v>.</v>
      </c>
      <c r="W9" s="37" t="str">
        <f>Roster!X55</f>
        <v>.</v>
      </c>
      <c r="X9" s="37" t="str">
        <f>Roster!Y55</f>
        <v>.</v>
      </c>
      <c r="Y9" s="37" t="str">
        <f>Roster!Z55</f>
        <v>.</v>
      </c>
      <c r="Z9" s="37" t="str">
        <f>Roster!AA55</f>
        <v>.</v>
      </c>
      <c r="AA9" s="37" t="str">
        <f>Roster!AB55</f>
        <v>.</v>
      </c>
      <c r="AB9" s="37" t="str">
        <f>Roster!AC55</f>
        <v>.</v>
      </c>
      <c r="AC9" s="37" t="str">
        <f>Roster!AD55</f>
        <v>.</v>
      </c>
      <c r="AD9" s="37" t="str">
        <f>Roster!AE55</f>
        <v>.</v>
      </c>
      <c r="AE9" s="37" t="str">
        <f>Roster!AF55</f>
        <v>.</v>
      </c>
      <c r="AF9" s="37" t="str">
        <f>Roster!AG55</f>
        <v>.</v>
      </c>
      <c r="AG9" s="38" t="str">
        <f>Roster!AH55</f>
        <v>.</v>
      </c>
    </row>
    <row r="10" spans="2:33" ht="14.4" thickTop="1" thickBot="1">
      <c r="C10" s="21" t="str">
        <f t="shared" ref="C10:AF10" si="2">LEFT(TEXT(C11&amp;"-"&amp;$B11&amp;"-"&amp;CurYear-1,"ddd"),2)</f>
        <v>Sa</v>
      </c>
      <c r="D10" s="21" t="str">
        <f t="shared" si="2"/>
        <v>Su</v>
      </c>
      <c r="E10" s="21" t="str">
        <f t="shared" si="2"/>
        <v>Mo</v>
      </c>
      <c r="F10" s="21" t="str">
        <f t="shared" si="2"/>
        <v>Tu</v>
      </c>
      <c r="G10" s="21" t="str">
        <f t="shared" si="2"/>
        <v>We</v>
      </c>
      <c r="H10" s="21" t="str">
        <f t="shared" si="2"/>
        <v>Th</v>
      </c>
      <c r="I10" s="21" t="str">
        <f t="shared" si="2"/>
        <v>Fr</v>
      </c>
      <c r="J10" s="21" t="str">
        <f t="shared" si="2"/>
        <v>Sa</v>
      </c>
      <c r="K10" s="21" t="str">
        <f t="shared" si="2"/>
        <v>Su</v>
      </c>
      <c r="L10" s="21" t="str">
        <f t="shared" si="2"/>
        <v>Mo</v>
      </c>
      <c r="M10" s="21" t="str">
        <f t="shared" si="2"/>
        <v>Tu</v>
      </c>
      <c r="N10" s="21" t="str">
        <f t="shared" si="2"/>
        <v>We</v>
      </c>
      <c r="O10" s="21" t="str">
        <f t="shared" si="2"/>
        <v>Th</v>
      </c>
      <c r="P10" s="21" t="str">
        <f t="shared" si="2"/>
        <v>Fr</v>
      </c>
      <c r="Q10" s="21" t="str">
        <f t="shared" si="2"/>
        <v>Sa</v>
      </c>
      <c r="R10" s="21" t="str">
        <f t="shared" si="2"/>
        <v>Su</v>
      </c>
      <c r="S10" s="21" t="str">
        <f t="shared" si="2"/>
        <v>Mo</v>
      </c>
      <c r="T10" s="21" t="str">
        <f t="shared" si="2"/>
        <v>Tu</v>
      </c>
      <c r="U10" s="21" t="str">
        <f t="shared" si="2"/>
        <v>We</v>
      </c>
      <c r="V10" s="21" t="str">
        <f t="shared" si="2"/>
        <v>Th</v>
      </c>
      <c r="W10" s="21" t="str">
        <f t="shared" si="2"/>
        <v>Fr</v>
      </c>
      <c r="X10" s="21" t="str">
        <f t="shared" si="2"/>
        <v>Sa</v>
      </c>
      <c r="Y10" s="21" t="str">
        <f t="shared" si="2"/>
        <v>Su</v>
      </c>
      <c r="Z10" s="21" t="str">
        <f t="shared" si="2"/>
        <v>Mo</v>
      </c>
      <c r="AA10" s="21" t="str">
        <f t="shared" si="2"/>
        <v>Tu</v>
      </c>
      <c r="AB10" s="21" t="str">
        <f t="shared" si="2"/>
        <v>We</v>
      </c>
      <c r="AC10" s="21" t="str">
        <f t="shared" si="2"/>
        <v>Th</v>
      </c>
      <c r="AD10" s="21" t="str">
        <f t="shared" si="2"/>
        <v>Fr</v>
      </c>
      <c r="AE10" s="21" t="str">
        <f t="shared" si="2"/>
        <v>Sa</v>
      </c>
      <c r="AF10" s="21" t="str">
        <f t="shared" si="2"/>
        <v>Su</v>
      </c>
      <c r="AG10" s="17"/>
    </row>
    <row r="11" spans="2:33" ht="14.4" thickTop="1" thickBot="1">
      <c r="B11" s="32" t="str">
        <f>Roster!C59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2018</v>
      </c>
      <c r="C12" s="36" t="str">
        <f>Roster!D70</f>
        <v>.</v>
      </c>
      <c r="D12" s="37" t="str">
        <f>Roster!E70</f>
        <v>.</v>
      </c>
      <c r="E12" s="37" t="str">
        <f>Roster!F70</f>
        <v>.</v>
      </c>
      <c r="F12" s="37" t="str">
        <f>Roster!G70</f>
        <v>.</v>
      </c>
      <c r="G12" s="37" t="str">
        <f>Roster!H70</f>
        <v>.</v>
      </c>
      <c r="H12" s="37" t="str">
        <f>Roster!I70</f>
        <v>.</v>
      </c>
      <c r="I12" s="37" t="str">
        <f>Roster!J70</f>
        <v>.</v>
      </c>
      <c r="J12" s="37" t="str">
        <f>Roster!K70</f>
        <v>.</v>
      </c>
      <c r="K12" s="37" t="str">
        <f>Roster!L70</f>
        <v>.</v>
      </c>
      <c r="L12" s="37" t="str">
        <f>Roster!M70</f>
        <v>.</v>
      </c>
      <c r="M12" s="37" t="str">
        <f>Roster!N70</f>
        <v>.</v>
      </c>
      <c r="N12" s="37" t="str">
        <f>Roster!O70</f>
        <v>.</v>
      </c>
      <c r="O12" s="37" t="str">
        <f>Roster!P70</f>
        <v>.</v>
      </c>
      <c r="P12" s="37" t="str">
        <f>Roster!Q70</f>
        <v>.</v>
      </c>
      <c r="Q12" s="37" t="str">
        <f>Roster!R70</f>
        <v>.</v>
      </c>
      <c r="R12" s="37" t="str">
        <f>Roster!S70</f>
        <v>.</v>
      </c>
      <c r="S12" s="37" t="str">
        <f>Roster!T70</f>
        <v>.</v>
      </c>
      <c r="T12" s="37" t="str">
        <f>Roster!U70</f>
        <v>.</v>
      </c>
      <c r="U12" s="37" t="str">
        <f>Roster!V70</f>
        <v>.</v>
      </c>
      <c r="V12" s="37" t="str">
        <f>Roster!W70</f>
        <v>.</v>
      </c>
      <c r="W12" s="37" t="str">
        <f>Roster!X70</f>
        <v>.</v>
      </c>
      <c r="X12" s="37" t="str">
        <f>Roster!Y70</f>
        <v>.</v>
      </c>
      <c r="Y12" s="37" t="str">
        <f>Roster!Z70</f>
        <v>.</v>
      </c>
      <c r="Z12" s="37" t="str">
        <f>Roster!AA70</f>
        <v>.</v>
      </c>
      <c r="AA12" s="37" t="str">
        <f>Roster!AB70</f>
        <v>.</v>
      </c>
      <c r="AB12" s="37" t="str">
        <f>Roster!AC70</f>
        <v>.</v>
      </c>
      <c r="AC12" s="37" t="str">
        <f>Roster!AD70</f>
        <v>.</v>
      </c>
      <c r="AD12" s="37" t="str">
        <f>Roster!AE70</f>
        <v>.</v>
      </c>
      <c r="AE12" s="37" t="str">
        <f>Roster!AF70</f>
        <v>.</v>
      </c>
      <c r="AF12" s="38" t="str">
        <f>Roster!AG70</f>
        <v>.</v>
      </c>
    </row>
    <row r="13" spans="2:33" ht="14.4" thickTop="1" thickBot="1">
      <c r="C13" s="21" t="str">
        <f t="shared" ref="C13:AG13" si="3">LEFT(TEXT(C14&amp;"-"&amp;$B14&amp;"-"&amp;CurYear-1,"ddd"),2)</f>
        <v>Mo</v>
      </c>
      <c r="D13" s="21" t="str">
        <f t="shared" si="3"/>
        <v>Tu</v>
      </c>
      <c r="E13" s="21" t="str">
        <f t="shared" si="3"/>
        <v>We</v>
      </c>
      <c r="F13" s="21" t="str">
        <f t="shared" si="3"/>
        <v>Th</v>
      </c>
      <c r="G13" s="21" t="str">
        <f t="shared" si="3"/>
        <v>Fr</v>
      </c>
      <c r="H13" s="21" t="str">
        <f t="shared" si="3"/>
        <v>Sa</v>
      </c>
      <c r="I13" s="21" t="str">
        <f t="shared" si="3"/>
        <v>Su</v>
      </c>
      <c r="J13" s="21" t="str">
        <f t="shared" si="3"/>
        <v>Mo</v>
      </c>
      <c r="K13" s="21" t="str">
        <f t="shared" si="3"/>
        <v>Tu</v>
      </c>
      <c r="L13" s="21" t="str">
        <f t="shared" si="3"/>
        <v>We</v>
      </c>
      <c r="M13" s="21" t="str">
        <f t="shared" si="3"/>
        <v>Th</v>
      </c>
      <c r="N13" s="21" t="str">
        <f t="shared" si="3"/>
        <v>Fr</v>
      </c>
      <c r="O13" s="21" t="str">
        <f t="shared" si="3"/>
        <v>Sa</v>
      </c>
      <c r="P13" s="21" t="str">
        <f t="shared" si="3"/>
        <v>Su</v>
      </c>
      <c r="Q13" s="21" t="str">
        <f t="shared" si="3"/>
        <v>Mo</v>
      </c>
      <c r="R13" s="21" t="str">
        <f t="shared" si="3"/>
        <v>Tu</v>
      </c>
      <c r="S13" s="21" t="str">
        <f t="shared" si="3"/>
        <v>We</v>
      </c>
      <c r="T13" s="21" t="str">
        <f t="shared" si="3"/>
        <v>Th</v>
      </c>
      <c r="U13" s="21" t="str">
        <f t="shared" si="3"/>
        <v>Fr</v>
      </c>
      <c r="V13" s="21" t="str">
        <f t="shared" si="3"/>
        <v>Sa</v>
      </c>
      <c r="W13" s="21" t="str">
        <f t="shared" si="3"/>
        <v>Su</v>
      </c>
      <c r="X13" s="21" t="str">
        <f t="shared" si="3"/>
        <v>Mo</v>
      </c>
      <c r="Y13" s="21" t="str">
        <f t="shared" si="3"/>
        <v>Tu</v>
      </c>
      <c r="Z13" s="21" t="str">
        <f t="shared" si="3"/>
        <v>We</v>
      </c>
      <c r="AA13" s="21" t="str">
        <f t="shared" si="3"/>
        <v>Th</v>
      </c>
      <c r="AB13" s="21" t="str">
        <f t="shared" si="3"/>
        <v>Fr</v>
      </c>
      <c r="AC13" s="21" t="str">
        <f t="shared" si="3"/>
        <v>Sa</v>
      </c>
      <c r="AD13" s="21" t="str">
        <f t="shared" si="3"/>
        <v>Su</v>
      </c>
      <c r="AE13" s="21" t="str">
        <f t="shared" si="3"/>
        <v>Mo</v>
      </c>
      <c r="AF13" s="21" t="str">
        <f t="shared" si="3"/>
        <v>Tu</v>
      </c>
      <c r="AG13" s="20" t="str">
        <f t="shared" si="3"/>
        <v>We</v>
      </c>
    </row>
    <row r="14" spans="2:33" ht="14.4" thickTop="1" thickBot="1">
      <c r="B14" s="32" t="str">
        <f>Roster!C74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2018</v>
      </c>
      <c r="C15" s="36" t="str">
        <f>Roster!D85</f>
        <v>.</v>
      </c>
      <c r="D15" s="37" t="str">
        <f>Roster!E85</f>
        <v>.</v>
      </c>
      <c r="E15" s="37" t="str">
        <f>Roster!F85</f>
        <v>.</v>
      </c>
      <c r="F15" s="37" t="str">
        <f>Roster!G85</f>
        <v>.</v>
      </c>
      <c r="G15" s="37" t="str">
        <f>Roster!H85</f>
        <v>.</v>
      </c>
      <c r="H15" s="37" t="str">
        <f>Roster!I85</f>
        <v>.</v>
      </c>
      <c r="I15" s="37" t="str">
        <f>Roster!J85</f>
        <v>.</v>
      </c>
      <c r="J15" s="37" t="str">
        <f>Roster!K85</f>
        <v>.</v>
      </c>
      <c r="K15" s="37" t="str">
        <f>Roster!L85</f>
        <v>.</v>
      </c>
      <c r="L15" s="37" t="str">
        <f>Roster!M85</f>
        <v>.</v>
      </c>
      <c r="M15" s="37" t="str">
        <f>Roster!N85</f>
        <v>.</v>
      </c>
      <c r="N15" s="37" t="str">
        <f>Roster!O85</f>
        <v>.</v>
      </c>
      <c r="O15" s="37" t="str">
        <f>Roster!P85</f>
        <v>.</v>
      </c>
      <c r="P15" s="37" t="str">
        <f>Roster!Q85</f>
        <v>.</v>
      </c>
      <c r="Q15" s="37" t="str">
        <f>Roster!R85</f>
        <v>.</v>
      </c>
      <c r="R15" s="37" t="str">
        <f>Roster!S85</f>
        <v>.</v>
      </c>
      <c r="S15" s="37" t="str">
        <f>Roster!T85</f>
        <v>.</v>
      </c>
      <c r="T15" s="37" t="str">
        <f>Roster!U85</f>
        <v>.</v>
      </c>
      <c r="U15" s="37" t="str">
        <f>Roster!V85</f>
        <v>.</v>
      </c>
      <c r="V15" s="37" t="str">
        <f>Roster!W85</f>
        <v>.</v>
      </c>
      <c r="W15" s="37" t="str">
        <f>Roster!X85</f>
        <v>.</v>
      </c>
      <c r="X15" s="37" t="str">
        <f>Roster!Y85</f>
        <v>.</v>
      </c>
      <c r="Y15" s="37" t="str">
        <f>Roster!Z85</f>
        <v>.</v>
      </c>
      <c r="Z15" s="37" t="str">
        <f>Roster!AA85</f>
        <v>.</v>
      </c>
      <c r="AA15" s="37" t="str">
        <f>Roster!AB85</f>
        <v>.</v>
      </c>
      <c r="AB15" s="37" t="str">
        <f>Roster!AC85</f>
        <v>.</v>
      </c>
      <c r="AC15" s="37" t="str">
        <f>Roster!AD85</f>
        <v>.</v>
      </c>
      <c r="AD15" s="37" t="str">
        <f>Roster!AE85</f>
        <v>.</v>
      </c>
      <c r="AE15" s="37" t="str">
        <f>Roster!AF85</f>
        <v>.</v>
      </c>
      <c r="AF15" s="37" t="str">
        <f>Roster!AG85</f>
        <v>.</v>
      </c>
      <c r="AG15" s="38" t="str">
        <f>Roster!AH85</f>
        <v>.</v>
      </c>
    </row>
    <row r="16" spans="2:33" ht="14.4" thickTop="1" thickBot="1">
      <c r="C16" s="21" t="str">
        <f t="shared" ref="C16:AF16" si="4">LEFT(TEXT(C17&amp;"-"&amp;$B17&amp;"-"&amp;CurYear-1,"ddd"),2)</f>
        <v>Th</v>
      </c>
      <c r="D16" s="21" t="str">
        <f t="shared" si="4"/>
        <v>Fr</v>
      </c>
      <c r="E16" s="21" t="str">
        <f t="shared" si="4"/>
        <v>Sa</v>
      </c>
      <c r="F16" s="21" t="str">
        <f t="shared" si="4"/>
        <v>Su</v>
      </c>
      <c r="G16" s="21" t="str">
        <f t="shared" si="4"/>
        <v>Mo</v>
      </c>
      <c r="H16" s="21" t="str">
        <f t="shared" si="4"/>
        <v>Tu</v>
      </c>
      <c r="I16" s="21" t="str">
        <f t="shared" si="4"/>
        <v>We</v>
      </c>
      <c r="J16" s="21" t="str">
        <f t="shared" si="4"/>
        <v>Th</v>
      </c>
      <c r="K16" s="21" t="str">
        <f t="shared" si="4"/>
        <v>Fr</v>
      </c>
      <c r="L16" s="21" t="str">
        <f t="shared" si="4"/>
        <v>Sa</v>
      </c>
      <c r="M16" s="21" t="str">
        <f t="shared" si="4"/>
        <v>Su</v>
      </c>
      <c r="N16" s="21" t="str">
        <f t="shared" si="4"/>
        <v>Mo</v>
      </c>
      <c r="O16" s="21" t="str">
        <f t="shared" si="4"/>
        <v>Tu</v>
      </c>
      <c r="P16" s="21" t="str">
        <f t="shared" si="4"/>
        <v>We</v>
      </c>
      <c r="Q16" s="21" t="str">
        <f t="shared" si="4"/>
        <v>Th</v>
      </c>
      <c r="R16" s="21" t="str">
        <f t="shared" si="4"/>
        <v>Fr</v>
      </c>
      <c r="S16" s="21" t="str">
        <f t="shared" si="4"/>
        <v>Sa</v>
      </c>
      <c r="T16" s="21" t="str">
        <f t="shared" si="4"/>
        <v>Su</v>
      </c>
      <c r="U16" s="21" t="str">
        <f t="shared" si="4"/>
        <v>Mo</v>
      </c>
      <c r="V16" s="21" t="str">
        <f t="shared" si="4"/>
        <v>Tu</v>
      </c>
      <c r="W16" s="21" t="str">
        <f t="shared" si="4"/>
        <v>We</v>
      </c>
      <c r="X16" s="21" t="str">
        <f t="shared" si="4"/>
        <v>Th</v>
      </c>
      <c r="Y16" s="21" t="str">
        <f t="shared" si="4"/>
        <v>Fr</v>
      </c>
      <c r="Z16" s="21" t="str">
        <f t="shared" si="4"/>
        <v>Sa</v>
      </c>
      <c r="AA16" s="21" t="str">
        <f t="shared" si="4"/>
        <v>Su</v>
      </c>
      <c r="AB16" s="21" t="str">
        <f t="shared" si="4"/>
        <v>Mo</v>
      </c>
      <c r="AC16" s="21" t="str">
        <f t="shared" si="4"/>
        <v>Tu</v>
      </c>
      <c r="AD16" s="21" t="str">
        <f t="shared" si="4"/>
        <v>We</v>
      </c>
      <c r="AE16" s="21" t="str">
        <f t="shared" si="4"/>
        <v>Th</v>
      </c>
      <c r="AF16" s="21" t="str">
        <f t="shared" si="4"/>
        <v>Fr</v>
      </c>
      <c r="AG16" s="17"/>
    </row>
    <row r="17" spans="2:33" ht="14.4" thickTop="1" thickBot="1">
      <c r="B17" s="32" t="str">
        <f>Roster!C89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2018</v>
      </c>
      <c r="C18" s="36" t="str">
        <f>Roster!D100</f>
        <v>.</v>
      </c>
      <c r="D18" s="37" t="str">
        <f>Roster!E100</f>
        <v>.</v>
      </c>
      <c r="E18" s="37" t="str">
        <f>Roster!F100</f>
        <v>.</v>
      </c>
      <c r="F18" s="37" t="str">
        <f>Roster!G100</f>
        <v>.</v>
      </c>
      <c r="G18" s="37" t="str">
        <f>Roster!H100</f>
        <v>.</v>
      </c>
      <c r="H18" s="37" t="str">
        <f>Roster!I100</f>
        <v>.</v>
      </c>
      <c r="I18" s="37" t="str">
        <f>Roster!J100</f>
        <v>.</v>
      </c>
      <c r="J18" s="37" t="str">
        <f>Roster!K100</f>
        <v>.</v>
      </c>
      <c r="K18" s="37" t="str">
        <f>Roster!L100</f>
        <v>.</v>
      </c>
      <c r="L18" s="37" t="str">
        <f>Roster!M100</f>
        <v>.</v>
      </c>
      <c r="M18" s="37" t="str">
        <f>Roster!N100</f>
        <v>.</v>
      </c>
      <c r="N18" s="37" t="str">
        <f>Roster!O100</f>
        <v>.</v>
      </c>
      <c r="O18" s="37" t="str">
        <f>Roster!P100</f>
        <v>.</v>
      </c>
      <c r="P18" s="37" t="str">
        <f>Roster!Q100</f>
        <v>.</v>
      </c>
      <c r="Q18" s="37" t="str">
        <f>Roster!R100</f>
        <v>.</v>
      </c>
      <c r="R18" s="37" t="str">
        <f>Roster!S100</f>
        <v>.</v>
      </c>
      <c r="S18" s="37" t="str">
        <f>Roster!T100</f>
        <v>.</v>
      </c>
      <c r="T18" s="37" t="str">
        <f>Roster!U100</f>
        <v>.</v>
      </c>
      <c r="U18" s="37" t="str">
        <f>Roster!V100</f>
        <v>.</v>
      </c>
      <c r="V18" s="37" t="str">
        <f>Roster!W100</f>
        <v>.</v>
      </c>
      <c r="W18" s="37" t="str">
        <f>Roster!X100</f>
        <v>.</v>
      </c>
      <c r="X18" s="37" t="str">
        <f>Roster!Y100</f>
        <v>.</v>
      </c>
      <c r="Y18" s="37" t="str">
        <f>Roster!Z100</f>
        <v>.</v>
      </c>
      <c r="Z18" s="37" t="str">
        <f>Roster!AA100</f>
        <v>.</v>
      </c>
      <c r="AA18" s="37" t="str">
        <f>Roster!AB100</f>
        <v>.</v>
      </c>
      <c r="AB18" s="37" t="str">
        <f>Roster!AC100</f>
        <v>.</v>
      </c>
      <c r="AC18" s="37" t="str">
        <f>Roster!AD100</f>
        <v>.</v>
      </c>
      <c r="AD18" s="37" t="str">
        <f>Roster!AE100</f>
        <v>.</v>
      </c>
      <c r="AE18" s="37" t="str">
        <f>Roster!AF100</f>
        <v>.</v>
      </c>
      <c r="AF18" s="38" t="str">
        <f>Roster!AG100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Sa</v>
      </c>
      <c r="D19" s="21" t="str">
        <f t="shared" si="5"/>
        <v>Su</v>
      </c>
      <c r="E19" s="21" t="str">
        <f t="shared" si="5"/>
        <v>Mo</v>
      </c>
      <c r="F19" s="21" t="str">
        <f t="shared" si="5"/>
        <v>Tu</v>
      </c>
      <c r="G19" s="21" t="str">
        <f t="shared" si="5"/>
        <v>We</v>
      </c>
      <c r="H19" s="21" t="str">
        <f t="shared" si="5"/>
        <v>Th</v>
      </c>
      <c r="I19" s="21" t="str">
        <f t="shared" si="5"/>
        <v>Fr</v>
      </c>
      <c r="J19" s="21" t="str">
        <f t="shared" si="5"/>
        <v>Sa</v>
      </c>
      <c r="K19" s="21" t="str">
        <f t="shared" si="5"/>
        <v>Su</v>
      </c>
      <c r="L19" s="21" t="str">
        <f t="shared" si="5"/>
        <v>Mo</v>
      </c>
      <c r="M19" s="21" t="str">
        <f t="shared" si="5"/>
        <v>Tu</v>
      </c>
      <c r="N19" s="21" t="str">
        <f t="shared" si="5"/>
        <v>We</v>
      </c>
      <c r="O19" s="21" t="str">
        <f t="shared" si="5"/>
        <v>Th</v>
      </c>
      <c r="P19" s="21" t="str">
        <f t="shared" si="5"/>
        <v>Fr</v>
      </c>
      <c r="Q19" s="21" t="str">
        <f t="shared" si="5"/>
        <v>Sa</v>
      </c>
      <c r="R19" s="21" t="str">
        <f t="shared" si="5"/>
        <v>Su</v>
      </c>
      <c r="S19" s="21" t="str">
        <f t="shared" si="5"/>
        <v>Mo</v>
      </c>
      <c r="T19" s="21" t="str">
        <f t="shared" si="5"/>
        <v>Tu</v>
      </c>
      <c r="U19" s="21" t="str">
        <f t="shared" si="5"/>
        <v>We</v>
      </c>
      <c r="V19" s="21" t="str">
        <f t="shared" si="5"/>
        <v>Th</v>
      </c>
      <c r="W19" s="21" t="str">
        <f t="shared" si="5"/>
        <v>Fr</v>
      </c>
      <c r="X19" s="21" t="str">
        <f t="shared" si="5"/>
        <v>Sa</v>
      </c>
      <c r="Y19" s="21" t="str">
        <f t="shared" si="5"/>
        <v>Su</v>
      </c>
      <c r="Z19" s="21" t="str">
        <f t="shared" si="5"/>
        <v>Mo</v>
      </c>
      <c r="AA19" s="21" t="str">
        <f t="shared" si="5"/>
        <v>Tu</v>
      </c>
      <c r="AB19" s="21" t="str">
        <f t="shared" si="5"/>
        <v>We</v>
      </c>
      <c r="AC19" s="21" t="str">
        <f t="shared" si="5"/>
        <v>Th</v>
      </c>
      <c r="AD19" s="21" t="str">
        <f t="shared" si="5"/>
        <v>Fr</v>
      </c>
      <c r="AE19" s="21" t="str">
        <f t="shared" si="5"/>
        <v>Sa</v>
      </c>
      <c r="AF19" s="21" t="str">
        <f t="shared" si="5"/>
        <v>Su</v>
      </c>
      <c r="AG19" s="28" t="str">
        <f t="shared" si="5"/>
        <v>Mo</v>
      </c>
    </row>
    <row r="20" spans="2:33" ht="14.4" thickTop="1" thickBot="1">
      <c r="B20" s="32" t="str">
        <f>Roster!C104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2018</v>
      </c>
      <c r="C21" s="36" t="str">
        <f>Roster!D115</f>
        <v>.</v>
      </c>
      <c r="D21" s="37" t="str">
        <f>Roster!E115</f>
        <v>.</v>
      </c>
      <c r="E21" s="37" t="str">
        <f>Roster!F115</f>
        <v>.</v>
      </c>
      <c r="F21" s="37" t="str">
        <f>Roster!G115</f>
        <v>.</v>
      </c>
      <c r="G21" s="37" t="str">
        <f>Roster!H115</f>
        <v>.</v>
      </c>
      <c r="H21" s="37" t="str">
        <f>Roster!I115</f>
        <v>.</v>
      </c>
      <c r="I21" s="37" t="str">
        <f>Roster!J115</f>
        <v>.</v>
      </c>
      <c r="J21" s="37" t="str">
        <f>Roster!K115</f>
        <v>.</v>
      </c>
      <c r="K21" s="37" t="str">
        <f>Roster!L115</f>
        <v>.</v>
      </c>
      <c r="L21" s="37" t="str">
        <f>Roster!M115</f>
        <v>.</v>
      </c>
      <c r="M21" s="37" t="str">
        <f>Roster!N115</f>
        <v>.</v>
      </c>
      <c r="N21" s="37" t="str">
        <f>Roster!O115</f>
        <v>.</v>
      </c>
      <c r="O21" s="37" t="str">
        <f>Roster!P115</f>
        <v>.</v>
      </c>
      <c r="P21" s="37" t="str">
        <f>Roster!Q115</f>
        <v>.</v>
      </c>
      <c r="Q21" s="37" t="str">
        <f>Roster!R115</f>
        <v>.</v>
      </c>
      <c r="R21" s="37" t="str">
        <f>Roster!S115</f>
        <v>.</v>
      </c>
      <c r="S21" s="37" t="str">
        <f>Roster!T115</f>
        <v>.</v>
      </c>
      <c r="T21" s="37" t="str">
        <f>Roster!U115</f>
        <v>.</v>
      </c>
      <c r="U21" s="37" t="str">
        <f>Roster!V115</f>
        <v>.</v>
      </c>
      <c r="V21" s="37" t="str">
        <f>Roster!W115</f>
        <v>.</v>
      </c>
      <c r="W21" s="37" t="str">
        <f>Roster!X115</f>
        <v>.</v>
      </c>
      <c r="X21" s="37" t="str">
        <f>Roster!Y115</f>
        <v>.</v>
      </c>
      <c r="Y21" s="37" t="str">
        <f>Roster!Z115</f>
        <v>.</v>
      </c>
      <c r="Z21" s="37" t="str">
        <f>Roster!AA115</f>
        <v>.</v>
      </c>
      <c r="AA21" s="37" t="str">
        <f>Roster!AB115</f>
        <v>.</v>
      </c>
      <c r="AB21" s="37" t="str">
        <f>Roster!AC115</f>
        <v>.</v>
      </c>
      <c r="AC21" s="37" t="str">
        <f>Roster!AD115</f>
        <v>.</v>
      </c>
      <c r="AD21" s="37" t="str">
        <f>Roster!AE115</f>
        <v>.</v>
      </c>
      <c r="AE21" s="37" t="str">
        <f>Roster!AF115</f>
        <v>.</v>
      </c>
      <c r="AF21" s="37" t="str">
        <f>Roster!AG115</f>
        <v>.</v>
      </c>
      <c r="AG21" s="38" t="str">
        <f>Roster!AH115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Tu</v>
      </c>
      <c r="D22" s="19" t="str">
        <f t="shared" si="6"/>
        <v>We</v>
      </c>
      <c r="E22" s="19" t="str">
        <f t="shared" si="6"/>
        <v>Th</v>
      </c>
      <c r="F22" s="19" t="str">
        <f t="shared" si="6"/>
        <v>Fr</v>
      </c>
      <c r="G22" s="19" t="str">
        <f t="shared" si="6"/>
        <v>Sa</v>
      </c>
      <c r="H22" s="19" t="str">
        <f t="shared" si="6"/>
        <v>Su</v>
      </c>
      <c r="I22" s="19" t="str">
        <f t="shared" si="6"/>
        <v>Mo</v>
      </c>
      <c r="J22" s="19" t="str">
        <f t="shared" si="6"/>
        <v>Tu</v>
      </c>
      <c r="K22" s="19" t="str">
        <f t="shared" si="6"/>
        <v>We</v>
      </c>
      <c r="L22" s="19" t="str">
        <f t="shared" si="6"/>
        <v>Th</v>
      </c>
      <c r="M22" s="19" t="str">
        <f t="shared" si="6"/>
        <v>Fr</v>
      </c>
      <c r="N22" s="19" t="str">
        <f t="shared" si="6"/>
        <v>Sa</v>
      </c>
      <c r="O22" s="19" t="str">
        <f t="shared" si="6"/>
        <v>Su</v>
      </c>
      <c r="P22" s="19" t="str">
        <f t="shared" si="6"/>
        <v>Mo</v>
      </c>
      <c r="Q22" s="19" t="str">
        <f t="shared" si="6"/>
        <v>Tu</v>
      </c>
      <c r="R22" s="19" t="str">
        <f t="shared" si="6"/>
        <v>We</v>
      </c>
      <c r="S22" s="19" t="str">
        <f t="shared" si="6"/>
        <v>Th</v>
      </c>
      <c r="T22" s="19" t="str">
        <f t="shared" si="6"/>
        <v>Fr</v>
      </c>
      <c r="U22" s="19" t="str">
        <f t="shared" si="6"/>
        <v>Sa</v>
      </c>
      <c r="V22" s="19" t="str">
        <f t="shared" si="6"/>
        <v>Su</v>
      </c>
      <c r="W22" s="19" t="str">
        <f t="shared" si="6"/>
        <v>Mo</v>
      </c>
      <c r="X22" s="19" t="str">
        <f t="shared" si="6"/>
        <v>Tu</v>
      </c>
      <c r="Y22" s="19" t="str">
        <f t="shared" si="6"/>
        <v>We</v>
      </c>
      <c r="Z22" s="19" t="str">
        <f t="shared" si="6"/>
        <v>Th</v>
      </c>
      <c r="AA22" s="19" t="str">
        <f t="shared" si="6"/>
        <v>Fr</v>
      </c>
      <c r="AB22" s="19" t="str">
        <f t="shared" si="6"/>
        <v>Sa</v>
      </c>
      <c r="AC22" s="19" t="str">
        <f t="shared" si="6"/>
        <v>Su</v>
      </c>
      <c r="AD22" s="19" t="str">
        <f t="shared" si="6"/>
        <v>Mo</v>
      </c>
      <c r="AE22" s="19" t="str">
        <f t="shared" si="6"/>
        <v>Tu</v>
      </c>
      <c r="AF22" s="19" t="str">
        <f t="shared" si="6"/>
        <v>We</v>
      </c>
      <c r="AG22" s="19" t="str">
        <f t="shared" si="6"/>
        <v>Th</v>
      </c>
    </row>
    <row r="23" spans="2:33" ht="14.4" thickTop="1" thickBot="1">
      <c r="B23" s="32" t="str">
        <f>Roster!$C$119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2019</v>
      </c>
      <c r="C24" s="52" t="str">
        <f>Roster!D130</f>
        <v>.</v>
      </c>
      <c r="D24" s="53" t="str">
        <f>Roster!E130</f>
        <v>.</v>
      </c>
      <c r="E24" s="53" t="str">
        <f>Roster!F130</f>
        <v>.</v>
      </c>
      <c r="F24" s="53" t="str">
        <f>Roster!G130</f>
        <v>.</v>
      </c>
      <c r="G24" s="53" t="str">
        <f>Roster!H130</f>
        <v>.</v>
      </c>
      <c r="H24" s="53" t="str">
        <f>Roster!I130</f>
        <v>.</v>
      </c>
      <c r="I24" s="53" t="str">
        <f>Roster!J130</f>
        <v>.</v>
      </c>
      <c r="J24" s="53" t="str">
        <f>Roster!K130</f>
        <v>.</v>
      </c>
      <c r="K24" s="53" t="str">
        <f>Roster!L130</f>
        <v>.</v>
      </c>
      <c r="L24" s="53" t="str">
        <f>Roster!M130</f>
        <v>.</v>
      </c>
      <c r="M24" s="53" t="str">
        <f>Roster!N130</f>
        <v>.</v>
      </c>
      <c r="N24" s="53" t="str">
        <f>Roster!O130</f>
        <v>.</v>
      </c>
      <c r="O24" s="53" t="str">
        <f>Roster!P130</f>
        <v>.</v>
      </c>
      <c r="P24" s="53" t="str">
        <f>Roster!Q130</f>
        <v>.</v>
      </c>
      <c r="Q24" s="53" t="str">
        <f>Roster!R130</f>
        <v>.</v>
      </c>
      <c r="R24" s="53" t="str">
        <f>Roster!S130</f>
        <v>.</v>
      </c>
      <c r="S24" s="53" t="str">
        <f>Roster!T130</f>
        <v>.</v>
      </c>
      <c r="T24" s="53" t="str">
        <f>Roster!U130</f>
        <v>.</v>
      </c>
      <c r="U24" s="53" t="str">
        <f>Roster!V130</f>
        <v>.</v>
      </c>
      <c r="V24" s="53" t="str">
        <f>Roster!W130</f>
        <v>.</v>
      </c>
      <c r="W24" s="53" t="str">
        <f>Roster!X130</f>
        <v>.</v>
      </c>
      <c r="X24" s="53" t="str">
        <f>Roster!Y130</f>
        <v>.</v>
      </c>
      <c r="Y24" s="53" t="str">
        <f>Roster!Z130</f>
        <v>.</v>
      </c>
      <c r="Z24" s="53" t="str">
        <f>Roster!AA130</f>
        <v>.</v>
      </c>
      <c r="AA24" s="53" t="str">
        <f>Roster!AB130</f>
        <v>.</v>
      </c>
      <c r="AB24" s="53" t="str">
        <f>Roster!AC130</f>
        <v>.</v>
      </c>
      <c r="AC24" s="53" t="str">
        <f>Roster!AD130</f>
        <v>.</v>
      </c>
      <c r="AD24" s="53" t="str">
        <f>Roster!AE130</f>
        <v>.</v>
      </c>
      <c r="AE24" s="53" t="str">
        <f>Roster!AF130</f>
        <v>.</v>
      </c>
      <c r="AF24" s="53" t="str">
        <f>Roster!AG130</f>
        <v>.</v>
      </c>
      <c r="AG24" s="54" t="str">
        <f>Roster!AH130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Fr</v>
      </c>
      <c r="D25" s="22" t="str">
        <f t="shared" si="7"/>
        <v>Sa</v>
      </c>
      <c r="E25" s="22" t="str">
        <f t="shared" si="7"/>
        <v>Su</v>
      </c>
      <c r="F25" s="22" t="str">
        <f t="shared" si="7"/>
        <v>Mo</v>
      </c>
      <c r="G25" s="22" t="str">
        <f t="shared" si="7"/>
        <v>Tu</v>
      </c>
      <c r="H25" s="22" t="str">
        <f t="shared" si="7"/>
        <v>We</v>
      </c>
      <c r="I25" s="22" t="str">
        <f t="shared" si="7"/>
        <v>Th</v>
      </c>
      <c r="J25" s="22" t="str">
        <f t="shared" si="7"/>
        <v>Fr</v>
      </c>
      <c r="K25" s="22" t="str">
        <f t="shared" si="7"/>
        <v>Sa</v>
      </c>
      <c r="L25" s="22" t="str">
        <f t="shared" si="7"/>
        <v>Su</v>
      </c>
      <c r="M25" s="22" t="str">
        <f t="shared" si="7"/>
        <v>Mo</v>
      </c>
      <c r="N25" s="22" t="str">
        <f t="shared" si="7"/>
        <v>Tu</v>
      </c>
      <c r="O25" s="22" t="str">
        <f t="shared" si="7"/>
        <v>We</v>
      </c>
      <c r="P25" s="22" t="str">
        <f t="shared" si="7"/>
        <v>Th</v>
      </c>
      <c r="Q25" s="22" t="str">
        <f t="shared" si="7"/>
        <v>Fr</v>
      </c>
      <c r="R25" s="22" t="str">
        <f t="shared" si="7"/>
        <v>Sa</v>
      </c>
      <c r="S25" s="22" t="str">
        <f t="shared" si="7"/>
        <v>Su</v>
      </c>
      <c r="T25" s="22" t="str">
        <f t="shared" si="7"/>
        <v>Mo</v>
      </c>
      <c r="U25" s="22" t="str">
        <f t="shared" si="7"/>
        <v>Tu</v>
      </c>
      <c r="V25" s="22" t="str">
        <f t="shared" si="7"/>
        <v>We</v>
      </c>
      <c r="W25" s="22" t="str">
        <f t="shared" si="7"/>
        <v>Th</v>
      </c>
      <c r="X25" s="22" t="str">
        <f t="shared" si="7"/>
        <v>Fr</v>
      </c>
      <c r="Y25" s="22" t="str">
        <f t="shared" si="7"/>
        <v>Sa</v>
      </c>
      <c r="Z25" s="22" t="str">
        <f t="shared" si="7"/>
        <v>Su</v>
      </c>
      <c r="AA25" s="22" t="str">
        <f t="shared" si="7"/>
        <v>Mo</v>
      </c>
      <c r="AB25" s="22" t="str">
        <f t="shared" si="7"/>
        <v>Tu</v>
      </c>
      <c r="AC25" s="22" t="str">
        <f t="shared" si="7"/>
        <v>We</v>
      </c>
      <c r="AD25" s="22" t="str">
        <f t="shared" si="7"/>
        <v>Th</v>
      </c>
      <c r="AE25" s="131" t="str">
        <f t="shared" si="7"/>
        <v>29</v>
      </c>
      <c r="AF25" s="23"/>
      <c r="AG25" s="24"/>
    </row>
    <row r="26" spans="2:33" ht="14.4" thickTop="1" thickBot="1">
      <c r="B26" s="32" t="str">
        <f>Roster!$C$134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45">
        <v>29</v>
      </c>
      <c r="AF26" s="44"/>
    </row>
    <row r="27" spans="2:33" ht="14.4" thickTop="1" thickBot="1">
      <c r="B27" s="32" t="str">
        <f>CurYear</f>
        <v>2019</v>
      </c>
      <c r="C27" s="51" t="str">
        <f>Roster!D145</f>
        <v>.</v>
      </c>
      <c r="D27" s="37" t="str">
        <f>Roster!E145</f>
        <v>.</v>
      </c>
      <c r="E27" s="37" t="str">
        <f>Roster!F145</f>
        <v>.</v>
      </c>
      <c r="F27" s="37" t="str">
        <f>Roster!G145</f>
        <v>.</v>
      </c>
      <c r="G27" s="37" t="str">
        <f>Roster!H145</f>
        <v>.</v>
      </c>
      <c r="H27" s="37" t="str">
        <f>Roster!I145</f>
        <v>.</v>
      </c>
      <c r="I27" s="37" t="str">
        <f>Roster!J145</f>
        <v>.</v>
      </c>
      <c r="J27" s="37" t="str">
        <f>Roster!K145</f>
        <v>.</v>
      </c>
      <c r="K27" s="37" t="str">
        <f>Roster!L145</f>
        <v>.</v>
      </c>
      <c r="L27" s="37" t="str">
        <f>Roster!M145</f>
        <v>.</v>
      </c>
      <c r="M27" s="37" t="str">
        <f>Roster!N145</f>
        <v>.</v>
      </c>
      <c r="N27" s="37" t="str">
        <f>Roster!O145</f>
        <v>.</v>
      </c>
      <c r="O27" s="37" t="str">
        <f>Roster!P145</f>
        <v>.</v>
      </c>
      <c r="P27" s="37" t="str">
        <f>Roster!Q145</f>
        <v>.</v>
      </c>
      <c r="Q27" s="37" t="str">
        <f>Roster!R145</f>
        <v>.</v>
      </c>
      <c r="R27" s="37" t="str">
        <f>Roster!S145</f>
        <v>.</v>
      </c>
      <c r="S27" s="37" t="str">
        <f>Roster!T145</f>
        <v>.</v>
      </c>
      <c r="T27" s="37" t="str">
        <f>Roster!U145</f>
        <v>.</v>
      </c>
      <c r="U27" s="37" t="str">
        <f>Roster!V145</f>
        <v>.</v>
      </c>
      <c r="V27" s="37" t="str">
        <f>Roster!W145</f>
        <v>.</v>
      </c>
      <c r="W27" s="37" t="str">
        <f>Roster!X145</f>
        <v>.</v>
      </c>
      <c r="X27" s="37" t="str">
        <f>Roster!Y145</f>
        <v>.</v>
      </c>
      <c r="Y27" s="37" t="str">
        <f>Roster!Z145</f>
        <v>.</v>
      </c>
      <c r="Z27" s="37" t="str">
        <f>Roster!AA145</f>
        <v>.</v>
      </c>
      <c r="AA27" s="37" t="str">
        <f>Roster!AB145</f>
        <v>.</v>
      </c>
      <c r="AB27" s="37" t="str">
        <f>Roster!AC145</f>
        <v>.</v>
      </c>
      <c r="AC27" s="37" t="str">
        <f>Roster!AD145</f>
        <v>.</v>
      </c>
      <c r="AD27" s="43" t="str">
        <f>Roster!AE145</f>
        <v>.</v>
      </c>
      <c r="AE27" s="130">
        <f>Roster!AF142</f>
        <v>0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Fr</v>
      </c>
      <c r="D28" s="25" t="str">
        <f t="shared" si="8"/>
        <v>Sa</v>
      </c>
      <c r="E28" s="25" t="str">
        <f t="shared" si="8"/>
        <v>Su</v>
      </c>
      <c r="F28" s="25" t="str">
        <f t="shared" si="8"/>
        <v>Mo</v>
      </c>
      <c r="G28" s="25" t="str">
        <f t="shared" si="8"/>
        <v>Tu</v>
      </c>
      <c r="H28" s="25" t="str">
        <f t="shared" si="8"/>
        <v>We</v>
      </c>
      <c r="I28" s="25" t="str">
        <f t="shared" si="8"/>
        <v>Th</v>
      </c>
      <c r="J28" s="25" t="str">
        <f t="shared" si="8"/>
        <v>Fr</v>
      </c>
      <c r="K28" s="25" t="str">
        <f t="shared" si="8"/>
        <v>Sa</v>
      </c>
      <c r="L28" s="25" t="str">
        <f t="shared" si="8"/>
        <v>Su</v>
      </c>
      <c r="M28" s="25" t="str">
        <f t="shared" si="8"/>
        <v>Mo</v>
      </c>
      <c r="N28" s="25" t="str">
        <f t="shared" si="8"/>
        <v>Tu</v>
      </c>
      <c r="O28" s="25" t="str">
        <f t="shared" si="8"/>
        <v>We</v>
      </c>
      <c r="P28" s="25" t="str">
        <f t="shared" si="8"/>
        <v>Th</v>
      </c>
      <c r="Q28" s="25" t="str">
        <f t="shared" si="8"/>
        <v>Fr</v>
      </c>
      <c r="R28" s="25" t="str">
        <f t="shared" si="8"/>
        <v>Sa</v>
      </c>
      <c r="S28" s="25" t="str">
        <f t="shared" si="8"/>
        <v>Su</v>
      </c>
      <c r="T28" s="25" t="str">
        <f t="shared" si="8"/>
        <v>Mo</v>
      </c>
      <c r="U28" s="25" t="str">
        <f t="shared" si="8"/>
        <v>Tu</v>
      </c>
      <c r="V28" s="25" t="str">
        <f t="shared" si="8"/>
        <v>We</v>
      </c>
      <c r="W28" s="25" t="str">
        <f t="shared" si="8"/>
        <v>Th</v>
      </c>
      <c r="X28" s="25" t="str">
        <f t="shared" si="8"/>
        <v>Fr</v>
      </c>
      <c r="Y28" s="25" t="str">
        <f t="shared" si="8"/>
        <v>Sa</v>
      </c>
      <c r="Z28" s="25" t="str">
        <f t="shared" si="8"/>
        <v>Su</v>
      </c>
      <c r="AA28" s="25" t="str">
        <f t="shared" si="8"/>
        <v>Mo</v>
      </c>
      <c r="AB28" s="25" t="str">
        <f t="shared" si="8"/>
        <v>Tu</v>
      </c>
      <c r="AC28" s="25" t="str">
        <f t="shared" si="8"/>
        <v>We</v>
      </c>
      <c r="AD28" s="25" t="str">
        <f t="shared" si="8"/>
        <v>Th</v>
      </c>
      <c r="AE28" s="45" t="str">
        <f t="shared" si="8"/>
        <v>Fr</v>
      </c>
      <c r="AF28" s="26" t="str">
        <f t="shared" si="8"/>
        <v>Sa</v>
      </c>
      <c r="AG28" s="26" t="str">
        <f t="shared" si="8"/>
        <v>Su</v>
      </c>
    </row>
    <row r="29" spans="2:33" ht="14.4" thickTop="1" thickBot="1">
      <c r="B29" s="32" t="str">
        <f>Roster!$C$149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2019</v>
      </c>
      <c r="C30" s="36" t="str">
        <f>Roster!D160</f>
        <v>.</v>
      </c>
      <c r="D30" s="37" t="str">
        <f>Roster!E160</f>
        <v>.</v>
      </c>
      <c r="E30" s="37" t="str">
        <f>Roster!F160</f>
        <v>.</v>
      </c>
      <c r="F30" s="37" t="str">
        <f>Roster!G160</f>
        <v>.</v>
      </c>
      <c r="G30" s="37" t="str">
        <f>Roster!H160</f>
        <v>.</v>
      </c>
      <c r="H30" s="37" t="str">
        <f>Roster!I160</f>
        <v>.</v>
      </c>
      <c r="I30" s="37" t="str">
        <f>Roster!J160</f>
        <v>.</v>
      </c>
      <c r="J30" s="37" t="str">
        <f>Roster!K160</f>
        <v>.</v>
      </c>
      <c r="K30" s="37" t="str">
        <f>Roster!L160</f>
        <v>.</v>
      </c>
      <c r="L30" s="37" t="str">
        <f>Roster!M160</f>
        <v>.</v>
      </c>
      <c r="M30" s="37" t="str">
        <f>Roster!N160</f>
        <v>.</v>
      </c>
      <c r="N30" s="37" t="str">
        <f>Roster!O160</f>
        <v>.</v>
      </c>
      <c r="O30" s="37" t="str">
        <f>Roster!P160</f>
        <v>.</v>
      </c>
      <c r="P30" s="37" t="str">
        <f>Roster!Q160</f>
        <v>.</v>
      </c>
      <c r="Q30" s="37" t="str">
        <f>Roster!R160</f>
        <v>.</v>
      </c>
      <c r="R30" s="37" t="str">
        <f>Roster!S160</f>
        <v>.</v>
      </c>
      <c r="S30" s="37" t="str">
        <f>Roster!T160</f>
        <v>.</v>
      </c>
      <c r="T30" s="37" t="str">
        <f>Roster!U160</f>
        <v>.</v>
      </c>
      <c r="U30" s="37" t="str">
        <f>Roster!V160</f>
        <v>.</v>
      </c>
      <c r="V30" s="37" t="str">
        <f>Roster!W160</f>
        <v>.</v>
      </c>
      <c r="W30" s="37" t="str">
        <f>Roster!X160</f>
        <v>.</v>
      </c>
      <c r="X30" s="37" t="str">
        <f>Roster!Y160</f>
        <v>.</v>
      </c>
      <c r="Y30" s="37" t="str">
        <f>Roster!Z160</f>
        <v>.</v>
      </c>
      <c r="Z30" s="37" t="str">
        <f>Roster!AA160</f>
        <v>.</v>
      </c>
      <c r="AA30" s="37" t="str">
        <f>Roster!AB160</f>
        <v>.</v>
      </c>
      <c r="AB30" s="37" t="str">
        <f>Roster!AC160</f>
        <v>.</v>
      </c>
      <c r="AC30" s="37" t="str">
        <f>Roster!AD160</f>
        <v>.</v>
      </c>
      <c r="AD30" s="37" t="str">
        <f>Roster!AE160</f>
        <v>.</v>
      </c>
      <c r="AE30" s="37" t="str">
        <f>Roster!AF160</f>
        <v>.</v>
      </c>
      <c r="AF30" s="37" t="str">
        <f>Roster!AG160</f>
        <v>.</v>
      </c>
      <c r="AG30" s="38" t="str">
        <f>Roster!AH160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Mo</v>
      </c>
      <c r="D31" s="25" t="str">
        <f t="shared" si="9"/>
        <v>Tu</v>
      </c>
      <c r="E31" s="25" t="str">
        <f t="shared" si="9"/>
        <v>We</v>
      </c>
      <c r="F31" s="25" t="str">
        <f t="shared" si="9"/>
        <v>Th</v>
      </c>
      <c r="G31" s="25" t="str">
        <f t="shared" si="9"/>
        <v>Fr</v>
      </c>
      <c r="H31" s="25" t="str">
        <f t="shared" si="9"/>
        <v>Sa</v>
      </c>
      <c r="I31" s="25" t="str">
        <f t="shared" si="9"/>
        <v>Su</v>
      </c>
      <c r="J31" s="25" t="str">
        <f t="shared" si="9"/>
        <v>Mo</v>
      </c>
      <c r="K31" s="25" t="str">
        <f t="shared" si="9"/>
        <v>Tu</v>
      </c>
      <c r="L31" s="25" t="str">
        <f t="shared" si="9"/>
        <v>We</v>
      </c>
      <c r="M31" s="25" t="str">
        <f t="shared" si="9"/>
        <v>Th</v>
      </c>
      <c r="N31" s="25" t="str">
        <f t="shared" si="9"/>
        <v>Fr</v>
      </c>
      <c r="O31" s="25" t="str">
        <f t="shared" si="9"/>
        <v>Sa</v>
      </c>
      <c r="P31" s="25" t="str">
        <f t="shared" si="9"/>
        <v>Su</v>
      </c>
      <c r="Q31" s="25" t="str">
        <f t="shared" si="9"/>
        <v>Mo</v>
      </c>
      <c r="R31" s="25" t="str">
        <f t="shared" si="9"/>
        <v>Tu</v>
      </c>
      <c r="S31" s="25" t="str">
        <f t="shared" si="9"/>
        <v>We</v>
      </c>
      <c r="T31" s="25" t="str">
        <f t="shared" si="9"/>
        <v>Th</v>
      </c>
      <c r="U31" s="25" t="str">
        <f t="shared" si="9"/>
        <v>Fr</v>
      </c>
      <c r="V31" s="25" t="str">
        <f t="shared" si="9"/>
        <v>Sa</v>
      </c>
      <c r="W31" s="25" t="str">
        <f t="shared" si="9"/>
        <v>Su</v>
      </c>
      <c r="X31" s="25" t="str">
        <f t="shared" si="9"/>
        <v>Mo</v>
      </c>
      <c r="Y31" s="25" t="str">
        <f t="shared" si="9"/>
        <v>Tu</v>
      </c>
      <c r="Z31" s="25" t="str">
        <f t="shared" si="9"/>
        <v>We</v>
      </c>
      <c r="AA31" s="25" t="str">
        <f t="shared" si="9"/>
        <v>Th</v>
      </c>
      <c r="AB31" s="25" t="str">
        <f t="shared" si="9"/>
        <v>Fr</v>
      </c>
      <c r="AC31" s="25" t="str">
        <f t="shared" si="9"/>
        <v>Sa</v>
      </c>
      <c r="AD31" s="25" t="str">
        <f t="shared" si="9"/>
        <v>Su</v>
      </c>
      <c r="AE31" s="25" t="str">
        <f t="shared" si="9"/>
        <v>Mo</v>
      </c>
      <c r="AF31" s="25" t="str">
        <f t="shared" si="9"/>
        <v>Tu</v>
      </c>
      <c r="AG31" s="27"/>
    </row>
    <row r="32" spans="2:33" ht="14.4" thickTop="1" thickBot="1">
      <c r="B32" s="32" t="str">
        <f>Roster!$C$164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2019</v>
      </c>
      <c r="C33" s="36" t="str">
        <f>Roster!D175</f>
        <v>.</v>
      </c>
      <c r="D33" s="37" t="str">
        <f>Roster!E175</f>
        <v>.</v>
      </c>
      <c r="E33" s="37" t="str">
        <f>Roster!F175</f>
        <v>.</v>
      </c>
      <c r="F33" s="37" t="str">
        <f>Roster!G175</f>
        <v>.</v>
      </c>
      <c r="G33" s="37" t="str">
        <f>Roster!H175</f>
        <v>.</v>
      </c>
      <c r="H33" s="37" t="str">
        <f>Roster!I175</f>
        <v>.</v>
      </c>
      <c r="I33" s="37" t="str">
        <f>Roster!J175</f>
        <v>.</v>
      </c>
      <c r="J33" s="37" t="str">
        <f>Roster!K175</f>
        <v>.</v>
      </c>
      <c r="K33" s="37" t="str">
        <f>Roster!L175</f>
        <v>.</v>
      </c>
      <c r="L33" s="37" t="str">
        <f>Roster!M175</f>
        <v>.</v>
      </c>
      <c r="M33" s="37" t="str">
        <f>Roster!N175</f>
        <v>.</v>
      </c>
      <c r="N33" s="37" t="str">
        <f>Roster!O175</f>
        <v>.</v>
      </c>
      <c r="O33" s="37" t="str">
        <f>Roster!P175</f>
        <v>.</v>
      </c>
      <c r="P33" s="37" t="str">
        <f>Roster!Q175</f>
        <v>.</v>
      </c>
      <c r="Q33" s="37" t="str">
        <f>Roster!R175</f>
        <v>.</v>
      </c>
      <c r="R33" s="37" t="str">
        <f>Roster!S175</f>
        <v>.</v>
      </c>
      <c r="S33" s="37" t="str">
        <f>Roster!T175</f>
        <v>.</v>
      </c>
      <c r="T33" s="37" t="str">
        <f>Roster!U175</f>
        <v>.</v>
      </c>
      <c r="U33" s="37" t="str">
        <f>Roster!V175</f>
        <v>.</v>
      </c>
      <c r="V33" s="37" t="str">
        <f>Roster!W175</f>
        <v>.</v>
      </c>
      <c r="W33" s="37" t="str">
        <f>Roster!X175</f>
        <v>.</v>
      </c>
      <c r="X33" s="37" t="str">
        <f>Roster!Y175</f>
        <v>.</v>
      </c>
      <c r="Y33" s="37" t="str">
        <f>Roster!Z175</f>
        <v>.</v>
      </c>
      <c r="Z33" s="37" t="str">
        <f>Roster!AA175</f>
        <v>.</v>
      </c>
      <c r="AA33" s="37" t="str">
        <f>Roster!AB175</f>
        <v>.</v>
      </c>
      <c r="AB33" s="37" t="str">
        <f>Roster!AC175</f>
        <v>.</v>
      </c>
      <c r="AC33" s="37" t="str">
        <f>Roster!AD175</f>
        <v>.</v>
      </c>
      <c r="AD33" s="37" t="str">
        <f>Roster!AE175</f>
        <v>.</v>
      </c>
      <c r="AE33" s="37" t="str">
        <f>Roster!AF175</f>
        <v>.</v>
      </c>
      <c r="AF33" s="38" t="str">
        <f>Roster!AG175</f>
        <v>.</v>
      </c>
    </row>
    <row r="34" spans="2:33" ht="14.4" thickTop="1" thickBot="1">
      <c r="C34" s="21" t="str">
        <f t="shared" ref="C34:AG34" si="10">LEFT(TEXT(C35&amp;"-"&amp;$B35&amp;"-"&amp;CurYear,"ddd"),2)</f>
        <v>We</v>
      </c>
      <c r="D34" s="21" t="str">
        <f t="shared" si="10"/>
        <v>Th</v>
      </c>
      <c r="E34" s="21" t="str">
        <f t="shared" si="10"/>
        <v>Fr</v>
      </c>
      <c r="F34" s="21" t="str">
        <f t="shared" si="10"/>
        <v>Sa</v>
      </c>
      <c r="G34" s="21" t="str">
        <f t="shared" si="10"/>
        <v>Su</v>
      </c>
      <c r="H34" s="21" t="str">
        <f t="shared" si="10"/>
        <v>Mo</v>
      </c>
      <c r="I34" s="21" t="str">
        <f t="shared" si="10"/>
        <v>Tu</v>
      </c>
      <c r="J34" s="21" t="str">
        <f t="shared" si="10"/>
        <v>We</v>
      </c>
      <c r="K34" s="21" t="str">
        <f t="shared" si="10"/>
        <v>Th</v>
      </c>
      <c r="L34" s="21" t="str">
        <f t="shared" si="10"/>
        <v>Fr</v>
      </c>
      <c r="M34" s="21" t="str">
        <f t="shared" si="10"/>
        <v>Sa</v>
      </c>
      <c r="N34" s="21" t="str">
        <f t="shared" si="10"/>
        <v>Su</v>
      </c>
      <c r="O34" s="21" t="str">
        <f t="shared" si="10"/>
        <v>Mo</v>
      </c>
      <c r="P34" s="21" t="str">
        <f t="shared" si="10"/>
        <v>Tu</v>
      </c>
      <c r="Q34" s="21" t="str">
        <f t="shared" si="10"/>
        <v>We</v>
      </c>
      <c r="R34" s="21" t="str">
        <f t="shared" si="10"/>
        <v>Th</v>
      </c>
      <c r="S34" s="21" t="str">
        <f t="shared" si="10"/>
        <v>Fr</v>
      </c>
      <c r="T34" s="21" t="str">
        <f t="shared" si="10"/>
        <v>Sa</v>
      </c>
      <c r="U34" s="21" t="str">
        <f t="shared" si="10"/>
        <v>Su</v>
      </c>
      <c r="V34" s="21" t="str">
        <f t="shared" si="10"/>
        <v>Mo</v>
      </c>
      <c r="W34" s="21" t="str">
        <f t="shared" si="10"/>
        <v>Tu</v>
      </c>
      <c r="X34" s="21" t="str">
        <f t="shared" si="10"/>
        <v>We</v>
      </c>
      <c r="Y34" s="21" t="str">
        <f t="shared" si="10"/>
        <v>Th</v>
      </c>
      <c r="Z34" s="21" t="str">
        <f t="shared" si="10"/>
        <v>Fr</v>
      </c>
      <c r="AA34" s="21" t="str">
        <f t="shared" si="10"/>
        <v>Sa</v>
      </c>
      <c r="AB34" s="21" t="str">
        <f t="shared" si="10"/>
        <v>Su</v>
      </c>
      <c r="AC34" s="21" t="str">
        <f t="shared" si="10"/>
        <v>Mo</v>
      </c>
      <c r="AD34" s="21" t="str">
        <f t="shared" si="10"/>
        <v>Tu</v>
      </c>
      <c r="AE34" s="21" t="str">
        <f t="shared" si="10"/>
        <v>We</v>
      </c>
      <c r="AF34" s="21" t="str">
        <f t="shared" si="10"/>
        <v>Th</v>
      </c>
      <c r="AG34" s="20" t="str">
        <f t="shared" si="10"/>
        <v>Fr</v>
      </c>
    </row>
    <row r="35" spans="2:33" ht="14.4" thickTop="1" thickBot="1">
      <c r="B35" s="32" t="str">
        <f>Roster!$C$179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2019</v>
      </c>
      <c r="C36" s="36" t="str">
        <f>Roster!D190</f>
        <v>.</v>
      </c>
      <c r="D36" s="37" t="str">
        <f>Roster!E190</f>
        <v>.</v>
      </c>
      <c r="E36" s="37" t="str">
        <f>Roster!F190</f>
        <v>.</v>
      </c>
      <c r="F36" s="37" t="str">
        <f>Roster!G190</f>
        <v>.</v>
      </c>
      <c r="G36" s="37" t="str">
        <f>Roster!H190</f>
        <v>.</v>
      </c>
      <c r="H36" s="37" t="str">
        <f>Roster!I190</f>
        <v>.</v>
      </c>
      <c r="I36" s="37" t="str">
        <f>Roster!J190</f>
        <v>.</v>
      </c>
      <c r="J36" s="37" t="str">
        <f>Roster!K190</f>
        <v>.</v>
      </c>
      <c r="K36" s="37" t="str">
        <f>Roster!L190</f>
        <v>.</v>
      </c>
      <c r="L36" s="37" t="str">
        <f>Roster!M190</f>
        <v>.</v>
      </c>
      <c r="M36" s="37" t="str">
        <f>Roster!N190</f>
        <v>.</v>
      </c>
      <c r="N36" s="37" t="str">
        <f>Roster!O190</f>
        <v>.</v>
      </c>
      <c r="O36" s="37" t="str">
        <f>Roster!P190</f>
        <v>.</v>
      </c>
      <c r="P36" s="37" t="str">
        <f>Roster!Q190</f>
        <v>.</v>
      </c>
      <c r="Q36" s="37" t="str">
        <f>Roster!R190</f>
        <v>.</v>
      </c>
      <c r="R36" s="37" t="str">
        <f>Roster!S190</f>
        <v>.</v>
      </c>
      <c r="S36" s="37" t="str">
        <f>Roster!T190</f>
        <v>.</v>
      </c>
      <c r="T36" s="37" t="str">
        <f>Roster!U190</f>
        <v>.</v>
      </c>
      <c r="U36" s="37" t="str">
        <f>Roster!V190</f>
        <v>.</v>
      </c>
      <c r="V36" s="37" t="str">
        <f>Roster!W190</f>
        <v>.</v>
      </c>
      <c r="W36" s="37" t="str">
        <f>Roster!X190</f>
        <v>.</v>
      </c>
      <c r="X36" s="37" t="str">
        <f>Roster!Y190</f>
        <v>.</v>
      </c>
      <c r="Y36" s="37" t="str">
        <f>Roster!Z190</f>
        <v>.</v>
      </c>
      <c r="Z36" s="37" t="str">
        <f>Roster!AA190</f>
        <v>.</v>
      </c>
      <c r="AA36" s="37" t="str">
        <f>Roster!AB190</f>
        <v>.</v>
      </c>
      <c r="AB36" s="37" t="str">
        <f>Roster!AC190</f>
        <v>.</v>
      </c>
      <c r="AC36" s="37" t="str">
        <f>Roster!AD190</f>
        <v>.</v>
      </c>
      <c r="AD36" s="37" t="str">
        <f>Roster!AE190</f>
        <v>.</v>
      </c>
      <c r="AE36" s="37" t="str">
        <f>Roster!AF190</f>
        <v>.</v>
      </c>
      <c r="AF36" s="37" t="str">
        <f>Roster!AG190</f>
        <v>.</v>
      </c>
      <c r="AG36" s="38" t="str">
        <f>Roster!AH190</f>
        <v>.</v>
      </c>
    </row>
    <row r="37" spans="2:33" ht="14.4" thickTop="1" thickBot="1">
      <c r="C37" s="21" t="str">
        <f t="shared" ref="C37:AF37" si="11">LEFT(TEXT(C38&amp;"-"&amp;$B38&amp;"-"&amp;CurYear,"ddd"),2)</f>
        <v>Sa</v>
      </c>
      <c r="D37" s="21" t="str">
        <f t="shared" si="11"/>
        <v>Su</v>
      </c>
      <c r="E37" s="21" t="str">
        <f t="shared" si="11"/>
        <v>Mo</v>
      </c>
      <c r="F37" s="21" t="str">
        <f t="shared" si="11"/>
        <v>Tu</v>
      </c>
      <c r="G37" s="21" t="str">
        <f t="shared" si="11"/>
        <v>We</v>
      </c>
      <c r="H37" s="21" t="str">
        <f t="shared" si="11"/>
        <v>Th</v>
      </c>
      <c r="I37" s="21" t="str">
        <f t="shared" si="11"/>
        <v>Fr</v>
      </c>
      <c r="J37" s="21" t="str">
        <f t="shared" si="11"/>
        <v>Sa</v>
      </c>
      <c r="K37" s="21" t="str">
        <f t="shared" si="11"/>
        <v>Su</v>
      </c>
      <c r="L37" s="21" t="str">
        <f t="shared" si="11"/>
        <v>Mo</v>
      </c>
      <c r="M37" s="21" t="str">
        <f t="shared" si="11"/>
        <v>Tu</v>
      </c>
      <c r="N37" s="21" t="str">
        <f t="shared" si="11"/>
        <v>We</v>
      </c>
      <c r="O37" s="21" t="str">
        <f t="shared" si="11"/>
        <v>Th</v>
      </c>
      <c r="P37" s="21" t="str">
        <f t="shared" si="11"/>
        <v>Fr</v>
      </c>
      <c r="Q37" s="21" t="str">
        <f t="shared" si="11"/>
        <v>Sa</v>
      </c>
      <c r="R37" s="21" t="str">
        <f t="shared" si="11"/>
        <v>Su</v>
      </c>
      <c r="S37" s="21" t="str">
        <f t="shared" si="11"/>
        <v>Mo</v>
      </c>
      <c r="T37" s="21" t="str">
        <f t="shared" si="11"/>
        <v>Tu</v>
      </c>
      <c r="U37" s="21" t="str">
        <f t="shared" si="11"/>
        <v>We</v>
      </c>
      <c r="V37" s="21" t="str">
        <f t="shared" si="11"/>
        <v>Th</v>
      </c>
      <c r="W37" s="21" t="str">
        <f t="shared" si="11"/>
        <v>Fr</v>
      </c>
      <c r="X37" s="21" t="str">
        <f t="shared" si="11"/>
        <v>Sa</v>
      </c>
      <c r="Y37" s="21" t="str">
        <f t="shared" si="11"/>
        <v>Su</v>
      </c>
      <c r="Z37" s="21" t="str">
        <f t="shared" si="11"/>
        <v>Mo</v>
      </c>
      <c r="AA37" s="21" t="str">
        <f t="shared" si="11"/>
        <v>Tu</v>
      </c>
      <c r="AB37" s="21" t="str">
        <f t="shared" si="11"/>
        <v>We</v>
      </c>
      <c r="AC37" s="21" t="str">
        <f t="shared" si="11"/>
        <v>Th</v>
      </c>
      <c r="AD37" s="21" t="str">
        <f t="shared" si="11"/>
        <v>Fr</v>
      </c>
      <c r="AE37" s="21" t="str">
        <f t="shared" si="11"/>
        <v>Sa</v>
      </c>
      <c r="AF37" s="21" t="str">
        <f t="shared" si="11"/>
        <v>Su</v>
      </c>
      <c r="AG37" s="17"/>
    </row>
    <row r="38" spans="2:33" ht="14.4" thickTop="1" thickBot="1">
      <c r="B38" s="32" t="str">
        <f>Roster!C194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2019</v>
      </c>
      <c r="C39" s="36" t="str">
        <f>Roster!D205</f>
        <v>.</v>
      </c>
      <c r="D39" s="37" t="str">
        <f>Roster!E205</f>
        <v>.</v>
      </c>
      <c r="E39" s="37" t="str">
        <f>Roster!F205</f>
        <v>.</v>
      </c>
      <c r="F39" s="37" t="str">
        <f>Roster!G205</f>
        <v>.</v>
      </c>
      <c r="G39" s="37" t="str">
        <f>Roster!H205</f>
        <v>.</v>
      </c>
      <c r="H39" s="37" t="str">
        <f>Roster!I205</f>
        <v>.</v>
      </c>
      <c r="I39" s="37" t="str">
        <f>Roster!J205</f>
        <v>.</v>
      </c>
      <c r="J39" s="37" t="str">
        <f>Roster!K205</f>
        <v>.</v>
      </c>
      <c r="K39" s="37" t="str">
        <f>Roster!L205</f>
        <v>.</v>
      </c>
      <c r="L39" s="37" t="str">
        <f>Roster!M205</f>
        <v>.</v>
      </c>
      <c r="M39" s="37" t="str">
        <f>Roster!N205</f>
        <v>.</v>
      </c>
      <c r="N39" s="37" t="str">
        <f>Roster!O205</f>
        <v>.</v>
      </c>
      <c r="O39" s="37" t="str">
        <f>Roster!P205</f>
        <v>.</v>
      </c>
      <c r="P39" s="37" t="str">
        <f>Roster!Q205</f>
        <v>.</v>
      </c>
      <c r="Q39" s="37" t="str">
        <f>Roster!R205</f>
        <v>.</v>
      </c>
      <c r="R39" s="37" t="str">
        <f>Roster!S205</f>
        <v>.</v>
      </c>
      <c r="S39" s="37" t="str">
        <f>Roster!T205</f>
        <v>.</v>
      </c>
      <c r="T39" s="37" t="str">
        <f>Roster!U205</f>
        <v>.</v>
      </c>
      <c r="U39" s="37" t="str">
        <f>Roster!V205</f>
        <v>.</v>
      </c>
      <c r="V39" s="37" t="str">
        <f>Roster!W205</f>
        <v>.</v>
      </c>
      <c r="W39" s="37" t="str">
        <f>Roster!X205</f>
        <v>.</v>
      </c>
      <c r="X39" s="37" t="str">
        <f>Roster!Y205</f>
        <v>.</v>
      </c>
      <c r="Y39" s="37" t="str">
        <f>Roster!Z205</f>
        <v>.</v>
      </c>
      <c r="Z39" s="37" t="str">
        <f>Roster!AA205</f>
        <v>.</v>
      </c>
      <c r="AA39" s="37" t="str">
        <f>Roster!AB205</f>
        <v>.</v>
      </c>
      <c r="AB39" s="37" t="str">
        <f>Roster!AC205</f>
        <v>.</v>
      </c>
      <c r="AC39" s="37" t="str">
        <f>Roster!AD205</f>
        <v>.</v>
      </c>
      <c r="AD39" s="37" t="str">
        <f>Roster!AE205</f>
        <v>.</v>
      </c>
      <c r="AE39" s="37" t="str">
        <f>Roster!AF205</f>
        <v>.</v>
      </c>
      <c r="AF39" s="38" t="str">
        <f>Roster!AG205</f>
        <v>.</v>
      </c>
    </row>
    <row r="40" spans="2:33" ht="13.8" thickTop="1"/>
  </sheetData>
  <sheetProtection sheet="1" objects="1" scenarios="1" selectLockedCells="1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12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8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8" t="str">
        <f xml:space="preserve"> "Financial Year Commencing 1st July, " &amp; CurYear -1</f>
        <v>Financial Year Commencing 1st July, 2018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39" t="s">
        <v>25</v>
      </c>
      <c r="R3" s="139" t="str">
        <f>EmpGName12 &amp;" " &amp; EmpSName12</f>
        <v>4Bod Odd4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8" thickBot="1">
      <c r="C4" s="28" t="str">
        <f t="shared" ref="C4:AG4" si="0">LEFT(TEXT(C5&amp;"-"&amp;$B5&amp;"-"&amp;CurYear-1,"ddd"),2)</f>
        <v>Su</v>
      </c>
      <c r="D4" s="28" t="str">
        <f t="shared" si="0"/>
        <v>Mo</v>
      </c>
      <c r="E4" s="28" t="str">
        <f t="shared" si="0"/>
        <v>Tu</v>
      </c>
      <c r="F4" s="28" t="str">
        <f t="shared" si="0"/>
        <v>We</v>
      </c>
      <c r="G4" s="28" t="str">
        <f t="shared" si="0"/>
        <v>Th</v>
      </c>
      <c r="H4" s="28" t="str">
        <f t="shared" si="0"/>
        <v>Fr</v>
      </c>
      <c r="I4" s="28" t="str">
        <f t="shared" si="0"/>
        <v>Sa</v>
      </c>
      <c r="J4" s="28" t="str">
        <f t="shared" si="0"/>
        <v>Su</v>
      </c>
      <c r="K4" s="28" t="str">
        <f t="shared" si="0"/>
        <v>Mo</v>
      </c>
      <c r="L4" s="28" t="str">
        <f t="shared" si="0"/>
        <v>Tu</v>
      </c>
      <c r="M4" s="28" t="str">
        <f t="shared" si="0"/>
        <v>We</v>
      </c>
      <c r="N4" s="28" t="str">
        <f t="shared" si="0"/>
        <v>Th</v>
      </c>
      <c r="O4" s="28" t="str">
        <f t="shared" si="0"/>
        <v>Fr</v>
      </c>
      <c r="P4" s="28" t="str">
        <f t="shared" si="0"/>
        <v>Sa</v>
      </c>
      <c r="Q4" s="28" t="str">
        <f t="shared" si="0"/>
        <v>Su</v>
      </c>
      <c r="R4" s="28" t="str">
        <f t="shared" si="0"/>
        <v>Mo</v>
      </c>
      <c r="S4" s="28" t="str">
        <f t="shared" si="0"/>
        <v>Tu</v>
      </c>
      <c r="T4" s="28" t="str">
        <f t="shared" si="0"/>
        <v>We</v>
      </c>
      <c r="U4" s="28" t="str">
        <f t="shared" si="0"/>
        <v>Th</v>
      </c>
      <c r="V4" s="28" t="str">
        <f t="shared" si="0"/>
        <v>Fr</v>
      </c>
      <c r="W4" s="28" t="str">
        <f t="shared" si="0"/>
        <v>Sa</v>
      </c>
      <c r="X4" s="28" t="str">
        <f t="shared" si="0"/>
        <v>Su</v>
      </c>
      <c r="Y4" s="28" t="str">
        <f t="shared" si="0"/>
        <v>Mo</v>
      </c>
      <c r="Z4" s="28" t="str">
        <f t="shared" si="0"/>
        <v>Tu</v>
      </c>
      <c r="AA4" s="28" t="str">
        <f t="shared" si="0"/>
        <v>We</v>
      </c>
      <c r="AB4" s="28" t="str">
        <f t="shared" si="0"/>
        <v>Th</v>
      </c>
      <c r="AC4" s="28" t="str">
        <f t="shared" si="0"/>
        <v>Fr</v>
      </c>
      <c r="AD4" s="28" t="str">
        <f t="shared" si="0"/>
        <v>Sa</v>
      </c>
      <c r="AE4" s="28" t="str">
        <f t="shared" si="0"/>
        <v>Su</v>
      </c>
      <c r="AF4" s="28" t="str">
        <f t="shared" si="0"/>
        <v>Mo</v>
      </c>
      <c r="AG4" s="20" t="str">
        <f t="shared" si="0"/>
        <v>Tu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2018</v>
      </c>
      <c r="C6" s="36" t="str">
        <f>Roster!D25</f>
        <v>.</v>
      </c>
      <c r="D6" s="37" t="str">
        <f>Roster!E25</f>
        <v>.</v>
      </c>
      <c r="E6" s="37" t="str">
        <f>Roster!F25</f>
        <v>.</v>
      </c>
      <c r="F6" s="37" t="str">
        <f>Roster!G25</f>
        <v>.</v>
      </c>
      <c r="G6" s="37" t="str">
        <f>Roster!H25</f>
        <v>.</v>
      </c>
      <c r="H6" s="37" t="str">
        <f>Roster!I25</f>
        <v>.</v>
      </c>
      <c r="I6" s="37" t="str">
        <f>Roster!J25</f>
        <v>.</v>
      </c>
      <c r="J6" s="37" t="str">
        <f>Roster!K25</f>
        <v>.</v>
      </c>
      <c r="K6" s="37" t="str">
        <f>Roster!L25</f>
        <v>.</v>
      </c>
      <c r="L6" s="37" t="str">
        <f>Roster!M25</f>
        <v>.</v>
      </c>
      <c r="M6" s="37" t="str">
        <f>Roster!N25</f>
        <v>.</v>
      </c>
      <c r="N6" s="37" t="str">
        <f>Roster!O25</f>
        <v>.</v>
      </c>
      <c r="O6" s="37" t="str">
        <f>Roster!P25</f>
        <v>.</v>
      </c>
      <c r="P6" s="37" t="str">
        <f>Roster!Q25</f>
        <v>.</v>
      </c>
      <c r="Q6" s="37" t="str">
        <f>Roster!R25</f>
        <v>.</v>
      </c>
      <c r="R6" s="37" t="str">
        <f>Roster!S25</f>
        <v>.</v>
      </c>
      <c r="S6" s="37" t="str">
        <f>Roster!T25</f>
        <v>.</v>
      </c>
      <c r="T6" s="37" t="str">
        <f>Roster!U25</f>
        <v>.</v>
      </c>
      <c r="U6" s="37" t="str">
        <f>Roster!V25</f>
        <v>.</v>
      </c>
      <c r="V6" s="37" t="str">
        <f>Roster!W25</f>
        <v>.</v>
      </c>
      <c r="W6" s="37" t="str">
        <f>Roster!X25</f>
        <v>.</v>
      </c>
      <c r="X6" s="37" t="str">
        <f>Roster!Y25</f>
        <v>.</v>
      </c>
      <c r="Y6" s="37" t="str">
        <f>Roster!Z25</f>
        <v>.</v>
      </c>
      <c r="Z6" s="37" t="str">
        <f>Roster!AA25</f>
        <v>.</v>
      </c>
      <c r="AA6" s="37" t="str">
        <f>Roster!AB25</f>
        <v>.</v>
      </c>
      <c r="AB6" s="37" t="str">
        <f>Roster!AC25</f>
        <v>.</v>
      </c>
      <c r="AC6" s="37" t="str">
        <f>Roster!AD25</f>
        <v>.</v>
      </c>
      <c r="AD6" s="37" t="str">
        <f>Roster!AE25</f>
        <v>.</v>
      </c>
      <c r="AE6" s="37" t="str">
        <f>Roster!AF25</f>
        <v>.</v>
      </c>
      <c r="AF6" s="37" t="str">
        <f>Roster!AG25</f>
        <v>.</v>
      </c>
      <c r="AG6" s="38" t="str">
        <f>Roster!AH25</f>
        <v>.</v>
      </c>
    </row>
    <row r="7" spans="2:33" ht="14.4" thickTop="1" thickBot="1">
      <c r="C7" s="21" t="str">
        <f t="shared" ref="C7:AG7" si="1">LEFT(TEXT(C8&amp;"-"&amp;$B8&amp;"-"&amp;CurYear-1,"ddd"),2)</f>
        <v>We</v>
      </c>
      <c r="D7" s="21" t="str">
        <f t="shared" si="1"/>
        <v>Th</v>
      </c>
      <c r="E7" s="21" t="str">
        <f t="shared" si="1"/>
        <v>Fr</v>
      </c>
      <c r="F7" s="21" t="str">
        <f t="shared" si="1"/>
        <v>Sa</v>
      </c>
      <c r="G7" s="21" t="str">
        <f t="shared" si="1"/>
        <v>Su</v>
      </c>
      <c r="H7" s="21" t="str">
        <f t="shared" si="1"/>
        <v>Mo</v>
      </c>
      <c r="I7" s="21" t="str">
        <f t="shared" si="1"/>
        <v>Tu</v>
      </c>
      <c r="J7" s="21" t="str">
        <f t="shared" si="1"/>
        <v>We</v>
      </c>
      <c r="K7" s="21" t="str">
        <f t="shared" si="1"/>
        <v>Th</v>
      </c>
      <c r="L7" s="21" t="str">
        <f t="shared" si="1"/>
        <v>Fr</v>
      </c>
      <c r="M7" s="21" t="str">
        <f t="shared" si="1"/>
        <v>Sa</v>
      </c>
      <c r="N7" s="21" t="str">
        <f t="shared" si="1"/>
        <v>Su</v>
      </c>
      <c r="O7" s="21" t="str">
        <f t="shared" si="1"/>
        <v>Mo</v>
      </c>
      <c r="P7" s="21" t="str">
        <f t="shared" si="1"/>
        <v>Tu</v>
      </c>
      <c r="Q7" s="21" t="str">
        <f t="shared" si="1"/>
        <v>We</v>
      </c>
      <c r="R7" s="21" t="str">
        <f t="shared" si="1"/>
        <v>Th</v>
      </c>
      <c r="S7" s="21" t="str">
        <f t="shared" si="1"/>
        <v>Fr</v>
      </c>
      <c r="T7" s="21" t="str">
        <f t="shared" si="1"/>
        <v>Sa</v>
      </c>
      <c r="U7" s="21" t="str">
        <f t="shared" si="1"/>
        <v>Su</v>
      </c>
      <c r="V7" s="21" t="str">
        <f t="shared" si="1"/>
        <v>Mo</v>
      </c>
      <c r="W7" s="21" t="str">
        <f t="shared" si="1"/>
        <v>Tu</v>
      </c>
      <c r="X7" s="21" t="str">
        <f t="shared" si="1"/>
        <v>We</v>
      </c>
      <c r="Y7" s="21" t="str">
        <f t="shared" si="1"/>
        <v>Th</v>
      </c>
      <c r="Z7" s="21" t="str">
        <f t="shared" si="1"/>
        <v>Fr</v>
      </c>
      <c r="AA7" s="21" t="str">
        <f t="shared" si="1"/>
        <v>Sa</v>
      </c>
      <c r="AB7" s="21" t="str">
        <f t="shared" si="1"/>
        <v>Su</v>
      </c>
      <c r="AC7" s="21" t="str">
        <f t="shared" si="1"/>
        <v>Mo</v>
      </c>
      <c r="AD7" s="21" t="str">
        <f t="shared" si="1"/>
        <v>Tu</v>
      </c>
      <c r="AE7" s="21" t="str">
        <f t="shared" si="1"/>
        <v>We</v>
      </c>
      <c r="AF7" s="21" t="str">
        <f t="shared" si="1"/>
        <v>Th</v>
      </c>
      <c r="AG7" s="21" t="str">
        <f t="shared" si="1"/>
        <v>Fr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2018</v>
      </c>
      <c r="C9" s="36" t="str">
        <f>Roster!D56</f>
        <v>.</v>
      </c>
      <c r="D9" s="39" t="str">
        <f>Roster!E56</f>
        <v>.</v>
      </c>
      <c r="E9" s="37" t="str">
        <f>Roster!F56</f>
        <v>.</v>
      </c>
      <c r="F9" s="37" t="str">
        <f>Roster!G56</f>
        <v>.</v>
      </c>
      <c r="G9" s="37" t="str">
        <f>Roster!H56</f>
        <v>.</v>
      </c>
      <c r="H9" s="37" t="str">
        <f>Roster!I56</f>
        <v>.</v>
      </c>
      <c r="I9" s="37" t="str">
        <f>Roster!J56</f>
        <v>.</v>
      </c>
      <c r="J9" s="37" t="str">
        <f>Roster!K56</f>
        <v>.</v>
      </c>
      <c r="K9" s="37" t="str">
        <f>Roster!L56</f>
        <v>.</v>
      </c>
      <c r="L9" s="37" t="str">
        <f>Roster!M56</f>
        <v>.</v>
      </c>
      <c r="M9" s="37" t="str">
        <f>Roster!N56</f>
        <v>.</v>
      </c>
      <c r="N9" s="37" t="str">
        <f>Roster!O56</f>
        <v>.</v>
      </c>
      <c r="O9" s="37" t="str">
        <f>Roster!P56</f>
        <v>.</v>
      </c>
      <c r="P9" s="37" t="str">
        <f>Roster!Q56</f>
        <v>.</v>
      </c>
      <c r="Q9" s="37" t="str">
        <f>Roster!R56</f>
        <v>.</v>
      </c>
      <c r="R9" s="37" t="str">
        <f>Roster!S56</f>
        <v>.</v>
      </c>
      <c r="S9" s="37" t="str">
        <f>Roster!T56</f>
        <v>.</v>
      </c>
      <c r="T9" s="37" t="str">
        <f>Roster!U56</f>
        <v>.</v>
      </c>
      <c r="U9" s="37" t="str">
        <f>Roster!V56</f>
        <v>.</v>
      </c>
      <c r="V9" s="37" t="str">
        <f>Roster!W56</f>
        <v>.</v>
      </c>
      <c r="W9" s="37" t="str">
        <f>Roster!X56</f>
        <v>.</v>
      </c>
      <c r="X9" s="37" t="str">
        <f>Roster!Y56</f>
        <v>.</v>
      </c>
      <c r="Y9" s="37" t="str">
        <f>Roster!Z56</f>
        <v>.</v>
      </c>
      <c r="Z9" s="37" t="str">
        <f>Roster!AA56</f>
        <v>.</v>
      </c>
      <c r="AA9" s="37" t="str">
        <f>Roster!AB56</f>
        <v>.</v>
      </c>
      <c r="AB9" s="37" t="str">
        <f>Roster!AC56</f>
        <v>.</v>
      </c>
      <c r="AC9" s="37" t="str">
        <f>Roster!AD56</f>
        <v>.</v>
      </c>
      <c r="AD9" s="37" t="str">
        <f>Roster!AE56</f>
        <v>.</v>
      </c>
      <c r="AE9" s="37" t="str">
        <f>Roster!AF56</f>
        <v>.</v>
      </c>
      <c r="AF9" s="37" t="str">
        <f>Roster!AG56</f>
        <v>.</v>
      </c>
      <c r="AG9" s="38" t="str">
        <f>Roster!AH56</f>
        <v>.</v>
      </c>
    </row>
    <row r="10" spans="2:33" ht="14.4" thickTop="1" thickBot="1">
      <c r="C10" s="21" t="str">
        <f t="shared" ref="C10:AF10" si="2">LEFT(TEXT(C11&amp;"-"&amp;$B11&amp;"-"&amp;CurYear-1,"ddd"),2)</f>
        <v>Sa</v>
      </c>
      <c r="D10" s="21" t="str">
        <f t="shared" si="2"/>
        <v>Su</v>
      </c>
      <c r="E10" s="21" t="str">
        <f t="shared" si="2"/>
        <v>Mo</v>
      </c>
      <c r="F10" s="21" t="str">
        <f t="shared" si="2"/>
        <v>Tu</v>
      </c>
      <c r="G10" s="21" t="str">
        <f t="shared" si="2"/>
        <v>We</v>
      </c>
      <c r="H10" s="21" t="str">
        <f t="shared" si="2"/>
        <v>Th</v>
      </c>
      <c r="I10" s="21" t="str">
        <f t="shared" si="2"/>
        <v>Fr</v>
      </c>
      <c r="J10" s="21" t="str">
        <f t="shared" si="2"/>
        <v>Sa</v>
      </c>
      <c r="K10" s="21" t="str">
        <f t="shared" si="2"/>
        <v>Su</v>
      </c>
      <c r="L10" s="21" t="str">
        <f t="shared" si="2"/>
        <v>Mo</v>
      </c>
      <c r="M10" s="21" t="str">
        <f t="shared" si="2"/>
        <v>Tu</v>
      </c>
      <c r="N10" s="21" t="str">
        <f t="shared" si="2"/>
        <v>We</v>
      </c>
      <c r="O10" s="21" t="str">
        <f t="shared" si="2"/>
        <v>Th</v>
      </c>
      <c r="P10" s="21" t="str">
        <f t="shared" si="2"/>
        <v>Fr</v>
      </c>
      <c r="Q10" s="21" t="str">
        <f t="shared" si="2"/>
        <v>Sa</v>
      </c>
      <c r="R10" s="21" t="str">
        <f t="shared" si="2"/>
        <v>Su</v>
      </c>
      <c r="S10" s="21" t="str">
        <f t="shared" si="2"/>
        <v>Mo</v>
      </c>
      <c r="T10" s="21" t="str">
        <f t="shared" si="2"/>
        <v>Tu</v>
      </c>
      <c r="U10" s="21" t="str">
        <f t="shared" si="2"/>
        <v>We</v>
      </c>
      <c r="V10" s="21" t="str">
        <f t="shared" si="2"/>
        <v>Th</v>
      </c>
      <c r="W10" s="21" t="str">
        <f t="shared" si="2"/>
        <v>Fr</v>
      </c>
      <c r="X10" s="21" t="str">
        <f t="shared" si="2"/>
        <v>Sa</v>
      </c>
      <c r="Y10" s="21" t="str">
        <f t="shared" si="2"/>
        <v>Su</v>
      </c>
      <c r="Z10" s="21" t="str">
        <f t="shared" si="2"/>
        <v>Mo</v>
      </c>
      <c r="AA10" s="21" t="str">
        <f t="shared" si="2"/>
        <v>Tu</v>
      </c>
      <c r="AB10" s="21" t="str">
        <f t="shared" si="2"/>
        <v>We</v>
      </c>
      <c r="AC10" s="21" t="str">
        <f t="shared" si="2"/>
        <v>Th</v>
      </c>
      <c r="AD10" s="21" t="str">
        <f t="shared" si="2"/>
        <v>Fr</v>
      </c>
      <c r="AE10" s="21" t="str">
        <f t="shared" si="2"/>
        <v>Sa</v>
      </c>
      <c r="AF10" s="21" t="str">
        <f t="shared" si="2"/>
        <v>Su</v>
      </c>
      <c r="AG10" s="17"/>
    </row>
    <row r="11" spans="2:33" ht="14.4" thickTop="1" thickBot="1">
      <c r="B11" s="32" t="str">
        <f>Roster!C59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2018</v>
      </c>
      <c r="C12" s="36" t="str">
        <f>Roster!D71</f>
        <v>.</v>
      </c>
      <c r="D12" s="37" t="str">
        <f>Roster!E71</f>
        <v>.</v>
      </c>
      <c r="E12" s="37" t="str">
        <f>Roster!F71</f>
        <v>.</v>
      </c>
      <c r="F12" s="37" t="str">
        <f>Roster!G71</f>
        <v>.</v>
      </c>
      <c r="G12" s="37" t="str">
        <f>Roster!H71</f>
        <v>.</v>
      </c>
      <c r="H12" s="37" t="str">
        <f>Roster!I71</f>
        <v>.</v>
      </c>
      <c r="I12" s="37" t="str">
        <f>Roster!J71</f>
        <v>.</v>
      </c>
      <c r="J12" s="37" t="str">
        <f>Roster!K71</f>
        <v>.</v>
      </c>
      <c r="K12" s="37" t="str">
        <f>Roster!L71</f>
        <v>.</v>
      </c>
      <c r="L12" s="37" t="str">
        <f>Roster!M71</f>
        <v>.</v>
      </c>
      <c r="M12" s="37" t="str">
        <f>Roster!N71</f>
        <v>.</v>
      </c>
      <c r="N12" s="37" t="str">
        <f>Roster!O71</f>
        <v>.</v>
      </c>
      <c r="O12" s="37" t="str">
        <f>Roster!P71</f>
        <v>.</v>
      </c>
      <c r="P12" s="37" t="str">
        <f>Roster!Q71</f>
        <v>.</v>
      </c>
      <c r="Q12" s="37" t="str">
        <f>Roster!R71</f>
        <v>.</v>
      </c>
      <c r="R12" s="37" t="str">
        <f>Roster!S71</f>
        <v>.</v>
      </c>
      <c r="S12" s="37" t="str">
        <f>Roster!T71</f>
        <v>.</v>
      </c>
      <c r="T12" s="37" t="str">
        <f>Roster!U71</f>
        <v>.</v>
      </c>
      <c r="U12" s="37" t="str">
        <f>Roster!V71</f>
        <v>.</v>
      </c>
      <c r="V12" s="37" t="str">
        <f>Roster!W71</f>
        <v>.</v>
      </c>
      <c r="W12" s="37" t="str">
        <f>Roster!X71</f>
        <v>.</v>
      </c>
      <c r="X12" s="37" t="str">
        <f>Roster!Y71</f>
        <v>.</v>
      </c>
      <c r="Y12" s="37" t="str">
        <f>Roster!Z71</f>
        <v>.</v>
      </c>
      <c r="Z12" s="37" t="str">
        <f>Roster!AA71</f>
        <v>.</v>
      </c>
      <c r="AA12" s="37" t="str">
        <f>Roster!AB71</f>
        <v>.</v>
      </c>
      <c r="AB12" s="37" t="str">
        <f>Roster!AC71</f>
        <v>.</v>
      </c>
      <c r="AC12" s="37" t="str">
        <f>Roster!AD71</f>
        <v>.</v>
      </c>
      <c r="AD12" s="37" t="str">
        <f>Roster!AE71</f>
        <v>.</v>
      </c>
      <c r="AE12" s="37" t="str">
        <f>Roster!AF71</f>
        <v>.</v>
      </c>
      <c r="AF12" s="38" t="str">
        <f>Roster!AG71</f>
        <v>.</v>
      </c>
    </row>
    <row r="13" spans="2:33" ht="14.4" thickTop="1" thickBot="1">
      <c r="C13" s="21" t="str">
        <f t="shared" ref="C13:AG13" si="3">LEFT(TEXT(C14&amp;"-"&amp;$B14&amp;"-"&amp;CurYear-1,"ddd"),2)</f>
        <v>Mo</v>
      </c>
      <c r="D13" s="21" t="str">
        <f t="shared" si="3"/>
        <v>Tu</v>
      </c>
      <c r="E13" s="21" t="str">
        <f t="shared" si="3"/>
        <v>We</v>
      </c>
      <c r="F13" s="21" t="str">
        <f t="shared" si="3"/>
        <v>Th</v>
      </c>
      <c r="G13" s="21" t="str">
        <f t="shared" si="3"/>
        <v>Fr</v>
      </c>
      <c r="H13" s="21" t="str">
        <f t="shared" si="3"/>
        <v>Sa</v>
      </c>
      <c r="I13" s="21" t="str">
        <f t="shared" si="3"/>
        <v>Su</v>
      </c>
      <c r="J13" s="21" t="str">
        <f t="shared" si="3"/>
        <v>Mo</v>
      </c>
      <c r="K13" s="21" t="str">
        <f t="shared" si="3"/>
        <v>Tu</v>
      </c>
      <c r="L13" s="21" t="str">
        <f t="shared" si="3"/>
        <v>We</v>
      </c>
      <c r="M13" s="21" t="str">
        <f t="shared" si="3"/>
        <v>Th</v>
      </c>
      <c r="N13" s="21" t="str">
        <f t="shared" si="3"/>
        <v>Fr</v>
      </c>
      <c r="O13" s="21" t="str">
        <f t="shared" si="3"/>
        <v>Sa</v>
      </c>
      <c r="P13" s="21" t="str">
        <f t="shared" si="3"/>
        <v>Su</v>
      </c>
      <c r="Q13" s="21" t="str">
        <f t="shared" si="3"/>
        <v>Mo</v>
      </c>
      <c r="R13" s="21" t="str">
        <f t="shared" si="3"/>
        <v>Tu</v>
      </c>
      <c r="S13" s="21" t="str">
        <f t="shared" si="3"/>
        <v>We</v>
      </c>
      <c r="T13" s="21" t="str">
        <f t="shared" si="3"/>
        <v>Th</v>
      </c>
      <c r="U13" s="21" t="str">
        <f t="shared" si="3"/>
        <v>Fr</v>
      </c>
      <c r="V13" s="21" t="str">
        <f t="shared" si="3"/>
        <v>Sa</v>
      </c>
      <c r="W13" s="21" t="str">
        <f t="shared" si="3"/>
        <v>Su</v>
      </c>
      <c r="X13" s="21" t="str">
        <f t="shared" si="3"/>
        <v>Mo</v>
      </c>
      <c r="Y13" s="21" t="str">
        <f t="shared" si="3"/>
        <v>Tu</v>
      </c>
      <c r="Z13" s="21" t="str">
        <f t="shared" si="3"/>
        <v>We</v>
      </c>
      <c r="AA13" s="21" t="str">
        <f t="shared" si="3"/>
        <v>Th</v>
      </c>
      <c r="AB13" s="21" t="str">
        <f t="shared" si="3"/>
        <v>Fr</v>
      </c>
      <c r="AC13" s="21" t="str">
        <f t="shared" si="3"/>
        <v>Sa</v>
      </c>
      <c r="AD13" s="21" t="str">
        <f t="shared" si="3"/>
        <v>Su</v>
      </c>
      <c r="AE13" s="21" t="str">
        <f t="shared" si="3"/>
        <v>Mo</v>
      </c>
      <c r="AF13" s="21" t="str">
        <f t="shared" si="3"/>
        <v>Tu</v>
      </c>
      <c r="AG13" s="20" t="str">
        <f t="shared" si="3"/>
        <v>We</v>
      </c>
    </row>
    <row r="14" spans="2:33" ht="14.4" thickTop="1" thickBot="1">
      <c r="B14" s="32" t="str">
        <f>Roster!C74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2018</v>
      </c>
      <c r="C15" s="36" t="str">
        <f>Roster!D86</f>
        <v>.</v>
      </c>
      <c r="D15" s="37" t="str">
        <f>Roster!E86</f>
        <v>.</v>
      </c>
      <c r="E15" s="37" t="str">
        <f>Roster!F86</f>
        <v>.</v>
      </c>
      <c r="F15" s="37" t="str">
        <f>Roster!G86</f>
        <v>.</v>
      </c>
      <c r="G15" s="37" t="str">
        <f>Roster!H86</f>
        <v>.</v>
      </c>
      <c r="H15" s="37" t="str">
        <f>Roster!I86</f>
        <v>.</v>
      </c>
      <c r="I15" s="37" t="str">
        <f>Roster!J86</f>
        <v>.</v>
      </c>
      <c r="J15" s="37" t="str">
        <f>Roster!K86</f>
        <v>.</v>
      </c>
      <c r="K15" s="37" t="str">
        <f>Roster!L86</f>
        <v>.</v>
      </c>
      <c r="L15" s="37" t="str">
        <f>Roster!M86</f>
        <v>.</v>
      </c>
      <c r="M15" s="37" t="str">
        <f>Roster!N86</f>
        <v>.</v>
      </c>
      <c r="N15" s="37" t="str">
        <f>Roster!O86</f>
        <v>.</v>
      </c>
      <c r="O15" s="37" t="str">
        <f>Roster!P86</f>
        <v>.</v>
      </c>
      <c r="P15" s="37" t="str">
        <f>Roster!Q86</f>
        <v>.</v>
      </c>
      <c r="Q15" s="37" t="str">
        <f>Roster!R86</f>
        <v>.</v>
      </c>
      <c r="R15" s="37" t="str">
        <f>Roster!S86</f>
        <v>.</v>
      </c>
      <c r="S15" s="37" t="str">
        <f>Roster!T86</f>
        <v>.</v>
      </c>
      <c r="T15" s="37" t="str">
        <f>Roster!U86</f>
        <v>.</v>
      </c>
      <c r="U15" s="37" t="str">
        <f>Roster!V86</f>
        <v>.</v>
      </c>
      <c r="V15" s="37" t="str">
        <f>Roster!W86</f>
        <v>.</v>
      </c>
      <c r="W15" s="37" t="str">
        <f>Roster!X86</f>
        <v>.</v>
      </c>
      <c r="X15" s="37" t="str">
        <f>Roster!Y86</f>
        <v>.</v>
      </c>
      <c r="Y15" s="37" t="str">
        <f>Roster!Z86</f>
        <v>.</v>
      </c>
      <c r="Z15" s="37" t="str">
        <f>Roster!AA86</f>
        <v>.</v>
      </c>
      <c r="AA15" s="37" t="str">
        <f>Roster!AB86</f>
        <v>.</v>
      </c>
      <c r="AB15" s="37" t="str">
        <f>Roster!AC86</f>
        <v>.</v>
      </c>
      <c r="AC15" s="37" t="str">
        <f>Roster!AD86</f>
        <v>.</v>
      </c>
      <c r="AD15" s="37" t="str">
        <f>Roster!AE86</f>
        <v>.</v>
      </c>
      <c r="AE15" s="37" t="str">
        <f>Roster!AF86</f>
        <v>.</v>
      </c>
      <c r="AF15" s="37" t="str">
        <f>Roster!AG86</f>
        <v>.</v>
      </c>
      <c r="AG15" s="38" t="str">
        <f>Roster!AH86</f>
        <v>.</v>
      </c>
    </row>
    <row r="16" spans="2:33" ht="14.4" thickTop="1" thickBot="1">
      <c r="C16" s="21" t="str">
        <f t="shared" ref="C16:AF16" si="4">LEFT(TEXT(C17&amp;"-"&amp;$B17&amp;"-"&amp;CurYear-1,"ddd"),2)</f>
        <v>Th</v>
      </c>
      <c r="D16" s="21" t="str">
        <f t="shared" si="4"/>
        <v>Fr</v>
      </c>
      <c r="E16" s="21" t="str">
        <f t="shared" si="4"/>
        <v>Sa</v>
      </c>
      <c r="F16" s="21" t="str">
        <f t="shared" si="4"/>
        <v>Su</v>
      </c>
      <c r="G16" s="21" t="str">
        <f t="shared" si="4"/>
        <v>Mo</v>
      </c>
      <c r="H16" s="21" t="str">
        <f t="shared" si="4"/>
        <v>Tu</v>
      </c>
      <c r="I16" s="21" t="str">
        <f t="shared" si="4"/>
        <v>We</v>
      </c>
      <c r="J16" s="21" t="str">
        <f t="shared" si="4"/>
        <v>Th</v>
      </c>
      <c r="K16" s="21" t="str">
        <f t="shared" si="4"/>
        <v>Fr</v>
      </c>
      <c r="L16" s="21" t="str">
        <f t="shared" si="4"/>
        <v>Sa</v>
      </c>
      <c r="M16" s="21" t="str">
        <f t="shared" si="4"/>
        <v>Su</v>
      </c>
      <c r="N16" s="21" t="str">
        <f t="shared" si="4"/>
        <v>Mo</v>
      </c>
      <c r="O16" s="21" t="str">
        <f t="shared" si="4"/>
        <v>Tu</v>
      </c>
      <c r="P16" s="21" t="str">
        <f t="shared" si="4"/>
        <v>We</v>
      </c>
      <c r="Q16" s="21" t="str">
        <f t="shared" si="4"/>
        <v>Th</v>
      </c>
      <c r="R16" s="21" t="str">
        <f t="shared" si="4"/>
        <v>Fr</v>
      </c>
      <c r="S16" s="21" t="str">
        <f t="shared" si="4"/>
        <v>Sa</v>
      </c>
      <c r="T16" s="21" t="str">
        <f t="shared" si="4"/>
        <v>Su</v>
      </c>
      <c r="U16" s="21" t="str">
        <f t="shared" si="4"/>
        <v>Mo</v>
      </c>
      <c r="V16" s="21" t="str">
        <f t="shared" si="4"/>
        <v>Tu</v>
      </c>
      <c r="W16" s="21" t="str">
        <f t="shared" si="4"/>
        <v>We</v>
      </c>
      <c r="X16" s="21" t="str">
        <f t="shared" si="4"/>
        <v>Th</v>
      </c>
      <c r="Y16" s="21" t="str">
        <f t="shared" si="4"/>
        <v>Fr</v>
      </c>
      <c r="Z16" s="21" t="str">
        <f t="shared" si="4"/>
        <v>Sa</v>
      </c>
      <c r="AA16" s="21" t="str">
        <f t="shared" si="4"/>
        <v>Su</v>
      </c>
      <c r="AB16" s="21" t="str">
        <f t="shared" si="4"/>
        <v>Mo</v>
      </c>
      <c r="AC16" s="21" t="str">
        <f t="shared" si="4"/>
        <v>Tu</v>
      </c>
      <c r="AD16" s="21" t="str">
        <f t="shared" si="4"/>
        <v>We</v>
      </c>
      <c r="AE16" s="21" t="str">
        <f t="shared" si="4"/>
        <v>Th</v>
      </c>
      <c r="AF16" s="21" t="str">
        <f t="shared" si="4"/>
        <v>Fr</v>
      </c>
      <c r="AG16" s="17"/>
    </row>
    <row r="17" spans="2:33" ht="14.4" thickTop="1" thickBot="1">
      <c r="B17" s="32" t="str">
        <f>Roster!C89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2018</v>
      </c>
      <c r="C18" s="36" t="str">
        <f>Roster!D101</f>
        <v>.</v>
      </c>
      <c r="D18" s="37" t="str">
        <f>Roster!E101</f>
        <v>.</v>
      </c>
      <c r="E18" s="37" t="str">
        <f>Roster!F101</f>
        <v>.</v>
      </c>
      <c r="F18" s="37" t="str">
        <f>Roster!G101</f>
        <v>.</v>
      </c>
      <c r="G18" s="37" t="str">
        <f>Roster!H101</f>
        <v>.</v>
      </c>
      <c r="H18" s="37" t="str">
        <f>Roster!I101</f>
        <v>.</v>
      </c>
      <c r="I18" s="37" t="str">
        <f>Roster!J101</f>
        <v>.</v>
      </c>
      <c r="J18" s="37" t="str">
        <f>Roster!K101</f>
        <v>.</v>
      </c>
      <c r="K18" s="37" t="str">
        <f>Roster!L101</f>
        <v>.</v>
      </c>
      <c r="L18" s="37" t="str">
        <f>Roster!M101</f>
        <v>.</v>
      </c>
      <c r="M18" s="37" t="str">
        <f>Roster!N101</f>
        <v>.</v>
      </c>
      <c r="N18" s="37" t="str">
        <f>Roster!O101</f>
        <v>.</v>
      </c>
      <c r="O18" s="37" t="str">
        <f>Roster!P101</f>
        <v>.</v>
      </c>
      <c r="P18" s="37" t="str">
        <f>Roster!Q101</f>
        <v>.</v>
      </c>
      <c r="Q18" s="37" t="str">
        <f>Roster!R101</f>
        <v>.</v>
      </c>
      <c r="R18" s="37" t="str">
        <f>Roster!S101</f>
        <v>.</v>
      </c>
      <c r="S18" s="37" t="str">
        <f>Roster!T101</f>
        <v>.</v>
      </c>
      <c r="T18" s="37" t="str">
        <f>Roster!U101</f>
        <v>.</v>
      </c>
      <c r="U18" s="37" t="str">
        <f>Roster!V101</f>
        <v>.</v>
      </c>
      <c r="V18" s="37" t="str">
        <f>Roster!W101</f>
        <v>.</v>
      </c>
      <c r="W18" s="37" t="str">
        <f>Roster!X101</f>
        <v>.</v>
      </c>
      <c r="X18" s="37" t="str">
        <f>Roster!Y101</f>
        <v>.</v>
      </c>
      <c r="Y18" s="37" t="str">
        <f>Roster!Z101</f>
        <v>.</v>
      </c>
      <c r="Z18" s="37" t="str">
        <f>Roster!AA101</f>
        <v>.</v>
      </c>
      <c r="AA18" s="37" t="str">
        <f>Roster!AB101</f>
        <v>.</v>
      </c>
      <c r="AB18" s="37" t="str">
        <f>Roster!AC101</f>
        <v>.</v>
      </c>
      <c r="AC18" s="37" t="str">
        <f>Roster!AD101</f>
        <v>.</v>
      </c>
      <c r="AD18" s="37" t="str">
        <f>Roster!AE101</f>
        <v>.</v>
      </c>
      <c r="AE18" s="37" t="str">
        <f>Roster!AF101</f>
        <v>.</v>
      </c>
      <c r="AF18" s="38" t="str">
        <f>Roster!AG101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Sa</v>
      </c>
      <c r="D19" s="21" t="str">
        <f t="shared" si="5"/>
        <v>Su</v>
      </c>
      <c r="E19" s="21" t="str">
        <f t="shared" si="5"/>
        <v>Mo</v>
      </c>
      <c r="F19" s="21" t="str">
        <f t="shared" si="5"/>
        <v>Tu</v>
      </c>
      <c r="G19" s="21" t="str">
        <f t="shared" si="5"/>
        <v>We</v>
      </c>
      <c r="H19" s="21" t="str">
        <f t="shared" si="5"/>
        <v>Th</v>
      </c>
      <c r="I19" s="21" t="str">
        <f t="shared" si="5"/>
        <v>Fr</v>
      </c>
      <c r="J19" s="21" t="str">
        <f t="shared" si="5"/>
        <v>Sa</v>
      </c>
      <c r="K19" s="21" t="str">
        <f t="shared" si="5"/>
        <v>Su</v>
      </c>
      <c r="L19" s="21" t="str">
        <f t="shared" si="5"/>
        <v>Mo</v>
      </c>
      <c r="M19" s="21" t="str">
        <f t="shared" si="5"/>
        <v>Tu</v>
      </c>
      <c r="N19" s="21" t="str">
        <f t="shared" si="5"/>
        <v>We</v>
      </c>
      <c r="O19" s="21" t="str">
        <f t="shared" si="5"/>
        <v>Th</v>
      </c>
      <c r="P19" s="21" t="str">
        <f t="shared" si="5"/>
        <v>Fr</v>
      </c>
      <c r="Q19" s="21" t="str">
        <f t="shared" si="5"/>
        <v>Sa</v>
      </c>
      <c r="R19" s="21" t="str">
        <f t="shared" si="5"/>
        <v>Su</v>
      </c>
      <c r="S19" s="21" t="str">
        <f t="shared" si="5"/>
        <v>Mo</v>
      </c>
      <c r="T19" s="21" t="str">
        <f t="shared" si="5"/>
        <v>Tu</v>
      </c>
      <c r="U19" s="21" t="str">
        <f t="shared" si="5"/>
        <v>We</v>
      </c>
      <c r="V19" s="21" t="str">
        <f t="shared" si="5"/>
        <v>Th</v>
      </c>
      <c r="W19" s="21" t="str">
        <f t="shared" si="5"/>
        <v>Fr</v>
      </c>
      <c r="X19" s="21" t="str">
        <f t="shared" si="5"/>
        <v>Sa</v>
      </c>
      <c r="Y19" s="21" t="str">
        <f t="shared" si="5"/>
        <v>Su</v>
      </c>
      <c r="Z19" s="21" t="str">
        <f t="shared" si="5"/>
        <v>Mo</v>
      </c>
      <c r="AA19" s="21" t="str">
        <f t="shared" si="5"/>
        <v>Tu</v>
      </c>
      <c r="AB19" s="21" t="str">
        <f t="shared" si="5"/>
        <v>We</v>
      </c>
      <c r="AC19" s="21" t="str">
        <f t="shared" si="5"/>
        <v>Th</v>
      </c>
      <c r="AD19" s="21" t="str">
        <f t="shared" si="5"/>
        <v>Fr</v>
      </c>
      <c r="AE19" s="21" t="str">
        <f t="shared" si="5"/>
        <v>Sa</v>
      </c>
      <c r="AF19" s="21" t="str">
        <f t="shared" si="5"/>
        <v>Su</v>
      </c>
      <c r="AG19" s="28" t="str">
        <f t="shared" si="5"/>
        <v>Mo</v>
      </c>
    </row>
    <row r="20" spans="2:33" ht="14.4" thickTop="1" thickBot="1">
      <c r="B20" s="32" t="str">
        <f>Roster!C104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2018</v>
      </c>
      <c r="C21" s="36" t="str">
        <f>Roster!D116</f>
        <v>.</v>
      </c>
      <c r="D21" s="37" t="str">
        <f>Roster!E116</f>
        <v>.</v>
      </c>
      <c r="E21" s="37" t="str">
        <f>Roster!F116</f>
        <v>.</v>
      </c>
      <c r="F21" s="37" t="str">
        <f>Roster!G116</f>
        <v>.</v>
      </c>
      <c r="G21" s="37" t="str">
        <f>Roster!H116</f>
        <v>.</v>
      </c>
      <c r="H21" s="37" t="str">
        <f>Roster!I116</f>
        <v>.</v>
      </c>
      <c r="I21" s="37" t="str">
        <f>Roster!J116</f>
        <v>.</v>
      </c>
      <c r="J21" s="37" t="str">
        <f>Roster!K116</f>
        <v>.</v>
      </c>
      <c r="K21" s="37" t="str">
        <f>Roster!L116</f>
        <v>.</v>
      </c>
      <c r="L21" s="37" t="str">
        <f>Roster!M116</f>
        <v>.</v>
      </c>
      <c r="M21" s="37" t="str">
        <f>Roster!N116</f>
        <v>.</v>
      </c>
      <c r="N21" s="37" t="str">
        <f>Roster!O116</f>
        <v>.</v>
      </c>
      <c r="O21" s="37" t="str">
        <f>Roster!P116</f>
        <v>.</v>
      </c>
      <c r="P21" s="37" t="str">
        <f>Roster!Q116</f>
        <v>.</v>
      </c>
      <c r="Q21" s="37" t="str">
        <f>Roster!R116</f>
        <v>.</v>
      </c>
      <c r="R21" s="37" t="str">
        <f>Roster!S116</f>
        <v>.</v>
      </c>
      <c r="S21" s="37" t="str">
        <f>Roster!T116</f>
        <v>.</v>
      </c>
      <c r="T21" s="37" t="str">
        <f>Roster!U116</f>
        <v>.</v>
      </c>
      <c r="U21" s="37" t="str">
        <f>Roster!V116</f>
        <v>.</v>
      </c>
      <c r="V21" s="37" t="str">
        <f>Roster!W116</f>
        <v>.</v>
      </c>
      <c r="W21" s="37" t="str">
        <f>Roster!X116</f>
        <v>.</v>
      </c>
      <c r="X21" s="37" t="str">
        <f>Roster!Y116</f>
        <v>.</v>
      </c>
      <c r="Y21" s="37" t="str">
        <f>Roster!Z116</f>
        <v>.</v>
      </c>
      <c r="Z21" s="37" t="str">
        <f>Roster!AA116</f>
        <v>.</v>
      </c>
      <c r="AA21" s="37" t="str">
        <f>Roster!AB116</f>
        <v>.</v>
      </c>
      <c r="AB21" s="37" t="str">
        <f>Roster!AC116</f>
        <v>.</v>
      </c>
      <c r="AC21" s="37" t="str">
        <f>Roster!AD116</f>
        <v>.</v>
      </c>
      <c r="AD21" s="37" t="str">
        <f>Roster!AE116</f>
        <v>.</v>
      </c>
      <c r="AE21" s="37" t="str">
        <f>Roster!AF116</f>
        <v>.</v>
      </c>
      <c r="AF21" s="37" t="str">
        <f>Roster!AG116</f>
        <v>.</v>
      </c>
      <c r="AG21" s="38" t="str">
        <f>Roster!AH116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Tu</v>
      </c>
      <c r="D22" s="19" t="str">
        <f t="shared" si="6"/>
        <v>We</v>
      </c>
      <c r="E22" s="19" t="str">
        <f t="shared" si="6"/>
        <v>Th</v>
      </c>
      <c r="F22" s="19" t="str">
        <f t="shared" si="6"/>
        <v>Fr</v>
      </c>
      <c r="G22" s="19" t="str">
        <f t="shared" si="6"/>
        <v>Sa</v>
      </c>
      <c r="H22" s="19" t="str">
        <f t="shared" si="6"/>
        <v>Su</v>
      </c>
      <c r="I22" s="19" t="str">
        <f t="shared" si="6"/>
        <v>Mo</v>
      </c>
      <c r="J22" s="19" t="str">
        <f t="shared" si="6"/>
        <v>Tu</v>
      </c>
      <c r="K22" s="19" t="str">
        <f t="shared" si="6"/>
        <v>We</v>
      </c>
      <c r="L22" s="19" t="str">
        <f t="shared" si="6"/>
        <v>Th</v>
      </c>
      <c r="M22" s="19" t="str">
        <f t="shared" si="6"/>
        <v>Fr</v>
      </c>
      <c r="N22" s="19" t="str">
        <f t="shared" si="6"/>
        <v>Sa</v>
      </c>
      <c r="O22" s="19" t="str">
        <f t="shared" si="6"/>
        <v>Su</v>
      </c>
      <c r="P22" s="19" t="str">
        <f t="shared" si="6"/>
        <v>Mo</v>
      </c>
      <c r="Q22" s="19" t="str">
        <f t="shared" si="6"/>
        <v>Tu</v>
      </c>
      <c r="R22" s="19" t="str">
        <f t="shared" si="6"/>
        <v>We</v>
      </c>
      <c r="S22" s="19" t="str">
        <f t="shared" si="6"/>
        <v>Th</v>
      </c>
      <c r="T22" s="19" t="str">
        <f t="shared" si="6"/>
        <v>Fr</v>
      </c>
      <c r="U22" s="19" t="str">
        <f t="shared" si="6"/>
        <v>Sa</v>
      </c>
      <c r="V22" s="19" t="str">
        <f t="shared" si="6"/>
        <v>Su</v>
      </c>
      <c r="W22" s="19" t="str">
        <f t="shared" si="6"/>
        <v>Mo</v>
      </c>
      <c r="X22" s="19" t="str">
        <f t="shared" si="6"/>
        <v>Tu</v>
      </c>
      <c r="Y22" s="19" t="str">
        <f t="shared" si="6"/>
        <v>We</v>
      </c>
      <c r="Z22" s="19" t="str">
        <f t="shared" si="6"/>
        <v>Th</v>
      </c>
      <c r="AA22" s="19" t="str">
        <f t="shared" si="6"/>
        <v>Fr</v>
      </c>
      <c r="AB22" s="19" t="str">
        <f t="shared" si="6"/>
        <v>Sa</v>
      </c>
      <c r="AC22" s="19" t="str">
        <f t="shared" si="6"/>
        <v>Su</v>
      </c>
      <c r="AD22" s="19" t="str">
        <f t="shared" si="6"/>
        <v>Mo</v>
      </c>
      <c r="AE22" s="19" t="str">
        <f t="shared" si="6"/>
        <v>Tu</v>
      </c>
      <c r="AF22" s="19" t="str">
        <f t="shared" si="6"/>
        <v>We</v>
      </c>
      <c r="AG22" s="19" t="str">
        <f t="shared" si="6"/>
        <v>Th</v>
      </c>
    </row>
    <row r="23" spans="2:33" ht="14.4" thickTop="1" thickBot="1">
      <c r="B23" s="32" t="str">
        <f>Roster!$C$119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2019</v>
      </c>
      <c r="C24" s="52" t="str">
        <f>Roster!D131</f>
        <v>.</v>
      </c>
      <c r="D24" s="53" t="str">
        <f>Roster!E131</f>
        <v>.</v>
      </c>
      <c r="E24" s="53" t="str">
        <f>Roster!F131</f>
        <v>.</v>
      </c>
      <c r="F24" s="53" t="str">
        <f>Roster!G131</f>
        <v>.</v>
      </c>
      <c r="G24" s="53" t="str">
        <f>Roster!H131</f>
        <v>.</v>
      </c>
      <c r="H24" s="53" t="str">
        <f>Roster!I131</f>
        <v>.</v>
      </c>
      <c r="I24" s="53" t="str">
        <f>Roster!J131</f>
        <v>.</v>
      </c>
      <c r="J24" s="53" t="str">
        <f>Roster!K131</f>
        <v>.</v>
      </c>
      <c r="K24" s="53" t="str">
        <f>Roster!L131</f>
        <v>.</v>
      </c>
      <c r="L24" s="53" t="str">
        <f>Roster!M131</f>
        <v>.</v>
      </c>
      <c r="M24" s="53" t="str">
        <f>Roster!N131</f>
        <v>.</v>
      </c>
      <c r="N24" s="53" t="str">
        <f>Roster!O131</f>
        <v>.</v>
      </c>
      <c r="O24" s="53" t="str">
        <f>Roster!P131</f>
        <v>.</v>
      </c>
      <c r="P24" s="53" t="str">
        <f>Roster!Q131</f>
        <v>.</v>
      </c>
      <c r="Q24" s="53" t="str">
        <f>Roster!R131</f>
        <v>.</v>
      </c>
      <c r="R24" s="53" t="str">
        <f>Roster!S131</f>
        <v>.</v>
      </c>
      <c r="S24" s="53" t="str">
        <f>Roster!T131</f>
        <v>.</v>
      </c>
      <c r="T24" s="53" t="str">
        <f>Roster!U131</f>
        <v>.</v>
      </c>
      <c r="U24" s="53" t="str">
        <f>Roster!V131</f>
        <v>.</v>
      </c>
      <c r="V24" s="53" t="str">
        <f>Roster!W131</f>
        <v>.</v>
      </c>
      <c r="W24" s="53" t="str">
        <f>Roster!X131</f>
        <v>.</v>
      </c>
      <c r="X24" s="53" t="str">
        <f>Roster!Y131</f>
        <v>.</v>
      </c>
      <c r="Y24" s="53" t="str">
        <f>Roster!Z131</f>
        <v>.</v>
      </c>
      <c r="Z24" s="53" t="str">
        <f>Roster!AA131</f>
        <v>.</v>
      </c>
      <c r="AA24" s="53" t="str">
        <f>Roster!AB131</f>
        <v>.</v>
      </c>
      <c r="AB24" s="53" t="str">
        <f>Roster!AC131</f>
        <v>.</v>
      </c>
      <c r="AC24" s="53" t="str">
        <f>Roster!AD131</f>
        <v>.</v>
      </c>
      <c r="AD24" s="53" t="str">
        <f>Roster!AE131</f>
        <v>.</v>
      </c>
      <c r="AE24" s="53" t="str">
        <f>Roster!AF131</f>
        <v>.</v>
      </c>
      <c r="AF24" s="53" t="str">
        <f>Roster!AG131</f>
        <v>.</v>
      </c>
      <c r="AG24" s="54" t="str">
        <f>Roster!AH131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Fr</v>
      </c>
      <c r="D25" s="22" t="str">
        <f t="shared" si="7"/>
        <v>Sa</v>
      </c>
      <c r="E25" s="22" t="str">
        <f t="shared" si="7"/>
        <v>Su</v>
      </c>
      <c r="F25" s="22" t="str">
        <f t="shared" si="7"/>
        <v>Mo</v>
      </c>
      <c r="G25" s="22" t="str">
        <f t="shared" si="7"/>
        <v>Tu</v>
      </c>
      <c r="H25" s="22" t="str">
        <f t="shared" si="7"/>
        <v>We</v>
      </c>
      <c r="I25" s="22" t="str">
        <f t="shared" si="7"/>
        <v>Th</v>
      </c>
      <c r="J25" s="22" t="str">
        <f t="shared" si="7"/>
        <v>Fr</v>
      </c>
      <c r="K25" s="22" t="str">
        <f t="shared" si="7"/>
        <v>Sa</v>
      </c>
      <c r="L25" s="22" t="str">
        <f t="shared" si="7"/>
        <v>Su</v>
      </c>
      <c r="M25" s="22" t="str">
        <f t="shared" si="7"/>
        <v>Mo</v>
      </c>
      <c r="N25" s="22" t="str">
        <f t="shared" si="7"/>
        <v>Tu</v>
      </c>
      <c r="O25" s="22" t="str">
        <f t="shared" si="7"/>
        <v>We</v>
      </c>
      <c r="P25" s="22" t="str">
        <f t="shared" si="7"/>
        <v>Th</v>
      </c>
      <c r="Q25" s="22" t="str">
        <f t="shared" si="7"/>
        <v>Fr</v>
      </c>
      <c r="R25" s="22" t="str">
        <f t="shared" si="7"/>
        <v>Sa</v>
      </c>
      <c r="S25" s="22" t="str">
        <f t="shared" si="7"/>
        <v>Su</v>
      </c>
      <c r="T25" s="22" t="str">
        <f t="shared" si="7"/>
        <v>Mo</v>
      </c>
      <c r="U25" s="22" t="str">
        <f t="shared" si="7"/>
        <v>Tu</v>
      </c>
      <c r="V25" s="22" t="str">
        <f t="shared" si="7"/>
        <v>We</v>
      </c>
      <c r="W25" s="22" t="str">
        <f t="shared" si="7"/>
        <v>Th</v>
      </c>
      <c r="X25" s="22" t="str">
        <f t="shared" si="7"/>
        <v>Fr</v>
      </c>
      <c r="Y25" s="22" t="str">
        <f t="shared" si="7"/>
        <v>Sa</v>
      </c>
      <c r="Z25" s="22" t="str">
        <f t="shared" si="7"/>
        <v>Su</v>
      </c>
      <c r="AA25" s="22" t="str">
        <f t="shared" si="7"/>
        <v>Mo</v>
      </c>
      <c r="AB25" s="22" t="str">
        <f t="shared" si="7"/>
        <v>Tu</v>
      </c>
      <c r="AC25" s="22" t="str">
        <f t="shared" si="7"/>
        <v>We</v>
      </c>
      <c r="AD25" s="22" t="str">
        <f t="shared" si="7"/>
        <v>Th</v>
      </c>
      <c r="AE25" s="131" t="str">
        <f t="shared" si="7"/>
        <v>29</v>
      </c>
      <c r="AF25" s="23"/>
      <c r="AG25" s="24"/>
    </row>
    <row r="26" spans="2:33" ht="14.4" thickTop="1" thickBot="1">
      <c r="B26" s="32" t="str">
        <f>Roster!$C$134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45">
        <v>29</v>
      </c>
      <c r="AF26" s="44"/>
    </row>
    <row r="27" spans="2:33" ht="14.4" thickTop="1" thickBot="1">
      <c r="B27" s="32" t="str">
        <f>CurYear</f>
        <v>2019</v>
      </c>
      <c r="C27" s="51" t="str">
        <f>Roster!D146</f>
        <v>.</v>
      </c>
      <c r="D27" s="37" t="str">
        <f>Roster!E146</f>
        <v>.</v>
      </c>
      <c r="E27" s="37" t="str">
        <f>Roster!F146</f>
        <v>.</v>
      </c>
      <c r="F27" s="37" t="str">
        <f>Roster!G146</f>
        <v>.</v>
      </c>
      <c r="G27" s="37" t="str">
        <f>Roster!H146</f>
        <v>.</v>
      </c>
      <c r="H27" s="37" t="str">
        <f>Roster!I146</f>
        <v>.</v>
      </c>
      <c r="I27" s="37" t="str">
        <f>Roster!J146</f>
        <v>.</v>
      </c>
      <c r="J27" s="37" t="str">
        <f>Roster!K146</f>
        <v>.</v>
      </c>
      <c r="K27" s="37" t="str">
        <f>Roster!L146</f>
        <v>.</v>
      </c>
      <c r="L27" s="37" t="str">
        <f>Roster!M146</f>
        <v>.</v>
      </c>
      <c r="M27" s="37" t="str">
        <f>Roster!N146</f>
        <v>.</v>
      </c>
      <c r="N27" s="37" t="str">
        <f>Roster!O146</f>
        <v>.</v>
      </c>
      <c r="O27" s="37" t="str">
        <f>Roster!P146</f>
        <v>.</v>
      </c>
      <c r="P27" s="37" t="str">
        <f>Roster!Q146</f>
        <v>.</v>
      </c>
      <c r="Q27" s="37" t="str">
        <f>Roster!R146</f>
        <v>.</v>
      </c>
      <c r="R27" s="37" t="str">
        <f>Roster!S146</f>
        <v>.</v>
      </c>
      <c r="S27" s="37" t="str">
        <f>Roster!T146</f>
        <v>.</v>
      </c>
      <c r="T27" s="37" t="str">
        <f>Roster!U146</f>
        <v>.</v>
      </c>
      <c r="U27" s="37" t="str">
        <f>Roster!V146</f>
        <v>.</v>
      </c>
      <c r="V27" s="37" t="str">
        <f>Roster!W146</f>
        <v>.</v>
      </c>
      <c r="W27" s="37" t="str">
        <f>Roster!X146</f>
        <v>.</v>
      </c>
      <c r="X27" s="37" t="str">
        <f>Roster!Y146</f>
        <v>.</v>
      </c>
      <c r="Y27" s="37" t="str">
        <f>Roster!Z146</f>
        <v>.</v>
      </c>
      <c r="Z27" s="37" t="str">
        <f>Roster!AA146</f>
        <v>.</v>
      </c>
      <c r="AA27" s="37" t="str">
        <f>Roster!AB146</f>
        <v>.</v>
      </c>
      <c r="AB27" s="37" t="str">
        <f>Roster!AC146</f>
        <v>.</v>
      </c>
      <c r="AC27" s="37" t="str">
        <f>Roster!AD146</f>
        <v>.</v>
      </c>
      <c r="AD27" s="43" t="str">
        <f>Roster!AE146</f>
        <v>.</v>
      </c>
      <c r="AE27" s="130">
        <f>Roster!AF146</f>
        <v>0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Fr</v>
      </c>
      <c r="D28" s="25" t="str">
        <f t="shared" si="8"/>
        <v>Sa</v>
      </c>
      <c r="E28" s="25" t="str">
        <f t="shared" si="8"/>
        <v>Su</v>
      </c>
      <c r="F28" s="25" t="str">
        <f t="shared" si="8"/>
        <v>Mo</v>
      </c>
      <c r="G28" s="25" t="str">
        <f t="shared" si="8"/>
        <v>Tu</v>
      </c>
      <c r="H28" s="25" t="str">
        <f t="shared" si="8"/>
        <v>We</v>
      </c>
      <c r="I28" s="25" t="str">
        <f t="shared" si="8"/>
        <v>Th</v>
      </c>
      <c r="J28" s="25" t="str">
        <f t="shared" si="8"/>
        <v>Fr</v>
      </c>
      <c r="K28" s="25" t="str">
        <f t="shared" si="8"/>
        <v>Sa</v>
      </c>
      <c r="L28" s="25" t="str">
        <f t="shared" si="8"/>
        <v>Su</v>
      </c>
      <c r="M28" s="25" t="str">
        <f t="shared" si="8"/>
        <v>Mo</v>
      </c>
      <c r="N28" s="25" t="str">
        <f t="shared" si="8"/>
        <v>Tu</v>
      </c>
      <c r="O28" s="25" t="str">
        <f t="shared" si="8"/>
        <v>We</v>
      </c>
      <c r="P28" s="25" t="str">
        <f t="shared" si="8"/>
        <v>Th</v>
      </c>
      <c r="Q28" s="25" t="str">
        <f t="shared" si="8"/>
        <v>Fr</v>
      </c>
      <c r="R28" s="25" t="str">
        <f t="shared" si="8"/>
        <v>Sa</v>
      </c>
      <c r="S28" s="25" t="str">
        <f t="shared" si="8"/>
        <v>Su</v>
      </c>
      <c r="T28" s="25" t="str">
        <f t="shared" si="8"/>
        <v>Mo</v>
      </c>
      <c r="U28" s="25" t="str">
        <f t="shared" si="8"/>
        <v>Tu</v>
      </c>
      <c r="V28" s="25" t="str">
        <f t="shared" si="8"/>
        <v>We</v>
      </c>
      <c r="W28" s="25" t="str">
        <f t="shared" si="8"/>
        <v>Th</v>
      </c>
      <c r="X28" s="25" t="str">
        <f t="shared" si="8"/>
        <v>Fr</v>
      </c>
      <c r="Y28" s="25" t="str">
        <f t="shared" si="8"/>
        <v>Sa</v>
      </c>
      <c r="Z28" s="25" t="str">
        <f t="shared" si="8"/>
        <v>Su</v>
      </c>
      <c r="AA28" s="25" t="str">
        <f t="shared" si="8"/>
        <v>Mo</v>
      </c>
      <c r="AB28" s="25" t="str">
        <f t="shared" si="8"/>
        <v>Tu</v>
      </c>
      <c r="AC28" s="25" t="str">
        <f t="shared" si="8"/>
        <v>We</v>
      </c>
      <c r="AD28" s="25" t="str">
        <f t="shared" si="8"/>
        <v>Th</v>
      </c>
      <c r="AE28" s="45" t="str">
        <f t="shared" si="8"/>
        <v>Fr</v>
      </c>
      <c r="AF28" s="26" t="str">
        <f t="shared" si="8"/>
        <v>Sa</v>
      </c>
      <c r="AG28" s="26" t="str">
        <f t="shared" si="8"/>
        <v>Su</v>
      </c>
    </row>
    <row r="29" spans="2:33" ht="14.4" thickTop="1" thickBot="1">
      <c r="B29" s="32" t="str">
        <f>Roster!$C$149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2019</v>
      </c>
      <c r="C30" s="36" t="str">
        <f>Roster!D161</f>
        <v>.</v>
      </c>
      <c r="D30" s="37" t="str">
        <f>Roster!E161</f>
        <v>.</v>
      </c>
      <c r="E30" s="37" t="str">
        <f>Roster!F161</f>
        <v>.</v>
      </c>
      <c r="F30" s="37" t="str">
        <f>Roster!G161</f>
        <v>.</v>
      </c>
      <c r="G30" s="37" t="str">
        <f>Roster!H161</f>
        <v>.</v>
      </c>
      <c r="H30" s="37" t="str">
        <f>Roster!I161</f>
        <v>.</v>
      </c>
      <c r="I30" s="37" t="str">
        <f>Roster!J161</f>
        <v>.</v>
      </c>
      <c r="J30" s="37" t="str">
        <f>Roster!K161</f>
        <v>.</v>
      </c>
      <c r="K30" s="37" t="str">
        <f>Roster!L161</f>
        <v>.</v>
      </c>
      <c r="L30" s="37" t="str">
        <f>Roster!M161</f>
        <v>.</v>
      </c>
      <c r="M30" s="37" t="str">
        <f>Roster!N161</f>
        <v>.</v>
      </c>
      <c r="N30" s="37" t="str">
        <f>Roster!O161</f>
        <v>.</v>
      </c>
      <c r="O30" s="37" t="str">
        <f>Roster!P161</f>
        <v>.</v>
      </c>
      <c r="P30" s="37" t="str">
        <f>Roster!Q161</f>
        <v>.</v>
      </c>
      <c r="Q30" s="37" t="str">
        <f>Roster!R161</f>
        <v>.</v>
      </c>
      <c r="R30" s="37" t="str">
        <f>Roster!S161</f>
        <v>.</v>
      </c>
      <c r="S30" s="37" t="str">
        <f>Roster!T161</f>
        <v>.</v>
      </c>
      <c r="T30" s="37" t="str">
        <f>Roster!U161</f>
        <v>.</v>
      </c>
      <c r="U30" s="37" t="str">
        <f>Roster!V161</f>
        <v>.</v>
      </c>
      <c r="V30" s="37" t="str">
        <f>Roster!W161</f>
        <v>.</v>
      </c>
      <c r="W30" s="37" t="str">
        <f>Roster!X161</f>
        <v>.</v>
      </c>
      <c r="X30" s="37" t="str">
        <f>Roster!Y161</f>
        <v>.</v>
      </c>
      <c r="Y30" s="37" t="str">
        <f>Roster!Z161</f>
        <v>.</v>
      </c>
      <c r="Z30" s="37" t="str">
        <f>Roster!AA161</f>
        <v>.</v>
      </c>
      <c r="AA30" s="37" t="str">
        <f>Roster!AB161</f>
        <v>.</v>
      </c>
      <c r="AB30" s="37" t="str">
        <f>Roster!AC161</f>
        <v>.</v>
      </c>
      <c r="AC30" s="37" t="str">
        <f>Roster!AD161</f>
        <v>.</v>
      </c>
      <c r="AD30" s="37" t="str">
        <f>Roster!AE161</f>
        <v>.</v>
      </c>
      <c r="AE30" s="37" t="str">
        <f>Roster!AF161</f>
        <v>.</v>
      </c>
      <c r="AF30" s="37" t="str">
        <f>Roster!AG161</f>
        <v>.</v>
      </c>
      <c r="AG30" s="38" t="str">
        <f>Roster!AH161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Mo</v>
      </c>
      <c r="D31" s="25" t="str">
        <f t="shared" si="9"/>
        <v>Tu</v>
      </c>
      <c r="E31" s="25" t="str">
        <f t="shared" si="9"/>
        <v>We</v>
      </c>
      <c r="F31" s="25" t="str">
        <f t="shared" si="9"/>
        <v>Th</v>
      </c>
      <c r="G31" s="25" t="str">
        <f t="shared" si="9"/>
        <v>Fr</v>
      </c>
      <c r="H31" s="25" t="str">
        <f t="shared" si="9"/>
        <v>Sa</v>
      </c>
      <c r="I31" s="25" t="str">
        <f t="shared" si="9"/>
        <v>Su</v>
      </c>
      <c r="J31" s="25" t="str">
        <f t="shared" si="9"/>
        <v>Mo</v>
      </c>
      <c r="K31" s="25" t="str">
        <f t="shared" si="9"/>
        <v>Tu</v>
      </c>
      <c r="L31" s="25" t="str">
        <f t="shared" si="9"/>
        <v>We</v>
      </c>
      <c r="M31" s="25" t="str">
        <f t="shared" si="9"/>
        <v>Th</v>
      </c>
      <c r="N31" s="25" t="str">
        <f t="shared" si="9"/>
        <v>Fr</v>
      </c>
      <c r="O31" s="25" t="str">
        <f t="shared" si="9"/>
        <v>Sa</v>
      </c>
      <c r="P31" s="25" t="str">
        <f t="shared" si="9"/>
        <v>Su</v>
      </c>
      <c r="Q31" s="25" t="str">
        <f t="shared" si="9"/>
        <v>Mo</v>
      </c>
      <c r="R31" s="25" t="str">
        <f t="shared" si="9"/>
        <v>Tu</v>
      </c>
      <c r="S31" s="25" t="str">
        <f t="shared" si="9"/>
        <v>We</v>
      </c>
      <c r="T31" s="25" t="str">
        <f t="shared" si="9"/>
        <v>Th</v>
      </c>
      <c r="U31" s="25" t="str">
        <f t="shared" si="9"/>
        <v>Fr</v>
      </c>
      <c r="V31" s="25" t="str">
        <f t="shared" si="9"/>
        <v>Sa</v>
      </c>
      <c r="W31" s="25" t="str">
        <f t="shared" si="9"/>
        <v>Su</v>
      </c>
      <c r="X31" s="25" t="str">
        <f t="shared" si="9"/>
        <v>Mo</v>
      </c>
      <c r="Y31" s="25" t="str">
        <f t="shared" si="9"/>
        <v>Tu</v>
      </c>
      <c r="Z31" s="25" t="str">
        <f t="shared" si="9"/>
        <v>We</v>
      </c>
      <c r="AA31" s="25" t="str">
        <f t="shared" si="9"/>
        <v>Th</v>
      </c>
      <c r="AB31" s="25" t="str">
        <f t="shared" si="9"/>
        <v>Fr</v>
      </c>
      <c r="AC31" s="25" t="str">
        <f t="shared" si="9"/>
        <v>Sa</v>
      </c>
      <c r="AD31" s="25" t="str">
        <f t="shared" si="9"/>
        <v>Su</v>
      </c>
      <c r="AE31" s="25" t="str">
        <f t="shared" si="9"/>
        <v>Mo</v>
      </c>
      <c r="AF31" s="25" t="str">
        <f t="shared" si="9"/>
        <v>Tu</v>
      </c>
      <c r="AG31" s="27"/>
    </row>
    <row r="32" spans="2:33" ht="14.4" thickTop="1" thickBot="1">
      <c r="B32" s="32" t="str">
        <f>Roster!$C$164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2019</v>
      </c>
      <c r="C33" s="36" t="str">
        <f>Roster!D176</f>
        <v>.</v>
      </c>
      <c r="D33" s="37" t="str">
        <f>Roster!E176</f>
        <v>.</v>
      </c>
      <c r="E33" s="37" t="str">
        <f>Roster!F176</f>
        <v>.</v>
      </c>
      <c r="F33" s="37" t="str">
        <f>Roster!G176</f>
        <v>.</v>
      </c>
      <c r="G33" s="37" t="str">
        <f>Roster!H176</f>
        <v>.</v>
      </c>
      <c r="H33" s="37" t="str">
        <f>Roster!I176</f>
        <v>.</v>
      </c>
      <c r="I33" s="37" t="str">
        <f>Roster!J176</f>
        <v>.</v>
      </c>
      <c r="J33" s="37" t="str">
        <f>Roster!K176</f>
        <v>.</v>
      </c>
      <c r="K33" s="37" t="str">
        <f>Roster!L176</f>
        <v>.</v>
      </c>
      <c r="L33" s="37" t="str">
        <f>Roster!M176</f>
        <v>.</v>
      </c>
      <c r="M33" s="37" t="str">
        <f>Roster!N176</f>
        <v>.</v>
      </c>
      <c r="N33" s="37" t="str">
        <f>Roster!O176</f>
        <v>.</v>
      </c>
      <c r="O33" s="37" t="str">
        <f>Roster!P176</f>
        <v>.</v>
      </c>
      <c r="P33" s="37" t="str">
        <f>Roster!Q176</f>
        <v>.</v>
      </c>
      <c r="Q33" s="37" t="str">
        <f>Roster!R176</f>
        <v>.</v>
      </c>
      <c r="R33" s="37" t="str">
        <f>Roster!S176</f>
        <v>.</v>
      </c>
      <c r="S33" s="37" t="str">
        <f>Roster!T176</f>
        <v>.</v>
      </c>
      <c r="T33" s="37" t="str">
        <f>Roster!U176</f>
        <v>.</v>
      </c>
      <c r="U33" s="37" t="str">
        <f>Roster!V176</f>
        <v>.</v>
      </c>
      <c r="V33" s="37" t="str">
        <f>Roster!W176</f>
        <v>.</v>
      </c>
      <c r="W33" s="37" t="str">
        <f>Roster!X176</f>
        <v>.</v>
      </c>
      <c r="X33" s="37" t="str">
        <f>Roster!Y176</f>
        <v>.</v>
      </c>
      <c r="Y33" s="37" t="str">
        <f>Roster!Z176</f>
        <v>.</v>
      </c>
      <c r="Z33" s="37" t="str">
        <f>Roster!AA176</f>
        <v>.</v>
      </c>
      <c r="AA33" s="37" t="str">
        <f>Roster!AB176</f>
        <v>.</v>
      </c>
      <c r="AB33" s="37" t="str">
        <f>Roster!AC176</f>
        <v>.</v>
      </c>
      <c r="AC33" s="37" t="str">
        <f>Roster!AD176</f>
        <v>.</v>
      </c>
      <c r="AD33" s="37" t="str">
        <f>Roster!AE176</f>
        <v>.</v>
      </c>
      <c r="AE33" s="37" t="str">
        <f>Roster!AF176</f>
        <v>.</v>
      </c>
      <c r="AF33" s="38" t="str">
        <f>Roster!AG176</f>
        <v>.</v>
      </c>
    </row>
    <row r="34" spans="2:33" ht="14.4" thickTop="1" thickBot="1">
      <c r="C34" s="21" t="str">
        <f t="shared" ref="C34:AG34" si="10">LEFT(TEXT(C35&amp;"-"&amp;$B35&amp;"-"&amp;CurYear,"ddd"),2)</f>
        <v>We</v>
      </c>
      <c r="D34" s="21" t="str">
        <f t="shared" si="10"/>
        <v>Th</v>
      </c>
      <c r="E34" s="21" t="str">
        <f t="shared" si="10"/>
        <v>Fr</v>
      </c>
      <c r="F34" s="21" t="str">
        <f t="shared" si="10"/>
        <v>Sa</v>
      </c>
      <c r="G34" s="21" t="str">
        <f t="shared" si="10"/>
        <v>Su</v>
      </c>
      <c r="H34" s="21" t="str">
        <f t="shared" si="10"/>
        <v>Mo</v>
      </c>
      <c r="I34" s="21" t="str">
        <f t="shared" si="10"/>
        <v>Tu</v>
      </c>
      <c r="J34" s="21" t="str">
        <f t="shared" si="10"/>
        <v>We</v>
      </c>
      <c r="K34" s="21" t="str">
        <f t="shared" si="10"/>
        <v>Th</v>
      </c>
      <c r="L34" s="21" t="str">
        <f t="shared" si="10"/>
        <v>Fr</v>
      </c>
      <c r="M34" s="21" t="str">
        <f t="shared" si="10"/>
        <v>Sa</v>
      </c>
      <c r="N34" s="21" t="str">
        <f t="shared" si="10"/>
        <v>Su</v>
      </c>
      <c r="O34" s="21" t="str">
        <f t="shared" si="10"/>
        <v>Mo</v>
      </c>
      <c r="P34" s="21" t="str">
        <f t="shared" si="10"/>
        <v>Tu</v>
      </c>
      <c r="Q34" s="21" t="str">
        <f t="shared" si="10"/>
        <v>We</v>
      </c>
      <c r="R34" s="21" t="str">
        <f t="shared" si="10"/>
        <v>Th</v>
      </c>
      <c r="S34" s="21" t="str">
        <f t="shared" si="10"/>
        <v>Fr</v>
      </c>
      <c r="T34" s="21" t="str">
        <f t="shared" si="10"/>
        <v>Sa</v>
      </c>
      <c r="U34" s="21" t="str">
        <f t="shared" si="10"/>
        <v>Su</v>
      </c>
      <c r="V34" s="21" t="str">
        <f t="shared" si="10"/>
        <v>Mo</v>
      </c>
      <c r="W34" s="21" t="str">
        <f t="shared" si="10"/>
        <v>Tu</v>
      </c>
      <c r="X34" s="21" t="str">
        <f t="shared" si="10"/>
        <v>We</v>
      </c>
      <c r="Y34" s="21" t="str">
        <f t="shared" si="10"/>
        <v>Th</v>
      </c>
      <c r="Z34" s="21" t="str">
        <f t="shared" si="10"/>
        <v>Fr</v>
      </c>
      <c r="AA34" s="21" t="str">
        <f t="shared" si="10"/>
        <v>Sa</v>
      </c>
      <c r="AB34" s="21" t="str">
        <f t="shared" si="10"/>
        <v>Su</v>
      </c>
      <c r="AC34" s="21" t="str">
        <f t="shared" si="10"/>
        <v>Mo</v>
      </c>
      <c r="AD34" s="21" t="str">
        <f t="shared" si="10"/>
        <v>Tu</v>
      </c>
      <c r="AE34" s="21" t="str">
        <f t="shared" si="10"/>
        <v>We</v>
      </c>
      <c r="AF34" s="21" t="str">
        <f t="shared" si="10"/>
        <v>Th</v>
      </c>
      <c r="AG34" s="20" t="str">
        <f t="shared" si="10"/>
        <v>Fr</v>
      </c>
    </row>
    <row r="35" spans="2:33" ht="14.4" thickTop="1" thickBot="1">
      <c r="B35" s="32" t="str">
        <f>Roster!$C$179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2019</v>
      </c>
      <c r="C36" s="36" t="str">
        <f>Roster!D191</f>
        <v>.</v>
      </c>
      <c r="D36" s="37" t="str">
        <f>Roster!E191</f>
        <v>.</v>
      </c>
      <c r="E36" s="37" t="str">
        <f>Roster!F191</f>
        <v>.</v>
      </c>
      <c r="F36" s="37" t="str">
        <f>Roster!G191</f>
        <v>.</v>
      </c>
      <c r="G36" s="37" t="str">
        <f>Roster!H191</f>
        <v>.</v>
      </c>
      <c r="H36" s="37" t="str">
        <f>Roster!I191</f>
        <v>.</v>
      </c>
      <c r="I36" s="37" t="str">
        <f>Roster!J191</f>
        <v>.</v>
      </c>
      <c r="J36" s="37" t="str">
        <f>Roster!K191</f>
        <v>.</v>
      </c>
      <c r="K36" s="37" t="str">
        <f>Roster!L191</f>
        <v>.</v>
      </c>
      <c r="L36" s="37" t="str">
        <f>Roster!M191</f>
        <v>.</v>
      </c>
      <c r="M36" s="37" t="str">
        <f>Roster!N191</f>
        <v>.</v>
      </c>
      <c r="N36" s="37" t="str">
        <f>Roster!O191</f>
        <v>.</v>
      </c>
      <c r="O36" s="37" t="str">
        <f>Roster!P191</f>
        <v>.</v>
      </c>
      <c r="P36" s="37" t="str">
        <f>Roster!Q191</f>
        <v>.</v>
      </c>
      <c r="Q36" s="37" t="str">
        <f>Roster!R191</f>
        <v>.</v>
      </c>
      <c r="R36" s="37" t="str">
        <f>Roster!S191</f>
        <v>.</v>
      </c>
      <c r="S36" s="37" t="str">
        <f>Roster!T191</f>
        <v>.</v>
      </c>
      <c r="T36" s="37" t="str">
        <f>Roster!U191</f>
        <v>.</v>
      </c>
      <c r="U36" s="37" t="str">
        <f>Roster!V191</f>
        <v>.</v>
      </c>
      <c r="V36" s="37" t="str">
        <f>Roster!W191</f>
        <v>.</v>
      </c>
      <c r="W36" s="37" t="str">
        <f>Roster!X191</f>
        <v>.</v>
      </c>
      <c r="X36" s="37" t="str">
        <f>Roster!Y191</f>
        <v>.</v>
      </c>
      <c r="Y36" s="37" t="str">
        <f>Roster!Z191</f>
        <v>.</v>
      </c>
      <c r="Z36" s="37" t="str">
        <f>Roster!AA191</f>
        <v>.</v>
      </c>
      <c r="AA36" s="37" t="str">
        <f>Roster!AB191</f>
        <v>.</v>
      </c>
      <c r="AB36" s="37" t="str">
        <f>Roster!AC191</f>
        <v>.</v>
      </c>
      <c r="AC36" s="37" t="str">
        <f>Roster!AD191</f>
        <v>.</v>
      </c>
      <c r="AD36" s="37" t="str">
        <f>Roster!AE191</f>
        <v>.</v>
      </c>
      <c r="AE36" s="37" t="str">
        <f>Roster!AF191</f>
        <v>.</v>
      </c>
      <c r="AF36" s="37" t="str">
        <f>Roster!AG191</f>
        <v>.</v>
      </c>
      <c r="AG36" s="38" t="str">
        <f>Roster!AH191</f>
        <v>.</v>
      </c>
    </row>
    <row r="37" spans="2:33" ht="14.4" thickTop="1" thickBot="1">
      <c r="C37" s="21" t="str">
        <f t="shared" ref="C37:AF37" si="11">LEFT(TEXT(C38&amp;"-"&amp;$B38&amp;"-"&amp;CurYear,"ddd"),2)</f>
        <v>Sa</v>
      </c>
      <c r="D37" s="21" t="str">
        <f t="shared" si="11"/>
        <v>Su</v>
      </c>
      <c r="E37" s="21" t="str">
        <f t="shared" si="11"/>
        <v>Mo</v>
      </c>
      <c r="F37" s="21" t="str">
        <f t="shared" si="11"/>
        <v>Tu</v>
      </c>
      <c r="G37" s="21" t="str">
        <f t="shared" si="11"/>
        <v>We</v>
      </c>
      <c r="H37" s="21" t="str">
        <f t="shared" si="11"/>
        <v>Th</v>
      </c>
      <c r="I37" s="21" t="str">
        <f t="shared" si="11"/>
        <v>Fr</v>
      </c>
      <c r="J37" s="21" t="str">
        <f t="shared" si="11"/>
        <v>Sa</v>
      </c>
      <c r="K37" s="21" t="str">
        <f t="shared" si="11"/>
        <v>Su</v>
      </c>
      <c r="L37" s="21" t="str">
        <f t="shared" si="11"/>
        <v>Mo</v>
      </c>
      <c r="M37" s="21" t="str">
        <f t="shared" si="11"/>
        <v>Tu</v>
      </c>
      <c r="N37" s="21" t="str">
        <f t="shared" si="11"/>
        <v>We</v>
      </c>
      <c r="O37" s="21" t="str">
        <f t="shared" si="11"/>
        <v>Th</v>
      </c>
      <c r="P37" s="21" t="str">
        <f t="shared" si="11"/>
        <v>Fr</v>
      </c>
      <c r="Q37" s="21" t="str">
        <f t="shared" si="11"/>
        <v>Sa</v>
      </c>
      <c r="R37" s="21" t="str">
        <f t="shared" si="11"/>
        <v>Su</v>
      </c>
      <c r="S37" s="21" t="str">
        <f t="shared" si="11"/>
        <v>Mo</v>
      </c>
      <c r="T37" s="21" t="str">
        <f t="shared" si="11"/>
        <v>Tu</v>
      </c>
      <c r="U37" s="21" t="str">
        <f t="shared" si="11"/>
        <v>We</v>
      </c>
      <c r="V37" s="21" t="str">
        <f t="shared" si="11"/>
        <v>Th</v>
      </c>
      <c r="W37" s="21" t="str">
        <f t="shared" si="11"/>
        <v>Fr</v>
      </c>
      <c r="X37" s="21" t="str">
        <f t="shared" si="11"/>
        <v>Sa</v>
      </c>
      <c r="Y37" s="21" t="str">
        <f t="shared" si="11"/>
        <v>Su</v>
      </c>
      <c r="Z37" s="21" t="str">
        <f t="shared" si="11"/>
        <v>Mo</v>
      </c>
      <c r="AA37" s="21" t="str">
        <f t="shared" si="11"/>
        <v>Tu</v>
      </c>
      <c r="AB37" s="21" t="str">
        <f t="shared" si="11"/>
        <v>We</v>
      </c>
      <c r="AC37" s="21" t="str">
        <f t="shared" si="11"/>
        <v>Th</v>
      </c>
      <c r="AD37" s="21" t="str">
        <f t="shared" si="11"/>
        <v>Fr</v>
      </c>
      <c r="AE37" s="21" t="str">
        <f t="shared" si="11"/>
        <v>Sa</v>
      </c>
      <c r="AF37" s="21" t="str">
        <f t="shared" si="11"/>
        <v>Su</v>
      </c>
      <c r="AG37" s="17"/>
    </row>
    <row r="38" spans="2:33" ht="14.4" thickTop="1" thickBot="1">
      <c r="B38" s="32" t="str">
        <f>Roster!C194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2019</v>
      </c>
      <c r="C39" s="36" t="str">
        <f>Roster!D206</f>
        <v>.</v>
      </c>
      <c r="D39" s="37" t="str">
        <f>Roster!E206</f>
        <v>.</v>
      </c>
      <c r="E39" s="37" t="str">
        <f>Roster!F206</f>
        <v>.</v>
      </c>
      <c r="F39" s="37" t="str">
        <f>Roster!G206</f>
        <v>.</v>
      </c>
      <c r="G39" s="37" t="str">
        <f>Roster!H206</f>
        <v>.</v>
      </c>
      <c r="H39" s="37" t="str">
        <f>Roster!I206</f>
        <v>.</v>
      </c>
      <c r="I39" s="37" t="str">
        <f>Roster!J206</f>
        <v>.</v>
      </c>
      <c r="J39" s="37" t="str">
        <f>Roster!K206</f>
        <v>.</v>
      </c>
      <c r="K39" s="37" t="str">
        <f>Roster!L206</f>
        <v>.</v>
      </c>
      <c r="L39" s="37" t="str">
        <f>Roster!M206</f>
        <v>.</v>
      </c>
      <c r="M39" s="37" t="str">
        <f>Roster!N206</f>
        <v>.</v>
      </c>
      <c r="N39" s="37" t="str">
        <f>Roster!O206</f>
        <v>.</v>
      </c>
      <c r="O39" s="37" t="str">
        <f>Roster!P206</f>
        <v>.</v>
      </c>
      <c r="P39" s="37" t="str">
        <f>Roster!Q206</f>
        <v>.</v>
      </c>
      <c r="Q39" s="37" t="str">
        <f>Roster!R206</f>
        <v>.</v>
      </c>
      <c r="R39" s="37" t="str">
        <f>Roster!S206</f>
        <v>.</v>
      </c>
      <c r="S39" s="37" t="str">
        <f>Roster!T206</f>
        <v>.</v>
      </c>
      <c r="T39" s="37" t="str">
        <f>Roster!U206</f>
        <v>.</v>
      </c>
      <c r="U39" s="37" t="str">
        <f>Roster!V206</f>
        <v>.</v>
      </c>
      <c r="V39" s="37" t="str">
        <f>Roster!W206</f>
        <v>.</v>
      </c>
      <c r="W39" s="37" t="str">
        <f>Roster!X206</f>
        <v>.</v>
      </c>
      <c r="X39" s="37" t="str">
        <f>Roster!Y206</f>
        <v>.</v>
      </c>
      <c r="Y39" s="37" t="str">
        <f>Roster!Z206</f>
        <v>.</v>
      </c>
      <c r="Z39" s="37" t="str">
        <f>Roster!AA206</f>
        <v>.</v>
      </c>
      <c r="AA39" s="37" t="str">
        <f>Roster!AB206</f>
        <v>.</v>
      </c>
      <c r="AB39" s="37" t="str">
        <f>Roster!AC206</f>
        <v>.</v>
      </c>
      <c r="AC39" s="37" t="str">
        <f>Roster!AD206</f>
        <v>.</v>
      </c>
      <c r="AD39" s="37" t="str">
        <f>Roster!AE206</f>
        <v>.</v>
      </c>
      <c r="AE39" s="37" t="str">
        <f>Roster!AF206</f>
        <v>.</v>
      </c>
      <c r="AF39" s="38" t="str">
        <f>Roster!AG206</f>
        <v>.</v>
      </c>
    </row>
    <row r="40" spans="2:33" ht="13.8" thickTop="1"/>
  </sheetData>
  <sheetProtection sheet="1" objects="1" scenarios="1" selectLockedCells="1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ummary"/>
  <dimension ref="B1:M25"/>
  <sheetViews>
    <sheetView showGridLines="0" zoomScale="198" zoomScaleNormal="198" workbookViewId="0">
      <selection activeCell="B2" sqref="B2"/>
    </sheetView>
  </sheetViews>
  <sheetFormatPr defaultColWidth="9.109375" defaultRowHeight="13.2"/>
  <cols>
    <col min="1" max="1" width="7" style="56" customWidth="1"/>
    <col min="2" max="2" width="10.6640625" style="56" customWidth="1"/>
    <col min="3" max="3" width="9.6640625" style="56" customWidth="1"/>
    <col min="4" max="5" width="5.109375" style="56" customWidth="1"/>
    <col min="6" max="12" width="5.33203125" style="56" customWidth="1"/>
    <col min="13" max="16384" width="9.109375" style="56"/>
  </cols>
  <sheetData>
    <row r="1" spans="2:13" s="55" customFormat="1" ht="24" customHeight="1"/>
    <row r="2" spans="2:13" s="55" customFormat="1" ht="21" customHeight="1">
      <c r="B2" s="57"/>
      <c r="C2" s="57"/>
    </row>
    <row r="3" spans="2:13" s="55" customFormat="1">
      <c r="B3" s="190" t="str">
        <f>CurYear-1 &amp; "/"&amp;CurYear</f>
        <v>2018/2019</v>
      </c>
      <c r="C3" s="190"/>
      <c r="D3" s="98" t="s">
        <v>9</v>
      </c>
      <c r="E3" s="98" t="s">
        <v>11</v>
      </c>
      <c r="F3" s="98" t="s">
        <v>10</v>
      </c>
      <c r="G3" s="98" t="s">
        <v>71</v>
      </c>
      <c r="H3" s="98" t="s">
        <v>39</v>
      </c>
      <c r="I3" s="98" t="s">
        <v>40</v>
      </c>
      <c r="J3" s="98" t="s">
        <v>45</v>
      </c>
      <c r="K3" s="103" t="s">
        <v>51</v>
      </c>
      <c r="L3" s="98" t="s">
        <v>46</v>
      </c>
      <c r="M3" s="98" t="s">
        <v>29</v>
      </c>
    </row>
    <row r="4" spans="2:13" s="55" customFormat="1">
      <c r="B4" s="99" t="str">
        <f>EmpGName01</f>
        <v>Luciano</v>
      </c>
      <c r="C4" s="99" t="str">
        <f>EmpSName01</f>
        <v>Marampon</v>
      </c>
      <c r="D4" s="79">
        <f>COUNTIF(Emp01Jan,"D")+COUNTIF(Emp01Feb,"D")+COUNTIF(Emp01Mar,"D")+COUNTIF(Emp01Apr,"D")+COUNTIF(Emp01May,"D")+COUNTIF(Emp01Jun,"D")+COUNTIF(Emp01Jul,"D")+COUNTIF(Emp01Aug,"D")+COUNTIF(Emp01Sep,"D")+COUNTIF(Emp01Oct,"D")+COUNTIF(Emp01Nov,"D")+COUNTIF(Emp01Dec,"D")</f>
        <v>0</v>
      </c>
      <c r="E4" s="79">
        <f>COUNTIF(Emp01Jan,"N")+COUNTIF(Emp01Feb,"N")+COUNTIF(Emp01Mar,"N")+COUNTIF(Emp01Apr,"N")+COUNTIF(Emp01May,"N")+COUNTIF(Emp01Jun,"N")+COUNTIF(Emp01Jul,"N")+COUNTIF(Emp01Aug,"N")+COUNTIF(Emp01Sep,"N")+COUNTIF(Emp01Oct,"N")+COUNTIF(Emp01Nov,"N")+COUNTIF(Emp01Dec,"N")</f>
        <v>0</v>
      </c>
      <c r="F4" s="79">
        <f>COUNTIF(Emp01Jan,"A")+COUNTIF(Emp01Feb,"A")+COUNTIF(Emp01Mar,"A")+COUNTIF(Emp01Apr,"A")+COUNTIF(Emp01May,"A")+COUNTIF(Emp01Jun,"A")+COUNTIF(Emp01Jul,"A")+COUNTIF(Emp01Aug,"A")+COUNTIF(Emp01Sep,"A")+COUNTIF(Emp01Oct,"A")+COUNTIF(Emp01Nov,"A")+COUNTIF(Emp01Dec,"A")</f>
        <v>0</v>
      </c>
      <c r="G4" s="79">
        <f>COUNTIF(Emp01Jan,"X")+COUNTIF(Emp01Feb,"X")+COUNTIF(Emp01Mar,"X")+COUNTIF(Emp01Apr,"X")+COUNTIF(Emp01May,"X")+COUNTIF(Emp01Jun,"X")+COUNTIF(Emp01Jul,"X")+COUNTIF(Emp01Aug,"X")+COUNTIF(Emp01Sep,"X")+COUNTIF(Emp01Oct,"X")+COUNTIF(Emp01Nov,"X")+COUNTIF(Emp01Dec,"X")</f>
        <v>0</v>
      </c>
      <c r="H4" s="79">
        <f>COUNTIF(Emp01Jan,"SL")+COUNTIF(Emp01Feb,"SL")+COUNTIF(Emp01Mar,"SL")+COUNTIF(Emp01Apr,"SL")+COUNTIF(Emp01May,"SL")+COUNTIF(Emp01Jun,"SL")+COUNTIF(Emp01Jul,"SL")+COUNTIF(Emp01Aug,"SL")+COUNTIF(Emp01Sep,"SL")+COUNTIF(Emp01Oct,"SL")+COUNTIF(Emp01Nov,"SL")+COUNTIF(Emp01Dec,"SL")</f>
        <v>0</v>
      </c>
      <c r="I4" s="79">
        <f>COUNTIF(Emp01Jan,"AL")+COUNTIF(Emp01Feb,"AL")+COUNTIF(Emp01Mar,"AL")+COUNTIF(Emp01Apr,"AL")+COUNTIF(Emp01May,"AL")+COUNTIF(Emp01Jun,"AL")+COUNTIF(Emp01Jul,"AL")+COUNTIF(Emp01Aug,"AL")+COUNTIF(Emp01Sep,"AL")+COUNTIF(Emp01Oct,"AL")+COUNTIF(Emp01Nov,"AL")+COUNTIF(Emp01Dec,"AL")</f>
        <v>0</v>
      </c>
      <c r="J4" s="79">
        <f>COUNTIF(Emp01Jan,"H")+COUNTIF(Emp01Feb,"H")+COUNTIF(Emp01Mar,"H")+COUNTIF(Emp01Apr,"H")+COUNTIF(Emp01May,"H")+COUNTIF(Emp01Jun,"H")+COUNTIF(Emp01Jul,"H")+COUNTIF(Emp01Aug,"H")+COUNTIF(Emp01Sep,"H")+COUNTIF(Emp01Oct,"H")+COUNTIF(Emp01Nov,"H")+COUNTIF(Emp01Dec,"H")</f>
        <v>0</v>
      </c>
      <c r="K4" s="79">
        <f>COUNTIF(Emp01Jan,"NA")+COUNTIF(Emp01Feb,"NA")+COUNTIF(Emp01Mar,"NA")+COUNTIF(Emp01Apr,"NA")+COUNTIF(Emp01May,"NA")+COUNTIF(Emp01Jun,"NA")+COUNTIF(Emp01Jul,"NA")+COUNTIF(Emp01Aug,"NA")+COUNTIF(Emp01Sep,"NA")+COUNTIF(Emp01Oct,"NA")+COUNTIF(Emp01Nov,"NA")+COUNTIF(Emp01Dec,"NA")</f>
        <v>0</v>
      </c>
      <c r="L4" s="79">
        <f>COUNTIF(Emp01Jan,"SP")+COUNTIF(Emp01Feb,"SP")+COUNTIF(Emp01Mar,"SP")+COUNTIF(Emp01Apr,"SP")+COUNTIF(Emp01May,"SP")+COUNTIF(Emp01Jun,"SP")+COUNTIF(Emp01Jul,"SP")+COUNTIF(Emp01Aug,"SP")+COUNTIF(Emp01Sep,"SP")+COUNTIF(Emp01Oct,"SP")+COUNTIF(Emp01Nov,"SP")+COUNTIF(Emp01Dec,"SP")</f>
        <v>0</v>
      </c>
      <c r="M4" s="81">
        <f>SUM(D4:L4)</f>
        <v>0</v>
      </c>
    </row>
    <row r="5" spans="2:13" s="55" customFormat="1">
      <c r="B5" s="100" t="str">
        <f>EmpGName02</f>
        <v>Kevin</v>
      </c>
      <c r="C5" s="100" t="str">
        <f>EmpSName02</f>
        <v>Stone</v>
      </c>
      <c r="D5" s="78">
        <f>COUNTIF(Emp02Jan,"D")+COUNTIF(Emp02Feb,"D")+COUNTIF(Emp02Mar,"D")+COUNTIF(Emp02Apr,"D")+COUNTIF(Emp02May,"D")+COUNTIF(Emp02Jun,"D")+COUNTIF(Emp02Jul,"D")+COUNTIF(Emp02Aug,"D")+COUNTIF(Emp02Sep,"D")+COUNTIF(Emp02Oct,"D")+COUNTIF(Emp02Nov,"D")+COUNTIF(Emp02Dec,"D")</f>
        <v>0</v>
      </c>
      <c r="E5" s="78">
        <f>COUNTIF(Emp02Jan,"N")+COUNTIF(Emp02Feb,"N")+COUNTIF(Emp02Mar,"N")+COUNTIF(Emp02Apr,"N")+COUNTIF(Emp02May,"N")+COUNTIF(Emp02Jun,"N")+COUNTIF(Emp02Jul,"N")+COUNTIF(Emp02Aug,"N")+COUNTIF(Emp02Sep,"N")+COUNTIF(Emp02Oct,"N")+COUNTIF(Emp02Nov,"N")+COUNTIF(Emp02Dec,"N")</f>
        <v>0</v>
      </c>
      <c r="F5" s="78">
        <f>COUNTIF(Emp02Jan,"A")+COUNTIF(Emp02Feb,"A")+COUNTIF(Emp02Mar,"A")+COUNTIF(Emp02Apr,"A")+COUNTIF(Emp02May,"A")+COUNTIF(Emp02Jun,"A")+COUNTIF(Emp02Jul,"A")+COUNTIF(Emp02Aug,"A")+COUNTIF(Emp02Sep,"A")+COUNTIF(Emp02Oct,"A")+COUNTIF(Emp02Nov,"A")+COUNTIF(Emp02Dec,"A")</f>
        <v>0</v>
      </c>
      <c r="G5" s="78">
        <f>COUNTIF(Emp02Jan,"X")+COUNTIF(Emp02Feb,"X")+COUNTIF(Emp02Mar,"X")+COUNTIF(Emp02Apr,"X")+COUNTIF(Emp02May,"X")+COUNTIF(Emp02Jun,"X")+COUNTIF(Emp02Jul,"X")+COUNTIF(Emp02Aug,"X")+COUNTIF(Emp02Sep,"X")+COUNTIF(Emp02Oct,"X")+COUNTIF(Emp02Nov,"X")+COUNTIF(Emp02Dec,"X")</f>
        <v>0</v>
      </c>
      <c r="H5" s="78">
        <f>COUNTIF(Emp02Jan,"SL")+COUNTIF(Emp02Feb,"SL")+COUNTIF(Emp02Mar,"SL")+COUNTIF(Emp02Apr,"SL")+COUNTIF(Emp02May,"SL")+COUNTIF(Emp02Jun,"SL")+COUNTIF(Emp02Jul,"SL")+COUNTIF(Emp02Aug,"SL")+COUNTIF(Emp02Sep,"SL")+COUNTIF(Emp02Oct,"SL")+COUNTIF(Emp02Nov,"SL")+COUNTIF(Emp02Dec,"SL")</f>
        <v>0</v>
      </c>
      <c r="I5" s="78">
        <f>COUNTIF(Emp02Jan,"AL")+COUNTIF(Emp02Feb,"AL")+COUNTIF(Emp02Mar,"AL")+COUNTIF(Emp02Apr,"AL")+COUNTIF(Emp02May,"AL")+COUNTIF(Emp02Jun,"AL")+COUNTIF(Emp02Jul,"AL")+COUNTIF(Emp02Aug,"AL")+COUNTIF(Emp02Sep,"AL")+COUNTIF(Emp02Oct,"AL")+COUNTIF(Emp02Nov,"AL")+COUNTIF(Emp02Dec,"AL")</f>
        <v>0</v>
      </c>
      <c r="J5" s="78">
        <f>COUNTIF(Emp02Jan,"H")+COUNTIF(Emp02Feb,"H")+COUNTIF(Emp02Mar,"H")+COUNTIF(Emp02Apr,"H")+COUNTIF(Emp02May,"H")+COUNTIF(Emp02Jun,"H")+COUNTIF(Emp02Jul,"H")+COUNTIF(Emp02Aug,"H")+COUNTIF(Emp02Sep,"H")+COUNTIF(Emp02Oct,"H")+COUNTIF(Emp02Nov,"H")+COUNTIF(Emp02Dec,"H")</f>
        <v>0</v>
      </c>
      <c r="K5" s="78">
        <f>COUNTIF(Emp02Jan,"NA")+COUNTIF(Emp02Feb,"NA")+COUNTIF(Emp02Mar,"NA")+COUNTIF(Emp02Apr,"NA")+COUNTIF(Emp02May,"NA")+COUNTIF(Emp02Jun,"NA")+COUNTIF(Emp02Jul,"NA")+COUNTIF(Emp02Aug,"NA")+COUNTIF(Emp02Sep,"NA")+COUNTIF(Emp02Oct,"NA")+COUNTIF(Emp02Nov,"NA")+COUNTIF(Emp02Dec,"NA")</f>
        <v>0</v>
      </c>
      <c r="L5" s="78">
        <f>COUNTIF(Emp02Jan,"SP")+COUNTIF(Emp02Feb,"SP")+COUNTIF(Emp02Mar,"SP")+COUNTIF(Emp02Apr,"SP")+COUNTIF(Emp02May,"SP")+COUNTIF(Emp02Jun,"SP")+COUNTIF(Emp02Jul,"SP")+COUNTIF(Emp02Aug,"SP")+COUNTIF(Emp02Sep,"SP")+COUNTIF(Emp02Oct,"SP")+COUNTIF(Emp02Nov,"SP")+COUNTIF(Emp02Dec,"SP")</f>
        <v>0</v>
      </c>
      <c r="M5" s="80">
        <f>SUM(D5:L5)</f>
        <v>0</v>
      </c>
    </row>
    <row r="6" spans="2:13" s="55" customFormat="1">
      <c r="B6" s="99" t="str">
        <f>EmpGName03</f>
        <v>Ian</v>
      </c>
      <c r="C6" s="99" t="str">
        <f>EmpSName03</f>
        <v>Thelning</v>
      </c>
      <c r="D6" s="79">
        <f>COUNTIF(Emp03Jan,"D")+COUNTIF(Emp03Feb,"D")+COUNTIF(Emp03Mar,"D")+COUNTIF(Emp03Apr,"D")+COUNTIF(Emp03May,"D")+COUNTIF(Emp03Jun,"D")+COUNTIF(Emp03Jul,"D")+COUNTIF(Emp03Aug,"D")+COUNTIF(Emp03Sep,"D")+COUNTIF(Emp03Oct,"D")+COUNTIF(Emp03Nov,"D")+COUNTIF(Emp03Dec,"D")</f>
        <v>0</v>
      </c>
      <c r="E6" s="79">
        <f>COUNTIF(Emp03Jan,"N")+COUNTIF(Emp03Feb,"N")+COUNTIF(Emp03Mar,"N")+COUNTIF(Emp03Apr,"N")+COUNTIF(Emp03May,"N")+COUNTIF(Emp03Jun,"N")+COUNTIF(Emp03Jul,"N")+COUNTIF(Emp03Aug,"N")+COUNTIF(Emp03Sep,"N")+COUNTIF(Emp03Oct,"N")+COUNTIF(Emp03Nov,"N")+COUNTIF(Emp03Dec,"N")</f>
        <v>0</v>
      </c>
      <c r="F6" s="79">
        <f>COUNTIF(Emp03Jan,"A")+COUNTIF(Emp03Feb,"A")+COUNTIF(Emp03Mar,"A")+COUNTIF(Emp03Apr,"A")+COUNTIF(Emp03May,"A")+COUNTIF(Emp03Jun,"A")+COUNTIF(Emp03Jul,"A")+COUNTIF(Emp03Aug,"A")+COUNTIF(Emp03Sep,"A")+COUNTIF(Emp03Oct,"A")+COUNTIF(Emp03Nov,"A")+COUNTIF(Emp03Dec,"A")</f>
        <v>0</v>
      </c>
      <c r="G6" s="79">
        <f>COUNTIF(Emp03Jan,"X")+COUNTIF(Emp03Feb,"X")+COUNTIF(Emp03Mar,"X")+COUNTIF(Emp03Apr,"X")+COUNTIF(Emp03May,"X")+COUNTIF(Emp03Jun,"X")+COUNTIF(Emp03Jul,"X")+COUNTIF(Emp03Aug,"X")+COUNTIF(Emp03Sep,"X")+COUNTIF(Emp03Oct,"X")+COUNTIF(Emp03Nov,"X")+COUNTIF(Emp03Dec,"X")</f>
        <v>0</v>
      </c>
      <c r="H6" s="79">
        <f>COUNTIF(Emp03Jan,"SL")+COUNTIF(Emp03Feb,"SL")+COUNTIF(Emp03Mar,"SL")+COUNTIF(Emp03Apr,"SL")+COUNTIF(Emp03May,"SL")+COUNTIF(Emp03Jun,"SL")+COUNTIF(Emp03Jul,"SL")+COUNTIF(Emp03Aug,"SL")+COUNTIF(Emp03Sep,"SL")+COUNTIF(Emp03Oct,"SL")+COUNTIF(Emp03Nov,"SL")+COUNTIF(Emp03Dec,"SL")</f>
        <v>0</v>
      </c>
      <c r="I6" s="79">
        <f>COUNTIF(Emp03Jan,"AL")+COUNTIF(Emp03Feb,"AL")+COUNTIF(Emp03Mar,"AL")+COUNTIF(Emp03Apr,"AL")+COUNTIF(Emp03May,"AL")+COUNTIF(Emp03Jun,"AL")+COUNTIF(Emp03Jul,"AL")+COUNTIF(Emp03Aug,"AL")+COUNTIF(Emp03Sep,"AL")+COUNTIF(Emp03Oct,"AL")+COUNTIF(Emp03Nov,"AL")+COUNTIF(Emp03Dec,"AL")</f>
        <v>0</v>
      </c>
      <c r="J6" s="79">
        <f>COUNTIF(Emp03Jan,"H")+COUNTIF(Emp03Feb,"H")+COUNTIF(Emp03Mar,"H")+COUNTIF(Emp03Apr,"H")+COUNTIF(Emp03May,"H")+COUNTIF(Emp03Jun,"H")+COUNTIF(Emp03Jul,"H")+COUNTIF(Emp03Aug,"H")+COUNTIF(Emp03Sep,"H")+COUNTIF(Emp03Oct,"H")+COUNTIF(Emp03Nov,"H")+COUNTIF(Emp03Dec,"H")</f>
        <v>0</v>
      </c>
      <c r="K6" s="79">
        <f>COUNTIF(Emp03Jan,"NA")+COUNTIF(Emp03Feb,"NA")+COUNTIF(Emp03Mar,"NA")+COUNTIF(Emp03Apr,"NA")+COUNTIF(Emp03May,"NA")+COUNTIF(Emp03Jun,"NA")+COUNTIF(Emp03Jul,"NA")+COUNTIF(Emp03Aug,"NA")+COUNTIF(Emp03Sep,"NA")+COUNTIF(Emp03Oct,"NA")+COUNTIF(Emp03Nov,"NA")+COUNTIF(Emp03Dec,"NA")</f>
        <v>0</v>
      </c>
      <c r="L6" s="79">
        <f>COUNTIF(Emp03Jan,"SP")+COUNTIF(Emp03Feb,"SP")+COUNTIF(Emp03Mar,"SP")+COUNTIF(Emp03Apr,"SP")+COUNTIF(Emp03May,"SP")+COUNTIF(Emp03Jun,"SP")+COUNTIF(Emp03Jul,"SP")+COUNTIF(Emp03Aug,"SP")+COUNTIF(Emp03Sep,"SP")+COUNTIF(Emp03Oct,"SP")+COUNTIF(Emp03Nov,"SP")+COUNTIF(Emp03Dec,"SP")</f>
        <v>0</v>
      </c>
      <c r="M6" s="81">
        <f>SUM(D6:L6)</f>
        <v>0</v>
      </c>
    </row>
    <row r="7" spans="2:13" s="55" customFormat="1">
      <c r="B7" s="100" t="str">
        <f>EmpGName04</f>
        <v>Leon</v>
      </c>
      <c r="C7" s="100" t="str">
        <f>EmpSName04</f>
        <v>King</v>
      </c>
      <c r="D7" s="78">
        <f>COUNTIF(Emp04Jan,"D")+COUNTIF(Emp04Feb,"D")+COUNTIF(Emp04Mar,"D")+COUNTIF(Emp04Apr,"D")+COUNTIF(Emp04May,"D")+COUNTIF(Emp04Jun,"D")+COUNTIF(Emp04Jul,"D")+COUNTIF(Emp04Aug,"D")+COUNTIF(Emp04Sep,"D")+COUNTIF(Emp04Oct,"D")+COUNTIF(Emp04Nov,"D")+COUNTIF(Emp04Dec,"D")</f>
        <v>0</v>
      </c>
      <c r="E7" s="78">
        <f>COUNTIF(Emp04Jan,"N")+COUNTIF(Emp04Feb,"N")+COUNTIF(Emp04Mar,"N")+COUNTIF(Emp04Apr,"N")+COUNTIF(Emp04May,"N")+COUNTIF(Emp04Jun,"N")+COUNTIF(Emp04Jul,"N")+COUNTIF(Emp04Aug,"N")+COUNTIF(Emp04Sep,"N")+COUNTIF(Emp04Oct,"N")+COUNTIF(Emp04Nov,"N")+COUNTIF(Emp04Dec,"N")</f>
        <v>0</v>
      </c>
      <c r="F7" s="78">
        <f>COUNTIF(Emp04Jan,"A")+COUNTIF(Emp04Feb,"A")+COUNTIF(Emp04Mar,"A")+COUNTIF(Emp04Apr,"A")+COUNTIF(Emp04May,"A")+COUNTIF(Emp04Jun,"A")+COUNTIF(Emp04Jul,"A")+COUNTIF(Emp04Aug,"A")+COUNTIF(Emp04Sep,"A")+COUNTIF(Emp04Oct,"A")+COUNTIF(Emp04Nov,"A")+COUNTIF(Emp04Dec,"A")</f>
        <v>0</v>
      </c>
      <c r="G7" s="78">
        <f>COUNTIF(Emp04Jan,"X")+COUNTIF(Emp04Feb,"X")+COUNTIF(Emp04Mar,"X")+COUNTIF(Emp04Apr,"X")+COUNTIF(Emp04May,"X")+COUNTIF(Emp04Jun,"X")+COUNTIF(Emp04Jul,"X")+COUNTIF(Emp04Aug,"X")+COUNTIF(Emp04Sep,"X")+COUNTIF(Emp04Oct,"X")+COUNTIF(Emp04Nov,"X")+COUNTIF(Emp04Dec,"X")</f>
        <v>0</v>
      </c>
      <c r="H7" s="78">
        <f>COUNTIF(Emp04Jan,"SL")+COUNTIF(Emp04Feb,"SL")+COUNTIF(Emp04Mar,"SL")+COUNTIF(Emp04Apr,"SL")+COUNTIF(Emp04May,"SL")+COUNTIF(Emp04Jun,"SL")+COUNTIF(Emp04Jul,"SL")+COUNTIF(Emp04Aug,"SL")+COUNTIF(Emp04Sep,"SL")+COUNTIF(Emp04Oct,"SL")+COUNTIF(Emp04Nov,"SL")+COUNTIF(Emp04Dec,"SL")</f>
        <v>0</v>
      </c>
      <c r="I7" s="78">
        <f>COUNTIF(Emp04Jan,"AL")+COUNTIF(Emp04Feb,"AL")+COUNTIF(Emp04Mar,"AL")+COUNTIF(Emp04Apr,"AL")+COUNTIF(Emp04May,"AL")+COUNTIF(Emp04Jun,"AL")+COUNTIF(Emp04Jul,"AL")+COUNTIF(Emp04Aug,"AL")+COUNTIF(Emp04Sep,"AL")+COUNTIF(Emp04Oct,"AL")+COUNTIF(Emp04Nov,"AL")+COUNTIF(Emp04Dec,"AL")</f>
        <v>0</v>
      </c>
      <c r="J7" s="78">
        <f>COUNTIF(Emp04Jan,"H")+COUNTIF(Emp04Feb,"H")+COUNTIF(Emp04Mar,"H")+COUNTIF(Emp04Apr,"H")+COUNTIF(Emp04May,"H")+COUNTIF(Emp04Jun,"H")+COUNTIF(Emp04Jul,"H")+COUNTIF(Emp04Aug,"H")+COUNTIF(Emp04Sep,"H")+COUNTIF(Emp04Oct,"H")+COUNTIF(Emp04Nov,"H")+COUNTIF(Emp04Dec,"H")</f>
        <v>0</v>
      </c>
      <c r="K7" s="78">
        <f>COUNTIF(Emp04Jan,"NA")+COUNTIF(Emp04Feb,"NA")+COUNTIF(Emp04Mar,"NA")+COUNTIF(Emp04Apr,"NA")+COUNTIF(Emp04May,"NA")+COUNTIF(Emp04Jun,"NA")+COUNTIF(Emp04Jul,"NA")+COUNTIF(Emp04Aug,"NA")+COUNTIF(Emp04Sep,"NA")+COUNTIF(Emp04Oct,"NA")+COUNTIF(Emp04Nov,"NA")+COUNTIF(Emp04Dec,"NA")</f>
        <v>0</v>
      </c>
      <c r="L7" s="78">
        <f>COUNTIF(Emp04Jan,"SP")+COUNTIF(Emp04Feb,"SP")+COUNTIF(Emp04Mar,"SP")+COUNTIF(Emp04Apr,"SP")+COUNTIF(Emp04May,"SP")+COUNTIF(Emp04Jun,"SP")+COUNTIF(Emp04Jul,"SP")+COUNTIF(Emp04Aug,"SP")+COUNTIF(Emp04Sep,"SP")+COUNTIF(Emp04Oct,"SP")+COUNTIF(Emp04Nov,"SP")+COUNTIF(Emp04Dec,"SP")</f>
        <v>0</v>
      </c>
      <c r="M7" s="80">
        <f t="shared" ref="M7:M11" si="0">SUM(D7:L7)</f>
        <v>0</v>
      </c>
    </row>
    <row r="8" spans="2:13" s="55" customFormat="1">
      <c r="B8" s="99" t="str">
        <f>EmpGName05</f>
        <v>David</v>
      </c>
      <c r="C8" s="99" t="str">
        <f>EmpSName05</f>
        <v>Castle</v>
      </c>
      <c r="D8" s="79">
        <f>COUNTIF(Emp05Jan,"D")+COUNTIF(Emp05Feb,"D")+COUNTIF(Emp05Mar,"D")+COUNTIF(Emp05Apr,"D")+COUNTIF(Emp05May,"D")+COUNTIF(Emp05Jun,"D")+COUNTIF(Emp05Jul,"D")+COUNTIF(Emp05Aug,"D")+COUNTIF(Emp05Sep,"D")+COUNTIF(Emp05Oct,"D")+COUNTIF(Emp05Nov,"D")+COUNTIF(Emp05Dec,"D")</f>
        <v>0</v>
      </c>
      <c r="E8" s="79">
        <f>COUNTIF(Emp05Jan,"N")+COUNTIF(Emp05Feb,"N")+COUNTIF(Emp05Mar,"N")+COUNTIF(Emp05Apr,"N")+COUNTIF(Emp05May,"N")+COUNTIF(Emp05Jun,"N")+COUNTIF(Emp05Jul,"N")+COUNTIF(Emp05Aug,"N")+COUNTIF(Emp05Sep,"N")+COUNTIF(Emp05Oct,"N")+COUNTIF(Emp05Nov,"N")+COUNTIF(Emp05Dec,"N")</f>
        <v>0</v>
      </c>
      <c r="F8" s="79">
        <f>COUNTIF(Emp05Jan,"A")+COUNTIF(Emp05Feb,"A")+COUNTIF(Emp05Mar,"A")+COUNTIF(Emp05Apr,"A")+COUNTIF(Emp05May,"A")+COUNTIF(Emp05Jun,"A")+COUNTIF(Emp05Jul,"A")+COUNTIF(Emp05Aug,"A")+COUNTIF(Emp05Sep,"A")+COUNTIF(Emp05Oct,"A")+COUNTIF(Emp05Nov,"A")+COUNTIF(Emp05Dec,"A")</f>
        <v>0</v>
      </c>
      <c r="G8" s="79">
        <f>COUNTIF(Emp05Jan,"X")+COUNTIF(Emp05Feb,"X")+COUNTIF(Emp05Mar,"X")+COUNTIF(Emp05Apr,"X")+COUNTIF(Emp05May,"X")+COUNTIF(Emp05Jun,"X")+COUNTIF(Emp05Jul,"X")+COUNTIF(Emp05Aug,"X")+COUNTIF(Emp05Sep,"X")+COUNTIF(Emp05Oct,"X")+COUNTIF(Emp05Nov,"X")+COUNTIF(Emp05Dec,"X")</f>
        <v>0</v>
      </c>
      <c r="H8" s="79">
        <f>COUNTIF(Emp05Jan,"SL")+COUNTIF(Emp05Feb,"SL")+COUNTIF(Emp05Mar,"SL")+COUNTIF(Emp05Apr,"SL")+COUNTIF(Emp05May,"SL")+COUNTIF(Emp05Jun,"SL")+COUNTIF(Emp05Jul,"SL")+COUNTIF(Emp05Aug,"SL")+COUNTIF(Emp05Sep,"SL")+COUNTIF(Emp05Oct,"SL")+COUNTIF(Emp05Nov,"SL")+COUNTIF(Emp05Dec,"SL")</f>
        <v>0</v>
      </c>
      <c r="I8" s="79">
        <f>COUNTIF(Emp05Jan,"AL")+COUNTIF(Emp05Feb,"AL")+COUNTIF(Emp05Mar,"AL")+COUNTIF(Emp05Apr,"AL")+COUNTIF(Emp05May,"AL")+COUNTIF(Emp05Jun,"AL")+COUNTIF(Emp05Jul,"AL")+COUNTIF(Emp05Aug,"AL")+COUNTIF(Emp05Sep,"AL")+COUNTIF(Emp05Oct,"AL")+COUNTIF(Emp05Nov,"AL")+COUNTIF(Emp05Dec,"AL")</f>
        <v>0</v>
      </c>
      <c r="J8" s="79">
        <f>COUNTIF(Emp05Jan,"H")+COUNTIF(Emp05Feb,"H")+COUNTIF(Emp05Mar,"H")+COUNTIF(Emp05Apr,"H")+COUNTIF(Emp05May,"H")+COUNTIF(Emp05Jun,"H")+COUNTIF(Emp05Jul,"H")+COUNTIF(Emp05Aug,"H")+COUNTIF(Emp05Sep,"H")+COUNTIF(Emp05Oct,"H")+COUNTIF(Emp05Nov,"H")+COUNTIF(Emp05Dec,"H")</f>
        <v>0</v>
      </c>
      <c r="K8" s="79">
        <f>COUNTIF(Emp05Jan,"NA")+COUNTIF(Emp05Feb,"NA")+COUNTIF(Emp05Mar,"NA")+COUNTIF(Emp05Apr,"NA")+COUNTIF(Emp05May,"NA")+COUNTIF(Emp05Jun,"NA")+COUNTIF(Emp05Jul,"NA")+COUNTIF(Emp05Aug,"NA")+COUNTIF(Emp05Sep,"NA")+COUNTIF(Emp05Oct,"NA")+COUNTIF(Emp05Nov,"NA")+COUNTIF(Emp05Dec,"NA")</f>
        <v>0</v>
      </c>
      <c r="L8" s="79">
        <f>COUNTIF(Emp05Jan,"SP")+COUNTIF(Emp05Feb,"SP")+COUNTIF(Emp05Mar,"SP")+COUNTIF(Emp05Apr,"SP")+COUNTIF(Emp05May,"SP")+COUNTIF(Emp05Jun,"SP")+COUNTIF(Emp05Jul,"SP")+COUNTIF(Emp05Aug,"SP")+COUNTIF(Emp05Sep,"SP")+COUNTIF(Emp05Oct,"SP")+COUNTIF(Emp05Nov,"SP")+COUNTIF(Emp05Dec,"SP")</f>
        <v>0</v>
      </c>
      <c r="M8" s="81">
        <f t="shared" si="0"/>
        <v>0</v>
      </c>
    </row>
    <row r="9" spans="2:13" s="55" customFormat="1">
      <c r="B9" s="100" t="str">
        <f>EmpGName06</f>
        <v>Robin</v>
      </c>
      <c r="C9" s="100" t="str">
        <f>EmpSName06</f>
        <v>Fielding</v>
      </c>
      <c r="D9" s="78">
        <f>COUNTIF(Emp06Jan,"D")+COUNTIF(Emp06Feb,"D")+COUNTIF(Emp06Mar,"D")+COUNTIF(Emp06Apr,"D")+COUNTIF(Emp06May,"D")+COUNTIF(Emp06Jun,"D")+COUNTIF(Emp06Jul,"D")+COUNTIF(Emp06Aug,"D")+COUNTIF(Emp06Sep,"D")+COUNTIF(Emp06Oct,"D")+COUNTIF(Emp06Nov,"D")+COUNTIF(Emp06Dec,"D")</f>
        <v>0</v>
      </c>
      <c r="E9" s="78">
        <f>COUNTIF(Emp06Jan,"N")+COUNTIF(Emp06Feb,"N")+COUNTIF(Emp06Mar,"N")+COUNTIF(Emp06Apr,"N")+COUNTIF(Emp06May,"N")+COUNTIF(Emp06Jun,"N")+COUNTIF(Emp06Jul,"N")+COUNTIF(Emp06Aug,"N")+COUNTIF(Emp06Sep,"N")+COUNTIF(Emp06Oct,"N")+COUNTIF(Emp06Nov,"N")+COUNTIF(Emp06Dec,"N")</f>
        <v>0</v>
      </c>
      <c r="F9" s="78">
        <f>COUNTIF(Emp06Jan,"A")+COUNTIF(Emp06Feb,"A")+COUNTIF(Emp06Mar,"A")+COUNTIF(Emp06Apr,"A")+COUNTIF(Emp06May,"A")+COUNTIF(Emp06Jun,"A")+COUNTIF(Emp06Jul,"A")+COUNTIF(Emp06Aug,"A")+COUNTIF(Emp06Sep,"A")+COUNTIF(Emp06Oct,"A")+COUNTIF(Emp06Nov,"A")+COUNTIF(Emp06Dec,"A")</f>
        <v>0</v>
      </c>
      <c r="G9" s="78">
        <f>COUNTIF(Emp06Jan,"X")+COUNTIF(Emp06Feb,"X")+COUNTIF(Emp06Mar,"X")+COUNTIF(Emp06Apr,"X")+COUNTIF(Emp06May,"X")+COUNTIF(Emp06Jun,"X")+COUNTIF(Emp06Jul,"X")+COUNTIF(Emp06Aug,"X")+COUNTIF(Emp06Sep,"X")+COUNTIF(Emp06Oct,"X")+COUNTIF(Emp06Nov,"X")+COUNTIF(Emp06Dec,"X")</f>
        <v>0</v>
      </c>
      <c r="H9" s="78">
        <f>COUNTIF(Emp06Jan,"SL")+COUNTIF(Emp06Feb,"SL")+COUNTIF(Emp06Mar,"SL")+COUNTIF(Emp06Apr,"SL")+COUNTIF(Emp06May,"SL")+COUNTIF(Emp06Jun,"SL")+COUNTIF(Emp06Jul,"SL")+COUNTIF(Emp06Aug,"SL")+COUNTIF(Emp06Sep,"SL")+COUNTIF(Emp06Oct,"SL")+COUNTIF(Emp06Nov,"SL")+COUNTIF(Emp06Dec,"SL")</f>
        <v>0</v>
      </c>
      <c r="I9" s="78">
        <f>COUNTIF(Emp06Jan,"AL")+COUNTIF(Emp06Feb,"AL")+COUNTIF(Emp06Mar,"AL")+COUNTIF(Emp06Apr,"AL")+COUNTIF(Emp06May,"AL")+COUNTIF(Emp06Jun,"AL")+COUNTIF(Emp06Jul,"AL")+COUNTIF(Emp06Aug,"AL")+COUNTIF(Emp06Sep,"AL")+COUNTIF(Emp06Oct,"AL")+COUNTIF(Emp06Nov,"AL")+COUNTIF(Emp06Dec,"AL")</f>
        <v>0</v>
      </c>
      <c r="J9" s="78">
        <f>COUNTIF(Emp06Jan,"H")+COUNTIF(Emp06Feb,"H")+COUNTIF(Emp06Mar,"H")+COUNTIF(Emp06Apr,"H")+COUNTIF(Emp06May,"H")+COUNTIF(Emp06Jun,"H")+COUNTIF(Emp06Jul,"H")+COUNTIF(Emp06Aug,"H")+COUNTIF(Emp06Sep,"H")+COUNTIF(Emp06Oct,"H")+COUNTIF(Emp06Nov,"H")+COUNTIF(Emp06Dec,"H")</f>
        <v>0</v>
      </c>
      <c r="K9" s="78">
        <f>COUNTIF(Emp06Jan,"NA")+COUNTIF(Emp06Feb,"NA")+COUNTIF(Emp06Mar,"NA")+COUNTIF(Emp06Apr,"NA")+COUNTIF(Emp06May,"NA")+COUNTIF(Emp06Jun,"NA")+COUNTIF(Emp06Jul,"NA")+COUNTIF(Emp06Aug,"NA")+COUNTIF(Emp06Sep,"NA")+COUNTIF(Emp06Oct,"NA")+COUNTIF(Emp06Nov,"NA")+COUNTIF(Emp06Dec,"NA")</f>
        <v>0</v>
      </c>
      <c r="L9" s="78">
        <f>COUNTIF(Emp06Jan,"SP")+COUNTIF(Emp06Feb,"SP")+COUNTIF(Emp06Mar,"SP")+COUNTIF(Emp06Apr,"SP")+COUNTIF(Emp06May,"SP")+COUNTIF(Emp06Jun,"SP")+COUNTIF(Emp06Jul,"SP")+COUNTIF(Emp06Aug,"SP")+COUNTIF(Emp06Sep,"SP")+COUNTIF(Emp06Oct,"SP")+COUNTIF(Emp06Nov,"SP")+COUNTIF(Emp06Dec,"SP")</f>
        <v>0</v>
      </c>
      <c r="M9" s="80">
        <f t="shared" si="0"/>
        <v>0</v>
      </c>
    </row>
    <row r="10" spans="2:13" s="55" customFormat="1">
      <c r="B10" s="99" t="str">
        <f>EmpGName07</f>
        <v>Troy</v>
      </c>
      <c r="C10" s="99" t="str">
        <f>EmpSName07</f>
        <v>Sorensen</v>
      </c>
      <c r="D10" s="81">
        <f>COUNTIF(Emp07Jan,"D")+COUNTIF(Emp07Feb,"D")+COUNTIF(Emp07Mar,"D")+COUNTIF(Emp07Apr,"D")+COUNTIF(Emp07May,"D")+COUNTIF(Emp07Jun,"D")+COUNTIF(Emp07Jul,"D")+COUNTIF(Emp07Aug,"D")+COUNTIF(Emp07Sep,"D")+COUNTIF(Emp07Oct,"D")+COUNTIF(Emp07Nov,"D")+COUNTIF(Emp07Dec,"D")</f>
        <v>0</v>
      </c>
      <c r="E10" s="81">
        <f>COUNTIF(Emp07Jan,"N")+COUNTIF(Emp07Feb,"N")+COUNTIF(Emp07Mar,"N")+COUNTIF(Emp07Apr,"N")+COUNTIF(Emp07May,"N")+COUNTIF(Emp07Jun,"N")+COUNTIF(Emp07Jul,"N")+COUNTIF(Emp07Aug,"N")+COUNTIF(Emp07Sep,"N")+COUNTIF(Emp07Oct,"N")+COUNTIF(Emp07Nov,"N")+COUNTIF(Emp07Dec,"N")</f>
        <v>0</v>
      </c>
      <c r="F10" s="81">
        <f>COUNTIF(Emp07Jan,"A")+COUNTIF(Emp07Feb,"A")+COUNTIF(Emp07Mar,"A")+COUNTIF(Emp07Apr,"A")+COUNTIF(Emp07May,"A")+COUNTIF(Emp07Jun,"A")+COUNTIF(Emp07Jul,"A")+COUNTIF(Emp07Aug,"A")+COUNTIF(Emp07Sep,"A")+COUNTIF(Emp07Oct,"A")+COUNTIF(Emp07Nov,"A")+COUNTIF(Emp07Dec,"A")</f>
        <v>0</v>
      </c>
      <c r="G10" s="81">
        <f>COUNTIF(Emp07Jan,"X")+COUNTIF(Emp07Feb,"X")+COUNTIF(Emp07Mar,"X")+COUNTIF(Emp07Apr,"X")+COUNTIF(Emp07May,"X")+COUNTIF(Emp07Jun,"X")+COUNTIF(Emp07Jul,"X")+COUNTIF(Emp07Aug,"X")+COUNTIF(Emp07Sep,"X")+COUNTIF(Emp07Oct,"X")+COUNTIF(Emp07Nov,"X")+COUNTIF(Emp07Dec,"X")</f>
        <v>0</v>
      </c>
      <c r="H10" s="79">
        <f>COUNTIF(Emp07Jan,"SL")+COUNTIF(Emp07Feb,"SL")+COUNTIF(Emp07Mar,"SL")+COUNTIF(Emp07Apr,"SL")+COUNTIF(Emp07May,"SL")+COUNTIF(Emp07Jun,"SL")+COUNTIF(Emp07Jul,"SL")+COUNTIF(Emp07Aug,"SL")+COUNTIF(Emp07Sep,"SL")+COUNTIF(Emp07Oct,"SL")+COUNTIF(Emp07Nov,"SL")+COUNTIF(Emp07Dec,"SL")</f>
        <v>0</v>
      </c>
      <c r="I10" s="79">
        <f>COUNTIF(Emp07Jan,"AL")+COUNTIF(Emp07Feb,"AL")+COUNTIF(Emp07Mar,"AL")+COUNTIF(Emp07Apr,"AL")+COUNTIF(Emp07May,"AL")+COUNTIF(Emp07Jun,"AL")+COUNTIF(Emp07Jul,"AL")+COUNTIF(Emp07Aug,"AL")+COUNTIF(Emp07Sep,"AL")+COUNTIF(Emp07Oct,"AL")+COUNTIF(Emp07Nov,"AL")+COUNTIF(Emp07Dec,"AL")</f>
        <v>0</v>
      </c>
      <c r="J10" s="79">
        <f>COUNTIF(Emp07Jan,"H")+COUNTIF(Emp07Feb,"H")+COUNTIF(Emp07Mar,"H")+COUNTIF(Emp07Apr,"H")+COUNTIF(Emp07May,"H")+COUNTIF(Emp07Jun,"H")+COUNTIF(Emp07Jul,"H")+COUNTIF(Emp07Aug,"H")+COUNTIF(Emp07Sep,"H")+COUNTIF(Emp07Oct,"H")+COUNTIF(Emp07Nov,"H")+COUNTIF(Emp07Dec,"H")</f>
        <v>0</v>
      </c>
      <c r="K10" s="81">
        <f>COUNTIF(Emp07Jan,"NA")+COUNTIF(Emp07Feb,"NA")+COUNTIF(Emp07Mar,"NA")+COUNTIF(Emp07Apr,"NA")+COUNTIF(Emp07May,"NA")+COUNTIF(Emp07Jun,"NA")+COUNTIF(Emp07Jul,"NA")+COUNTIF(Emp07Aug,"NA")+COUNTIF(Emp07Sep,"NA")+COUNTIF(Emp07Oct,"NA")+COUNTIF(Emp07Nov,"NA")+COUNTIF(Emp07Dec,"NA")</f>
        <v>0</v>
      </c>
      <c r="L10" s="79">
        <f>COUNTIF(Emp07Jan,"SP")+COUNTIF(Emp07Feb,"SP")+COUNTIF(Emp07Mar,"SP")+COUNTIF(Emp07Apr,"SP")+COUNTIF(Emp07May,"SP")+COUNTIF(Emp07Jun,"SP")+COUNTIF(Emp07Jul,"SP")+COUNTIF(Emp07Aug,"SP")+COUNTIF(Emp07Sep,"SP")+COUNTIF(Emp07Oct,"SP")+COUNTIF(Emp07Nov,"SP")+COUNTIF(Emp07Dec,"SP")</f>
        <v>0</v>
      </c>
      <c r="M10" s="81">
        <f t="shared" si="0"/>
        <v>0</v>
      </c>
    </row>
    <row r="11" spans="2:13" s="55" customFormat="1">
      <c r="B11" s="100" t="str">
        <f>EmpGName08</f>
        <v>Bodd</v>
      </c>
      <c r="C11" s="100" t="str">
        <f>EmpSName08</f>
        <v xml:space="preserve">Odd </v>
      </c>
      <c r="D11" s="80">
        <f>COUNTIF(Emp08Jan,"D")+COUNTIF(Emp08Feb,"D")+COUNTIF(Emp08Mar,"D")+COUNTIF(Emp08Apr,"D")+COUNTIF(Emp08May,"D")+COUNTIF(Emp08Jun,"D")+COUNTIF(Emp08Jul,"D")+COUNTIF(Emp08Aug,"D")+COUNTIF(Emp08Sep,"D")+COUNTIF(Emp08Oct,"D")+COUNTIF(Emp08Nov,"D")+COUNTIF(Emp08Dec,"D")</f>
        <v>0</v>
      </c>
      <c r="E11" s="80">
        <f>COUNTIF(Emp08Jan,"N")+COUNTIF(Emp08Feb,"N")+COUNTIF(Emp08Mar,"N")+COUNTIF(Emp08Apr,"N")+COUNTIF(Emp08May,"N")+COUNTIF(Emp08Jun,"N")+COUNTIF(Emp08Jul,"N")+COUNTIF(Emp08Aug,"N")+COUNTIF(Emp08Sep,"N")+COUNTIF(Emp08Oct,"N")+COUNTIF(Emp08Nov,"N")+COUNTIF(Emp08Dec,"N")</f>
        <v>0</v>
      </c>
      <c r="F11" s="80">
        <f>COUNTIF(Emp08Jan,"A")+COUNTIF(Emp08Feb,"A")+COUNTIF(Emp08Mar,"A")+COUNTIF(Emp08Apr,"A")+COUNTIF(Emp08May,"A")+COUNTIF(Emp08Jun,"A")+COUNTIF(Emp08Jul,"A")+COUNTIF(Emp08Aug,"A")+COUNTIF(Emp08Sep,"A")+COUNTIF(Emp08Oct,"A")+COUNTIF(Emp08Nov,"A")+COUNTIF(Emp08Dec,"A")</f>
        <v>0</v>
      </c>
      <c r="G11" s="80">
        <f>COUNTIF(Emp08Jan,"X")+COUNTIF(Emp08Feb,"X")+COUNTIF(Emp08Mar,"X")+COUNTIF(Emp08Apr,"X")+COUNTIF(Emp08May,"X")+COUNTIF(Emp08Jun,"X")+COUNTIF(Emp08Jul,"X")+COUNTIF(Emp08Aug,"X")+COUNTIF(Emp08Sep,"X")+COUNTIF(Emp08Oct,"X")+COUNTIF(Emp08Nov,"X")+COUNTIF(Emp08Dec,"X")</f>
        <v>0</v>
      </c>
      <c r="H11" s="78">
        <f>COUNTIF(Emp08Jan,"SL")+COUNTIF(Emp08Feb,"SL")+COUNTIF(Emp08Mar,"SL")+COUNTIF(Emp08Apr,"SL")+COUNTIF(Emp08May,"SL")+COUNTIF(Emp08Jun,"SL")+COUNTIF(Emp08Jul,"SL")+COUNTIF(Emp08Aug,"SL")+COUNTIF(Emp08Sep,"SL")+COUNTIF(Emp08Oct,"SL")+COUNTIF(Emp08Nov,"SL")+COUNTIF(Emp08Dec,"SL")</f>
        <v>0</v>
      </c>
      <c r="I11" s="78">
        <f>COUNTIF(Emp08Jan,"AL")+COUNTIF(Emp08Feb,"AL")+COUNTIF(Emp08Mar,"AL")+COUNTIF(Emp08Apr,"AL")+COUNTIF(Emp08May,"AL")+COUNTIF(Emp08Jun,"AL")+COUNTIF(Emp08Jul,"AL")+COUNTIF(Emp08Aug,"AL")+COUNTIF(Emp08Sep,"AL")+COUNTIF(Emp08Oct,"AL")+COUNTIF(Emp08Nov,"AL")+COUNTIF(Emp08Dec,"AL")</f>
        <v>0</v>
      </c>
      <c r="J11" s="78">
        <f>COUNTIF(Emp08Jan,"H")+COUNTIF(Emp08Feb,"H")+COUNTIF(Emp08Mar,"H")+COUNTIF(Emp08Apr,"H")+COUNTIF(Emp08May,"H")+COUNTIF(Emp08Jun,"H")+COUNTIF(Emp08Jul,"H")+COUNTIF(Emp08Aug,"H")+COUNTIF(Emp08Sep,"H")+COUNTIF(Emp08Oct,"H")+COUNTIF(Emp08Nov,"H")+COUNTIF(Emp08Dec,"H")</f>
        <v>0</v>
      </c>
      <c r="K11" s="80">
        <f>COUNTIF(Emp08Jan,"NA")+COUNTIF(Emp08Feb,"NA")+COUNTIF(Emp08Mar,"NA")+COUNTIF(Emp08Apr,"NA")+COUNTIF(Emp08May,"NA")+COUNTIF(Emp08Jun,"NA")+COUNTIF(Emp08Jul,"NA")+COUNTIF(Emp08Aug,"NA")+COUNTIF(Emp08Sep,"NA")+COUNTIF(Emp08Oct,"NA")+COUNTIF(Emp08Nov,"NA")+COUNTIF(Emp08Dec,"NA")</f>
        <v>0</v>
      </c>
      <c r="L11" s="78">
        <f>COUNTIF(Emp08Jan,"SP")+COUNTIF(Emp08Feb,"SP")+COUNTIF(Emp08Mar,"SP")+COUNTIF(Emp08Apr,"SP")+COUNTIF(Emp08May,"SP")+COUNTIF(Emp08Jun,"SP")+COUNTIF(Emp08Jul,"SP")+COUNTIF(Emp08Aug,"SP")+COUNTIF(Emp08Sep,"SP")+COUNTIF(Emp08Oct,"SP")+COUNTIF(Emp08Nov,"SP")+COUNTIF(Emp08Dec,"SP")</f>
        <v>0</v>
      </c>
      <c r="M11" s="80">
        <f t="shared" si="0"/>
        <v>0</v>
      </c>
    </row>
    <row r="12" spans="2:13" s="55" customFormat="1">
      <c r="B12" s="99" t="str">
        <f>EmpGName09</f>
        <v>1Bod</v>
      </c>
      <c r="C12" s="99" t="str">
        <f>EmpSName09</f>
        <v>Odd1</v>
      </c>
      <c r="D12" s="81">
        <f>COUNTIF(Emp09Jan,"D")+COUNTIF(Emp09Feb,"D")+COUNTIF(Emp09Mar,"D")+COUNTIF(Emp09Apr,"D")+COUNTIF(Emp09May,"D")+COUNTIF(Emp09Jun,"D")+COUNTIF(Emp09Jul,"D")+COUNTIF(Emp09Aug,"D")+COUNTIF(Emp09Sep,"D")+COUNTIF(Emp09Oct,"D")+COUNTIF(Emp09Nov,"D")+COUNTIF(Emp09Dec,"D")</f>
        <v>0</v>
      </c>
      <c r="E12" s="81">
        <f>COUNTIF(Emp09Jan,"N")+COUNTIF(Emp09Feb,"N")+COUNTIF(Emp09Mar,"N")+COUNTIF(Emp09Apr,"N")+COUNTIF(Emp09May,"N")+COUNTIF(Emp09Jun,"N")+COUNTIF(Emp09Jul,"N")+COUNTIF(Emp09Aug,"N")+COUNTIF(Emp09Sep,"N")+COUNTIF(Emp09Oct,"N")+COUNTIF(Emp09Nov,"N")+COUNTIF(Emp09Dec,"N")</f>
        <v>0</v>
      </c>
      <c r="F12" s="81">
        <f>COUNTIF(Emp09Jan,"A")+COUNTIF(Emp09Feb,"A")+COUNTIF(Emp09Mar,"A")+COUNTIF(Emp09Apr,"A")+COUNTIF(Emp09May,"A")+COUNTIF(Emp09Jun,"A")+COUNTIF(Emp09Jul,"A")+COUNTIF(Emp09Aug,"A")+COUNTIF(Emp09Sep,"A")+COUNTIF(Emp09Oct,"A")+COUNTIF(Emp09Nov,"A")+COUNTIF(Emp09Dec,"A")</f>
        <v>0</v>
      </c>
      <c r="G12" s="81">
        <f>COUNTIF(Emp09Jan,"X")+COUNTIF(Emp09Feb,"X")+COUNTIF(Emp09Mar,"X")+COUNTIF(Emp09Apr,"X")+COUNTIF(Emp09May,"X")+COUNTIF(Emp09Jun,"X")+COUNTIF(Emp09Jul,"X")+COUNTIF(Emp09Aug,"X")+COUNTIF(Emp09Sep,"X")+COUNTIF(Emp09Oct,"X")+COUNTIF(Emp09Nov,"X")+COUNTIF(Emp09Dec,"X")</f>
        <v>0</v>
      </c>
      <c r="H12" s="79">
        <f>COUNTIF(Emp09Jan,"SL")+COUNTIF(Emp09Feb,"SL")+COUNTIF(Emp09Mar,"SL")+COUNTIF(Emp09Apr,"SL")+COUNTIF(Emp09May,"SL")+COUNTIF(Emp09Jun,"SL")+COUNTIF(Emp09Jul,"SL")+COUNTIF(Emp09Aug,"SL")+COUNTIF(Emp09Sep,"SL")+COUNTIF(Emp09Oct,"SL")+COUNTIF(Emp09Nov,"SL")+COUNTIF(Emp09Dec,"SL")</f>
        <v>0</v>
      </c>
      <c r="I12" s="79">
        <f>COUNTIF(Emp09Jan,"AL")+COUNTIF(Emp09Feb,"AL")+COUNTIF(Emp09Mar,"AL")+COUNTIF(Emp09Apr,"AL")+COUNTIF(Emp09May,"AL")+COUNTIF(Emp09Jun,"AL")+COUNTIF(Emp09Jul,"AL")+COUNTIF(Emp09Aug,"AL")+COUNTIF(Emp09Sep,"AL")+COUNTIF(Emp09Oct,"AL")+COUNTIF(Emp09Nov,"AL")+COUNTIF(Emp09Dec,"AL")</f>
        <v>0</v>
      </c>
      <c r="J12" s="79">
        <f>COUNTIF(Emp09Jan,"H")+COUNTIF(Emp09Feb,"H")+COUNTIF(Emp09Mar,"H")+COUNTIF(Emp09Apr,"H")+COUNTIF(Emp09May,"H")+COUNTIF(Emp09Jun,"H")+COUNTIF(Emp09Jul,"H")+COUNTIF(Emp09Aug,"H")+COUNTIF(Emp09Sep,"H")+COUNTIF(Emp09Oct,"H")+COUNTIF(Emp09Nov,"H")+COUNTIF(Emp09Dec,"H")</f>
        <v>0</v>
      </c>
      <c r="K12" s="81">
        <f>COUNTIF(Emp09Jan,"NA")+COUNTIF(Emp09Feb,"NA")+COUNTIF(Emp09Mar,"NA")+COUNTIF(Emp09Apr,"NA")+COUNTIF(Emp09May,"NA")+COUNTIF(Emp09Jun,"NA")+COUNTIF(Emp09Jul,"NA")+COUNTIF(Emp09Aug,"NA")+COUNTIF(Emp09Sep,"NA")+COUNTIF(Emp09Oct,"NA")+COUNTIF(Emp09Nov,"NA")+COUNTIF(Emp09Dec,"NA")</f>
        <v>0</v>
      </c>
      <c r="L12" s="79">
        <f>COUNTIF(Emp09Jan,"SP")+COUNTIF(Emp09Feb,"SP")+COUNTIF(Emp09Mar,"SP")+COUNTIF(Emp09Apr,"SP")+COUNTIF(Emp09May,"SP")+COUNTIF(Emp09Jun,"SP")+COUNTIF(Emp09Jul,"SP")+COUNTIF(Emp09Aug,"SP")+COUNTIF(Emp09Sep,"SP")+COUNTIF(Emp09Oct,"SP")+COUNTIF(Emp09Nov,"SP")+COUNTIF(Emp09Dec,"SP")</f>
        <v>0</v>
      </c>
      <c r="M12" s="81">
        <f>SUM(D12:L12)</f>
        <v>0</v>
      </c>
    </row>
    <row r="13" spans="2:13" s="55" customFormat="1">
      <c r="B13" s="100" t="str">
        <f>EmpSName10</f>
        <v>Odd2</v>
      </c>
      <c r="C13" s="100" t="str">
        <f>EmpGName10</f>
        <v>2Bod</v>
      </c>
      <c r="D13" s="80">
        <f>COUNTIF(Emp10Jan,"D")+COUNTIF(Emp10Feb,"D")+COUNTIF(Emp10Mar,"D")+COUNTIF(Emp10Apr,"D")+COUNTIF(Emp10May,"D")+COUNTIF(Emp10Jun,"D")+COUNTIF(Emp10Jul,"D")+COUNTIF(Emp10Aug,"D")+COUNTIF(Emp10Sep,"D")+COUNTIF(Emp10Oct,"D")+COUNTIF(Emp10Nov,"D")+COUNTIF(Emp10Dec,"D")</f>
        <v>0</v>
      </c>
      <c r="E13" s="80">
        <f>COUNTIF(Emp10Jan,"N")+COUNTIF(Emp10Feb,"N")+COUNTIF(Emp10Mar,"N")+COUNTIF(Emp10Apr,"N")+COUNTIF(Emp10May,"N")+COUNTIF(Emp10Jun,"N")+COUNTIF(Emp10Jul,"N")+COUNTIF(Emp10Aug,"N")+COUNTIF(Emp10Sep,"N")+COUNTIF(Emp10Oct,"N")+COUNTIF(Emp10Nov,"N")+COUNTIF(Emp10Dec,"N")</f>
        <v>0</v>
      </c>
      <c r="F13" s="80">
        <f>COUNTIF(Emp10Jan,"A")+COUNTIF(Emp10Feb,"A")+COUNTIF(Emp10Mar,"A")+COUNTIF(Emp10Apr,"A")+COUNTIF(Emp10May,"A")+COUNTIF(Emp10Jun,"A")+COUNTIF(Emp10Jul,"A")+COUNTIF(Emp10Aug,"A")+COUNTIF(Emp10Sep,"A")+COUNTIF(Emp10Oct,"A")+COUNTIF(Emp10Nov,"A")+COUNTIF(Emp10Dec,"A")</f>
        <v>0</v>
      </c>
      <c r="G13" s="80">
        <f>COUNTIF(Emp10Jan,"X")+COUNTIF(Emp10Feb,"X")+COUNTIF(Emp10Mar,"X")+COUNTIF(Emp10Apr,"X")+COUNTIF(Emp10May,"X")+COUNTIF(Emp10Jun,"X")+COUNTIF(Emp10Jul,"X")+COUNTIF(Emp10Aug,"X")+COUNTIF(Emp10Sep,"X")+COUNTIF(Emp10Oct,"X")+COUNTIF(Emp10Nov,"X")+COUNTIF(Emp10Dec,"X")</f>
        <v>0</v>
      </c>
      <c r="H13" s="78">
        <f>COUNTIF(Emp10Jan,"SL")+COUNTIF(Emp10Feb,"SL")+COUNTIF(Emp10Mar,"SL")+COUNTIF(Emp10Apr,"SL")+COUNTIF(Emp10May,"SL")+COUNTIF(Emp10Jun,"SL")+COUNTIF(Emp10Jul,"SL")+COUNTIF(Emp10Aug,"SL")+COUNTIF(Emp10Sep,"SL")+COUNTIF(Emp10Oct,"SL")+COUNTIF(Emp10Nov,"SL")+COUNTIF(Emp10Dec,"SL")</f>
        <v>0</v>
      </c>
      <c r="I13" s="78">
        <f>COUNTIF(Emp10Jan,"AL")+COUNTIF(Emp10Feb,"AL")+COUNTIF(Emp10Mar,"AL")+COUNTIF(Emp10Apr,"AL")+COUNTIF(Emp10May,"AL")+COUNTIF(Emp10Jun,"AL")+COUNTIF(Emp10Jul,"AL")+COUNTIF(Emp10Aug,"AL")+COUNTIF(Emp10Sep,"AL")+COUNTIF(Emp10Oct,"AL")+COUNTIF(Emp10Nov,"AL")+COUNTIF(Emp10Dec,"AL")</f>
        <v>0</v>
      </c>
      <c r="J13" s="78">
        <f>COUNTIF(Emp10Jan,"H")+COUNTIF(Emp10Feb,"H")+COUNTIF(Emp10Mar,"H")+COUNTIF(Emp10Apr,"H")+COUNTIF(Emp10May,"H")+COUNTIF(Emp10Jun,"H")+COUNTIF(Emp10Jul,"H")+COUNTIF(Emp10Aug,"H")+COUNTIF(Emp10Sep,"H")+COUNTIF(Emp10Oct,"H")+COUNTIF(Emp10Nov,"H")+COUNTIF(Emp10Dec,"H")</f>
        <v>0</v>
      </c>
      <c r="K13" s="80">
        <f>COUNTIF(Emp10Jan,"NA")+COUNTIF(Emp10Feb,"NA")+COUNTIF(Emp10Mar,"NA")+COUNTIF(Emp10Apr,"NA")+COUNTIF(Emp10May,"NA")+COUNTIF(Emp10Jun,"NA")+COUNTIF(Emp10Jul,"NA")+COUNTIF(Emp10Aug,"NA")+COUNTIF(Emp10Sep,"NA")+COUNTIF(Emp10Oct,"NA")+COUNTIF(Emp10Nov,"NA")+COUNTIF(Emp10Dec,"NA")</f>
        <v>0</v>
      </c>
      <c r="L13" s="78">
        <f>COUNTIF(Emp10Jan,"SP")+COUNTIF(Emp10Feb,"SP")+COUNTIF(Emp10Mar,"SP")+COUNTIF(Emp10Apr,"SP")+COUNTIF(Emp10May,"SP")+COUNTIF(Emp10Jun,"SP")+COUNTIF(Emp10Jul,"SP")+COUNTIF(Emp10Aug,"SP")+COUNTIF(Emp10Sep,"SP")+COUNTIF(Emp10Oct,"SP")+COUNTIF(Emp10Nov,"SP")+COUNTIF(Emp10Dec,"SP")</f>
        <v>0</v>
      </c>
      <c r="M13" s="80">
        <f t="shared" ref="M13:M15" si="1">SUM(D13:L13)</f>
        <v>0</v>
      </c>
    </row>
    <row r="14" spans="2:13" s="55" customFormat="1">
      <c r="B14" s="99" t="str">
        <f>EmpSName11</f>
        <v>Odd3</v>
      </c>
      <c r="C14" s="99" t="str">
        <f>EmpGName11</f>
        <v>2Bod</v>
      </c>
      <c r="D14" s="81">
        <f>COUNTIF(Emp11Jan,"D")+COUNTIF(Emp11Feb,"D")+COUNTIF(Emp11Mar,"D")+COUNTIF(Emp11Apr,"D")+COUNTIF(Emp11May,"D")+COUNTIF(Emp11Jun,"D")+COUNTIF(Emp11Jul,"D")+COUNTIF(Emp11Aug,"D")+COUNTIF(Emp11Sep,"D")+COUNTIF(Emp11Oct,"D")+COUNTIF(Emp11Nov,"D")+COUNTIF(Emp11Dec,"D")</f>
        <v>0</v>
      </c>
      <c r="E14" s="81">
        <f>COUNTIF(Emp11Jan,"N")+COUNTIF(Emp11Feb,"N")+COUNTIF(Emp11Mar,"N")+COUNTIF(Emp11Apr,"N")+COUNTIF(Emp11May,"N")+COUNTIF(Emp11Jun,"N")+COUNTIF(Emp11Jul,"N")+COUNTIF(Emp11Aug,"N")+COUNTIF(Emp11Sep,"N")+COUNTIF(Emp11Oct,"N")+COUNTIF(Emp11Nov,"N")+COUNTIF(Emp11Dec,"N")</f>
        <v>0</v>
      </c>
      <c r="F14" s="81">
        <f>COUNTIF(Emp11Jan,"A")+COUNTIF(Emp11Feb,"A")+COUNTIF(Emp11Mar,"A")+COUNTIF(Emp11Apr,"A")+COUNTIF(Emp11May,"A")+COUNTIF(Emp11Jun,"A")+COUNTIF(Emp11Jul,"A")+COUNTIF(Emp11Aug,"A")+COUNTIF(Emp11Sep,"A")+COUNTIF(Emp11Oct,"A")+COUNTIF(Emp11Nov,"A")+COUNTIF(Emp11Dec,"A")</f>
        <v>0</v>
      </c>
      <c r="G14" s="81">
        <f>COUNTIF(Emp11Jan,"X")+COUNTIF(Emp11Feb,"X")+COUNTIF(Emp11Mar,"X")+COUNTIF(Emp11Apr,"X")+COUNTIF(Emp11May,"X")+COUNTIF(Emp11Jun,"X")+COUNTIF(Emp11Jul,"X")+COUNTIF(Emp11Aug,"X")+COUNTIF(Emp11Sep,"X")+COUNTIF(Emp11Oct,"X")+COUNTIF(Emp11Nov,"X")+COUNTIF(Emp11Dec,"X")</f>
        <v>0</v>
      </c>
      <c r="H14" s="79">
        <f>COUNTIF(Emp11Jan,"SL")+COUNTIF(Emp11Feb,"SL")+COUNTIF(Emp11Mar,"SL")+COUNTIF(Emp11Apr,"SL")+COUNTIF(Emp11May,"SL")+COUNTIF(Emp11Jun,"SL")+COUNTIF(Emp11Jul,"SL")+COUNTIF(Emp11Aug,"SL")+COUNTIF(Emp11Sep,"SL")+COUNTIF(Emp11Oct,"SL")+COUNTIF(Emp11Nov,"SL")+COUNTIF(Emp11Dec,"SL")</f>
        <v>0</v>
      </c>
      <c r="I14" s="79">
        <f>COUNTIF(Emp11Jan,"AL")+COUNTIF(Emp11Feb,"AL")+COUNTIF(Emp11Mar,"AL")+COUNTIF(Emp11Apr,"AL")+COUNTIF(Emp11May,"AL")+COUNTIF(Emp11Jun,"AL")+COUNTIF(Emp11Jul,"AL")+COUNTIF(Emp11Aug,"AL")+COUNTIF(Emp11Sep,"AL")+COUNTIF(Emp11Oct,"AL")+COUNTIF(Emp11Nov,"AL")+COUNTIF(Emp11Dec,"AL")</f>
        <v>0</v>
      </c>
      <c r="J14" s="79">
        <f>COUNTIF(Emp11Jan,"H")+COUNTIF(Emp11Feb,"H")+COUNTIF(Emp11Mar,"H")+COUNTIF(Emp11Apr,"H")+COUNTIF(Emp11May,"H")+COUNTIF(Emp11Jun,"H")+COUNTIF(Emp11Jul,"H")+COUNTIF(Emp11Aug,"H")+COUNTIF(Emp11Sep,"H")+COUNTIF(Emp11Oct,"H")+COUNTIF(Emp11Nov,"H")+COUNTIF(Emp11Dec,"H")</f>
        <v>0</v>
      </c>
      <c r="K14" s="81">
        <f>COUNTIF(Emp11Jan,"NA")+COUNTIF(Emp11Feb,"NA")+COUNTIF(Emp11Mar,"NA")+COUNTIF(Emp11Apr,"NA")+COUNTIF(Emp11May,"NA")+COUNTIF(Emp11Jun,"NA")+COUNTIF(Emp11Jul,"NA")+COUNTIF(Emp11Aug,"NA")+COUNTIF(Emp11Sep,"NA")+COUNTIF(Emp11Oct,"NA")+COUNTIF(Emp11Nov,"NA")+COUNTIF(Emp11Dec,"NA")</f>
        <v>0</v>
      </c>
      <c r="L14" s="79">
        <f>COUNTIF(Emp11Jan,"SP")+COUNTIF(Emp11Feb,"SP")+COUNTIF(Emp11Mar,"SP")+COUNTIF(Emp11Apr,"SP")+COUNTIF(Emp11May,"SP")+COUNTIF(Emp11Jun,"SP")+COUNTIF(Emp11Jul,"SP")+COUNTIF(Emp11Aug,"SP")+COUNTIF(Emp11Sep,"SP")+COUNTIF(Emp11Oct,"SP")+COUNTIF(Emp11Nov,"SP")+COUNTIF(Emp11Dec,"SP")</f>
        <v>0</v>
      </c>
      <c r="M14" s="81">
        <f t="shared" si="1"/>
        <v>0</v>
      </c>
    </row>
    <row r="15" spans="2:13" s="55" customFormat="1" ht="15" customHeight="1">
      <c r="B15" s="100" t="str">
        <f>EmpSName12</f>
        <v>Odd4</v>
      </c>
      <c r="C15" s="100" t="str">
        <f>EmpGName12</f>
        <v>4Bod</v>
      </c>
      <c r="D15" s="80">
        <f>COUNTIF(Emp12Jan,"D")+COUNTIF(Emp12Feb,"D")+COUNTIF(Emp12Mar,"D")+COUNTIF(Emp12Apr,"D")+COUNTIF(Emp12May,"D")+COUNTIF(Emp12Jun,"D")+COUNTIF(Emp12Jul,"D")+COUNTIF(Emp12Aug,"D")+COUNTIF(Emp12Sep,"D")+COUNTIF(Emp12Oct,"D")+COUNTIF(Emp12Nov,"D")+COUNTIF(Emp12Dec,"D")</f>
        <v>0</v>
      </c>
      <c r="E15" s="80">
        <f>COUNTIF(Emp12Jan,"N")+COUNTIF(Emp12Feb,"N")+COUNTIF(Emp12Mar,"N")+COUNTIF(Emp12Apr,"N")+COUNTIF(Emp12May,"N")+COUNTIF(Emp12Jun,"N")+COUNTIF(Emp12Jul,"N")+COUNTIF(Emp12Aug,"N")+COUNTIF(Emp12Sep,"N")+COUNTIF(Emp12Oct,"N")+COUNTIF(Emp12Nov,"N")+COUNTIF(Emp12Dec,"N")</f>
        <v>0</v>
      </c>
      <c r="F15" s="80">
        <f>COUNTIF(Emp12Jan,"A")+COUNTIF(Emp12Feb,"A")+COUNTIF(Emp12Mar,"A")+COUNTIF(Emp12Apr,"A")+COUNTIF(Emp12May,"A")+COUNTIF(Emp12Jun,"A")+COUNTIF(Emp12Jul,"A")+COUNTIF(Emp12Aug,"A")+COUNTIF(Emp12Sep,"A")+COUNTIF(Emp12Oct,"A")+COUNTIF(Emp12Nov,"A")+COUNTIF(Emp12Dec,"A")</f>
        <v>0</v>
      </c>
      <c r="G15" s="80">
        <f>COUNTIF(Emp12Jan,"PO")+COUNTIF(Emp12Feb,"PO")+COUNTIF(Emp12Mar,"PO")+COUNTIF(Emp12Apr,"PO")+COUNTIF(Emp12May,"PO")+COUNTIF(Emp12Jun,"PO")+COUNTIF(Emp12Jul,"PO")+COUNTIF(Emp12Aug,"PO")+COUNTIF(Emp12Sep,"PO")+COUNTIF(Emp12Oct,"PO")+COUNTIF(Emp12Nov,"PO")+COUNTIF(Emp12Dec,"PO")</f>
        <v>0</v>
      </c>
      <c r="H15" s="80">
        <f>COUNTIF(Emp12Jan,"SL")+COUNTIF(Emp12Feb,"SL")+COUNTIF(Emp12Mar,"SL")+COUNTIF(Emp12Apr,"SL")+COUNTIF(Emp12May,"SL")+COUNTIF(Emp12Jun,"SL")+COUNTIF(Emp12Jul,"SL")+COUNTIF(Emp12Aug,"SL")+COUNTIF(Emp12Sep,"SL")+COUNTIF(Emp12Oct,"SL")+COUNTIF(Emp12Nov,"SL")+COUNTIF(Emp12Dec,"SL")</f>
        <v>0</v>
      </c>
      <c r="I15" s="80">
        <f>COUNTIF(Emp12Jan,"AL")+COUNTIF(Emp12Feb,"AL")+COUNTIF(Emp12Mar,"AL")+COUNTIF(Emp12Apr,"AL")+COUNTIF(Emp12May,"AL")+COUNTIF(Emp12Jun,"AL")+COUNTIF(Emp12Jul,"AL")+COUNTIF(Emp12Aug,"AL")+COUNTIF(Emp12Sep,"AL")+COUNTIF(Emp12Oct,"AL")+COUNTIF(Emp12Nov,"AL")+COUNTIF(Emp12Dec,"AL")</f>
        <v>0</v>
      </c>
      <c r="J15" s="80">
        <f>COUNTIF(Emp12Jan,"H")+COUNTIF(Emp12Feb,"H")+COUNTIF(Emp12Mar,"H")+COUNTIF(Emp12Apr,"H")+COUNTIF(Emp12May,"H")+COUNTIF(Emp12Jun,"H")+COUNTIF(Emp12Jul,"H")+COUNTIF(Emp12Aug,"H")+COUNTIF(Emp12Sep,"H")+COUNTIF(Emp12Oct,"H")+COUNTIF(Emp12Nov,"H")+COUNTIF(Emp12Dec,"H")</f>
        <v>0</v>
      </c>
      <c r="K15" s="80">
        <f>COUNTIF(Emp12Jan,"NA")+COUNTIF(Emp12Feb,"NA")+COUNTIF(Emp12Mar,"NA")+COUNTIF(Emp12Apr,"NA")+COUNTIF(Emp12May,"NA")+COUNTIF(Emp12Jun,"NA")+COUNTIF(Emp12Jul,"NA")+COUNTIF(Emp12Aug,"NA")+COUNTIF(Emp12Sep,"NA")+COUNTIF(Emp12Oct,"NA")+COUNTIF(Emp12Nov,"NA")+COUNTIF(Emp12Dec,"NA")</f>
        <v>0</v>
      </c>
      <c r="L15" s="80">
        <f>COUNTIF(Emp12Jan,"SP")+COUNTIF(Emp12Feb,"SP")+COUNTIF(Emp12Mar,"SP")+COUNTIF(Emp12Apr,"SP")+COUNTIF(Emp12May,"SP")+COUNTIF(Emp12Jun,"SP")+COUNTIF(Emp12Jul,"SP")+COUNTIF(Emp12Aug,"SP")+COUNTIF(Emp12Sep,"SP")+COUNTIF(Emp12Oct,"SP")+COUNTIF(Emp12Nov,"SP")+COUNTIF(Emp12Dec,"SP")</f>
        <v>0</v>
      </c>
      <c r="M15" s="80">
        <f t="shared" si="1"/>
        <v>0</v>
      </c>
    </row>
    <row r="16" spans="2:13" s="55" customFormat="1"/>
    <row r="17" spans="3:13" s="55" customFormat="1">
      <c r="C17" s="102" t="s">
        <v>50</v>
      </c>
      <c r="D17" s="101">
        <f>SUM(D4:D15)</f>
        <v>0</v>
      </c>
      <c r="E17" s="101">
        <f t="shared" ref="E17:M17" si="2">SUM(E4:E15)</f>
        <v>0</v>
      </c>
      <c r="F17" s="101">
        <f t="shared" si="2"/>
        <v>0</v>
      </c>
      <c r="G17" s="101">
        <f t="shared" si="2"/>
        <v>0</v>
      </c>
      <c r="H17" s="101">
        <f t="shared" si="2"/>
        <v>0</v>
      </c>
      <c r="I17" s="101">
        <f t="shared" si="2"/>
        <v>0</v>
      </c>
      <c r="J17" s="101">
        <f t="shared" si="2"/>
        <v>0</v>
      </c>
      <c r="K17" s="104">
        <f t="shared" si="2"/>
        <v>0</v>
      </c>
      <c r="L17" s="101">
        <f t="shared" si="2"/>
        <v>0</v>
      </c>
      <c r="M17" s="101">
        <f t="shared" si="2"/>
        <v>0</v>
      </c>
    </row>
    <row r="18" spans="3:13" s="55" customFormat="1"/>
    <row r="19" spans="3:13" s="55" customFormat="1"/>
    <row r="20" spans="3:13" s="55" customFormat="1"/>
    <row r="21" spans="3:13" s="55" customFormat="1"/>
    <row r="22" spans="3:13" s="55" customFormat="1"/>
    <row r="23" spans="3:13" s="55" customFormat="1"/>
    <row r="24" spans="3:13" s="55" customFormat="1"/>
    <row r="25" spans="3:13" s="55" customFormat="1"/>
  </sheetData>
  <sheetProtection sheet="1" objects="1" scenarios="1" selectLockedCells="1"/>
  <customSheetViews>
    <customSheetView guid="{9CC23DA7-DD7F-416D-ABE1-6A68EF4528AC}" scale="195" showGridLines="0" showRowCol="0" showRuler="0">
      <selection activeCell="E15" sqref="E15"/>
    </customSheetView>
    <customSheetView guid="{AD9D0CFE-E6C4-49DD-B2D2-304A3BF30C6C}" showRuler="0" topLeftCell="A2">
      <selection activeCell="E12" sqref="E12:F12"/>
      <pageMargins left="0.75" right="0.75" top="1" bottom="1" header="0.5" footer="0.5"/>
      <headerFooter alignWithMargins="0"/>
    </customSheetView>
  </customSheetViews>
  <mergeCells count="1">
    <mergeCell ref="B3:C3"/>
  </mergeCells>
  <phoneticPr fontId="0" type="noConversion"/>
  <pageMargins left="0.75" right="0.75" top="1" bottom="1" header="0.5" footer="0.5"/>
  <pageSetup paperSize="9" orientation="portrait" r:id="rId1"/>
  <headerFooter alignWithMargins="0"/>
</worksheet>
</file>

<file path=customUI/customUI.xml><?xml version="1.0" encoding="utf-8"?>
<customUI xmlns="http://schemas.microsoft.com/office/2006/01/customui" onLoad="InitRibbon">
  <ribbon startFromScratch="true">
    <tabs>
      <tab id="oddTab" label="OODLA WIRRA ROSTER">
        <group id="grpSettings" label="Settings" getVisible="SetVisibleBonGroups">
          <comboBox id="cboYearEnding" label="Year Ending" onChange="RibbonYearsComboChange" getText="GetRibbonYearsComboText">
            <item id="itYr2016" label="2016"/>
            <item id="itYr2017" label="2017"/>
            <item id="itYr2018" label="2018"/>
            <item id="itYr2019" label="2019"/>
            <item id="itYr2020" label="2020"/>
            <item id="itYr2021" label="2021"/>
            <item id="itYr2022" label="2022"/>
          </comboBox>
          <checkBox id="chkToggleSheetControls" onAction="ToggleSheetControls" getPressed="GetChkTogShtCntrlPressed" label="Display Sheet Controls"/>
          <checkBox id="chkToggleLegend" onAction="ToggleLegend" getPressed="GetChkTogLegendPressed" label="Display Legend"/>
        </group>
        <group id="grpAutomark" label="Automark" getVisible="SetVisibleBonGroups">
          <checkBox label="Use Automark" id="chkAutomark" getPressed="MarkChange" onAction="ToggleAutoMark"/>
          <separator id="sepSettings"/>
          <buttonGroup id="grpAutomark1">
            <toggleButton id="tglClear" label="Clear" getPressed="GetTglMarkPressed" onAction="ChangeAutoMark" screentip="&quot;Clear&quot;" getEnabled="GetEnabled"/>
            <toggleButton id="tglNight" label="Night" getPressed="GetTglMarkPressed" onAction="ChangeAutoMark" getEnabled="GetEnabled"/>
            <toggleButton id="tglDay" label="Day" getPressed="GetTglMarkPressed" onAction="ChangeAutoMark" getEnabled="GetEnabled"/>
            <toggleButton id="tglAfternoon" label="Afternoon" getPressed="GetTglMarkPressed" onAction="ChangeAutoMark" getEnabled="GetEnabled"/>
            <toggleButton id="tglHeat" label="Heat" getPressed="GetTglMarkPressed" onAction="ChangeAutoMark" getEnabled="GetEnabled"/>
          </buttonGroup>
          <buttonGroup id="grpAutomark2">
            <toggleButton id="tglRosteredOff" label="PDO" getPressed="GetTglMarkPressed" onAction="ChangeAutoMark" getEnabled="GetEnabled"/>
            <toggleButton id="tglSickLeave" label="Sick Leave" getPressed="GetTglMarkPressed" onAction="ChangeAutoMark" getEnabled="GetEnabled"/>
            <toggleButton id="tglAnnualLeave" label="Annual Leave" getPressed="GetTglMarkPressed" onAction="ChangeAutoMark" getEnabled="GetEnabled"/>
          </buttonGroup>
          <buttonGroup id="grpAutomark3">
            <toggleButton id="tglNotAvailable" label="Not Available" getPressed="GetTglMarkPressed" onAction="ChangeAutoMark" getEnabled="GetEnabled"/>
            <toggleButton id="tglSpecial" label="Special" getPressed="GetTglMarkPressed" onAction="ChangeAutoMark" getEnabled="GetEnabled"/>
          </buttonGroup>
        </group>
        <group id="grpNavigation" label="Navigation">
          <button id="btnRoster" label="Roster" getVisible="InitNavButton" onAction="NavButtonAction"/>
          <button id="btnSummary" label="Summary" getVisible="InitNavButton" onAction="NavButtonAction"/>
          <button id="btnEmp01" getLabel="InitButtonLabel" getVisible="InitNavButton" onAction="NavButtonAction"/>
          <button id="btnEmp02" getLabel="InitButtonLabel" getVisible="InitNavButton" onAction="NavButtonAction"/>
          <button id="btnEmp03" getLabel="InitButtonLabel" getVisible="InitNavButton" onAction="NavButtonAction"/>
          <button id="btnEmp04" getLabel="InitButtonLabel" getVisible="InitNavButton" onAction="NavButtonAction"/>
          <button id="btnEmp05" getLabel="InitButtonLabel" getVisible="InitNavButton" onAction="NavButtonAction"/>
          <button id="btnEmp06" getLabel="InitButtonLabel" getVisible="InitNavButton" onAction="NavButtonAction"/>
          <button id="btnEmp07" getLabel="InitButtonLabel" getVisible="InitNavButton" onAction="NavButtonAction"/>
          <button id="btnEmp08" getLabel="InitButtonLabel" getVisible="InitNavButton" onAction="NavButtonAction"/>
          <button id="btnEmp09" getLabel="InitButtonLabel" getVisible="InitNavButton" onAction="NavButtonAction"/>
          <button id="btnEmp10" getLabel="InitButtonLabel" getVisible="InitNavButton" onAction="NavButtonAction"/>
          <button id="btnEmp11" getLabel="InitButtonLabel" getVisible="InitNavButton" onAction="NavButtonAction"/>
          <button id="btnEmp12" getLabel="InitButtonLabel" getVisible="InitNavButton" onAction="NavButtonAction"/>
        </group>
      </tab>
    </tabs>
  </ribbon>
  <backstage>
    <button idMso="FileSave" visible="false"/>
    <button idMso="FileClose" visible="false"/>
    <button idMso="ApplicationOptionsDialog" visible="false"/>
    <tab idMso="TabInfo" visible="false"/>
    <tab idMso="TabRecent" visible="false"/>
    <tab idMso="TabPrint" visible="true"/>
    <tab idMso="TabShare" visible="false"/>
    <tab idMso="TabHelp" visible="false"/>
    <tab idMso="TabPublish" visible="false"/>
    <tab idMso="TabSave" visible="false"/>
    <tab idMso="TabOfficeStart" visible="false"/>
  </backstage>
</customUI>
</file>

<file path=customUI/customUI14.xml><?xml version="1.0" encoding="utf-8"?>
<customUI xmlns="http://schemas.microsoft.com/office/2009/07/customui" onLoad="InitRibbon">
  <ribbon startFromScratch="false">
    <tabs>
      <tab id="oddTab" label="OODLA WIRRA ROSTER">
        <group id="grpSettings" label="Settings" getVisible="SetVisibleBonGroups">
          <comboBox id="cboYearEnding" label="Year Ending" onChange="RibbonYearsComboChange" getText="GetRibbonYearsComboText">
            <item id="itYr2016" label="2016"/>
            <item id="itYr2017" label="2017"/>
            <item id="itYr2018" label="2018"/>
            <item id="itYr2019" label="2019"/>
            <item id="itYr2020" label="2020"/>
            <item id="itYr2021" label="2021"/>
            <item id="itYr2022" label="2022"/>
          </comboBox>
          <dropDown id="drpPE" label="First Period Ending:" onAction="drpPE_SetPeriodEnding" getItemLabel="drpPE_GetPeriodsEnding" getItemCount="drpPE_GetPeriodEndingItemCount" getItemID="drpPE_GetItemId" getSelectedItemID="drpPE_GetSelectedItemId"/>
          <separator id="sepPeriodEnding"/>
          <checkBox id="chkToggleSheetControls" onAction="ToggleSheetControls" getPressed="GetChkTogShtCntrlPressed" label="Display Sheet Controls"/>
          <checkBox id="chkToggleLegend" onAction="ToggleLegend" getPressed="GetChkTogLegendPressed" label="Display Legend"/>
        </group>
        <group id="grpAutomark" label="Automark" getVisible="SetVisibleBonGroups">
          <checkBox label="Use Automark" id="chkAutomark" getPressed="MarkChange" onAction="ToggleAutoMark"/>
          <separator id="sepSettings"/>
          <buttonGroup id="grpAutomark1">
            <toggleButton id="tglClear" label="Clear" getPressed="GetTglMarkPressed" onAction="ChangeAutoMark" screentip="&quot;Clear&quot;" getEnabled="GetEnabled"/>
            <toggleButton id="tglNight" label="Night" getPressed="GetTglMarkPressed" onAction="ChangeAutoMark" getEnabled="GetEnabled"/>
            <toggleButton id="tglDay" label="Day" getPressed="GetTglMarkPressed" onAction="ChangeAutoMark" getEnabled="GetEnabled"/>
            <toggleButton id="tglAfternoon" label="Afternoon" getPressed="GetTglMarkPressed" onAction="ChangeAutoMark" getEnabled="GetEnabled"/>
            <toggleButton id="tglHeat" label="Heat" getPressed="GetTglMarkPressed" onAction="ChangeAutoMark" getEnabled="GetEnabled"/>
          </buttonGroup>
          <buttonGroup id="grpAutomark2">
            <toggleButton id="tglRosteredOff" label="PDO" getPressed="GetTglMarkPressed" onAction="ChangeAutoMark" getEnabled="GetEnabled"/>
            <toggleButton id="tglSickLeave" label="Sick Leave" getPressed="GetTglMarkPressed" onAction="ChangeAutoMark" getEnabled="GetEnabled"/>
            <toggleButton id="tglAnnualLeave" label="Annual Leave" getPressed="GetTglMarkPressed" onAction="ChangeAutoMark" getEnabled="GetEnabled"/>
          </buttonGroup>
          <buttonGroup id="grpAutomark3">
            <toggleButton id="tglNotAvailable" label="Not Available" getPressed="GetTglMarkPressed" onAction="ChangeAutoMark" getEnabled="GetEnabled"/>
            <toggleButton id="tglSpecial" label="Special" getPressed="GetTglMarkPressed" onAction="ChangeAutoMark" getEnabled="GetEnabled"/>
          </buttonGroup>
        </group>
        <group id="grpNavigation" label="Navigation">
          <button id="btnRoster" label="Roster" getVisible="InitNavButton" onAction="NavButtonAction"/>
          <button id="btnSummary" label="Summary" getVisible="InitNavButton" onAction="NavButtonAction"/>
          <button id="btnEmp01" getLabel="InitButtonLabel" getVisible="InitNavButton" onAction="NavButtonAction"/>
          <button id="btnEmp02" getLabel="InitButtonLabel" getVisible="InitNavButton" onAction="NavButtonAction"/>
          <button id="btnEmp03" getLabel="InitButtonLabel" getVisible="InitNavButton" onAction="NavButtonAction"/>
          <button id="btnEmp04" getLabel="InitButtonLabel" getVisible="InitNavButton" onAction="NavButtonAction"/>
          <button id="btnEmp05" getLabel="InitButtonLabel" getVisible="InitNavButton" onAction="NavButtonAction"/>
          <button id="btnEmp06" getLabel="InitButtonLabel" getVisible="InitNavButton" onAction="NavButtonAction"/>
          <button id="btnEmp07" getLabel="InitButtonLabel" getVisible="InitNavButton" onAction="NavButtonAction"/>
          <button id="btnEmp08" getLabel="InitButtonLabel" getVisible="InitNavButton" onAction="NavButtonAction"/>
          <button id="btnEmp09" getLabel="InitButtonLabel" getVisible="InitNavButton" onAction="NavButtonAction"/>
          <button id="btnEmp10" getLabel="InitButtonLabel" getVisible="InitNavButton" onAction="NavButtonAction"/>
          <button id="btnEmp11" getLabel="InitButtonLabel" getVisible="InitNavButton" onAction="NavButtonAction"/>
          <button id="btnEmp12" getLabel="InitButtonLabel" getVisible="InitNavButton" onAction="NavButtonAction"/>
        </group>
      </tab>
    </tabs>
  </ribbon>
  <backstage>
    <button idMso="FileSave" visible="false"/>
    <button idMso="FileClose" visible="true"/>
    <button idMso="ApplicationOptionsDialog" visible="false"/>
    <tab idMso="TabInfo" visible="false"/>
    <tab idMso="TabRecent" visible="false"/>
    <tab idMso="TabPrint" visible="true"/>
    <tab idMso="TabShare" visible="false"/>
    <tab idMso="TabHelp" visible="false"/>
    <tab idMso="TabPublish" visible="false"/>
    <tab idMso="TabSave" visible="true"/>
    <tab idMso="TabOfficeStart" visible="false"/>
  </backstage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290</vt:i4>
      </vt:variant>
    </vt:vector>
  </HeadingPairs>
  <TitlesOfParts>
    <vt:vector size="305" baseType="lpstr">
      <vt:lpstr>Roster</vt:lpstr>
      <vt:lpstr>DATA</vt:lpstr>
      <vt:lpstr>Emp1</vt:lpstr>
      <vt:lpstr>Emp2</vt:lpstr>
      <vt:lpstr>Emp3</vt:lpstr>
      <vt:lpstr>Emp4</vt:lpstr>
      <vt:lpstr>Emp5</vt:lpstr>
      <vt:lpstr>Emp6</vt:lpstr>
      <vt:lpstr>Emp7</vt:lpstr>
      <vt:lpstr>Emp8</vt:lpstr>
      <vt:lpstr>Emp9</vt:lpstr>
      <vt:lpstr>Emp10</vt:lpstr>
      <vt:lpstr>Emp11</vt:lpstr>
      <vt:lpstr>Emp12</vt:lpstr>
      <vt:lpstr>Summary</vt:lpstr>
      <vt:lpstr>_29</vt:lpstr>
      <vt:lpstr>_Emp1</vt:lpstr>
      <vt:lpstr>AllEmps</vt:lpstr>
      <vt:lpstr>April_Heads</vt:lpstr>
      <vt:lpstr>August_Heads</vt:lpstr>
      <vt:lpstr>AutoEnd</vt:lpstr>
      <vt:lpstr>BlockEmps</vt:lpstr>
      <vt:lpstr>CurYear</vt:lpstr>
      <vt:lpstr>D</vt:lpstr>
      <vt:lpstr>December_Heads</vt:lpstr>
      <vt:lpstr>ee</vt:lpstr>
      <vt:lpstr>Emp01Apr</vt:lpstr>
      <vt:lpstr>Emp01Aug</vt:lpstr>
      <vt:lpstr>Emp01Dec</vt:lpstr>
      <vt:lpstr>Emp01Feb</vt:lpstr>
      <vt:lpstr>Emp01Jan</vt:lpstr>
      <vt:lpstr>Emp01Jul</vt:lpstr>
      <vt:lpstr>Emp01Jun</vt:lpstr>
      <vt:lpstr>Emp01Mar</vt:lpstr>
      <vt:lpstr>Emp01May</vt:lpstr>
      <vt:lpstr>Emp01Nov</vt:lpstr>
      <vt:lpstr>Emp01Oct</vt:lpstr>
      <vt:lpstr>Emp01Sep</vt:lpstr>
      <vt:lpstr>Emp01Summary</vt:lpstr>
      <vt:lpstr>Emp02Apr</vt:lpstr>
      <vt:lpstr>Emp02Aug</vt:lpstr>
      <vt:lpstr>Emp02Dec</vt:lpstr>
      <vt:lpstr>Emp02Feb</vt:lpstr>
      <vt:lpstr>Emp02Jan</vt:lpstr>
      <vt:lpstr>Emp02Jul</vt:lpstr>
      <vt:lpstr>Emp02Jun</vt:lpstr>
      <vt:lpstr>Emp02Mar</vt:lpstr>
      <vt:lpstr>Emp02May</vt:lpstr>
      <vt:lpstr>Emp02Nov</vt:lpstr>
      <vt:lpstr>Emp02Oct</vt:lpstr>
      <vt:lpstr>Emp02Sep</vt:lpstr>
      <vt:lpstr>Emp02Summary</vt:lpstr>
      <vt:lpstr>Emp03Apr</vt:lpstr>
      <vt:lpstr>Emp03Aug</vt:lpstr>
      <vt:lpstr>Emp03Dec</vt:lpstr>
      <vt:lpstr>Emp03Feb</vt:lpstr>
      <vt:lpstr>Emp03Jan</vt:lpstr>
      <vt:lpstr>Emp03Jul</vt:lpstr>
      <vt:lpstr>Emp03Jun</vt:lpstr>
      <vt:lpstr>Emp03Mar</vt:lpstr>
      <vt:lpstr>Emp03May</vt:lpstr>
      <vt:lpstr>Emp03Nov</vt:lpstr>
      <vt:lpstr>Emp03Oct</vt:lpstr>
      <vt:lpstr>Emp03Sep</vt:lpstr>
      <vt:lpstr>Emp03Summary</vt:lpstr>
      <vt:lpstr>Emp04Apr</vt:lpstr>
      <vt:lpstr>Emp04Aug</vt:lpstr>
      <vt:lpstr>Emp04Dec</vt:lpstr>
      <vt:lpstr>Emp04Feb</vt:lpstr>
      <vt:lpstr>Emp04Jan</vt:lpstr>
      <vt:lpstr>Emp04Jul</vt:lpstr>
      <vt:lpstr>Emp04Jun</vt:lpstr>
      <vt:lpstr>Emp04Mar</vt:lpstr>
      <vt:lpstr>Emp04May</vt:lpstr>
      <vt:lpstr>Emp04Nov</vt:lpstr>
      <vt:lpstr>Emp04Oct</vt:lpstr>
      <vt:lpstr>Emp04Sep</vt:lpstr>
      <vt:lpstr>Emp04Summary</vt:lpstr>
      <vt:lpstr>Emp05Apr</vt:lpstr>
      <vt:lpstr>Emp05Aug</vt:lpstr>
      <vt:lpstr>Emp05Dec</vt:lpstr>
      <vt:lpstr>Emp05Feb</vt:lpstr>
      <vt:lpstr>Emp05Jan</vt:lpstr>
      <vt:lpstr>Emp05Jul</vt:lpstr>
      <vt:lpstr>Emp05Jun</vt:lpstr>
      <vt:lpstr>Emp05Mar</vt:lpstr>
      <vt:lpstr>Emp05May</vt:lpstr>
      <vt:lpstr>Emp05Nov</vt:lpstr>
      <vt:lpstr>Emp05Oct</vt:lpstr>
      <vt:lpstr>Emp05Sep</vt:lpstr>
      <vt:lpstr>Emp05Summary</vt:lpstr>
      <vt:lpstr>Emp06Apr</vt:lpstr>
      <vt:lpstr>Emp06Aug</vt:lpstr>
      <vt:lpstr>Emp06Dec</vt:lpstr>
      <vt:lpstr>Emp06Feb</vt:lpstr>
      <vt:lpstr>Emp06Jan</vt:lpstr>
      <vt:lpstr>Emp06Jul</vt:lpstr>
      <vt:lpstr>Emp06Jun</vt:lpstr>
      <vt:lpstr>Emp06Mar</vt:lpstr>
      <vt:lpstr>Emp06May</vt:lpstr>
      <vt:lpstr>Emp06Nov</vt:lpstr>
      <vt:lpstr>Emp06Oct</vt:lpstr>
      <vt:lpstr>Emp06Sep</vt:lpstr>
      <vt:lpstr>Emp06Summary</vt:lpstr>
      <vt:lpstr>Emp07Apr</vt:lpstr>
      <vt:lpstr>Emp07Aug</vt:lpstr>
      <vt:lpstr>Emp07Dec</vt:lpstr>
      <vt:lpstr>Emp07Feb</vt:lpstr>
      <vt:lpstr>Emp07Jan</vt:lpstr>
      <vt:lpstr>Emp07Jul</vt:lpstr>
      <vt:lpstr>Emp07Jun</vt:lpstr>
      <vt:lpstr>Emp07Mar</vt:lpstr>
      <vt:lpstr>Emp07May</vt:lpstr>
      <vt:lpstr>Emp07Nov</vt:lpstr>
      <vt:lpstr>Emp07Oct</vt:lpstr>
      <vt:lpstr>Emp07Sep</vt:lpstr>
      <vt:lpstr>Emp07Summary</vt:lpstr>
      <vt:lpstr>Emp08Apr</vt:lpstr>
      <vt:lpstr>Emp08Aug</vt:lpstr>
      <vt:lpstr>Emp08Dec</vt:lpstr>
      <vt:lpstr>Emp08Feb</vt:lpstr>
      <vt:lpstr>Emp08Jan</vt:lpstr>
      <vt:lpstr>Emp08Jul</vt:lpstr>
      <vt:lpstr>Emp08Jun</vt:lpstr>
      <vt:lpstr>Emp08Mar</vt:lpstr>
      <vt:lpstr>Emp08May</vt:lpstr>
      <vt:lpstr>Emp08Nov</vt:lpstr>
      <vt:lpstr>Emp08Oct</vt:lpstr>
      <vt:lpstr>Emp08Sep</vt:lpstr>
      <vt:lpstr>Emp08Summary</vt:lpstr>
      <vt:lpstr>Emp09Apr</vt:lpstr>
      <vt:lpstr>Emp09Aug</vt:lpstr>
      <vt:lpstr>Emp09Dec</vt:lpstr>
      <vt:lpstr>Emp09Feb</vt:lpstr>
      <vt:lpstr>Emp09Jan</vt:lpstr>
      <vt:lpstr>Emp09Jul</vt:lpstr>
      <vt:lpstr>Emp09Jun</vt:lpstr>
      <vt:lpstr>Emp09Mar</vt:lpstr>
      <vt:lpstr>Emp09May</vt:lpstr>
      <vt:lpstr>Emp09Nov</vt:lpstr>
      <vt:lpstr>Emp09Oct</vt:lpstr>
      <vt:lpstr>Emp09Sep</vt:lpstr>
      <vt:lpstr>Emp09Summary</vt:lpstr>
      <vt:lpstr>Emp10Apr</vt:lpstr>
      <vt:lpstr>Emp10Aug</vt:lpstr>
      <vt:lpstr>Emp10Dec</vt:lpstr>
      <vt:lpstr>Emp10Feb</vt:lpstr>
      <vt:lpstr>Emp10Jan</vt:lpstr>
      <vt:lpstr>Emp10Jul</vt:lpstr>
      <vt:lpstr>Emp10Jun</vt:lpstr>
      <vt:lpstr>Emp10Mar</vt:lpstr>
      <vt:lpstr>Emp10May</vt:lpstr>
      <vt:lpstr>Emp10Nov</vt:lpstr>
      <vt:lpstr>Emp10Oct</vt:lpstr>
      <vt:lpstr>Emp10Sep</vt:lpstr>
      <vt:lpstr>Emp10Summary</vt:lpstr>
      <vt:lpstr>Emp11Apr</vt:lpstr>
      <vt:lpstr>Emp11Aug</vt:lpstr>
      <vt:lpstr>Emp11Dec</vt:lpstr>
      <vt:lpstr>Emp11Feb</vt:lpstr>
      <vt:lpstr>Emp11Jan</vt:lpstr>
      <vt:lpstr>Emp11Jul</vt:lpstr>
      <vt:lpstr>Emp11Jun</vt:lpstr>
      <vt:lpstr>Emp11Mar</vt:lpstr>
      <vt:lpstr>Emp11May</vt:lpstr>
      <vt:lpstr>Emp11Nov</vt:lpstr>
      <vt:lpstr>Emp11Oct</vt:lpstr>
      <vt:lpstr>Emp11Sep</vt:lpstr>
      <vt:lpstr>Emp11Summary</vt:lpstr>
      <vt:lpstr>Emp12Apr</vt:lpstr>
      <vt:lpstr>Emp12Aug</vt:lpstr>
      <vt:lpstr>Emp12Dec</vt:lpstr>
      <vt:lpstr>Emp12Feb</vt:lpstr>
      <vt:lpstr>Emp12Jan</vt:lpstr>
      <vt:lpstr>Emp12Jul</vt:lpstr>
      <vt:lpstr>Emp12Jun</vt:lpstr>
      <vt:lpstr>Emp12Mar</vt:lpstr>
      <vt:lpstr>Emp12May</vt:lpstr>
      <vt:lpstr>Emp12Nov</vt:lpstr>
      <vt:lpstr>Emp12Oct</vt:lpstr>
      <vt:lpstr>Emp12Sep</vt:lpstr>
      <vt:lpstr>Emp12Summary</vt:lpstr>
      <vt:lpstr>Emp13Jul</vt:lpstr>
      <vt:lpstr>Emp14Jul</vt:lpstr>
      <vt:lpstr>Emp15Jul</vt:lpstr>
      <vt:lpstr>Emp16Jul</vt:lpstr>
      <vt:lpstr>Emp17Jul</vt:lpstr>
      <vt:lpstr>Emp18Jul</vt:lpstr>
      <vt:lpstr>Emp19Jul</vt:lpstr>
      <vt:lpstr>'Emp2'!Emp1j</vt:lpstr>
      <vt:lpstr>'Emp3'!Emp1j</vt:lpstr>
      <vt:lpstr>'Emp4'!Emp1j</vt:lpstr>
      <vt:lpstr>'Emp5'!Emp1j</vt:lpstr>
      <vt:lpstr>'Emp6'!Emp1j</vt:lpstr>
      <vt:lpstr>Emp20Jul</vt:lpstr>
      <vt:lpstr>Emp21Jul</vt:lpstr>
      <vt:lpstr>Emp22Jul</vt:lpstr>
      <vt:lpstr>Emp23Jul</vt:lpstr>
      <vt:lpstr>Emp24Jul</vt:lpstr>
      <vt:lpstr>Emp25Jul</vt:lpstr>
      <vt:lpstr>Emp26Jul</vt:lpstr>
      <vt:lpstr>Emp27Jul</vt:lpstr>
      <vt:lpstr>Emp28Jul</vt:lpstr>
      <vt:lpstr>EmpGName01</vt:lpstr>
      <vt:lpstr>EmpGName02</vt:lpstr>
      <vt:lpstr>EmpGName03</vt:lpstr>
      <vt:lpstr>EmpGName04</vt:lpstr>
      <vt:lpstr>EmpGName05</vt:lpstr>
      <vt:lpstr>EmpGName06</vt:lpstr>
      <vt:lpstr>EmpGName07</vt:lpstr>
      <vt:lpstr>EmpGName08</vt:lpstr>
      <vt:lpstr>EmpGName09</vt:lpstr>
      <vt:lpstr>EmpGName10</vt:lpstr>
      <vt:lpstr>EmpGName11</vt:lpstr>
      <vt:lpstr>EmpGName12</vt:lpstr>
      <vt:lpstr>EmpGName13</vt:lpstr>
      <vt:lpstr>EmpGName14</vt:lpstr>
      <vt:lpstr>EmpGName15</vt:lpstr>
      <vt:lpstr>EmpGName16</vt:lpstr>
      <vt:lpstr>EmpGName17</vt:lpstr>
      <vt:lpstr>EmpGName18</vt:lpstr>
      <vt:lpstr>EmpGName19</vt:lpstr>
      <vt:lpstr>EmpGName20</vt:lpstr>
      <vt:lpstr>EmpGName21</vt:lpstr>
      <vt:lpstr>EmpGName22</vt:lpstr>
      <vt:lpstr>EmpGName23</vt:lpstr>
      <vt:lpstr>EmpGName24</vt:lpstr>
      <vt:lpstr>EmpGName25</vt:lpstr>
      <vt:lpstr>EmpGName26</vt:lpstr>
      <vt:lpstr>EmpGName27</vt:lpstr>
      <vt:lpstr>EmpGName28</vt:lpstr>
      <vt:lpstr>EmpsALL</vt:lpstr>
      <vt:lpstr>EmpSName01</vt:lpstr>
      <vt:lpstr>EmpSName02</vt:lpstr>
      <vt:lpstr>EmpSName03</vt:lpstr>
      <vt:lpstr>EmpSName04</vt:lpstr>
      <vt:lpstr>EmpSName05</vt:lpstr>
      <vt:lpstr>EmpSName06</vt:lpstr>
      <vt:lpstr>EmpSName07</vt:lpstr>
      <vt:lpstr>EmpSName08</vt:lpstr>
      <vt:lpstr>EmpSName09</vt:lpstr>
      <vt:lpstr>EmpSName10</vt:lpstr>
      <vt:lpstr>EmpSName11</vt:lpstr>
      <vt:lpstr>EmpSName12</vt:lpstr>
      <vt:lpstr>EmpSName13</vt:lpstr>
      <vt:lpstr>EmpSName14</vt:lpstr>
      <vt:lpstr>EmpSName15</vt:lpstr>
      <vt:lpstr>EmpSName16</vt:lpstr>
      <vt:lpstr>EmpSName17</vt:lpstr>
      <vt:lpstr>EmpSName18</vt:lpstr>
      <vt:lpstr>EmpSName19</vt:lpstr>
      <vt:lpstr>EmpSName20</vt:lpstr>
      <vt:lpstr>EmpSName21</vt:lpstr>
      <vt:lpstr>EmpSName22</vt:lpstr>
      <vt:lpstr>EmpSName23</vt:lpstr>
      <vt:lpstr>EmpSName24</vt:lpstr>
      <vt:lpstr>EmpSName25</vt:lpstr>
      <vt:lpstr>EmpSName26</vt:lpstr>
      <vt:lpstr>EmpSName27</vt:lpstr>
      <vt:lpstr>EmpSName28</vt:lpstr>
      <vt:lpstr>EmpSNamfe09</vt:lpstr>
      <vt:lpstr>FebHead</vt:lpstr>
      <vt:lpstr>'Emp1'!FebLast</vt:lpstr>
      <vt:lpstr>'Emp10'!FebLast</vt:lpstr>
      <vt:lpstr>'Emp11'!FebLast</vt:lpstr>
      <vt:lpstr>'Emp12'!FebLast</vt:lpstr>
      <vt:lpstr>'Emp2'!FebLast</vt:lpstr>
      <vt:lpstr>'Emp3'!FebLast</vt:lpstr>
      <vt:lpstr>'Emp4'!FebLast</vt:lpstr>
      <vt:lpstr>'Emp5'!FebLast</vt:lpstr>
      <vt:lpstr>'Emp6'!FebLast</vt:lpstr>
      <vt:lpstr>'Emp7'!FebLast</vt:lpstr>
      <vt:lpstr>'Emp8'!FebLast</vt:lpstr>
      <vt:lpstr>'Emp9'!FebLast</vt:lpstr>
      <vt:lpstr>February_Heads</vt:lpstr>
      <vt:lpstr>FebVal</vt:lpstr>
      <vt:lpstr>InitialPeriodEnding</vt:lpstr>
      <vt:lpstr>January_Heads</vt:lpstr>
      <vt:lpstr>JanVal</vt:lpstr>
      <vt:lpstr>July_Heads</vt:lpstr>
      <vt:lpstr>June_Heads</vt:lpstr>
      <vt:lpstr>LegEnd</vt:lpstr>
      <vt:lpstr>Location</vt:lpstr>
      <vt:lpstr>March_Heads</vt:lpstr>
      <vt:lpstr>May_Heads</vt:lpstr>
      <vt:lpstr>November_Heads</vt:lpstr>
      <vt:lpstr>October_Heads</vt:lpstr>
      <vt:lpstr>PeriodsEnding</vt:lpstr>
      <vt:lpstr>'Emp1'!Print_Area</vt:lpstr>
      <vt:lpstr>'Emp10'!Print_Area</vt:lpstr>
      <vt:lpstr>'Emp11'!Print_Area</vt:lpstr>
      <vt:lpstr>'Emp12'!Print_Area</vt:lpstr>
      <vt:lpstr>'Emp2'!Print_Area</vt:lpstr>
      <vt:lpstr>'Emp3'!Print_Area</vt:lpstr>
      <vt:lpstr>'Emp4'!Print_Area</vt:lpstr>
      <vt:lpstr>'Emp5'!Print_Area</vt:lpstr>
      <vt:lpstr>'Emp6'!Print_Area</vt:lpstr>
      <vt:lpstr>'Emp7'!Print_Area</vt:lpstr>
      <vt:lpstr>'Emp8'!Print_Area</vt:lpstr>
      <vt:lpstr>'Emp9'!Print_Area</vt:lpstr>
      <vt:lpstr>Roster!Print_Area</vt:lpstr>
      <vt:lpstr>September_Heads</vt:lpstr>
      <vt:lpstr>Shifts</vt:lpstr>
      <vt:lpstr>test</vt:lpstr>
      <vt:lpstr>Years</vt:lpstr>
    </vt:vector>
  </TitlesOfParts>
  <Company>Halfway Hotel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Oodlawirra Roadblock Roster Sheets</dc:title>
  <dc:creator>Lefty (Oodlawirra Hotel)</dc:creator>
  <cp:lastModifiedBy>oodlypub@gmail.com</cp:lastModifiedBy>
  <cp:lastPrinted>2017-05-17T01:08:14Z</cp:lastPrinted>
  <dcterms:created xsi:type="dcterms:W3CDTF">2004-05-12T00:54:34Z</dcterms:created>
  <dcterms:modified xsi:type="dcterms:W3CDTF">2019-02-24T02:13:58Z</dcterms:modified>
</cp:coreProperties>
</file>