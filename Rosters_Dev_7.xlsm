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Roster!$D$200:$AH$200,Roster!$D$231:$AF$231,Roster!$D$262:$AH$262,Roster!$D$293:$AG$293,Roster!$D$308:$AH$308,Roster!$D$323:$AG$323,Roster!$D$14:$AH$14,Roster!$D$45:$AH$45,Roster!$D$76:$AG$76,Roster!$D$107:$AH$107,Roster!$D$138:$AG$138,Roster!$D$169:$AH$169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Roster!$D$14:$AH$25,Roster!$D$45:$AH$56,Roster!$D$76:$AG$87,Roster!$D$107:$AH$118,Roster!$D$138:$AG$149,Roster!$D$169:$AH$180,Roster!$D$200:$AH$211,Roster!$D$231:$AF$242,Roster!$D$262:$AH$273,Roster!$D$293:$AG$304,Roster!$D$308:$AH$319,Roster!$D$323:$AG$334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Roster!$D$200:$AH$211,Roster!$D$231:$AF$242,Roster!$D$262:$AH$273,Roster!$D$293:$AG$304,Roster!$D$308:$AH$319,Roster!$D$323:$AG$334,Roster!$D$14:$AH$25,Roster!$D$45:$AH$56,Roster!$D$76:$AG$87,Roster!$D$107:$AH$118,Roster!$D$138:$AG$149,Roster!$D$169:$AH$180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Roster!$D$14:$AH$25,Roster!$D$45:$AH$56,Roster!$D$76:$AG$87,Roster!$D$107:$AH$118,Roster!$D$138:$AG$149,Roster!$D$169:$AH$180,Roster!$D$200:$AH$211,Roster!$D$231:$AF$242,Roster!$D$262:$AH$273,Roster!$D$293:$AG$304,Roster!$D$308:$AH$319,Roster!$D$323:$AG$334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Roster!$D$323:$AG$323</definedName>
    <definedName name="Emp01Mar">Roster!$D$262:$AH$262</definedName>
    <definedName name="Emp01May">Roster!$D$308:$AH$308</definedName>
    <definedName name="Emp01Nov">Roster!$D$138:$AG$138</definedName>
    <definedName name="Emp01Oct">Roster!$D$107:$AH$107</definedName>
    <definedName name="Emp01Sep">Roster!$D$76:$AG$76</definedName>
    <definedName name="Emp01Summary">Summary!$B$4:$C$4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Roster!$D$324:$AG$324</definedName>
    <definedName name="Emp02Mar">Roster!$D$263:$AH$263</definedName>
    <definedName name="Emp02May">Roster!$D$309:$AH$309</definedName>
    <definedName name="Emp02Nov">Roster!$D$139:$AG$139</definedName>
    <definedName name="Emp02Oct">Roster!$D$108:$AH$108</definedName>
    <definedName name="Emp02Sep">Roster!$D$77:$AG$77</definedName>
    <definedName name="Emp02Summary">Summary!$B$5:$C$5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Roster!$D$325:$AG$325</definedName>
    <definedName name="Emp03Mar">Roster!$D$264:$AH$264</definedName>
    <definedName name="Emp03May">Roster!$D$310:$AH$310</definedName>
    <definedName name="Emp03Nov">Roster!$D$140:$AG$140</definedName>
    <definedName name="Emp03Oct">Roster!$D$109:$AH$109</definedName>
    <definedName name="Emp03Sep">Roster!$D$78:$AG$78</definedName>
    <definedName name="Emp03Summary">Summary!$B$6:$C$6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Roster!$D$326:$AG$326</definedName>
    <definedName name="Emp04Mar">Roster!$D$265:$AH$265</definedName>
    <definedName name="Emp04May">Roster!$D$311:$AH$311</definedName>
    <definedName name="Emp04Nov">Roster!$D$141:$AG$141</definedName>
    <definedName name="Emp04Oct">Roster!$D$110:$AH$110</definedName>
    <definedName name="Emp04Sep">Roster!$D$79:$AG$79</definedName>
    <definedName name="Emp04Summary">Summary!$B$7:$C$7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Roster!$D$327:$AG$327</definedName>
    <definedName name="Emp05Mar">Roster!$D$266:$AH$266</definedName>
    <definedName name="Emp05May">Roster!$D$312:$AH$312</definedName>
    <definedName name="Emp05Nov">Roster!$D$142:$AG$142</definedName>
    <definedName name="Emp05Oct">Roster!$D$111:$AH$111</definedName>
    <definedName name="Emp05Sep">Roster!$D$80:$AG$80</definedName>
    <definedName name="Emp05Summary">Summary!$B$8:$C$8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Roster!$D$328:$AG$328</definedName>
    <definedName name="Emp06Mar">Roster!$D$267:$AH$267</definedName>
    <definedName name="Emp06May">Roster!$D$313:$AH$313</definedName>
    <definedName name="Emp06Nov">Roster!$D$143:$AG$143</definedName>
    <definedName name="Emp06Oct">Roster!$D$112:$AH$112</definedName>
    <definedName name="Emp06Sep">Roster!$D$81:$AG$81</definedName>
    <definedName name="Emp06Summary">Summary!$B$9:$C$9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Roster!$D$329:$AG$329</definedName>
    <definedName name="Emp07Mar">Roster!$D$268:$AH$268</definedName>
    <definedName name="Emp07May">Roster!$D$314:$AH$314</definedName>
    <definedName name="Emp07Nov">Roster!$D$144:$AG$144</definedName>
    <definedName name="Emp07Oct">Roster!$D$113:$AH$113</definedName>
    <definedName name="Emp07Sep">Roster!$D$82:$AG$82</definedName>
    <definedName name="Emp07Summary">Summary!$B$10:$C$10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Roster!$D$330:$AG$330</definedName>
    <definedName name="Emp08Mar">Roster!$D$269:$AH$269</definedName>
    <definedName name="Emp08May">Roster!$D$315:$AH$315</definedName>
    <definedName name="Emp08Nov">Roster!$D$145:$AG$145</definedName>
    <definedName name="Emp08Oct">Roster!$D$114:$AH$114</definedName>
    <definedName name="Emp08Sep">Roster!$D$83:$AG$83</definedName>
    <definedName name="Emp08Summary">Summary!$B$11:$C$11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Roster!$D$331:$AG$331</definedName>
    <definedName name="Emp09Mar">Roster!$D$270:$AH$270</definedName>
    <definedName name="Emp09May">Roster!$D$316:$AH$316</definedName>
    <definedName name="Emp09Nov">Roster!$D$146:$AG$146</definedName>
    <definedName name="Emp09Oct">Roster!$D$115:$AH$115</definedName>
    <definedName name="Emp09Sep">Roster!$D$84:$AG$84</definedName>
    <definedName name="Emp09Summary">Summary!$B$12:$C$12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Roster!$D$332:$AG$332</definedName>
    <definedName name="Emp10Mar">Roster!$D$271:$AH$271</definedName>
    <definedName name="Emp10May">Roster!$D$317:$AH$317</definedName>
    <definedName name="Emp10Nov">Roster!$D$147:$AG$147</definedName>
    <definedName name="Emp10Oct">Roster!$D$116:$AH$116</definedName>
    <definedName name="Emp10Sep">Roster!$D$85:$AG$85</definedName>
    <definedName name="Emp10Summary">Summary!$B$13:$C$13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Roster!$D$333:$AG$333</definedName>
    <definedName name="Emp11Mar">Roster!$D$272:$AH$272</definedName>
    <definedName name="Emp11May">Roster!$D$318:$AH$318</definedName>
    <definedName name="Emp11Nov">Roster!$D$148:$AG$148</definedName>
    <definedName name="Emp11Oct">Roster!$D$117:$AH$117</definedName>
    <definedName name="Emp11Sep">Roster!$D$86:$AG$86</definedName>
    <definedName name="Emp11Summary">Summary!$B$14:$C$14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Roster!$D$334:$AG$334</definedName>
    <definedName name="Emp12Mar">Roster!$D$273:$AH$273</definedName>
    <definedName name="Emp12May">Roster!$D$319:$AH$319</definedName>
    <definedName name="Emp12Nov">Roster!$D$149:$AG$149</definedName>
    <definedName name="Emp12Oct">Roster!$D$118:$AH$118</definedName>
    <definedName name="Emp12Sep">Roster!$D$87:$AG$87</definedName>
    <definedName name="Emp12Summary">Summary!$B$15:$C$15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Mar">Roster!$D$274:$AH$274</definedName>
    <definedName name="Emp13Nov">Roster!$D$150:$AG$150</definedName>
    <definedName name="Emp13Oct">Roster!$D$119:$AH$119</definedName>
    <definedName name="Emp13Sep">Roster!$D$88:$AG$88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Mar">Roster!$D$275:$AH$275</definedName>
    <definedName name="Emp14Nov">Roster!$D$151:$AG$151</definedName>
    <definedName name="Emp14Oct">Roster!$D$120:$AH$120</definedName>
    <definedName name="Emp14Sep">Roster!$D$89:$AG$89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Mar">Roster!$D$276:$AH$276</definedName>
    <definedName name="Emp15Nov">Roster!$D$152:$AG$152</definedName>
    <definedName name="Emp15Oct">Roster!$D$121:$AH$121</definedName>
    <definedName name="Emp15Sep">Roster!$D$90:$AG$90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Mar">Roster!$D$277:$AH$277</definedName>
    <definedName name="Emp16Nov">Roster!$D$153:$AG$153</definedName>
    <definedName name="Emp16Oct">Roster!$D$122:$AH$122</definedName>
    <definedName name="Emp16Sep">Roster!$D$91:$AG$91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Mar">Roster!$D$278:$AH$278</definedName>
    <definedName name="Emp17Nov">Roster!$D$154:$AG$154</definedName>
    <definedName name="Emp17Oct">Roster!$D$123:$AH$123</definedName>
    <definedName name="Emp17Sep">Roster!$D$92:$AG$92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Mar">Roster!$D$279:$AH$279</definedName>
    <definedName name="Emp18Nov">Roster!$D$155:$AG$155</definedName>
    <definedName name="Emp18Oct">Roster!$D$124:$AH$124</definedName>
    <definedName name="Emp18Sep">Roster!$D$93:$AG$93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Mar">Roster!$D$280:$AH$280</definedName>
    <definedName name="Emp19Nov">Roster!$D$156:$AG$156</definedName>
    <definedName name="Emp19Oct">Roster!$D$125:$AH$125</definedName>
    <definedName name="Emp19Sep">Roster!$D$94:$AG$94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Mar">Roster!$D$281:$AH$281</definedName>
    <definedName name="Emp20Nov">Roster!$D$157:$AG$157</definedName>
    <definedName name="Emp20Oct">Roster!$D$126:$AH$126</definedName>
    <definedName name="Emp20Sep">Roster!$D$95:$AG$95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Mar">Roster!$D$282:$AH$282</definedName>
    <definedName name="Emp21Nov">Roster!$D$158:$AG$158</definedName>
    <definedName name="Emp21Oct">Roster!$D$127:$AH$127</definedName>
    <definedName name="Emp21Sep">Roster!$D$96:$AG$96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Mar">Roster!$D$283:$AH$283</definedName>
    <definedName name="Emp22Nov">Roster!$D$159:$AG$159</definedName>
    <definedName name="Emp22Oct">Roster!$D$128:$AH$128</definedName>
    <definedName name="Emp22Sep">Roster!$D$97:$AG$97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Mar">Roster!$D$284:$AH$284</definedName>
    <definedName name="Emp23Nov">Roster!$D$160:$AG$160</definedName>
    <definedName name="Emp23Oct">Roster!$D$129:$AH$129</definedName>
    <definedName name="Emp23Sep">Roster!$D$98:$AG$98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Mar">Roster!$D$285:$AH$285</definedName>
    <definedName name="Emp24Nov">Roster!$D$161:$AG$161</definedName>
    <definedName name="Emp24Oct">Roster!$D$130:$AH$130</definedName>
    <definedName name="Emp24Sep">Roster!$D$99:$AG$99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Mar">Roster!$D$286:$AH$286</definedName>
    <definedName name="Emp25Nov">Roster!$D$162:$AG$162</definedName>
    <definedName name="Emp25Oct">Roster!$D$131:$AH$131</definedName>
    <definedName name="Emp25Sep">Roster!$D$100:$AG$100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Mar">Roster!$D$287:$AH$287</definedName>
    <definedName name="Emp26Nov">Roster!$D$163:$AG$163</definedName>
    <definedName name="Emp26Oct">Roster!$D$132:$AH$132</definedName>
    <definedName name="Emp26Sep">Roster!$D$101:$AG$101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Mar">Roster!$D$288:$AH$288</definedName>
    <definedName name="Emp27Nov">Roster!$D$164:$AG$164</definedName>
    <definedName name="Emp27Oct">Roster!$D$133:$AH$133</definedName>
    <definedName name="Emp27Sep">Roster!$D$102:$AG$102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Mar">Roster!$D$289:$AH$289</definedName>
    <definedName name="Emp28Nov">Roster!$D$165:$AG$165</definedName>
    <definedName name="Emp28Oct">Roster!$D$134:$AH$134</definedName>
    <definedName name="Emp28Sep">Roster!$D$103:$AG$103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Roster!$D$14:$AH$25,Roster!$D$45:$AH$56,Roster!$D$76:$AG$87,Roster!$D$107:$AH$118,Roster!$D$138:$AG$149,Roster!$D$169:$AH$180,Roster!$D$200:$AH$211,Roster!$D$231:$AF$242,Roster!$D$262:$AH$273,Roster!$D$293:$AG$304,Roster!$D$308:$AH$319,Roster!$D$323:$AG$334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Roster!$C$322:$AG$322</definedName>
    <definedName name="LegEnd">Roster!$A$6:$A$10</definedName>
    <definedName name="Location">DATA!$D$3</definedName>
    <definedName name="March_Heads">Roster!$C$261:$AH$261</definedName>
    <definedName name="May_Heads">Roster!$C$307:$AH$307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Roster!$B$12:$AH$335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17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P10" i="12"/>
  <c r="X37" i="4"/>
  <c r="T37" i="4"/>
  <c r="Z37" i="4"/>
  <c r="E28" i="3"/>
  <c r="AE28" i="3"/>
  <c r="S28" i="3"/>
  <c r="G19" i="3"/>
  <c r="K34" i="4" l="1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<sst xmlns="http://schemas.openxmlformats.org/spreadsheetml/2006/main" count="8964" uniqueCount="133">
  <si>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</si>
  <si>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</si>
  <si>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</si>
  <si>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</si>
  <si>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</si>
  <si>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</si>
  <si>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</si>
  <si>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</si>
  <si>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</si>
  <si>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</si>
  <si>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</si>
  <si>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</si>
  <si>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</si>
  <si>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</si>
  <si>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</si>
  <si>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</si>
  <si>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</si>
  <si>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</si>
  <si>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</si>
  <si>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</si>
  <si>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</si>
  <si>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</si>
  <si>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</si>
  <si>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</si>
  <si>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</si>
  <si>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</si>
  <si>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</si>
  <si>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</si>
  <si>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</si>
  <si>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</si>
  <si>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</si>
  <si>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</si>
  <si>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</si>
  <si>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</si>
  <si>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</si>
  <si>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</si>
  <si>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</si>
  <si>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</si>
  <si>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</si>
  <si>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</si>
  <si>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</si>
  <si>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</si>
  <si>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</si>
  <si>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</si>
  <si>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</si>
  <si>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</si>
  <si>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</si>
  <si>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</si>
  <si>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</si>
  <si>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</si>
  <si>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</si>
  <si>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</si>
  <si>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</si>
  <si>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</si>
  <si>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</si>
  <si>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</si>
  <si>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</si>
  <si>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</si>
  <si>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</si>
  <si>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</si>
  <si>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</si>
  <si>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</si>
  <si>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</si>
  <si>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</si>
  <si>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</si>
  <si>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</si>
  <si>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</si>
  <si>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</si>
  <si>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</si>
  <si>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</si>
  <si>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</si>
  <si>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</si>
  <si>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</si>
  <si>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</si>
  <si>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</si>
  <si>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</si>
  <si>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</si>
  <si>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</si>
  <si>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</si>
  <si>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</si>
  <si>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</si>
  <si>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</si>
  <si>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</si>
  <si>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</si>
  <si>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</si>
  <si>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</si>
  <si>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</si>
  <si>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</si>
  <si>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</si>
  <si>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</si>
  <si>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</si>
  <si>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</si>
  <si>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</si>
  <si>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</si>
  <si>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</si>
  <si>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</si>
  <si>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</si>
  <si>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</si>
  <si>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</si>
  <si>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</si>
  <si>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</si>
  <si>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Odd10</t>
  </si>
  <si>
    <t>Odd11</t>
  </si>
  <si>
    <t>Odd12</t>
  </si>
  <si>
    <t>Odd13</t>
  </si>
  <si>
    <t>Odd14</t>
  </si>
  <si>
    <t>Odd15</t>
  </si>
  <si>
    <t>Odd16</t>
  </si>
  <si>
    <t>Odd17</t>
  </si>
  <si>
    <t>Odd18</t>
  </si>
  <si>
    <t>Odd19</t>
  </si>
  <si>
    <t>Odd20</t>
  </si>
  <si>
    <t>1Bod</t>
  </si>
  <si>
    <t>2Bod</t>
  </si>
  <si>
    <t>4Bod</t>
  </si>
  <si>
    <t>Abod</t>
  </si>
  <si>
    <t>Bbod</t>
  </si>
  <si>
    <t>Cbod</t>
  </si>
  <si>
    <t>Dbod</t>
  </si>
  <si>
    <t>Ebod</t>
  </si>
  <si>
    <t>Fbod</t>
  </si>
  <si>
    <t>Gbod</t>
  </si>
  <si>
    <t>Hbod</t>
  </si>
  <si>
    <t>Ibod</t>
  </si>
  <si>
    <t>Jbod</t>
  </si>
  <si>
    <t>Kbod</t>
  </si>
  <si>
    <t>Lbod</t>
  </si>
  <si>
    <t>Mbod</t>
  </si>
  <si>
    <t>Nbod</t>
  </si>
  <si>
    <t>Obod</t>
  </si>
  <si>
    <t>Pbod</t>
  </si>
  <si>
    <t>2016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</si>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</sst>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00FF"/>
      <name val="Arial"/>
      <family val="2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26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14" fillId="13" borderId="45" xfId="0" applyFont="1" applyFill="1" applyBorder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240"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34"/>
  <sheetViews>
    <sheetView tabSelected="1" zoomScale="120" zoomScaleNormal="120" workbookViewId="0">
      <pane ySplit="10" topLeftCell="A239" activePane="bottomLeft" state="frozen"/>
      <selection pane="bottomLeft" activeCell="M243" sqref="M243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94" t="str">
        <f>Location &amp;  " -  Roster Sheets"</f>
        <v>Oodlawirra Quarantine Station -  Roster Sheets</v>
      </c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5"/>
      <c r="AE1" s="105"/>
      <c r="AF1" s="105"/>
      <c r="AG1" s="105"/>
      <c r="AH1" s="105"/>
    </row>
    <row r="2" spans="1:36" s="2" customFormat="1" ht="12" customHeight="1"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195"/>
      <c r="Z2" s="195"/>
      <c r="AA2" s="195"/>
      <c r="AB2" s="195"/>
      <c r="AC2" s="195"/>
      <c r="AD2" s="195"/>
      <c r="AE2" s="105"/>
      <c r="AF2" s="105"/>
      <c r="AG2" s="105"/>
      <c r="AH2" s="105"/>
    </row>
    <row r="3" spans="1:36" s="2" customFormat="1" ht="17.25" customHeight="1">
      <c r="B3" s="29"/>
      <c r="J3" s="192" t="str">
        <f>"Financial Year Commencing - 1st July, "&amp; CurYear-1</f>
        <v>Financial Year Commencing - 1st July, 2015</v>
      </c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05"/>
      <c r="AF3" s="105"/>
      <c r="AG3" s="105"/>
      <c r="AH3" s="105"/>
    </row>
    <row r="4" spans="1:36" s="30" customFormat="1" ht="12" customHeight="1">
      <c r="B4" s="77" t="s">
        <v>131</v>
      </c>
      <c r="C4" s="191"/>
      <c r="D4" s="191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</row>
    <row r="5" spans="1:36" s="31" customFormat="1" ht="53.25" hidden="1" customHeight="1"/>
    <row r="6" spans="1:36" s="150" customFormat="1" ht="14.25" hidden="1" customHeight="1"/>
    <row r="7" spans="1:36" s="150" customFormat="1" ht="14.25" hidden="1" customHeight="1">
      <c r="C7" s="163" t="s">
        <v>59</v>
      </c>
      <c r="D7" s="165" t="s">
        <v>11</v>
      </c>
      <c r="E7" s="157" t="s">
        <v>60</v>
      </c>
      <c r="F7" s="158" t="s">
        <v>63</v>
      </c>
      <c r="G7" s="159"/>
      <c r="H7" s="159"/>
      <c r="I7" s="159"/>
      <c r="J7" s="161"/>
      <c r="K7" s="162"/>
      <c r="L7" s="156" t="s">
        <v>45</v>
      </c>
      <c r="M7" s="157" t="s">
        <v>60</v>
      </c>
      <c r="N7" s="158" t="s">
        <v>66</v>
      </c>
      <c r="O7" s="159"/>
      <c r="P7" s="159"/>
      <c r="Q7" s="161"/>
      <c r="R7" s="162"/>
      <c r="S7" s="156" t="s">
        <v>58</v>
      </c>
      <c r="T7" s="157" t="s">
        <v>60</v>
      </c>
      <c r="U7" s="158" t="s">
        <v>61</v>
      </c>
      <c r="V7" s="159"/>
      <c r="W7" s="159"/>
      <c r="X7" s="161"/>
      <c r="Y7" s="159"/>
      <c r="Z7" s="156" t="s">
        <v>40</v>
      </c>
      <c r="AA7" s="157" t="s">
        <v>60</v>
      </c>
      <c r="AB7" s="158" t="s">
        <v>70</v>
      </c>
      <c r="AC7" s="159"/>
      <c r="AD7" s="159"/>
      <c r="AE7" s="161"/>
    </row>
    <row r="8" spans="1:36" s="150" customFormat="1" ht="14.25" hidden="1" customHeight="1">
      <c r="C8" s="164"/>
      <c r="D8" s="165" t="s">
        <v>9</v>
      </c>
      <c r="E8" s="157" t="s">
        <v>60</v>
      </c>
      <c r="F8" s="158" t="s">
        <v>64</v>
      </c>
      <c r="G8" s="159"/>
      <c r="H8" s="159"/>
      <c r="I8" s="159"/>
      <c r="J8" s="161"/>
      <c r="K8" s="162"/>
      <c r="L8" s="160" t="s">
        <v>46</v>
      </c>
      <c r="M8" s="157" t="s">
        <v>60</v>
      </c>
      <c r="N8" s="158" t="s">
        <v>67</v>
      </c>
      <c r="O8" s="159"/>
      <c r="P8" s="159"/>
      <c r="Q8" s="161"/>
      <c r="R8" s="162"/>
      <c r="S8" s="156" t="s">
        <v>62</v>
      </c>
      <c r="T8" s="157" t="s">
        <v>60</v>
      </c>
      <c r="U8" s="158" t="s">
        <v>68</v>
      </c>
      <c r="V8" s="159"/>
      <c r="W8" s="159"/>
      <c r="X8" s="161"/>
      <c r="Y8" s="159"/>
      <c r="Z8" s="156" t="s">
        <v>39</v>
      </c>
      <c r="AA8" s="157" t="s">
        <v>60</v>
      </c>
      <c r="AB8" s="158" t="s">
        <v>69</v>
      </c>
      <c r="AC8" s="159"/>
      <c r="AD8" s="159"/>
      <c r="AE8" s="161"/>
    </row>
    <row r="9" spans="1:36" s="150" customFormat="1" ht="14.25" hidden="1" customHeight="1">
      <c r="C9" s="164"/>
      <c r="D9" s="165" t="s">
        <v>10</v>
      </c>
      <c r="E9" s="157" t="s">
        <v>60</v>
      </c>
      <c r="F9" s="158" t="s">
        <v>65</v>
      </c>
      <c r="G9" s="159"/>
      <c r="H9" s="159"/>
      <c r="I9" s="159"/>
      <c r="J9" s="161"/>
      <c r="K9" s="162"/>
      <c r="L9" s="160"/>
      <c r="M9" s="166"/>
      <c r="N9" s="159"/>
      <c r="O9" s="159"/>
      <c r="P9" s="159"/>
      <c r="Q9" s="161"/>
      <c r="R9" s="162"/>
      <c r="S9" s="167"/>
      <c r="T9" s="166"/>
      <c r="U9" s="159"/>
      <c r="V9" s="159"/>
      <c r="W9" s="159"/>
      <c r="X9" s="161"/>
      <c r="Y9" s="159"/>
      <c r="Z9" s="156"/>
      <c r="AA9" s="166"/>
      <c r="AB9" s="159"/>
      <c r="AC9" s="159"/>
      <c r="AD9" s="159"/>
      <c r="AE9" s="161"/>
      <c r="AI9" s="150" t="s">
        <v>62</v>
      </c>
    </row>
    <row r="10" spans="1:36" s="150" customFormat="1" ht="14.25" hidden="1" customHeight="1">
      <c r="D10" s="152"/>
      <c r="E10" s="155"/>
      <c r="K10" s="153"/>
      <c r="L10" s="154"/>
      <c r="M10" s="151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3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3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8">
        <v>10</v>
      </c>
      <c r="C23" s="90" t="str">
        <f>LEFT(EmpGName10)&amp;" " &amp;EmpSName10</f>
        <v>2 Odd2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8">
        <v>11</v>
      </c>
      <c r="C24" s="89" t="str">
        <f>LEFT(EmpGName11)&amp;" " &amp;EmpSName11</f>
        <v>2 Odd3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8">
        <v>12</v>
      </c>
      <c r="C25" s="90" t="str">
        <f>LEFT(EmpGName12)&amp;" " &amp;EmpSName12</f>
        <v>4 Odd4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8">
        <v>13</v>
      </c>
      <c r="C26" s="89" t="str">
        <f>LEFT(EmpGName13)&amp;" " &amp;EmpSName13</f>
        <v>A Odd5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8">
        <v>14</v>
      </c>
      <c r="C27" s="90" t="str">
        <f>LEFT(EmpGName14)&amp;" " &amp;EmpSName14</f>
        <v>B Odd6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8">
        <v>15</v>
      </c>
      <c r="C28" s="89" t="str">
        <f>LEFT(EmpGName15)&amp;" " &amp;EmpSName15</f>
        <v>C Odd7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8">
        <v>16</v>
      </c>
      <c r="C29" s="90" t="str">
        <f>LEFT(EmpGName16)&amp;" " &amp;EmpSName16</f>
        <v>D Odd8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8">
        <v>17</v>
      </c>
      <c r="C30" s="89" t="str">
        <f>LEFT(EmpGName17)&amp;" " &amp;EmpSName17</f>
        <v>E Odd9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8">
        <v>18</v>
      </c>
      <c r="C31" s="90" t="str">
        <f>LEFT(EmpGName18)&amp;" " &amp;EmpSName18</f>
        <v>F Odd10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8">
        <v>19</v>
      </c>
      <c r="C32" s="89" t="str">
        <f>LEFT(EmpGName19)&amp;" " &amp;EmpSName19</f>
        <v>G Odd11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8">
        <v>20</v>
      </c>
      <c r="C33" s="90" t="str">
        <f>LEFT(EmpGName20)&amp;" " &amp;EmpSName20</f>
        <v>H Odd12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8">
        <v>21</v>
      </c>
      <c r="C34" s="89" t="str">
        <f>LEFT(EmpGName21)&amp;" " &amp;EmpSName21</f>
        <v>I Odd13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8">
        <v>22</v>
      </c>
      <c r="C35" s="90" t="str">
        <f>LEFT(EmpGName22)&amp;" " &amp;EmpSName22</f>
        <v>J Odd14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8">
        <v>23</v>
      </c>
      <c r="C36" s="89" t="str">
        <f>LEFT(EmpGName23)&amp;" " &amp;EmpSName23</f>
        <v>K Odd15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8">
        <v>24</v>
      </c>
      <c r="C37" s="90" t="str">
        <f>LEFT(EmpGName24)&amp;" " &amp;EmpSName24</f>
        <v>L Odd16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8">
        <v>25</v>
      </c>
      <c r="C38" s="89" t="str">
        <f>LEFT(EmpGName25)&amp;" " &amp;EmpSName25</f>
        <v>M Odd17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8">
        <v>26</v>
      </c>
      <c r="C39" s="90" t="str">
        <f>LEFT(EmpGName26)&amp;" " &amp;EmpSName26</f>
        <v>N Odd18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8">
        <v>27</v>
      </c>
      <c r="C40" s="89" t="str">
        <f>LEFT(EmpGName27)&amp;" " &amp;EmpSName27</f>
        <v>O Odd19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8">
        <v>28</v>
      </c>
      <c r="C41" s="90" t="str">
        <f>LEFT(EmpGName28)&amp;" " &amp;EmpSName28</f>
        <v>P Odd20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2015: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8"/>
      <c r="C44" s="84" t="s">
        <v>19</v>
      </c>
      <c r="D44" s="85">
        <v>1</v>
      </c>
      <c r="E44" s="85">
        <v>2</v>
      </c>
      <c r="F44" s="173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3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3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8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8">
        <v>11</v>
      </c>
      <c r="C55" s="89" t="str">
        <f>LEFT(EmpGName11)&amp;" " &amp;EmpSName11</f>
        <v>2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8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8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8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8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8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8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8">
        <v>18</v>
      </c>
      <c r="C62" s="90" t="str">
        <f>LEFT(EmpGName18)&amp;" " &amp;EmpSName18</f>
        <v>F Odd10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8">
        <v>19</v>
      </c>
      <c r="C63" s="89" t="str">
        <f>LEFT(EmpGName19)&amp;" " &amp;EmpSName19</f>
        <v>G Odd11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8">
        <v>20</v>
      </c>
      <c r="C64" s="90" t="str">
        <f>LEFT(EmpGName20)&amp;" " &amp;EmpSName20</f>
        <v>H Odd12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8">
        <v>21</v>
      </c>
      <c r="C65" s="89" t="str">
        <f>LEFT(EmpGName21)&amp;" " &amp;EmpSName21</f>
        <v>I Odd13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8">
        <v>22</v>
      </c>
      <c r="C66" s="90" t="str">
        <f>LEFT(EmpGName22)&amp;" " &amp;EmpSName22</f>
        <v>J Odd14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8">
        <v>23</v>
      </c>
      <c r="C67" s="89" t="str">
        <f>LEFT(EmpGName23)&amp;" " &amp;EmpSName23</f>
        <v>K Odd15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8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8">
        <v>25</v>
      </c>
      <c r="C69" s="89" t="str">
        <f>LEFT(EmpGName25)&amp;" " &amp;EmpSName25</f>
        <v>M Odd17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8">
        <v>26</v>
      </c>
      <c r="C70" s="90" t="str">
        <f>LEFT(EmpGName26)&amp;" " &amp;EmpSName26</f>
        <v>N Odd18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8">
        <v>27</v>
      </c>
      <c r="C71" s="89" t="str">
        <f>LEFT(EmpGName27)&amp;" " &amp;EmpSName27</f>
        <v>O Odd19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8">
        <v>28</v>
      </c>
      <c r="C72" s="90" t="str">
        <f>LEFT(EmpGName28)&amp;" " &amp;EmpSName28</f>
        <v>P Odd20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2015: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73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73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8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8">
        <v>11</v>
      </c>
      <c r="C86" s="89" t="str">
        <f>LEFT(EmpGName11)&amp;" " &amp;EmpSName11</f>
        <v>2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8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8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8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8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8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8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8">
        <v>18</v>
      </c>
      <c r="C93" s="90" t="str">
        <f>LEFT(EmpGName18)&amp;" " &amp;EmpSName18</f>
        <v>F Odd10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8">
        <v>19</v>
      </c>
      <c r="C94" s="89" t="str">
        <f>LEFT(EmpGName19)&amp;" " &amp;EmpSName19</f>
        <v>G Odd11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8">
        <v>20</v>
      </c>
      <c r="C95" s="90" t="str">
        <f>LEFT(EmpGName20)&amp;" " &amp;EmpSName20</f>
        <v>H Odd12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8">
        <v>21</v>
      </c>
      <c r="C96" s="89" t="str">
        <f>LEFT(EmpGName21)&amp;" " &amp;EmpSName21</f>
        <v>I Odd13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8">
        <v>22</v>
      </c>
      <c r="C97" s="90" t="str">
        <f>LEFT(EmpGName22)&amp;" " &amp;EmpSName22</f>
        <v>J Odd14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8">
        <v>23</v>
      </c>
      <c r="C98" s="89" t="str">
        <f>LEFT(EmpGName23)&amp;" " &amp;EmpSName23</f>
        <v>K Odd15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8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8">
        <v>25</v>
      </c>
      <c r="C100" s="89" t="str">
        <f>LEFT(EmpGName25)&amp;" " &amp;EmpSName25</f>
        <v>M Odd17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8">
        <v>26</v>
      </c>
      <c r="C101" s="90" t="str">
        <f>LEFT(EmpGName26)&amp;" " &amp;EmpSName26</f>
        <v>N Odd18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8">
        <v>27</v>
      </c>
      <c r="C102" s="89" t="str">
        <f>LEFT(EmpGName27)&amp;" " &amp;EmpSName27</f>
        <v>O Odd19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78">
        <v>28</v>
      </c>
      <c r="C103" s="179" t="str">
        <f>LEFT(EmpGName28)&amp;" " &amp;EmpSName28</f>
        <v>P Odd20</v>
      </c>
      <c r="D103" s="180" t="s">
        <v>62</v>
      </c>
      <c r="E103" s="180" t="s">
        <v>62</v>
      </c>
      <c r="F103" s="180" t="s">
        <v>62</v>
      </c>
      <c r="G103" s="180" t="s">
        <v>62</v>
      </c>
      <c r="H103" s="180" t="s">
        <v>62</v>
      </c>
      <c r="I103" s="180" t="s">
        <v>62</v>
      </c>
      <c r="J103" s="180" t="s">
        <v>62</v>
      </c>
      <c r="K103" s="180" t="s">
        <v>62</v>
      </c>
      <c r="L103" s="180" t="s">
        <v>62</v>
      </c>
      <c r="M103" s="180" t="s">
        <v>62</v>
      </c>
      <c r="N103" s="180" t="s">
        <v>62</v>
      </c>
      <c r="O103" s="180" t="s">
        <v>62</v>
      </c>
      <c r="P103" s="180" t="s">
        <v>62</v>
      </c>
      <c r="Q103" s="180" t="s">
        <v>62</v>
      </c>
      <c r="R103" s="180" t="s">
        <v>62</v>
      </c>
      <c r="S103" s="180" t="s">
        <v>62</v>
      </c>
      <c r="T103" s="180" t="s">
        <v>62</v>
      </c>
      <c r="U103" s="180" t="s">
        <v>62</v>
      </c>
      <c r="V103" s="180" t="s">
        <v>62</v>
      </c>
      <c r="W103" s="180" t="s">
        <v>62</v>
      </c>
      <c r="X103" s="180" t="s">
        <v>62</v>
      </c>
      <c r="Y103" s="180" t="s">
        <v>62</v>
      </c>
      <c r="Z103" s="180" t="s">
        <v>62</v>
      </c>
      <c r="AA103" s="180" t="s">
        <v>62</v>
      </c>
      <c r="AB103" s="180" t="s">
        <v>62</v>
      </c>
      <c r="AC103" s="180" t="s">
        <v>62</v>
      </c>
      <c r="AD103" s="180" t="s">
        <v>62</v>
      </c>
      <c r="AE103" s="180" t="s">
        <v>62</v>
      </c>
      <c r="AF103" s="180" t="s">
        <v>62</v>
      </c>
      <c r="AG103" s="180" t="s">
        <v>62</v>
      </c>
    </row>
    <row r="104" spans="2:34" s="2" customFormat="1">
      <c r="B104" s="176"/>
      <c r="C104" s="177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2015: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73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73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8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8">
        <v>11</v>
      </c>
      <c r="C117" s="89" t="str">
        <f>LEFT(EmpGName11)&amp;" " &amp;EmpSName11</f>
        <v>2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8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8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8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8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8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8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8">
        <v>18</v>
      </c>
      <c r="C124" s="90" t="str">
        <f>LEFT(EmpGName18)&amp;" " &amp;EmpSName18</f>
        <v>F Odd10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8">
        <v>19</v>
      </c>
      <c r="C125" s="89" t="str">
        <f>LEFT(EmpGName19)&amp;" " &amp;EmpSName19</f>
        <v>G Odd11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8">
        <v>20</v>
      </c>
      <c r="C126" s="90" t="str">
        <f>LEFT(EmpGName20)&amp;" " &amp;EmpSName20</f>
        <v>H Odd12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8">
        <v>21</v>
      </c>
      <c r="C127" s="89" t="str">
        <f>LEFT(EmpGName21)&amp;" " &amp;EmpSName21</f>
        <v>I Odd13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8">
        <v>22</v>
      </c>
      <c r="C128" s="90" t="str">
        <f>LEFT(EmpGName22)&amp;" " &amp;EmpSName22</f>
        <v>J Odd14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8">
        <v>23</v>
      </c>
      <c r="C129" s="89" t="str">
        <f>LEFT(EmpGName23)&amp;" " &amp;EmpSName23</f>
        <v>K Odd15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8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8">
        <v>25</v>
      </c>
      <c r="C131" s="89" t="str">
        <f>LEFT(EmpGName25)&amp;" " &amp;EmpSName25</f>
        <v>M Odd17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8">
        <v>26</v>
      </c>
      <c r="C132" s="90" t="str">
        <f>LEFT(EmpGName26)&amp;" " &amp;EmpSName26</f>
        <v>N Odd18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8">
        <v>27</v>
      </c>
      <c r="C133" s="89" t="str">
        <f>LEFT(EmpGName27)&amp;" " &amp;EmpSName27</f>
        <v>O Odd19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8">
        <v>28</v>
      </c>
      <c r="C134" s="90" t="str">
        <f>LEFT(EmpGName28)&amp;" " &amp;EmpSName28</f>
        <v>P Odd20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2015: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73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73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8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8">
        <v>11</v>
      </c>
      <c r="C148" s="89" t="str">
        <f>LEFT(EmpGName11)&amp;" " &amp;EmpSName11</f>
        <v>2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8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8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8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8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8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8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8">
        <v>18</v>
      </c>
      <c r="C155" s="90" t="str">
        <f>LEFT(EmpGName18)&amp;" " &amp;EmpSName18</f>
        <v>F Odd10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8">
        <v>19</v>
      </c>
      <c r="C156" s="89" t="str">
        <f>LEFT(EmpGName19)&amp;" " &amp;EmpSName19</f>
        <v>G Odd11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8">
        <v>20</v>
      </c>
      <c r="C157" s="90" t="str">
        <f>LEFT(EmpGName20)&amp;" " &amp;EmpSName20</f>
        <v>H Odd12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8">
        <v>21</v>
      </c>
      <c r="C158" s="89" t="str">
        <f>LEFT(EmpGName21)&amp;" " &amp;EmpSName21</f>
        <v>I Odd13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8">
        <v>22</v>
      </c>
      <c r="C159" s="90" t="str">
        <f>LEFT(EmpGName22)&amp;" " &amp;EmpSName22</f>
        <v>J Odd14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8">
        <v>23</v>
      </c>
      <c r="C160" s="89" t="str">
        <f>LEFT(EmpGName23)&amp;" " &amp;EmpSName23</f>
        <v>K Odd15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8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8">
        <v>25</v>
      </c>
      <c r="C162" s="89" t="str">
        <f>LEFT(EmpGName25)&amp;" " &amp;EmpSName25</f>
        <v>M Odd17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8">
        <v>26</v>
      </c>
      <c r="C163" s="90" t="str">
        <f>LEFT(EmpGName26)&amp;" " &amp;EmpSName26</f>
        <v>N Odd18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8">
        <v>27</v>
      </c>
      <c r="C164" s="89" t="str">
        <f>LEFT(EmpGName27)&amp;" " &amp;EmpSName27</f>
        <v>O Odd19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81">
        <v>28</v>
      </c>
      <c r="C165" s="182" t="str">
        <f>LEFT(EmpGName28)&amp;" " &amp;EmpSName28</f>
        <v>P Odd20</v>
      </c>
      <c r="D165" s="183" t="s">
        <v>62</v>
      </c>
      <c r="E165" s="183" t="s">
        <v>62</v>
      </c>
      <c r="F165" s="183" t="s">
        <v>62</v>
      </c>
      <c r="G165" s="183" t="s">
        <v>62</v>
      </c>
      <c r="H165" s="183" t="s">
        <v>62</v>
      </c>
      <c r="I165" s="183" t="s">
        <v>62</v>
      </c>
      <c r="J165" s="183" t="s">
        <v>62</v>
      </c>
      <c r="K165" s="183" t="s">
        <v>62</v>
      </c>
      <c r="L165" s="183" t="s">
        <v>62</v>
      </c>
      <c r="M165" s="183" t="s">
        <v>62</v>
      </c>
      <c r="N165" s="183" t="s">
        <v>62</v>
      </c>
      <c r="O165" s="183" t="s">
        <v>62</v>
      </c>
      <c r="P165" s="183" t="s">
        <v>62</v>
      </c>
      <c r="Q165" s="183" t="s">
        <v>62</v>
      </c>
      <c r="R165" s="183" t="s">
        <v>62</v>
      </c>
      <c r="S165" s="183" t="s">
        <v>62</v>
      </c>
      <c r="T165" s="183" t="s">
        <v>62</v>
      </c>
      <c r="U165" s="183" t="s">
        <v>62</v>
      </c>
      <c r="V165" s="183" t="s">
        <v>62</v>
      </c>
      <c r="W165" s="183" t="s">
        <v>62</v>
      </c>
      <c r="X165" s="183" t="s">
        <v>62</v>
      </c>
      <c r="Y165" s="183" t="s">
        <v>62</v>
      </c>
      <c r="Z165" s="183" t="s">
        <v>62</v>
      </c>
      <c r="AA165" s="183" t="s">
        <v>62</v>
      </c>
      <c r="AB165" s="183" t="s">
        <v>62</v>
      </c>
      <c r="AC165" s="183" t="s">
        <v>62</v>
      </c>
      <c r="AD165" s="183" t="s">
        <v>62</v>
      </c>
      <c r="AE165" s="183" t="s">
        <v>62</v>
      </c>
      <c r="AF165" s="183" t="s">
        <v>62</v>
      </c>
      <c r="AG165" s="183" t="s">
        <v>62</v>
      </c>
    </row>
    <row r="166" spans="2:34" s="2" customFormat="1">
      <c r="B166" s="184"/>
      <c r="C166" s="185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6"/>
      <c r="P166" s="186"/>
      <c r="Q166" s="186"/>
      <c r="R166" s="186"/>
      <c r="S166" s="186"/>
      <c r="T166" s="186"/>
      <c r="U166" s="186"/>
      <c r="V166" s="186"/>
      <c r="W166" s="186"/>
      <c r="X166" s="186"/>
      <c r="Y166" s="186"/>
      <c r="Z166" s="186"/>
      <c r="AA166" s="186"/>
      <c r="AB166" s="186"/>
      <c r="AC166" s="186"/>
      <c r="AD166" s="186"/>
      <c r="AE166" s="186"/>
      <c r="AF166" s="186"/>
      <c r="AG166" s="186"/>
    </row>
    <row r="167" spans="2:34">
      <c r="C167" t="str">
        <f>CurYear-1&amp;":"</f>
        <v>2015: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73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73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8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8">
        <v>11</v>
      </c>
      <c r="C179" s="89" t="str">
        <f>LEFT(EmpGName11)&amp;" " &amp;EmpSName11</f>
        <v>2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8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8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8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8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8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8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8">
        <v>18</v>
      </c>
      <c r="C186" s="90" t="str">
        <f>LEFT(EmpGName18)&amp;" " &amp;EmpSName18</f>
        <v>F Odd10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8">
        <v>19</v>
      </c>
      <c r="C187" s="89" t="str">
        <f>LEFT(EmpGName19)&amp;" " &amp;EmpSName19</f>
        <v>G Odd11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8">
        <v>20</v>
      </c>
      <c r="C188" s="90" t="str">
        <f>LEFT(EmpGName20)&amp;" " &amp;EmpSName20</f>
        <v>H Odd12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8">
        <v>21</v>
      </c>
      <c r="C189" s="89" t="str">
        <f>LEFT(EmpGName21)&amp;" " &amp;EmpSName21</f>
        <v>I Odd13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8">
        <v>22</v>
      </c>
      <c r="C190" s="90" t="str">
        <f>LEFT(EmpGName22)&amp;" " &amp;EmpSName22</f>
        <v>J Odd14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8">
        <v>23</v>
      </c>
      <c r="C191" s="89" t="str">
        <f>LEFT(EmpGName23)&amp;" " &amp;EmpSName23</f>
        <v>K Odd15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8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8">
        <v>25</v>
      </c>
      <c r="C193" s="89" t="str">
        <f>LEFT(EmpGName25)&amp;" " &amp;EmpSName25</f>
        <v>M Odd17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8">
        <v>26</v>
      </c>
      <c r="C194" s="90" t="str">
        <f>LEFT(EmpGName26)&amp;" " &amp;EmpSName26</f>
        <v>N Odd18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8">
        <v>27</v>
      </c>
      <c r="C195" s="89" t="str">
        <f>LEFT(EmpGName27)&amp;" " &amp;EmpSName27</f>
        <v>O Odd19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8">
        <v>28</v>
      </c>
      <c r="C196" s="90" t="str">
        <f>LEFT(EmpGName28)&amp;" " &amp;EmpSName28</f>
        <v>P Odd20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2016: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73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73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9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9">
        <v>11</v>
      </c>
      <c r="C210" s="89" t="str">
        <f>LEFT(EmpGName11)&amp;" " &amp;EmpSName11</f>
        <v>2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9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8">
        <v>13</v>
      </c>
      <c r="C212" s="89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8">
        <v>14</v>
      </c>
      <c r="C213" s="90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8">
        <v>15</v>
      </c>
      <c r="C214" s="89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8">
        <v>16</v>
      </c>
      <c r="C215" s="90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8">
        <v>17</v>
      </c>
      <c r="C216" s="89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8">
        <v>18</v>
      </c>
      <c r="C217" s="90" t="str">
        <f>LEFT(EmpGName18)&amp;" " &amp;EmpSName18</f>
        <v>F Odd10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8">
        <v>19</v>
      </c>
      <c r="C218" s="89" t="str">
        <f>LEFT(EmpGName19)&amp;" " &amp;EmpSName19</f>
        <v>G Odd11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8">
        <v>20</v>
      </c>
      <c r="C219" s="90" t="str">
        <f>LEFT(EmpGName20)&amp;" " &amp;EmpSName20</f>
        <v>H Odd12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8">
        <v>21</v>
      </c>
      <c r="C220" s="89" t="str">
        <f>LEFT(EmpGName21)&amp;" " &amp;EmpSName21</f>
        <v>I Odd13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8">
        <v>22</v>
      </c>
      <c r="C221" s="90" t="str">
        <f>LEFT(EmpGName22)&amp;" " &amp;EmpSName22</f>
        <v>J Odd14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8">
        <v>23</v>
      </c>
      <c r="C222" s="89" t="str">
        <f>LEFT(EmpGName23)&amp;" " &amp;EmpSName23</f>
        <v>K Odd15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8">
        <v>24</v>
      </c>
      <c r="C223" s="90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8">
        <v>25</v>
      </c>
      <c r="C224" s="89" t="str">
        <f>LEFT(EmpGName25)&amp;" " &amp;EmpSName25</f>
        <v>M Odd17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8">
        <v>26</v>
      </c>
      <c r="C225" s="90" t="str">
        <f>LEFT(EmpGName26)&amp;" " &amp;EmpSName26</f>
        <v>N Odd18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8">
        <v>27</v>
      </c>
      <c r="C226" s="89" t="str">
        <f>LEFT(EmpGName27)&amp;" " &amp;EmpSName27</f>
        <v>O Odd19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8">
        <v>28</v>
      </c>
      <c r="C227" s="90" t="str">
        <f>LEFT(EmpGName28)&amp;" " &amp;EmpSName28</f>
        <v>P Odd20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t="str">
        <f>CurYear&amp;":"</f>
        <v>2016: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87" t="str">
        <f t="shared" si="7"/>
        <v>Mo</v>
      </c>
    </row>
    <row r="230" spans="2:34">
      <c r="B230" s="86"/>
      <c r="C230" s="84" t="s">
        <v>13</v>
      </c>
      <c r="D230" s="173">
        <v>1</v>
      </c>
      <c r="E230" s="85">
        <v>2</v>
      </c>
      <c r="F230" s="85">
        <v>3</v>
      </c>
      <c r="G230" s="85">
        <v>4</v>
      </c>
      <c r="H230" s="85">
        <v>5</v>
      </c>
      <c r="I230" s="85">
        <v>6</v>
      </c>
      <c r="J230" s="85">
        <v>7</v>
      </c>
      <c r="K230" s="85">
        <v>8</v>
      </c>
      <c r="L230" s="85">
        <v>9</v>
      </c>
      <c r="M230" s="85">
        <v>10</v>
      </c>
      <c r="N230" s="85">
        <v>11</v>
      </c>
      <c r="O230" s="85">
        <v>12</v>
      </c>
      <c r="P230" s="85">
        <v>13</v>
      </c>
      <c r="Q230" s="85">
        <v>14</v>
      </c>
      <c r="R230" s="173">
        <v>15</v>
      </c>
      <c r="S230" s="85">
        <v>16</v>
      </c>
      <c r="T230" s="85">
        <v>17</v>
      </c>
      <c r="U230" s="85">
        <v>18</v>
      </c>
      <c r="V230" s="85">
        <v>19</v>
      </c>
      <c r="W230" s="85">
        <v>20</v>
      </c>
      <c r="X230" s="85">
        <v>21</v>
      </c>
      <c r="Y230" s="85">
        <v>22</v>
      </c>
      <c r="Z230" s="85">
        <v>23</v>
      </c>
      <c r="AA230" s="85">
        <v>24</v>
      </c>
      <c r="AB230" s="85">
        <v>25</v>
      </c>
      <c r="AC230" s="85">
        <v>26</v>
      </c>
      <c r="AD230" s="85">
        <v>27</v>
      </c>
      <c r="AE230" s="94">
        <v>28</v>
      </c>
      <c r="AF230" s="188">
        <v>29</v>
      </c>
      <c r="AG230" s="1"/>
      <c r="AH230" s="1"/>
    </row>
    <row r="231" spans="2:34">
      <c r="B231" s="83">
        <v>1</v>
      </c>
      <c r="C231" s="89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95" t="s">
        <v>62</v>
      </c>
      <c r="AF231" s="189" t="s">
        <v>62</v>
      </c>
      <c r="AG231" s="2"/>
      <c r="AH231" s="2"/>
    </row>
    <row r="232" spans="2:34">
      <c r="B232" s="83">
        <v>2</v>
      </c>
      <c r="C232" s="90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96" t="s">
        <v>62</v>
      </c>
      <c r="AF232" s="190" t="s">
        <v>62</v>
      </c>
      <c r="AG232" s="2"/>
      <c r="AH232" s="2"/>
    </row>
    <row r="233" spans="2:34">
      <c r="B233" s="83">
        <v>3</v>
      </c>
      <c r="C233" s="89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95" t="s">
        <v>62</v>
      </c>
      <c r="AF233" s="189" t="s">
        <v>62</v>
      </c>
      <c r="AG233" s="2"/>
      <c r="AH233" s="2"/>
    </row>
    <row r="234" spans="2:34">
      <c r="B234" s="83">
        <v>4</v>
      </c>
      <c r="C234" s="90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96" t="s">
        <v>62</v>
      </c>
      <c r="AF234" s="190" t="s">
        <v>62</v>
      </c>
      <c r="AG234" s="2"/>
      <c r="AH234" s="2"/>
    </row>
    <row r="235" spans="2:34">
      <c r="B235" s="83">
        <v>5</v>
      </c>
      <c r="C235" s="89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95" t="s">
        <v>62</v>
      </c>
      <c r="AF235" s="189" t="s">
        <v>62</v>
      </c>
      <c r="AG235" s="2"/>
      <c r="AH235" s="2"/>
    </row>
    <row r="236" spans="2:34">
      <c r="B236" s="83">
        <v>6</v>
      </c>
      <c r="C236" s="90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96" t="s">
        <v>62</v>
      </c>
      <c r="AF236" s="190" t="s">
        <v>62</v>
      </c>
      <c r="AG236" s="2"/>
      <c r="AH236" s="2"/>
    </row>
    <row r="237" spans="2:34">
      <c r="B237" s="83">
        <v>7</v>
      </c>
      <c r="C237" s="89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95" t="s">
        <v>62</v>
      </c>
      <c r="AF237" s="189" t="s">
        <v>62</v>
      </c>
      <c r="AG237" s="2"/>
      <c r="AH237" s="2"/>
    </row>
    <row r="238" spans="2:34">
      <c r="B238" s="83">
        <v>8</v>
      </c>
      <c r="C238" s="90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96" t="s">
        <v>62</v>
      </c>
      <c r="AF238" s="190" t="s">
        <v>62</v>
      </c>
      <c r="AG238" s="2"/>
      <c r="AH238" s="2"/>
    </row>
    <row r="239" spans="2:34">
      <c r="B239" s="83">
        <v>9</v>
      </c>
      <c r="C239" s="89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95" t="s">
        <v>62</v>
      </c>
      <c r="AF239" s="189" t="s">
        <v>62</v>
      </c>
      <c r="AG239" s="2"/>
      <c r="AH239" s="2"/>
    </row>
    <row r="240" spans="2:34">
      <c r="B240" s="149">
        <v>10</v>
      </c>
      <c r="C240" s="91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97" t="s">
        <v>62</v>
      </c>
      <c r="AF240" s="190" t="s">
        <v>62</v>
      </c>
      <c r="AG240" s="2"/>
      <c r="AH240" s="2"/>
    </row>
    <row r="241" spans="2:34">
      <c r="B241" s="149">
        <v>11</v>
      </c>
      <c r="C241" s="89" t="str">
        <f>LEFT(EmpGName11)&amp;" " &amp;EmpSName11</f>
        <v>2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95" t="s">
        <v>62</v>
      </c>
      <c r="AF241" s="189" t="s">
        <v>62</v>
      </c>
      <c r="AG241" s="2"/>
      <c r="AH241" s="2"/>
    </row>
    <row r="242" spans="2:34">
      <c r="B242" s="149">
        <v>12</v>
      </c>
      <c r="C242" s="91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97" t="s">
        <v>62</v>
      </c>
      <c r="AF242" s="190" t="s">
        <v>62</v>
      </c>
      <c r="AG242" s="2"/>
      <c r="AH242" s="2"/>
    </row>
    <row r="243" spans="2:34">
      <c r="B243" s="148">
        <v>13</v>
      </c>
      <c r="C243" s="89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4" t="s">
        <v>62</v>
      </c>
      <c r="AF243" s="4" t="s">
        <v>62</v>
      </c>
      <c r="AG243" s="2"/>
      <c r="AH243" s="2"/>
    </row>
    <row r="244" spans="2:34">
      <c r="B244" s="148">
        <v>14</v>
      </c>
      <c r="C244" s="90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3" t="s">
        <v>62</v>
      </c>
      <c r="AF244" s="3" t="s">
        <v>62</v>
      </c>
      <c r="AG244" s="2"/>
      <c r="AH244" s="2"/>
    </row>
    <row r="245" spans="2:34">
      <c r="B245" s="148">
        <v>15</v>
      </c>
      <c r="C245" s="89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4" t="s">
        <v>62</v>
      </c>
      <c r="AF245" s="4" t="s">
        <v>62</v>
      </c>
      <c r="AG245" s="2"/>
      <c r="AH245" s="2"/>
    </row>
    <row r="246" spans="2:34">
      <c r="B246" s="148">
        <v>16</v>
      </c>
      <c r="C246" s="90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3" t="s">
        <v>62</v>
      </c>
      <c r="AF246" s="3" t="s">
        <v>62</v>
      </c>
      <c r="AG246" s="2"/>
      <c r="AH246" s="2"/>
    </row>
    <row r="247" spans="2:34">
      <c r="B247" s="148">
        <v>17</v>
      </c>
      <c r="C247" s="89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4" t="s">
        <v>62</v>
      </c>
      <c r="AF247" s="4" t="s">
        <v>62</v>
      </c>
      <c r="AG247" s="2"/>
      <c r="AH247" s="2"/>
    </row>
    <row r="248" spans="2:34">
      <c r="B248" s="148">
        <v>18</v>
      </c>
      <c r="C248" s="90" t="str">
        <f>LEFT(EmpGName18)&amp;" " &amp;EmpSName18</f>
        <v>F Odd10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3" t="s">
        <v>62</v>
      </c>
      <c r="AF248" s="3" t="s">
        <v>62</v>
      </c>
      <c r="AG248" s="2"/>
      <c r="AH248" s="2"/>
    </row>
    <row r="249" spans="2:34">
      <c r="B249" s="148">
        <v>19</v>
      </c>
      <c r="C249" s="89" t="str">
        <f>LEFT(EmpGName19)&amp;" " &amp;EmpSName19</f>
        <v>G Odd11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4" t="s">
        <v>62</v>
      </c>
      <c r="AF249" s="4" t="s">
        <v>62</v>
      </c>
      <c r="AG249" s="2"/>
      <c r="AH249" s="2"/>
    </row>
    <row r="250" spans="2:34">
      <c r="B250" s="148">
        <v>20</v>
      </c>
      <c r="C250" s="90" t="str">
        <f>LEFT(EmpGName20)&amp;" " &amp;EmpSName20</f>
        <v>H Odd12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3" t="s">
        <v>62</v>
      </c>
      <c r="AF250" s="3" t="s">
        <v>62</v>
      </c>
      <c r="AG250" s="2"/>
      <c r="AH250" s="2"/>
    </row>
    <row r="251" spans="2:34">
      <c r="B251" s="148">
        <v>21</v>
      </c>
      <c r="C251" s="89" t="str">
        <f>LEFT(EmpGName21)&amp;" " &amp;EmpSName21</f>
        <v>I Odd13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4" t="s">
        <v>62</v>
      </c>
      <c r="AF251" s="4" t="s">
        <v>62</v>
      </c>
      <c r="AG251" s="2"/>
      <c r="AH251" s="2"/>
    </row>
    <row r="252" spans="2:34">
      <c r="B252" s="148">
        <v>22</v>
      </c>
      <c r="C252" s="90" t="str">
        <f>LEFT(EmpGName22)&amp;" " &amp;EmpSName22</f>
        <v>J Odd14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3" t="s">
        <v>62</v>
      </c>
      <c r="AF252" s="3" t="s">
        <v>62</v>
      </c>
      <c r="AG252" s="2"/>
      <c r="AH252" s="2"/>
    </row>
    <row r="253" spans="2:34">
      <c r="B253" s="148">
        <v>23</v>
      </c>
      <c r="C253" s="89" t="str">
        <f>LEFT(EmpGName23)&amp;" " &amp;EmpSName23</f>
        <v>K Odd15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4" t="s">
        <v>62</v>
      </c>
      <c r="AF253" s="4" t="s">
        <v>62</v>
      </c>
      <c r="AG253" s="2"/>
      <c r="AH253" s="2"/>
    </row>
    <row r="254" spans="2:34">
      <c r="B254" s="148">
        <v>24</v>
      </c>
      <c r="C254" s="90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3" t="s">
        <v>62</v>
      </c>
      <c r="AF254" s="3" t="s">
        <v>62</v>
      </c>
      <c r="AG254" s="2"/>
      <c r="AH254" s="2"/>
    </row>
    <row r="255" spans="2:34">
      <c r="B255" s="148">
        <v>25</v>
      </c>
      <c r="C255" s="89" t="str">
        <f>LEFT(EmpGName25)&amp;" " &amp;EmpSName25</f>
        <v>M Odd17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4" t="s">
        <v>62</v>
      </c>
      <c r="AF255" s="4" t="s">
        <v>62</v>
      </c>
      <c r="AG255" s="2"/>
      <c r="AH255" s="2"/>
    </row>
    <row r="256" spans="2:34">
      <c r="B256" s="148">
        <v>26</v>
      </c>
      <c r="C256" s="90" t="str">
        <f>LEFT(EmpGName26)&amp;" " &amp;EmpSName26</f>
        <v>N Odd18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3" t="s">
        <v>62</v>
      </c>
      <c r="AF256" s="3" t="s">
        <v>62</v>
      </c>
      <c r="AG256" s="2"/>
      <c r="AH256" s="2"/>
    </row>
    <row r="257" spans="2:34">
      <c r="B257" s="148">
        <v>27</v>
      </c>
      <c r="C257" s="89" t="str">
        <f>LEFT(EmpGName27)&amp;" " &amp;EmpSName27</f>
        <v>O Odd19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4" t="s">
        <v>62</v>
      </c>
      <c r="AF257" s="4" t="s">
        <v>62</v>
      </c>
      <c r="AG257" s="2"/>
      <c r="AH257" s="2"/>
    </row>
    <row r="258" spans="2:34">
      <c r="B258" s="148">
        <v>28</v>
      </c>
      <c r="C258" s="90" t="str">
        <f>LEFT(EmpGName28)&amp;" " &amp;EmpSName28</f>
        <v>P Odd20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3" t="s">
        <v>62</v>
      </c>
      <c r="AF258" s="3" t="s">
        <v>62</v>
      </c>
      <c r="AG258" s="7"/>
      <c r="AH258" s="7"/>
    </row>
    <row r="259" spans="2:34">
      <c r="B259" s="176"/>
      <c r="C259" s="177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t="str">
        <f>CurYear&amp;":"</f>
        <v>2016: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8"/>
      <c r="C261" s="84" t="s">
        <v>14</v>
      </c>
      <c r="D261" s="173">
        <v>1</v>
      </c>
      <c r="E261" s="85">
        <v>2</v>
      </c>
      <c r="F261" s="85">
        <v>3</v>
      </c>
      <c r="G261" s="85">
        <v>4</v>
      </c>
      <c r="H261" s="85">
        <v>5</v>
      </c>
      <c r="I261" s="85">
        <v>6</v>
      </c>
      <c r="J261" s="85">
        <v>7</v>
      </c>
      <c r="K261" s="85">
        <v>8</v>
      </c>
      <c r="L261" s="85">
        <v>9</v>
      </c>
      <c r="M261" s="85">
        <v>10</v>
      </c>
      <c r="N261" s="85">
        <v>11</v>
      </c>
      <c r="O261" s="85">
        <v>12</v>
      </c>
      <c r="P261" s="85">
        <v>13</v>
      </c>
      <c r="Q261" s="85">
        <v>14</v>
      </c>
      <c r="R261" s="173">
        <v>15</v>
      </c>
      <c r="S261" s="85">
        <v>16</v>
      </c>
      <c r="T261" s="85">
        <v>17</v>
      </c>
      <c r="U261" s="85">
        <v>18</v>
      </c>
      <c r="V261" s="85">
        <v>19</v>
      </c>
      <c r="W261" s="85">
        <v>20</v>
      </c>
      <c r="X261" s="85">
        <v>21</v>
      </c>
      <c r="Y261" s="85">
        <v>22</v>
      </c>
      <c r="Z261" s="85">
        <v>23</v>
      </c>
      <c r="AA261" s="85">
        <v>24</v>
      </c>
      <c r="AB261" s="85">
        <v>25</v>
      </c>
      <c r="AC261" s="85">
        <v>26</v>
      </c>
      <c r="AD261" s="85">
        <v>27</v>
      </c>
      <c r="AE261" s="85">
        <v>28</v>
      </c>
      <c r="AF261" s="173">
        <v>29</v>
      </c>
      <c r="AG261" s="85">
        <v>30</v>
      </c>
      <c r="AH261" s="85">
        <v>31</v>
      </c>
    </row>
    <row r="262" spans="2:34">
      <c r="B262" s="83">
        <v>1</v>
      </c>
      <c r="C262" s="89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90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9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90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9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90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9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90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9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9">
        <v>10</v>
      </c>
      <c r="C271" s="91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9">
        <v>11</v>
      </c>
      <c r="C272" s="89" t="str">
        <f>LEFT(EmpGName11)&amp;" " &amp;EmpSName11</f>
        <v>2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9">
        <v>12</v>
      </c>
      <c r="C273" s="91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8">
        <v>13</v>
      </c>
      <c r="C274" s="89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8">
        <v>14</v>
      </c>
      <c r="C275" s="90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8">
        <v>15</v>
      </c>
      <c r="C276" s="89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8">
        <v>16</v>
      </c>
      <c r="C277" s="90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8">
        <v>17</v>
      </c>
      <c r="C278" s="89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8">
        <v>18</v>
      </c>
      <c r="C279" s="90" t="str">
        <f>LEFT(EmpGName18)&amp;" " &amp;EmpSName18</f>
        <v>F Odd10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8">
        <v>19</v>
      </c>
      <c r="C280" s="89" t="str">
        <f>LEFT(EmpGName19)&amp;" " &amp;EmpSName19</f>
        <v>G Odd11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8">
        <v>20</v>
      </c>
      <c r="C281" s="90" t="str">
        <f>LEFT(EmpGName20)&amp;" " &amp;EmpSName20</f>
        <v>H Odd12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8">
        <v>21</v>
      </c>
      <c r="C282" s="89" t="str">
        <f>LEFT(EmpGName21)&amp;" " &amp;EmpSName21</f>
        <v>I Odd13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8">
        <v>22</v>
      </c>
      <c r="C283" s="90" t="str">
        <f>LEFT(EmpGName22)&amp;" " &amp;EmpSName22</f>
        <v>J Odd14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8">
        <v>23</v>
      </c>
      <c r="C284" s="89" t="str">
        <f>LEFT(EmpGName23)&amp;" " &amp;EmpSName23</f>
        <v>K Odd15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8">
        <v>24</v>
      </c>
      <c r="C285" s="90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8">
        <v>25</v>
      </c>
      <c r="C286" s="89" t="str">
        <f>LEFT(EmpGName25)&amp;" " &amp;EmpSName25</f>
        <v>M Odd17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8">
        <v>26</v>
      </c>
      <c r="C287" s="90" t="str">
        <f>LEFT(EmpGName26)&amp;" " &amp;EmpSName26</f>
        <v>N Odd18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8">
        <v>27</v>
      </c>
      <c r="C288" s="89" t="str">
        <f>LEFT(EmpGName27)&amp;" " &amp;EmpSName27</f>
        <v>O Odd19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8">
        <v>28</v>
      </c>
      <c r="C289" s="90" t="str">
        <f>LEFT(EmpGName28)&amp;" " &amp;EmpSName28</f>
        <v>P Odd20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t="str">
        <f>CurYear&amp;":"</f>
        <v>2016: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7"/>
      <c r="C292" s="84" t="s">
        <v>15</v>
      </c>
      <c r="D292" s="85">
        <v>1</v>
      </c>
      <c r="E292" s="85">
        <v>2</v>
      </c>
      <c r="F292" s="85">
        <v>3</v>
      </c>
      <c r="G292" s="85">
        <v>4</v>
      </c>
      <c r="H292" s="85">
        <v>5</v>
      </c>
      <c r="I292" s="85">
        <v>6</v>
      </c>
      <c r="J292" s="85">
        <v>7</v>
      </c>
      <c r="K292" s="85">
        <v>8</v>
      </c>
      <c r="L292" s="85">
        <v>9</v>
      </c>
      <c r="M292" s="85">
        <v>10</v>
      </c>
      <c r="N292" s="85">
        <v>11</v>
      </c>
      <c r="O292" s="173">
        <v>12</v>
      </c>
      <c r="P292" s="85">
        <v>13</v>
      </c>
      <c r="Q292" s="85">
        <v>14</v>
      </c>
      <c r="R292" s="85">
        <v>15</v>
      </c>
      <c r="S292" s="85">
        <v>16</v>
      </c>
      <c r="T292" s="85">
        <v>17</v>
      </c>
      <c r="U292" s="85">
        <v>18</v>
      </c>
      <c r="V292" s="85">
        <v>19</v>
      </c>
      <c r="W292" s="85">
        <v>20</v>
      </c>
      <c r="X292" s="85">
        <v>21</v>
      </c>
      <c r="Y292" s="85">
        <v>22</v>
      </c>
      <c r="Z292" s="85">
        <v>23</v>
      </c>
      <c r="AA292" s="85">
        <v>24</v>
      </c>
      <c r="AB292" s="85">
        <v>25</v>
      </c>
      <c r="AC292" s="173">
        <v>26</v>
      </c>
      <c r="AD292" s="85">
        <v>27</v>
      </c>
      <c r="AE292" s="85">
        <v>28</v>
      </c>
      <c r="AF292" s="85">
        <v>29</v>
      </c>
      <c r="AG292" s="85">
        <v>30</v>
      </c>
      <c r="AH292" s="92"/>
    </row>
    <row r="293" spans="2:34">
      <c r="B293" s="83">
        <v>1</v>
      </c>
      <c r="C293" s="89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90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9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90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9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90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9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90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9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9">
        <v>10</v>
      </c>
      <c r="C302" s="90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9">
        <v>11</v>
      </c>
      <c r="C303" s="89" t="str">
        <f>LEFT(EmpGName11)&amp;" " &amp;EmpSName11</f>
        <v>2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9">
        <v>12</v>
      </c>
      <c r="C304" s="90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1:34">
      <c r="A305" s="20" t="s">
        <v>132</v>
      </c>
      <c r="AH305" s="2"/>
    </row>
    <row r="306" spans="1:34">
      <c r="C306" t="str">
        <f>CurYear&amp;":"</f>
        <v>2016:</v>
      </c>
      <c r="D306" s="5" t="str">
        <f>LEFT(TEXT(D307&amp;"-"&amp;$C307&amp;"-"&amp; CurYear,"ddd"),2)</f>
        <v>Su</v>
      </c>
      <c r="E306" s="5" t="str">
        <f t="shared" ref="E306:AF306" si="10">LEFT(TEXT(E307&amp;"-"&amp;$C307&amp;"-"&amp; CurYear,"ddd"),2)</f>
        <v>Mo</v>
      </c>
      <c r="F306" s="5" t="str">
        <f t="shared" si="10"/>
        <v>Tu</v>
      </c>
      <c r="G306" s="5" t="str">
        <f t="shared" si="10"/>
        <v>We</v>
      </c>
      <c r="H306" s="5" t="str">
        <f t="shared" si="10"/>
        <v>Th</v>
      </c>
      <c r="I306" s="5" t="str">
        <f t="shared" si="10"/>
        <v>Fr</v>
      </c>
      <c r="J306" s="5" t="str">
        <f t="shared" si="10"/>
        <v>Sa</v>
      </c>
      <c r="K306" s="5" t="str">
        <f t="shared" si="10"/>
        <v>Su</v>
      </c>
      <c r="L306" s="5" t="str">
        <f t="shared" si="10"/>
        <v>Mo</v>
      </c>
      <c r="M306" s="5" t="str">
        <f t="shared" si="10"/>
        <v>Tu</v>
      </c>
      <c r="N306" s="5" t="str">
        <f t="shared" si="10"/>
        <v>We</v>
      </c>
      <c r="O306" s="5" t="str">
        <f t="shared" si="10"/>
        <v>Th</v>
      </c>
      <c r="P306" s="5" t="str">
        <f t="shared" si="10"/>
        <v>Fr</v>
      </c>
      <c r="Q306" s="5" t="str">
        <f t="shared" si="10"/>
        <v>Sa</v>
      </c>
      <c r="R306" s="5" t="str">
        <f t="shared" si="10"/>
        <v>Su</v>
      </c>
      <c r="S306" s="5" t="str">
        <f t="shared" si="10"/>
        <v>Mo</v>
      </c>
      <c r="T306" s="5" t="str">
        <f t="shared" si="10"/>
        <v>Tu</v>
      </c>
      <c r="U306" s="5" t="str">
        <f t="shared" si="10"/>
        <v>We</v>
      </c>
      <c r="V306" s="5" t="str">
        <f t="shared" si="10"/>
        <v>Th</v>
      </c>
      <c r="W306" s="5" t="str">
        <f t="shared" si="10"/>
        <v>Fr</v>
      </c>
      <c r="X306" s="5" t="str">
        <f t="shared" si="10"/>
        <v>Sa</v>
      </c>
      <c r="Y306" s="5" t="str">
        <f t="shared" si="10"/>
        <v>Su</v>
      </c>
      <c r="Z306" s="5" t="str">
        <f t="shared" si="10"/>
        <v>Mo</v>
      </c>
      <c r="AA306" s="5" t="str">
        <f t="shared" si="10"/>
        <v>Tu</v>
      </c>
      <c r="AB306" s="5" t="str">
        <f t="shared" si="10"/>
        <v>We</v>
      </c>
      <c r="AC306" s="5" t="str">
        <f t="shared" si="10"/>
        <v>Th</v>
      </c>
      <c r="AD306" s="5" t="str">
        <f t="shared" si="10"/>
        <v>Fr</v>
      </c>
      <c r="AE306" s="5" t="str">
        <f t="shared" si="10"/>
        <v>Sa</v>
      </c>
      <c r="AF306" s="5" t="str">
        <f t="shared" si="10"/>
        <v>Su</v>
      </c>
      <c r="AG306" s="5" t="str">
        <f>LEFT(TEXT(AG307&amp;"-"&amp;$C307&amp;"-"&amp; CurYear,"ddd"),2)</f>
        <v>Mo</v>
      </c>
      <c r="AH306" s="5" t="str">
        <f>LEFT(TEXT(AH307&amp;"-"&amp;$C307&amp;"-"&amp; CurYear,"ddd"),2)</f>
        <v>Tu</v>
      </c>
    </row>
    <row r="307" spans="1:34">
      <c r="B307" s="88"/>
      <c r="C307" s="84" t="s">
        <v>16</v>
      </c>
      <c r="D307" s="85">
        <v>1</v>
      </c>
      <c r="E307" s="85">
        <v>2</v>
      </c>
      <c r="F307" s="85">
        <v>3</v>
      </c>
      <c r="G307" s="85">
        <v>4</v>
      </c>
      <c r="H307" s="85">
        <v>5</v>
      </c>
      <c r="I307" s="85">
        <v>6</v>
      </c>
      <c r="J307" s="85">
        <v>7</v>
      </c>
      <c r="K307" s="85">
        <v>8</v>
      </c>
      <c r="L307" s="85">
        <v>9</v>
      </c>
      <c r="M307" s="173">
        <v>10</v>
      </c>
      <c r="N307" s="85">
        <v>11</v>
      </c>
      <c r="O307" s="85">
        <v>12</v>
      </c>
      <c r="P307" s="85">
        <v>13</v>
      </c>
      <c r="Q307" s="85">
        <v>14</v>
      </c>
      <c r="R307" s="85">
        <v>15</v>
      </c>
      <c r="S307" s="85">
        <v>16</v>
      </c>
      <c r="T307" s="85">
        <v>17</v>
      </c>
      <c r="U307" s="85">
        <v>18</v>
      </c>
      <c r="V307" s="85">
        <v>19</v>
      </c>
      <c r="W307" s="85">
        <v>20</v>
      </c>
      <c r="X307" s="85">
        <v>21</v>
      </c>
      <c r="Y307" s="85">
        <v>22</v>
      </c>
      <c r="Z307" s="85">
        <v>23</v>
      </c>
      <c r="AA307" s="173">
        <v>24</v>
      </c>
      <c r="AB307" s="85">
        <v>25</v>
      </c>
      <c r="AC307" s="85">
        <v>26</v>
      </c>
      <c r="AD307" s="85">
        <v>27</v>
      </c>
      <c r="AE307" s="85">
        <v>28</v>
      </c>
      <c r="AF307" s="85">
        <v>29</v>
      </c>
      <c r="AG307" s="85">
        <v>30</v>
      </c>
      <c r="AH307" s="85">
        <v>31</v>
      </c>
    </row>
    <row r="308" spans="1:34">
      <c r="B308" s="85">
        <v>1</v>
      </c>
      <c r="C308" s="89" t="str">
        <f>LEFT(EmpGName01)&amp;" " &amp; EmpSName01</f>
        <v>L Marampon</v>
      </c>
      <c r="D308" s="4" t="s">
        <v>62</v>
      </c>
      <c r="E308" s="4" t="s">
        <v>62</v>
      </c>
      <c r="F308" s="4" t="s">
        <v>62</v>
      </c>
      <c r="G308" s="4" t="s">
        <v>62</v>
      </c>
      <c r="H308" s="4" t="s">
        <v>62</v>
      </c>
      <c r="I308" s="4" t="s">
        <v>62</v>
      </c>
      <c r="J308" s="4" t="s">
        <v>62</v>
      </c>
      <c r="K308" s="4" t="s">
        <v>62</v>
      </c>
      <c r="L308" s="4" t="s">
        <v>62</v>
      </c>
      <c r="M308" s="4" t="s">
        <v>62</v>
      </c>
      <c r="N308" s="4" t="s">
        <v>62</v>
      </c>
      <c r="O308" s="4" t="s">
        <v>62</v>
      </c>
      <c r="P308" s="4" t="s">
        <v>62</v>
      </c>
      <c r="Q308" s="4" t="s">
        <v>62</v>
      </c>
      <c r="R308" s="4" t="s">
        <v>62</v>
      </c>
      <c r="S308" s="4" t="s">
        <v>62</v>
      </c>
      <c r="T308" s="4" t="s">
        <v>62</v>
      </c>
      <c r="U308" s="4" t="s">
        <v>62</v>
      </c>
      <c r="V308" s="4" t="s">
        <v>62</v>
      </c>
      <c r="W308" s="4" t="s">
        <v>62</v>
      </c>
      <c r="X308" s="4" t="s">
        <v>62</v>
      </c>
      <c r="Y308" s="4" t="s">
        <v>62</v>
      </c>
      <c r="Z308" s="4" t="s">
        <v>62</v>
      </c>
      <c r="AA308" s="4" t="s">
        <v>62</v>
      </c>
      <c r="AB308" s="4" t="s">
        <v>62</v>
      </c>
      <c r="AC308" s="4" t="s">
        <v>62</v>
      </c>
      <c r="AD308" s="4" t="s">
        <v>62</v>
      </c>
      <c r="AE308" s="4" t="s">
        <v>62</v>
      </c>
      <c r="AF308" s="4" t="s">
        <v>62</v>
      </c>
      <c r="AG308" s="4" t="s">
        <v>62</v>
      </c>
      <c r="AH308" s="4" t="s">
        <v>62</v>
      </c>
    </row>
    <row r="309" spans="1:34">
      <c r="B309" s="85">
        <v>2</v>
      </c>
      <c r="C309" s="90" t="str">
        <f>LEFT(EmpGName02)&amp;" " &amp;EmpSName02</f>
        <v>K Stone</v>
      </c>
      <c r="D309" s="3" t="s">
        <v>62</v>
      </c>
      <c r="E309" s="3" t="s">
        <v>62</v>
      </c>
      <c r="F309" s="3" t="s">
        <v>62</v>
      </c>
      <c r="G309" s="3" t="s">
        <v>62</v>
      </c>
      <c r="H309" s="3" t="s">
        <v>62</v>
      </c>
      <c r="I309" s="3" t="s">
        <v>62</v>
      </c>
      <c r="J309" s="3" t="s">
        <v>62</v>
      </c>
      <c r="K309" s="3" t="s">
        <v>62</v>
      </c>
      <c r="L309" s="3" t="s">
        <v>62</v>
      </c>
      <c r="M309" s="3" t="s">
        <v>62</v>
      </c>
      <c r="N309" s="3" t="s">
        <v>62</v>
      </c>
      <c r="O309" s="3" t="s">
        <v>62</v>
      </c>
      <c r="P309" s="3" t="s">
        <v>62</v>
      </c>
      <c r="Q309" s="3" t="s">
        <v>62</v>
      </c>
      <c r="R309" s="3" t="s">
        <v>62</v>
      </c>
      <c r="S309" s="3" t="s">
        <v>62</v>
      </c>
      <c r="T309" s="3" t="s">
        <v>62</v>
      </c>
      <c r="U309" s="3" t="s">
        <v>62</v>
      </c>
      <c r="V309" s="3" t="s">
        <v>62</v>
      </c>
      <c r="W309" s="3" t="s">
        <v>62</v>
      </c>
      <c r="X309" s="3" t="s">
        <v>62</v>
      </c>
      <c r="Y309" s="3" t="s">
        <v>62</v>
      </c>
      <c r="Z309" s="3" t="s">
        <v>62</v>
      </c>
      <c r="AA309" s="3" t="s">
        <v>62</v>
      </c>
      <c r="AB309" s="3" t="s">
        <v>62</v>
      </c>
      <c r="AC309" s="3" t="s">
        <v>62</v>
      </c>
      <c r="AD309" s="3" t="s">
        <v>62</v>
      </c>
      <c r="AE309" s="3" t="s">
        <v>62</v>
      </c>
      <c r="AF309" s="3" t="s">
        <v>62</v>
      </c>
      <c r="AG309" s="3" t="s">
        <v>62</v>
      </c>
      <c r="AH309" s="3" t="s">
        <v>62</v>
      </c>
    </row>
    <row r="310" spans="1:34">
      <c r="B310" s="85">
        <v>3</v>
      </c>
      <c r="C310" s="89" t="str">
        <f>LEFT(EmpGName03)&amp;" " &amp;EmpSName03</f>
        <v>I Thelning</v>
      </c>
      <c r="D310" s="4" t="s">
        <v>62</v>
      </c>
      <c r="E310" s="4" t="s">
        <v>62</v>
      </c>
      <c r="F310" s="4" t="s">
        <v>62</v>
      </c>
      <c r="G310" s="4" t="s">
        <v>62</v>
      </c>
      <c r="H310" s="4" t="s">
        <v>62</v>
      </c>
      <c r="I310" s="4" t="s">
        <v>62</v>
      </c>
      <c r="J310" s="4" t="s">
        <v>62</v>
      </c>
      <c r="K310" s="4" t="s">
        <v>62</v>
      </c>
      <c r="L310" s="4" t="s">
        <v>62</v>
      </c>
      <c r="M310" s="4" t="s">
        <v>62</v>
      </c>
      <c r="N310" s="4" t="s">
        <v>62</v>
      </c>
      <c r="O310" s="4" t="s">
        <v>62</v>
      </c>
      <c r="P310" s="4" t="s">
        <v>62</v>
      </c>
      <c r="Q310" s="4" t="s">
        <v>62</v>
      </c>
      <c r="R310" s="4" t="s">
        <v>62</v>
      </c>
      <c r="S310" s="4" t="s">
        <v>62</v>
      </c>
      <c r="T310" s="4" t="s">
        <v>62</v>
      </c>
      <c r="U310" s="4" t="s">
        <v>62</v>
      </c>
      <c r="V310" s="4" t="s">
        <v>62</v>
      </c>
      <c r="W310" s="4" t="s">
        <v>62</v>
      </c>
      <c r="X310" s="4" t="s">
        <v>62</v>
      </c>
      <c r="Y310" s="4" t="s">
        <v>62</v>
      </c>
      <c r="Z310" s="4" t="s">
        <v>62</v>
      </c>
      <c r="AA310" s="4" t="s">
        <v>62</v>
      </c>
      <c r="AB310" s="4" t="s">
        <v>62</v>
      </c>
      <c r="AC310" s="4" t="s">
        <v>62</v>
      </c>
      <c r="AD310" s="4" t="s">
        <v>62</v>
      </c>
      <c r="AE310" s="4" t="s">
        <v>62</v>
      </c>
      <c r="AF310" s="4" t="s">
        <v>62</v>
      </c>
      <c r="AG310" s="4" t="s">
        <v>62</v>
      </c>
      <c r="AH310" s="4" t="s">
        <v>62</v>
      </c>
    </row>
    <row r="311" spans="1:34">
      <c r="B311" s="85">
        <v>4</v>
      </c>
      <c r="C311" s="90" t="str">
        <f>LEFT(EmpGName04)&amp;" " &amp;EmpSName04</f>
        <v>L King</v>
      </c>
      <c r="D311" s="3" t="s">
        <v>62</v>
      </c>
      <c r="E311" s="3" t="s">
        <v>62</v>
      </c>
      <c r="F311" s="3" t="s">
        <v>62</v>
      </c>
      <c r="G311" s="3" t="s">
        <v>62</v>
      </c>
      <c r="H311" s="3" t="s">
        <v>62</v>
      </c>
      <c r="I311" s="3" t="s">
        <v>62</v>
      </c>
      <c r="J311" s="3" t="s">
        <v>62</v>
      </c>
      <c r="K311" s="3" t="s">
        <v>62</v>
      </c>
      <c r="L311" s="3" t="s">
        <v>62</v>
      </c>
      <c r="M311" s="3" t="s">
        <v>62</v>
      </c>
      <c r="N311" s="3" t="s">
        <v>62</v>
      </c>
      <c r="O311" s="3" t="s">
        <v>62</v>
      </c>
      <c r="P311" s="3" t="s">
        <v>62</v>
      </c>
      <c r="Q311" s="3" t="s">
        <v>62</v>
      </c>
      <c r="R311" s="3" t="s">
        <v>62</v>
      </c>
      <c r="S311" s="3" t="s">
        <v>62</v>
      </c>
      <c r="T311" s="3" t="s">
        <v>62</v>
      </c>
      <c r="U311" s="3" t="s">
        <v>62</v>
      </c>
      <c r="V311" s="3" t="s">
        <v>62</v>
      </c>
      <c r="W311" s="3" t="s">
        <v>62</v>
      </c>
      <c r="X311" s="3" t="s">
        <v>62</v>
      </c>
      <c r="Y311" s="3" t="s">
        <v>62</v>
      </c>
      <c r="Z311" s="3" t="s">
        <v>62</v>
      </c>
      <c r="AA311" s="3" t="s">
        <v>62</v>
      </c>
      <c r="AB311" s="3" t="s">
        <v>62</v>
      </c>
      <c r="AC311" s="3" t="s">
        <v>62</v>
      </c>
      <c r="AD311" s="3" t="s">
        <v>62</v>
      </c>
      <c r="AE311" s="3" t="s">
        <v>62</v>
      </c>
      <c r="AF311" s="3" t="s">
        <v>62</v>
      </c>
      <c r="AG311" s="3" t="s">
        <v>62</v>
      </c>
      <c r="AH311" s="3" t="s">
        <v>62</v>
      </c>
    </row>
    <row r="312" spans="1:34">
      <c r="B312" s="85">
        <v>5</v>
      </c>
      <c r="C312" s="89" t="str">
        <f>LEFT(EmpGName05)&amp;" " &amp;EmpSName05</f>
        <v>D Castle</v>
      </c>
      <c r="D312" s="4" t="s">
        <v>62</v>
      </c>
      <c r="E312" s="4" t="s">
        <v>62</v>
      </c>
      <c r="F312" s="4" t="s">
        <v>62</v>
      </c>
      <c r="G312" s="4" t="s">
        <v>62</v>
      </c>
      <c r="H312" s="4" t="s">
        <v>62</v>
      </c>
      <c r="I312" s="4" t="s">
        <v>62</v>
      </c>
      <c r="J312" s="4" t="s">
        <v>62</v>
      </c>
      <c r="K312" s="4" t="s">
        <v>62</v>
      </c>
      <c r="L312" s="4" t="s">
        <v>62</v>
      </c>
      <c r="M312" s="4" t="s">
        <v>62</v>
      </c>
      <c r="N312" s="4" t="s">
        <v>62</v>
      </c>
      <c r="O312" s="4" t="s">
        <v>62</v>
      </c>
      <c r="P312" s="4" t="s">
        <v>62</v>
      </c>
      <c r="Q312" s="4" t="s">
        <v>62</v>
      </c>
      <c r="R312" s="4" t="s">
        <v>62</v>
      </c>
      <c r="S312" s="4" t="s">
        <v>62</v>
      </c>
      <c r="T312" s="4" t="s">
        <v>62</v>
      </c>
      <c r="U312" s="4" t="s">
        <v>62</v>
      </c>
      <c r="V312" s="4" t="s">
        <v>62</v>
      </c>
      <c r="W312" s="4" t="s">
        <v>62</v>
      </c>
      <c r="X312" s="4" t="s">
        <v>62</v>
      </c>
      <c r="Y312" s="4" t="s">
        <v>62</v>
      </c>
      <c r="Z312" s="4" t="s">
        <v>62</v>
      </c>
      <c r="AA312" s="4" t="s">
        <v>62</v>
      </c>
      <c r="AB312" s="4" t="s">
        <v>62</v>
      </c>
      <c r="AC312" s="4" t="s">
        <v>62</v>
      </c>
      <c r="AD312" s="4" t="s">
        <v>62</v>
      </c>
      <c r="AE312" s="4" t="s">
        <v>62</v>
      </c>
      <c r="AF312" s="4" t="s">
        <v>62</v>
      </c>
      <c r="AG312" s="4" t="s">
        <v>62</v>
      </c>
      <c r="AH312" s="4" t="s">
        <v>62</v>
      </c>
    </row>
    <row r="313" spans="1:34">
      <c r="B313" s="85">
        <v>6</v>
      </c>
      <c r="C313" s="90" t="str">
        <f>LEFT(EmpGName06)&amp;" " &amp;EmpSName06</f>
        <v>R Fielding</v>
      </c>
      <c r="D313" s="3" t="s">
        <v>62</v>
      </c>
      <c r="E313" s="3" t="s">
        <v>62</v>
      </c>
      <c r="F313" s="3" t="s">
        <v>62</v>
      </c>
      <c r="G313" s="3" t="s">
        <v>62</v>
      </c>
      <c r="H313" s="3" t="s">
        <v>62</v>
      </c>
      <c r="I313" s="3" t="s">
        <v>62</v>
      </c>
      <c r="J313" s="3" t="s">
        <v>62</v>
      </c>
      <c r="K313" s="3" t="s">
        <v>62</v>
      </c>
      <c r="L313" s="3" t="s">
        <v>62</v>
      </c>
      <c r="M313" s="3" t="s">
        <v>62</v>
      </c>
      <c r="N313" s="3" t="s">
        <v>62</v>
      </c>
      <c r="O313" s="3" t="s">
        <v>62</v>
      </c>
      <c r="P313" s="3" t="s">
        <v>62</v>
      </c>
      <c r="Q313" s="3" t="s">
        <v>62</v>
      </c>
      <c r="R313" s="3" t="s">
        <v>62</v>
      </c>
      <c r="S313" s="3" t="s">
        <v>62</v>
      </c>
      <c r="T313" s="3" t="s">
        <v>62</v>
      </c>
      <c r="U313" s="3" t="s">
        <v>62</v>
      </c>
      <c r="V313" s="3" t="s">
        <v>62</v>
      </c>
      <c r="W313" s="3" t="s">
        <v>62</v>
      </c>
      <c r="X313" s="3" t="s">
        <v>62</v>
      </c>
      <c r="Y313" s="3" t="s">
        <v>62</v>
      </c>
      <c r="Z313" s="3" t="s">
        <v>62</v>
      </c>
      <c r="AA313" s="3" t="s">
        <v>62</v>
      </c>
      <c r="AB313" s="3" t="s">
        <v>62</v>
      </c>
      <c r="AC313" s="3" t="s">
        <v>62</v>
      </c>
      <c r="AD313" s="3" t="s">
        <v>62</v>
      </c>
      <c r="AE313" s="3" t="s">
        <v>62</v>
      </c>
      <c r="AF313" s="3" t="s">
        <v>62</v>
      </c>
      <c r="AG313" s="3" t="s">
        <v>62</v>
      </c>
      <c r="AH313" s="3" t="s">
        <v>62</v>
      </c>
    </row>
    <row r="314" spans="1:34">
      <c r="B314" s="85">
        <v>7</v>
      </c>
      <c r="C314" s="89" t="str">
        <f>LEFT(EmpGName07)&amp;" " &amp;EmpSName07</f>
        <v>T Sorensen</v>
      </c>
      <c r="D314" s="4" t="s">
        <v>62</v>
      </c>
      <c r="E314" s="4" t="s">
        <v>62</v>
      </c>
      <c r="F314" s="4" t="s">
        <v>62</v>
      </c>
      <c r="G314" s="4" t="s">
        <v>62</v>
      </c>
      <c r="H314" s="4" t="s">
        <v>62</v>
      </c>
      <c r="I314" s="4" t="s">
        <v>62</v>
      </c>
      <c r="J314" s="4" t="s">
        <v>62</v>
      </c>
      <c r="K314" s="4" t="s">
        <v>62</v>
      </c>
      <c r="L314" s="4" t="s">
        <v>62</v>
      </c>
      <c r="M314" s="4" t="s">
        <v>62</v>
      </c>
      <c r="N314" s="4" t="s">
        <v>62</v>
      </c>
      <c r="O314" s="4" t="s">
        <v>62</v>
      </c>
      <c r="P314" s="4" t="s">
        <v>62</v>
      </c>
      <c r="Q314" s="4" t="s">
        <v>62</v>
      </c>
      <c r="R314" s="4" t="s">
        <v>62</v>
      </c>
      <c r="S314" s="4" t="s">
        <v>62</v>
      </c>
      <c r="T314" s="4" t="s">
        <v>62</v>
      </c>
      <c r="U314" s="4" t="s">
        <v>62</v>
      </c>
      <c r="V314" s="4" t="s">
        <v>62</v>
      </c>
      <c r="W314" s="4" t="s">
        <v>62</v>
      </c>
      <c r="X314" s="4" t="s">
        <v>62</v>
      </c>
      <c r="Y314" s="4" t="s">
        <v>62</v>
      </c>
      <c r="Z314" s="4" t="s">
        <v>62</v>
      </c>
      <c r="AA314" s="4" t="s">
        <v>62</v>
      </c>
      <c r="AB314" s="4" t="s">
        <v>62</v>
      </c>
      <c r="AC314" s="4" t="s">
        <v>62</v>
      </c>
      <c r="AD314" s="4" t="s">
        <v>62</v>
      </c>
      <c r="AE314" s="4" t="s">
        <v>62</v>
      </c>
      <c r="AF314" s="4" t="s">
        <v>62</v>
      </c>
      <c r="AG314" s="4" t="s">
        <v>62</v>
      </c>
      <c r="AH314" s="4" t="s">
        <v>62</v>
      </c>
    </row>
    <row r="315" spans="1:34">
      <c r="B315" s="85">
        <v>8</v>
      </c>
      <c r="C315" s="90" t="str">
        <f>LEFT(EmpGName08)&amp;" " &amp;EmpSName08</f>
        <v xml:space="preserve">B Odd </v>
      </c>
      <c r="D315" s="3" t="s">
        <v>62</v>
      </c>
      <c r="E315" s="3" t="s">
        <v>62</v>
      </c>
      <c r="F315" s="3" t="s">
        <v>62</v>
      </c>
      <c r="G315" s="3" t="s">
        <v>62</v>
      </c>
      <c r="H315" s="3" t="s">
        <v>62</v>
      </c>
      <c r="I315" s="3" t="s">
        <v>62</v>
      </c>
      <c r="J315" s="3" t="s">
        <v>62</v>
      </c>
      <c r="K315" s="3" t="s">
        <v>62</v>
      </c>
      <c r="L315" s="3" t="s">
        <v>62</v>
      </c>
      <c r="M315" s="3" t="s">
        <v>62</v>
      </c>
      <c r="N315" s="3" t="s">
        <v>62</v>
      </c>
      <c r="O315" s="3" t="s">
        <v>62</v>
      </c>
      <c r="P315" s="3" t="s">
        <v>62</v>
      </c>
      <c r="Q315" s="3" t="s">
        <v>62</v>
      </c>
      <c r="R315" s="3" t="s">
        <v>62</v>
      </c>
      <c r="S315" s="3" t="s">
        <v>62</v>
      </c>
      <c r="T315" s="3" t="s">
        <v>62</v>
      </c>
      <c r="U315" s="3" t="s">
        <v>62</v>
      </c>
      <c r="V315" s="3" t="s">
        <v>62</v>
      </c>
      <c r="W315" s="3" t="s">
        <v>62</v>
      </c>
      <c r="X315" s="3" t="s">
        <v>62</v>
      </c>
      <c r="Y315" s="3" t="s">
        <v>62</v>
      </c>
      <c r="Z315" s="3" t="s">
        <v>62</v>
      </c>
      <c r="AA315" s="3" t="s">
        <v>62</v>
      </c>
      <c r="AB315" s="3" t="s">
        <v>62</v>
      </c>
      <c r="AC315" s="3" t="s">
        <v>62</v>
      </c>
      <c r="AD315" s="3" t="s">
        <v>62</v>
      </c>
      <c r="AE315" s="3" t="s">
        <v>62</v>
      </c>
      <c r="AF315" s="3" t="s">
        <v>62</v>
      </c>
      <c r="AG315" s="3" t="s">
        <v>62</v>
      </c>
      <c r="AH315" s="3" t="s">
        <v>62</v>
      </c>
    </row>
    <row r="316" spans="1:34">
      <c r="B316" s="85">
        <v>9</v>
      </c>
      <c r="C316" s="89" t="str">
        <f>LEFT(EmpGName09)&amp;" " &amp;EmpSName09</f>
        <v>1 Odd1</v>
      </c>
      <c r="D316" s="4" t="s">
        <v>62</v>
      </c>
      <c r="E316" s="4" t="s">
        <v>62</v>
      </c>
      <c r="F316" s="4" t="s">
        <v>62</v>
      </c>
      <c r="G316" s="4" t="s">
        <v>62</v>
      </c>
      <c r="H316" s="4" t="s">
        <v>62</v>
      </c>
      <c r="I316" s="4" t="s">
        <v>62</v>
      </c>
      <c r="J316" s="4" t="s">
        <v>62</v>
      </c>
      <c r="K316" s="4" t="s">
        <v>62</v>
      </c>
      <c r="L316" s="4" t="s">
        <v>62</v>
      </c>
      <c r="M316" s="4" t="s">
        <v>62</v>
      </c>
      <c r="N316" s="4" t="s">
        <v>62</v>
      </c>
      <c r="O316" s="4" t="s">
        <v>62</v>
      </c>
      <c r="P316" s="4" t="s">
        <v>62</v>
      </c>
      <c r="Q316" s="4" t="s">
        <v>62</v>
      </c>
      <c r="R316" s="4" t="s">
        <v>62</v>
      </c>
      <c r="S316" s="4" t="s">
        <v>62</v>
      </c>
      <c r="T316" s="4" t="s">
        <v>62</v>
      </c>
      <c r="U316" s="4" t="s">
        <v>62</v>
      </c>
      <c r="V316" s="4" t="s">
        <v>62</v>
      </c>
      <c r="W316" s="4" t="s">
        <v>62</v>
      </c>
      <c r="X316" s="4" t="s">
        <v>62</v>
      </c>
      <c r="Y316" s="4" t="s">
        <v>62</v>
      </c>
      <c r="Z316" s="4" t="s">
        <v>62</v>
      </c>
      <c r="AA316" s="4" t="s">
        <v>62</v>
      </c>
      <c r="AB316" s="4" t="s">
        <v>62</v>
      </c>
      <c r="AC316" s="4" t="s">
        <v>62</v>
      </c>
      <c r="AD316" s="4" t="s">
        <v>62</v>
      </c>
      <c r="AE316" s="4" t="s">
        <v>62</v>
      </c>
      <c r="AF316" s="4" t="s">
        <v>62</v>
      </c>
      <c r="AG316" s="4" t="s">
        <v>62</v>
      </c>
      <c r="AH316" s="4" t="s">
        <v>62</v>
      </c>
    </row>
    <row r="317" spans="1:34">
      <c r="B317" s="148">
        <v>10</v>
      </c>
      <c r="C317" s="90" t="str">
        <f>LEFT(EmpGName10)&amp;" " &amp;EmpSName10</f>
        <v>2 Odd2</v>
      </c>
      <c r="D317" s="3" t="s">
        <v>62</v>
      </c>
      <c r="E317" s="3" t="s">
        <v>62</v>
      </c>
      <c r="F317" s="3" t="s">
        <v>62</v>
      </c>
      <c r="G317" s="3" t="s">
        <v>62</v>
      </c>
      <c r="H317" s="3" t="s">
        <v>62</v>
      </c>
      <c r="I317" s="3" t="s">
        <v>62</v>
      </c>
      <c r="J317" s="3" t="s">
        <v>62</v>
      </c>
      <c r="K317" s="3" t="s">
        <v>62</v>
      </c>
      <c r="L317" s="3" t="s">
        <v>62</v>
      </c>
      <c r="M317" s="3" t="s">
        <v>62</v>
      </c>
      <c r="N317" s="3" t="s">
        <v>62</v>
      </c>
      <c r="O317" s="3" t="s">
        <v>62</v>
      </c>
      <c r="P317" s="3" t="s">
        <v>62</v>
      </c>
      <c r="Q317" s="3" t="s">
        <v>62</v>
      </c>
      <c r="R317" s="3" t="s">
        <v>62</v>
      </c>
      <c r="S317" s="3" t="s">
        <v>62</v>
      </c>
      <c r="T317" s="3" t="s">
        <v>62</v>
      </c>
      <c r="U317" s="3" t="s">
        <v>62</v>
      </c>
      <c r="V317" s="3" t="s">
        <v>62</v>
      </c>
      <c r="W317" s="3" t="s">
        <v>62</v>
      </c>
      <c r="X317" s="3" t="s">
        <v>62</v>
      </c>
      <c r="Y317" s="3" t="s">
        <v>62</v>
      </c>
      <c r="Z317" s="3" t="s">
        <v>62</v>
      </c>
      <c r="AA317" s="3" t="s">
        <v>62</v>
      </c>
      <c r="AB317" s="3" t="s">
        <v>62</v>
      </c>
      <c r="AC317" s="3" t="s">
        <v>62</v>
      </c>
      <c r="AD317" s="3" t="s">
        <v>62</v>
      </c>
      <c r="AE317" s="3" t="s">
        <v>62</v>
      </c>
      <c r="AF317" s="3" t="s">
        <v>62</v>
      </c>
      <c r="AG317" s="3" t="s">
        <v>62</v>
      </c>
      <c r="AH317" s="3" t="s">
        <v>62</v>
      </c>
    </row>
    <row r="318" spans="1:34">
      <c r="B318" s="148">
        <v>11</v>
      </c>
      <c r="C318" s="89" t="str">
        <f>LEFT(EmpGName11)&amp;" " &amp;EmpSName11</f>
        <v>2 Odd3</v>
      </c>
      <c r="D318" s="4" t="s">
        <v>62</v>
      </c>
      <c r="E318" s="4" t="s">
        <v>62</v>
      </c>
      <c r="F318" s="4" t="s">
        <v>62</v>
      </c>
      <c r="G318" s="4" t="s">
        <v>62</v>
      </c>
      <c r="H318" s="4" t="s">
        <v>62</v>
      </c>
      <c r="I318" s="4" t="s">
        <v>62</v>
      </c>
      <c r="J318" s="4" t="s">
        <v>62</v>
      </c>
      <c r="K318" s="4" t="s">
        <v>62</v>
      </c>
      <c r="L318" s="4" t="s">
        <v>62</v>
      </c>
      <c r="M318" s="4" t="s">
        <v>62</v>
      </c>
      <c r="N318" s="4" t="s">
        <v>62</v>
      </c>
      <c r="O318" s="4" t="s">
        <v>62</v>
      </c>
      <c r="P318" s="4" t="s">
        <v>62</v>
      </c>
      <c r="Q318" s="4" t="s">
        <v>62</v>
      </c>
      <c r="R318" s="4" t="s">
        <v>62</v>
      </c>
      <c r="S318" s="4" t="s">
        <v>62</v>
      </c>
      <c r="T318" s="4" t="s">
        <v>62</v>
      </c>
      <c r="U318" s="4" t="s">
        <v>62</v>
      </c>
      <c r="V318" s="4" t="s">
        <v>62</v>
      </c>
      <c r="W318" s="4" t="s">
        <v>62</v>
      </c>
      <c r="X318" s="4" t="s">
        <v>62</v>
      </c>
      <c r="Y318" s="4" t="s">
        <v>62</v>
      </c>
      <c r="Z318" s="4" t="s">
        <v>62</v>
      </c>
      <c r="AA318" s="4" t="s">
        <v>62</v>
      </c>
      <c r="AB318" s="4" t="s">
        <v>62</v>
      </c>
      <c r="AC318" s="4" t="s">
        <v>62</v>
      </c>
      <c r="AD318" s="4" t="s">
        <v>62</v>
      </c>
      <c r="AE318" s="4" t="s">
        <v>62</v>
      </c>
      <c r="AF318" s="4" t="s">
        <v>62</v>
      </c>
      <c r="AG318" s="4" t="s">
        <v>62</v>
      </c>
      <c r="AH318" s="4" t="s">
        <v>62</v>
      </c>
    </row>
    <row r="319" spans="1:34">
      <c r="B319" s="148">
        <v>12</v>
      </c>
      <c r="C319" s="90" t="str">
        <f>LEFT(EmpGName12)&amp;" " &amp;EmpSName12</f>
        <v>4 Odd4</v>
      </c>
      <c r="D319" s="3" t="s">
        <v>62</v>
      </c>
      <c r="E319" s="3" t="s">
        <v>62</v>
      </c>
      <c r="F319" s="3" t="s">
        <v>62</v>
      </c>
      <c r="G319" s="3" t="s">
        <v>62</v>
      </c>
      <c r="H319" s="3" t="s">
        <v>62</v>
      </c>
      <c r="I319" s="3" t="s">
        <v>62</v>
      </c>
      <c r="J319" s="3" t="s">
        <v>62</v>
      </c>
      <c r="K319" s="3" t="s">
        <v>62</v>
      </c>
      <c r="L319" s="3" t="s">
        <v>62</v>
      </c>
      <c r="M319" s="3" t="s">
        <v>62</v>
      </c>
      <c r="N319" s="3" t="s">
        <v>62</v>
      </c>
      <c r="O319" s="3" t="s">
        <v>62</v>
      </c>
      <c r="P319" s="3" t="s">
        <v>62</v>
      </c>
      <c r="Q319" s="3" t="s">
        <v>62</v>
      </c>
      <c r="R319" s="3" t="s">
        <v>62</v>
      </c>
      <c r="S319" s="3" t="s">
        <v>62</v>
      </c>
      <c r="T319" s="3" t="s">
        <v>62</v>
      </c>
      <c r="U319" s="3" t="s">
        <v>62</v>
      </c>
      <c r="V319" s="3" t="s">
        <v>62</v>
      </c>
      <c r="W319" s="3" t="s">
        <v>62</v>
      </c>
      <c r="X319" s="3" t="s">
        <v>62</v>
      </c>
      <c r="Y319" s="3" t="s">
        <v>62</v>
      </c>
      <c r="Z319" s="3" t="s">
        <v>62</v>
      </c>
      <c r="AA319" s="3" t="s">
        <v>62</v>
      </c>
      <c r="AB319" s="3" t="s">
        <v>62</v>
      </c>
      <c r="AC319" s="3" t="s">
        <v>62</v>
      </c>
      <c r="AD319" s="3" t="s">
        <v>62</v>
      </c>
      <c r="AE319" s="3" t="s">
        <v>62</v>
      </c>
      <c r="AF319" s="3" t="s">
        <v>62</v>
      </c>
      <c r="AG319" s="3" t="s">
        <v>62</v>
      </c>
      <c r="AH319" s="3" t="s">
        <v>62</v>
      </c>
    </row>
    <row r="321" spans="2:34">
      <c r="C321" t="str">
        <f>CurYear&amp;":"</f>
        <v>2016:</v>
      </c>
      <c r="D321" s="5" t="str">
        <f>LEFT(TEXT(D322&amp;"-"&amp;$C322&amp;"-"&amp;CurYear,"ddd"),2)</f>
        <v>We</v>
      </c>
      <c r="E321" s="5" t="str">
        <f t="shared" ref="E321:AF321" si="11">LEFT(TEXT(E322&amp;"-"&amp;$C322&amp;"-"&amp;CurYear,"ddd"),2)</f>
        <v>Th</v>
      </c>
      <c r="F321" s="5" t="str">
        <f t="shared" si="11"/>
        <v>Fr</v>
      </c>
      <c r="G321" s="5" t="str">
        <f t="shared" si="11"/>
        <v>Sa</v>
      </c>
      <c r="H321" s="5" t="str">
        <f t="shared" si="11"/>
        <v>Su</v>
      </c>
      <c r="I321" s="5" t="str">
        <f t="shared" si="11"/>
        <v>Mo</v>
      </c>
      <c r="J321" s="5" t="str">
        <f t="shared" si="11"/>
        <v>Tu</v>
      </c>
      <c r="K321" s="5" t="str">
        <f t="shared" si="11"/>
        <v>We</v>
      </c>
      <c r="L321" s="5" t="str">
        <f t="shared" si="11"/>
        <v>Th</v>
      </c>
      <c r="M321" s="5" t="str">
        <f t="shared" si="11"/>
        <v>Fr</v>
      </c>
      <c r="N321" s="5" t="str">
        <f t="shared" si="11"/>
        <v>Sa</v>
      </c>
      <c r="O321" s="5" t="str">
        <f t="shared" si="11"/>
        <v>Su</v>
      </c>
      <c r="P321" s="5" t="str">
        <f t="shared" si="11"/>
        <v>Mo</v>
      </c>
      <c r="Q321" s="5" t="str">
        <f t="shared" si="11"/>
        <v>Tu</v>
      </c>
      <c r="R321" s="5" t="str">
        <f t="shared" si="11"/>
        <v>We</v>
      </c>
      <c r="S321" s="5" t="str">
        <f t="shared" si="11"/>
        <v>Th</v>
      </c>
      <c r="T321" s="5" t="str">
        <f t="shared" si="11"/>
        <v>Fr</v>
      </c>
      <c r="U321" s="5" t="str">
        <f t="shared" si="11"/>
        <v>Sa</v>
      </c>
      <c r="V321" s="5" t="str">
        <f t="shared" si="11"/>
        <v>Su</v>
      </c>
      <c r="W321" s="5" t="str">
        <f t="shared" si="11"/>
        <v>Mo</v>
      </c>
      <c r="X321" s="5" t="str">
        <f t="shared" si="11"/>
        <v>Tu</v>
      </c>
      <c r="Y321" s="5" t="str">
        <f t="shared" si="11"/>
        <v>We</v>
      </c>
      <c r="Z321" s="5" t="str">
        <f t="shared" si="11"/>
        <v>Th</v>
      </c>
      <c r="AA321" s="5" t="str">
        <f t="shared" si="11"/>
        <v>Fr</v>
      </c>
      <c r="AB321" s="5" t="str">
        <f t="shared" si="11"/>
        <v>Sa</v>
      </c>
      <c r="AC321" s="5" t="str">
        <f t="shared" si="11"/>
        <v>Su</v>
      </c>
      <c r="AD321" s="5" t="str">
        <f t="shared" si="11"/>
        <v>Mo</v>
      </c>
      <c r="AE321" s="5" t="str">
        <f t="shared" si="11"/>
        <v>Tu</v>
      </c>
      <c r="AF321" s="5" t="str">
        <f t="shared" si="11"/>
        <v>We</v>
      </c>
      <c r="AG321" s="5" t="str">
        <f>LEFT(TEXT(AG322&amp;"-"&amp;$C322&amp;"-"&amp;CurYear,"ddd"),2)</f>
        <v>Th</v>
      </c>
      <c r="AH321" s="5"/>
    </row>
    <row r="322" spans="2:34">
      <c r="B322" s="88"/>
      <c r="C322" s="84" t="s">
        <v>17</v>
      </c>
      <c r="D322" s="85">
        <v>1</v>
      </c>
      <c r="E322" s="85">
        <v>2</v>
      </c>
      <c r="F322" s="85">
        <v>3</v>
      </c>
      <c r="G322" s="85">
        <v>4</v>
      </c>
      <c r="H322" s="85">
        <v>5</v>
      </c>
      <c r="I322" s="85">
        <v>6</v>
      </c>
      <c r="J322" s="173">
        <v>7</v>
      </c>
      <c r="K322" s="85">
        <v>8</v>
      </c>
      <c r="L322" s="85">
        <v>9</v>
      </c>
      <c r="M322" s="85">
        <v>10</v>
      </c>
      <c r="N322" s="85">
        <v>11</v>
      </c>
      <c r="O322" s="85">
        <v>12</v>
      </c>
      <c r="P322" s="85">
        <v>13</v>
      </c>
      <c r="Q322" s="85">
        <v>14</v>
      </c>
      <c r="R322" s="85">
        <v>15</v>
      </c>
      <c r="S322" s="85">
        <v>16</v>
      </c>
      <c r="T322" s="85">
        <v>17</v>
      </c>
      <c r="U322" s="85">
        <v>18</v>
      </c>
      <c r="V322" s="85">
        <v>19</v>
      </c>
      <c r="W322" s="85">
        <v>20</v>
      </c>
      <c r="X322" s="173">
        <v>21</v>
      </c>
      <c r="Y322" s="85">
        <v>22</v>
      </c>
      <c r="Z322" s="85">
        <v>23</v>
      </c>
      <c r="AA322" s="85">
        <v>24</v>
      </c>
      <c r="AB322" s="85">
        <v>25</v>
      </c>
      <c r="AC322" s="85">
        <v>26</v>
      </c>
      <c r="AD322" s="85">
        <v>27</v>
      </c>
      <c r="AE322" s="85">
        <v>28</v>
      </c>
      <c r="AF322" s="85">
        <v>29</v>
      </c>
      <c r="AG322" s="85">
        <v>30</v>
      </c>
      <c r="AH322" s="92"/>
    </row>
    <row r="323" spans="2:34">
      <c r="B323" s="85">
        <v>1</v>
      </c>
      <c r="C323" s="89" t="str">
        <f>LEFT(EmpGName01)&amp;" " &amp; EmpSName01</f>
        <v>L Marampon</v>
      </c>
      <c r="D323" s="4" t="s">
        <v>62</v>
      </c>
      <c r="E323" s="4" t="s">
        <v>62</v>
      </c>
      <c r="F323" s="4" t="s">
        <v>62</v>
      </c>
      <c r="G323" s="4" t="s">
        <v>62</v>
      </c>
      <c r="H323" s="4" t="s">
        <v>62</v>
      </c>
      <c r="I323" s="4" t="s">
        <v>62</v>
      </c>
      <c r="J323" s="4" t="s">
        <v>62</v>
      </c>
      <c r="K323" s="4" t="s">
        <v>62</v>
      </c>
      <c r="L323" s="4" t="s">
        <v>62</v>
      </c>
      <c r="M323" s="4" t="s">
        <v>62</v>
      </c>
      <c r="N323" s="4" t="s">
        <v>62</v>
      </c>
      <c r="O323" s="4" t="s">
        <v>62</v>
      </c>
      <c r="P323" s="4" t="s">
        <v>62</v>
      </c>
      <c r="Q323" s="4" t="s">
        <v>62</v>
      </c>
      <c r="R323" s="4" t="s">
        <v>62</v>
      </c>
      <c r="S323" s="4" t="s">
        <v>62</v>
      </c>
      <c r="T323" s="4" t="s">
        <v>62</v>
      </c>
      <c r="U323" s="4" t="s">
        <v>62</v>
      </c>
      <c r="V323" s="4" t="s">
        <v>62</v>
      </c>
      <c r="W323" s="4" t="s">
        <v>62</v>
      </c>
      <c r="X323" s="4" t="s">
        <v>62</v>
      </c>
      <c r="Y323" s="4" t="s">
        <v>62</v>
      </c>
      <c r="Z323" s="4" t="s">
        <v>62</v>
      </c>
      <c r="AA323" s="4" t="s">
        <v>62</v>
      </c>
      <c r="AB323" s="4" t="s">
        <v>62</v>
      </c>
      <c r="AC323" s="4" t="s">
        <v>62</v>
      </c>
      <c r="AD323" s="4" t="s">
        <v>62</v>
      </c>
      <c r="AE323" s="4" t="s">
        <v>62</v>
      </c>
      <c r="AF323" s="4" t="s">
        <v>62</v>
      </c>
      <c r="AG323" s="4" t="s">
        <v>62</v>
      </c>
      <c r="AH323" s="8"/>
    </row>
    <row r="324" spans="2:34">
      <c r="B324" s="85">
        <v>2</v>
      </c>
      <c r="C324" s="90" t="str">
        <f>LEFT(EmpGName02)&amp;" " &amp;EmpSName02</f>
        <v>K Stone</v>
      </c>
      <c r="D324" s="3" t="s">
        <v>62</v>
      </c>
      <c r="E324" s="3" t="s">
        <v>62</v>
      </c>
      <c r="F324" s="3" t="s">
        <v>62</v>
      </c>
      <c r="G324" s="3" t="s">
        <v>62</v>
      </c>
      <c r="H324" s="3" t="s">
        <v>62</v>
      </c>
      <c r="I324" s="3" t="s">
        <v>62</v>
      </c>
      <c r="J324" s="3" t="s">
        <v>62</v>
      </c>
      <c r="K324" s="3" t="s">
        <v>62</v>
      </c>
      <c r="L324" s="3" t="s">
        <v>62</v>
      </c>
      <c r="M324" s="3" t="s">
        <v>62</v>
      </c>
      <c r="N324" s="3" t="s">
        <v>62</v>
      </c>
      <c r="O324" s="3" t="s">
        <v>62</v>
      </c>
      <c r="P324" s="3" t="s">
        <v>62</v>
      </c>
      <c r="Q324" s="3" t="s">
        <v>62</v>
      </c>
      <c r="R324" s="3" t="s">
        <v>62</v>
      </c>
      <c r="S324" s="3" t="s">
        <v>62</v>
      </c>
      <c r="T324" s="3" t="s">
        <v>62</v>
      </c>
      <c r="U324" s="3" t="s">
        <v>62</v>
      </c>
      <c r="V324" s="3" t="s">
        <v>62</v>
      </c>
      <c r="W324" s="3" t="s">
        <v>62</v>
      </c>
      <c r="X324" s="3" t="s">
        <v>62</v>
      </c>
      <c r="Y324" s="3" t="s">
        <v>62</v>
      </c>
      <c r="Z324" s="3" t="s">
        <v>62</v>
      </c>
      <c r="AA324" s="3" t="s">
        <v>62</v>
      </c>
      <c r="AB324" s="3" t="s">
        <v>62</v>
      </c>
      <c r="AC324" s="3" t="s">
        <v>62</v>
      </c>
      <c r="AD324" s="3" t="s">
        <v>62</v>
      </c>
      <c r="AE324" s="3" t="s">
        <v>62</v>
      </c>
      <c r="AF324" s="3" t="s">
        <v>62</v>
      </c>
      <c r="AG324" s="3" t="s">
        <v>62</v>
      </c>
      <c r="AH324" s="8"/>
    </row>
    <row r="325" spans="2:34">
      <c r="B325" s="85">
        <v>3</v>
      </c>
      <c r="C325" s="89" t="str">
        <f>LEFT(EmpGName03)&amp;" " &amp;EmpSName03</f>
        <v>I Thelning</v>
      </c>
      <c r="D325" s="4" t="s">
        <v>62</v>
      </c>
      <c r="E325" s="4" t="s">
        <v>62</v>
      </c>
      <c r="F325" s="4" t="s">
        <v>62</v>
      </c>
      <c r="G325" s="4" t="s">
        <v>62</v>
      </c>
      <c r="H325" s="4" t="s">
        <v>62</v>
      </c>
      <c r="I325" s="4" t="s">
        <v>62</v>
      </c>
      <c r="J325" s="4" t="s">
        <v>62</v>
      </c>
      <c r="K325" s="4" t="s">
        <v>62</v>
      </c>
      <c r="L325" s="4" t="s">
        <v>62</v>
      </c>
      <c r="M325" s="4" t="s">
        <v>62</v>
      </c>
      <c r="N325" s="4" t="s">
        <v>62</v>
      </c>
      <c r="O325" s="4" t="s">
        <v>62</v>
      </c>
      <c r="P325" s="4" t="s">
        <v>62</v>
      </c>
      <c r="Q325" s="4" t="s">
        <v>62</v>
      </c>
      <c r="R325" s="4" t="s">
        <v>62</v>
      </c>
      <c r="S325" s="4" t="s">
        <v>62</v>
      </c>
      <c r="T325" s="4" t="s">
        <v>62</v>
      </c>
      <c r="U325" s="4" t="s">
        <v>62</v>
      </c>
      <c r="V325" s="4" t="s">
        <v>62</v>
      </c>
      <c r="W325" s="4" t="s">
        <v>62</v>
      </c>
      <c r="X325" s="4" t="s">
        <v>62</v>
      </c>
      <c r="Y325" s="4" t="s">
        <v>62</v>
      </c>
      <c r="Z325" s="4" t="s">
        <v>62</v>
      </c>
      <c r="AA325" s="4" t="s">
        <v>62</v>
      </c>
      <c r="AB325" s="4" t="s">
        <v>62</v>
      </c>
      <c r="AC325" s="4" t="s">
        <v>62</v>
      </c>
      <c r="AD325" s="4" t="s">
        <v>62</v>
      </c>
      <c r="AE325" s="4" t="s">
        <v>62</v>
      </c>
      <c r="AF325" s="4" t="s">
        <v>62</v>
      </c>
      <c r="AG325" s="4" t="s">
        <v>62</v>
      </c>
      <c r="AH325" s="8"/>
    </row>
    <row r="326" spans="2:34">
      <c r="B326" s="85">
        <v>4</v>
      </c>
      <c r="C326" s="90" t="str">
        <f>LEFT(EmpGName04)&amp;" " &amp;EmpSName04</f>
        <v>L King</v>
      </c>
      <c r="D326" s="3" t="s">
        <v>62</v>
      </c>
      <c r="E326" s="3" t="s">
        <v>62</v>
      </c>
      <c r="F326" s="3" t="s">
        <v>62</v>
      </c>
      <c r="G326" s="3" t="s">
        <v>62</v>
      </c>
      <c r="H326" s="3" t="s">
        <v>62</v>
      </c>
      <c r="I326" s="3" t="s">
        <v>62</v>
      </c>
      <c r="J326" s="3" t="s">
        <v>62</v>
      </c>
      <c r="K326" s="3" t="s">
        <v>62</v>
      </c>
      <c r="L326" s="3" t="s">
        <v>62</v>
      </c>
      <c r="M326" s="3" t="s">
        <v>62</v>
      </c>
      <c r="N326" s="3" t="s">
        <v>62</v>
      </c>
      <c r="O326" s="3" t="s">
        <v>62</v>
      </c>
      <c r="P326" s="3" t="s">
        <v>62</v>
      </c>
      <c r="Q326" s="3" t="s">
        <v>62</v>
      </c>
      <c r="R326" s="3" t="s">
        <v>62</v>
      </c>
      <c r="S326" s="3" t="s">
        <v>62</v>
      </c>
      <c r="T326" s="3" t="s">
        <v>62</v>
      </c>
      <c r="U326" s="3" t="s">
        <v>62</v>
      </c>
      <c r="V326" s="3" t="s">
        <v>62</v>
      </c>
      <c r="W326" s="3" t="s">
        <v>62</v>
      </c>
      <c r="X326" s="3" t="s">
        <v>62</v>
      </c>
      <c r="Y326" s="3" t="s">
        <v>62</v>
      </c>
      <c r="Z326" s="3" t="s">
        <v>62</v>
      </c>
      <c r="AA326" s="3" t="s">
        <v>62</v>
      </c>
      <c r="AB326" s="3" t="s">
        <v>62</v>
      </c>
      <c r="AC326" s="3" t="s">
        <v>62</v>
      </c>
      <c r="AD326" s="3" t="s">
        <v>62</v>
      </c>
      <c r="AE326" s="3" t="s">
        <v>62</v>
      </c>
      <c r="AF326" s="3" t="s">
        <v>62</v>
      </c>
      <c r="AG326" s="3" t="s">
        <v>62</v>
      </c>
      <c r="AH326" s="8"/>
    </row>
    <row r="327" spans="2:34">
      <c r="B327" s="85">
        <v>5</v>
      </c>
      <c r="C327" s="89" t="str">
        <f>LEFT(EmpGName05)&amp;" " &amp;EmpSName05</f>
        <v>D Castle</v>
      </c>
      <c r="D327" s="4" t="s">
        <v>62</v>
      </c>
      <c r="E327" s="4" t="s">
        <v>62</v>
      </c>
      <c r="F327" s="4" t="s">
        <v>62</v>
      </c>
      <c r="G327" s="4" t="s">
        <v>62</v>
      </c>
      <c r="H327" s="4" t="s">
        <v>62</v>
      </c>
      <c r="I327" s="4" t="s">
        <v>62</v>
      </c>
      <c r="J327" s="4" t="s">
        <v>62</v>
      </c>
      <c r="K327" s="4" t="s">
        <v>62</v>
      </c>
      <c r="L327" s="4" t="s">
        <v>62</v>
      </c>
      <c r="M327" s="4" t="s">
        <v>62</v>
      </c>
      <c r="N327" s="4" t="s">
        <v>62</v>
      </c>
      <c r="O327" s="4" t="s">
        <v>62</v>
      </c>
      <c r="P327" s="4" t="s">
        <v>62</v>
      </c>
      <c r="Q327" s="4" t="s">
        <v>62</v>
      </c>
      <c r="R327" s="4" t="s">
        <v>62</v>
      </c>
      <c r="S327" s="4" t="s">
        <v>62</v>
      </c>
      <c r="T327" s="4" t="s">
        <v>62</v>
      </c>
      <c r="U327" s="4" t="s">
        <v>62</v>
      </c>
      <c r="V327" s="4" t="s">
        <v>62</v>
      </c>
      <c r="W327" s="4" t="s">
        <v>62</v>
      </c>
      <c r="X327" s="4" t="s">
        <v>62</v>
      </c>
      <c r="Y327" s="4" t="s">
        <v>62</v>
      </c>
      <c r="Z327" s="4" t="s">
        <v>62</v>
      </c>
      <c r="AA327" s="4" t="s">
        <v>62</v>
      </c>
      <c r="AB327" s="4" t="s">
        <v>62</v>
      </c>
      <c r="AC327" s="4" t="s">
        <v>62</v>
      </c>
      <c r="AD327" s="4" t="s">
        <v>62</v>
      </c>
      <c r="AE327" s="4" t="s">
        <v>62</v>
      </c>
      <c r="AF327" s="4" t="s">
        <v>62</v>
      </c>
      <c r="AG327" s="4" t="s">
        <v>62</v>
      </c>
      <c r="AH327" s="8"/>
    </row>
    <row r="328" spans="2:34">
      <c r="B328" s="85">
        <v>6</v>
      </c>
      <c r="C328" s="90" t="str">
        <f>LEFT(EmpGName06)&amp;" " &amp;EmpSName06</f>
        <v>R Fielding</v>
      </c>
      <c r="D328" s="3" t="s">
        <v>62</v>
      </c>
      <c r="E328" s="3" t="s">
        <v>62</v>
      </c>
      <c r="F328" s="3" t="s">
        <v>62</v>
      </c>
      <c r="G328" s="3" t="s">
        <v>62</v>
      </c>
      <c r="H328" s="3" t="s">
        <v>62</v>
      </c>
      <c r="I328" s="3" t="s">
        <v>62</v>
      </c>
      <c r="J328" s="3" t="s">
        <v>62</v>
      </c>
      <c r="K328" s="3" t="s">
        <v>62</v>
      </c>
      <c r="L328" s="3" t="s">
        <v>62</v>
      </c>
      <c r="M328" s="3" t="s">
        <v>62</v>
      </c>
      <c r="N328" s="3" t="s">
        <v>62</v>
      </c>
      <c r="O328" s="3" t="s">
        <v>62</v>
      </c>
      <c r="P328" s="3" t="s">
        <v>62</v>
      </c>
      <c r="Q328" s="3" t="s">
        <v>62</v>
      </c>
      <c r="R328" s="3" t="s">
        <v>62</v>
      </c>
      <c r="S328" s="3" t="s">
        <v>62</v>
      </c>
      <c r="T328" s="3" t="s">
        <v>62</v>
      </c>
      <c r="U328" s="3" t="s">
        <v>62</v>
      </c>
      <c r="V328" s="3" t="s">
        <v>62</v>
      </c>
      <c r="W328" s="3" t="s">
        <v>62</v>
      </c>
      <c r="X328" s="3" t="s">
        <v>62</v>
      </c>
      <c r="Y328" s="3" t="s">
        <v>62</v>
      </c>
      <c r="Z328" s="3" t="s">
        <v>62</v>
      </c>
      <c r="AA328" s="3" t="s">
        <v>62</v>
      </c>
      <c r="AB328" s="3" t="s">
        <v>62</v>
      </c>
      <c r="AC328" s="3" t="s">
        <v>62</v>
      </c>
      <c r="AD328" s="3" t="s">
        <v>62</v>
      </c>
      <c r="AE328" s="3" t="s">
        <v>62</v>
      </c>
      <c r="AF328" s="3" t="s">
        <v>62</v>
      </c>
      <c r="AG328" s="3" t="s">
        <v>62</v>
      </c>
      <c r="AH328" s="8"/>
    </row>
    <row r="329" spans="2:34">
      <c r="B329" s="85">
        <v>7</v>
      </c>
      <c r="C329" s="89" t="str">
        <f>LEFT(EmpGName07)&amp;" " &amp;EmpSName07</f>
        <v>T Sorensen</v>
      </c>
      <c r="D329" s="4" t="s">
        <v>62</v>
      </c>
      <c r="E329" s="4" t="s">
        <v>62</v>
      </c>
      <c r="F329" s="4" t="s">
        <v>62</v>
      </c>
      <c r="G329" s="4" t="s">
        <v>62</v>
      </c>
      <c r="H329" s="4" t="s">
        <v>62</v>
      </c>
      <c r="I329" s="4" t="s">
        <v>62</v>
      </c>
      <c r="J329" s="4" t="s">
        <v>62</v>
      </c>
      <c r="K329" s="4" t="s">
        <v>62</v>
      </c>
      <c r="L329" s="4" t="s">
        <v>62</v>
      </c>
      <c r="M329" s="4" t="s">
        <v>62</v>
      </c>
      <c r="N329" s="4" t="s">
        <v>62</v>
      </c>
      <c r="O329" s="4" t="s">
        <v>62</v>
      </c>
      <c r="P329" s="4" t="s">
        <v>62</v>
      </c>
      <c r="Q329" s="4" t="s">
        <v>62</v>
      </c>
      <c r="R329" s="4" t="s">
        <v>62</v>
      </c>
      <c r="S329" s="4" t="s">
        <v>62</v>
      </c>
      <c r="T329" s="4" t="s">
        <v>62</v>
      </c>
      <c r="U329" s="4" t="s">
        <v>62</v>
      </c>
      <c r="V329" s="4" t="s">
        <v>62</v>
      </c>
      <c r="W329" s="4" t="s">
        <v>62</v>
      </c>
      <c r="X329" s="4" t="s">
        <v>62</v>
      </c>
      <c r="Y329" s="4" t="s">
        <v>62</v>
      </c>
      <c r="Z329" s="4" t="s">
        <v>62</v>
      </c>
      <c r="AA329" s="4" t="s">
        <v>62</v>
      </c>
      <c r="AB329" s="4" t="s">
        <v>62</v>
      </c>
      <c r="AC329" s="4" t="s">
        <v>62</v>
      </c>
      <c r="AD329" s="4" t="s">
        <v>62</v>
      </c>
      <c r="AE329" s="4" t="s">
        <v>62</v>
      </c>
      <c r="AF329" s="4" t="s">
        <v>62</v>
      </c>
      <c r="AG329" s="4" t="s">
        <v>62</v>
      </c>
      <c r="AH329" s="8"/>
    </row>
    <row r="330" spans="2:34">
      <c r="B330" s="85">
        <v>8</v>
      </c>
      <c r="C330" s="90" t="str">
        <f>LEFT(EmpGName08)&amp;" " &amp;EmpSName08</f>
        <v xml:space="preserve">B Odd </v>
      </c>
      <c r="D330" s="3" t="s">
        <v>62</v>
      </c>
      <c r="E330" s="3" t="s">
        <v>62</v>
      </c>
      <c r="F330" s="3" t="s">
        <v>62</v>
      </c>
      <c r="G330" s="3" t="s">
        <v>62</v>
      </c>
      <c r="H330" s="3" t="s">
        <v>62</v>
      </c>
      <c r="I330" s="3" t="s">
        <v>62</v>
      </c>
      <c r="J330" s="3" t="s">
        <v>62</v>
      </c>
      <c r="K330" s="3" t="s">
        <v>62</v>
      </c>
      <c r="L330" s="3" t="s">
        <v>62</v>
      </c>
      <c r="M330" s="3" t="s">
        <v>62</v>
      </c>
      <c r="N330" s="3" t="s">
        <v>62</v>
      </c>
      <c r="O330" s="3" t="s">
        <v>62</v>
      </c>
      <c r="P330" s="3" t="s">
        <v>62</v>
      </c>
      <c r="Q330" s="3" t="s">
        <v>62</v>
      </c>
      <c r="R330" s="3" t="s">
        <v>62</v>
      </c>
      <c r="S330" s="3" t="s">
        <v>62</v>
      </c>
      <c r="T330" s="3" t="s">
        <v>62</v>
      </c>
      <c r="U330" s="3" t="s">
        <v>62</v>
      </c>
      <c r="V330" s="3" t="s">
        <v>62</v>
      </c>
      <c r="W330" s="3" t="s">
        <v>62</v>
      </c>
      <c r="X330" s="3" t="s">
        <v>62</v>
      </c>
      <c r="Y330" s="3" t="s">
        <v>62</v>
      </c>
      <c r="Z330" s="3" t="s">
        <v>62</v>
      </c>
      <c r="AA330" s="3" t="s">
        <v>62</v>
      </c>
      <c r="AB330" s="3" t="s">
        <v>62</v>
      </c>
      <c r="AC330" s="3" t="s">
        <v>62</v>
      </c>
      <c r="AD330" s="3" t="s">
        <v>62</v>
      </c>
      <c r="AE330" s="3" t="s">
        <v>62</v>
      </c>
      <c r="AF330" s="3" t="s">
        <v>62</v>
      </c>
      <c r="AG330" s="3" t="s">
        <v>62</v>
      </c>
      <c r="AH330" s="8"/>
    </row>
    <row r="331" spans="2:34">
      <c r="B331" s="85">
        <v>9</v>
      </c>
      <c r="C331" s="89" t="str">
        <f>LEFT(EmpGName09)&amp;" " &amp;EmpSName09</f>
        <v>1 Odd1</v>
      </c>
      <c r="D331" s="4" t="s">
        <v>62</v>
      </c>
      <c r="E331" s="4" t="s">
        <v>62</v>
      </c>
      <c r="F331" s="4" t="s">
        <v>62</v>
      </c>
      <c r="G331" s="4" t="s">
        <v>62</v>
      </c>
      <c r="H331" s="4" t="s">
        <v>62</v>
      </c>
      <c r="I331" s="4" t="s">
        <v>62</v>
      </c>
      <c r="J331" s="4" t="s">
        <v>62</v>
      </c>
      <c r="K331" s="4" t="s">
        <v>62</v>
      </c>
      <c r="L331" s="4" t="s">
        <v>62</v>
      </c>
      <c r="M331" s="4" t="s">
        <v>62</v>
      </c>
      <c r="N331" s="4" t="s">
        <v>62</v>
      </c>
      <c r="O331" s="4" t="s">
        <v>62</v>
      </c>
      <c r="P331" s="4" t="s">
        <v>62</v>
      </c>
      <c r="Q331" s="4" t="s">
        <v>62</v>
      </c>
      <c r="R331" s="4" t="s">
        <v>62</v>
      </c>
      <c r="S331" s="4" t="s">
        <v>62</v>
      </c>
      <c r="T331" s="4" t="s">
        <v>62</v>
      </c>
      <c r="U331" s="4" t="s">
        <v>62</v>
      </c>
      <c r="V331" s="4" t="s">
        <v>62</v>
      </c>
      <c r="W331" s="4" t="s">
        <v>62</v>
      </c>
      <c r="X331" s="4" t="s">
        <v>62</v>
      </c>
      <c r="Y331" s="4" t="s">
        <v>62</v>
      </c>
      <c r="Z331" s="4" t="s">
        <v>62</v>
      </c>
      <c r="AA331" s="4" t="s">
        <v>62</v>
      </c>
      <c r="AB331" s="4" t="s">
        <v>62</v>
      </c>
      <c r="AC331" s="4" t="s">
        <v>62</v>
      </c>
      <c r="AD331" s="4" t="s">
        <v>62</v>
      </c>
      <c r="AE331" s="4" t="s">
        <v>62</v>
      </c>
      <c r="AF331" s="4" t="s">
        <v>62</v>
      </c>
      <c r="AG331" s="4" t="s">
        <v>62</v>
      </c>
      <c r="AH331" s="8"/>
    </row>
    <row r="332" spans="2:34">
      <c r="B332" s="148">
        <v>10</v>
      </c>
      <c r="C332" s="90" t="str">
        <f>LEFT(EmpGName10)&amp;" " &amp;EmpSName10</f>
        <v>2 Odd2</v>
      </c>
      <c r="D332" s="3" t="s">
        <v>62</v>
      </c>
      <c r="E332" s="3" t="s">
        <v>62</v>
      </c>
      <c r="F332" s="3" t="s">
        <v>62</v>
      </c>
      <c r="G332" s="3" t="s">
        <v>62</v>
      </c>
      <c r="H332" s="3" t="s">
        <v>62</v>
      </c>
      <c r="I332" s="3" t="s">
        <v>62</v>
      </c>
      <c r="J332" s="3" t="s">
        <v>62</v>
      </c>
      <c r="K332" s="3" t="s">
        <v>62</v>
      </c>
      <c r="L332" s="3" t="s">
        <v>62</v>
      </c>
      <c r="M332" s="3" t="s">
        <v>62</v>
      </c>
      <c r="N332" s="3" t="s">
        <v>62</v>
      </c>
      <c r="O332" s="3" t="s">
        <v>62</v>
      </c>
      <c r="P332" s="3" t="s">
        <v>62</v>
      </c>
      <c r="Q332" s="3" t="s">
        <v>62</v>
      </c>
      <c r="R332" s="3" t="s">
        <v>62</v>
      </c>
      <c r="S332" s="3" t="s">
        <v>62</v>
      </c>
      <c r="T332" s="3" t="s">
        <v>62</v>
      </c>
      <c r="U332" s="3" t="s">
        <v>62</v>
      </c>
      <c r="V332" s="3" t="s">
        <v>62</v>
      </c>
      <c r="W332" s="3" t="s">
        <v>62</v>
      </c>
      <c r="X332" s="3" t="s">
        <v>62</v>
      </c>
      <c r="Y332" s="3" t="s">
        <v>62</v>
      </c>
      <c r="Z332" s="3" t="s">
        <v>62</v>
      </c>
      <c r="AA332" s="3" t="s">
        <v>62</v>
      </c>
      <c r="AB332" s="3" t="s">
        <v>62</v>
      </c>
      <c r="AC332" s="3" t="s">
        <v>62</v>
      </c>
      <c r="AD332" s="3" t="s">
        <v>62</v>
      </c>
      <c r="AE332" s="3" t="s">
        <v>62</v>
      </c>
      <c r="AF332" s="3" t="s">
        <v>62</v>
      </c>
      <c r="AG332" s="3" t="s">
        <v>62</v>
      </c>
      <c r="AH332" s="74"/>
    </row>
    <row r="333" spans="2:34">
      <c r="B333" s="148">
        <v>11</v>
      </c>
      <c r="C333" s="89" t="str">
        <f>LEFT(EmpGName11)&amp;" " &amp;EmpSName11</f>
        <v>2 Odd3</v>
      </c>
      <c r="D333" s="4" t="s">
        <v>62</v>
      </c>
      <c r="E333" s="4" t="s">
        <v>62</v>
      </c>
      <c r="F333" s="4" t="s">
        <v>62</v>
      </c>
      <c r="G333" s="4" t="s">
        <v>62</v>
      </c>
      <c r="H333" s="4" t="s">
        <v>62</v>
      </c>
      <c r="I333" s="4" t="s">
        <v>62</v>
      </c>
      <c r="J333" s="4" t="s">
        <v>62</v>
      </c>
      <c r="K333" s="4" t="s">
        <v>62</v>
      </c>
      <c r="L333" s="4" t="s">
        <v>62</v>
      </c>
      <c r="M333" s="4" t="s">
        <v>62</v>
      </c>
      <c r="N333" s="4" t="s">
        <v>62</v>
      </c>
      <c r="O333" s="4" t="s">
        <v>62</v>
      </c>
      <c r="P333" s="4" t="s">
        <v>62</v>
      </c>
      <c r="Q333" s="4" t="s">
        <v>62</v>
      </c>
      <c r="R333" s="4" t="s">
        <v>62</v>
      </c>
      <c r="S333" s="4" t="s">
        <v>62</v>
      </c>
      <c r="T333" s="4" t="s">
        <v>62</v>
      </c>
      <c r="U333" s="4" t="s">
        <v>62</v>
      </c>
      <c r="V333" s="4" t="s">
        <v>62</v>
      </c>
      <c r="W333" s="4" t="s">
        <v>62</v>
      </c>
      <c r="X333" s="4" t="s">
        <v>62</v>
      </c>
      <c r="Y333" s="4" t="s">
        <v>62</v>
      </c>
      <c r="Z333" s="4" t="s">
        <v>62</v>
      </c>
      <c r="AA333" s="4" t="s">
        <v>62</v>
      </c>
      <c r="AB333" s="4" t="s">
        <v>62</v>
      </c>
      <c r="AC333" s="4" t="s">
        <v>62</v>
      </c>
      <c r="AD333" s="4" t="s">
        <v>62</v>
      </c>
      <c r="AE333" s="4" t="s">
        <v>62</v>
      </c>
      <c r="AF333" s="4" t="s">
        <v>62</v>
      </c>
      <c r="AG333" s="4" t="s">
        <v>62</v>
      </c>
      <c r="AH333" s="74"/>
    </row>
    <row r="334" spans="2:34">
      <c r="B334" s="148">
        <v>12</v>
      </c>
      <c r="C334" s="90" t="str">
        <f>LEFT(EmpGName12)&amp;" " &amp;EmpSName12</f>
        <v>4 Odd4</v>
      </c>
      <c r="D334" s="3" t="s">
        <v>62</v>
      </c>
      <c r="E334" s="3" t="s">
        <v>62</v>
      </c>
      <c r="F334" s="3" t="s">
        <v>62</v>
      </c>
      <c r="G334" s="3" t="s">
        <v>62</v>
      </c>
      <c r="H334" s="3" t="s">
        <v>62</v>
      </c>
      <c r="I334" s="3" t="s">
        <v>62</v>
      </c>
      <c r="J334" s="3" t="s">
        <v>62</v>
      </c>
      <c r="K334" s="3" t="s">
        <v>62</v>
      </c>
      <c r="L334" s="3" t="s">
        <v>62</v>
      </c>
      <c r="M334" s="3" t="s">
        <v>62</v>
      </c>
      <c r="N334" s="3" t="s">
        <v>62</v>
      </c>
      <c r="O334" s="3" t="s">
        <v>62</v>
      </c>
      <c r="P334" s="3" t="s">
        <v>62</v>
      </c>
      <c r="Q334" s="3" t="s">
        <v>62</v>
      </c>
      <c r="R334" s="3" t="s">
        <v>62</v>
      </c>
      <c r="S334" s="3" t="s">
        <v>62</v>
      </c>
      <c r="T334" s="3" t="s">
        <v>62</v>
      </c>
      <c r="U334" s="3" t="s">
        <v>62</v>
      </c>
      <c r="V334" s="3" t="s">
        <v>62</v>
      </c>
      <c r="W334" s="3" t="s">
        <v>62</v>
      </c>
      <c r="X334" s="3" t="s">
        <v>62</v>
      </c>
      <c r="Y334" s="3" t="s">
        <v>62</v>
      </c>
      <c r="Z334" s="3" t="s">
        <v>62</v>
      </c>
      <c r="AA334" s="3" t="s">
        <v>62</v>
      </c>
      <c r="AB334" s="3" t="s">
        <v>62</v>
      </c>
      <c r="AC334" s="3" t="s">
        <v>62</v>
      </c>
      <c r="AD334" s="3" t="s">
        <v>62</v>
      </c>
      <c r="AE334" s="3" t="s">
        <v>62</v>
      </c>
      <c r="AF334" s="3" t="s">
        <v>62</v>
      </c>
      <c r="AG334" s="3" t="s">
        <v>62</v>
      </c>
      <c r="AH334" s="74"/>
    </row>
  </sheetData>
  <sheetProtection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308:AH319 D323:AG334 D45:AH56 D107:AH118 D169:AH180 D200:AH211 D262:AH273">
    <cfRule type="cellIs" dxfId="1015" priority="1019" operator="equal">
      <formula>"AL"</formula>
    </cfRule>
    <cfRule type="cellIs" dxfId="1014" priority="1020" operator="equal">
      <formula>"NA"</formula>
    </cfRule>
    <cfRule type="cellIs" dxfId="1013" priority="1021" operator="equal">
      <formula>"SL"</formula>
    </cfRule>
    <cfRule type="cellIs" dxfId="1012" priority="1023" stopIfTrue="1" operator="equal">
      <formula>"X"</formula>
    </cfRule>
    <cfRule type="cellIs" dxfId="1011" priority="1024" operator="equal">
      <formula>"H"</formula>
    </cfRule>
  </conditionalFormatting>
  <conditionalFormatting sqref="D12:AH12 D43:AH43 D74:AG74 D105:AH105 D136:AG136 D167:AH167 D198:AH198 D229:AF229 D260:AH260 D291:AG291 D306:AH306 D321:AG321">
    <cfRule type="cellIs" dxfId="1010" priority="1018" stopIfTrue="1" operator="equal">
      <formula>"Tu"</formula>
    </cfRule>
  </conditionalFormatting>
  <conditionalFormatting sqref="D231:AF242 D293:AG304 D308:AH319 D323:AG334 D14:AH25 D76:AG87 D138:AG149 D45:AH56 D107:AH118 D169:AH180 D200:AH211 D262:AH273">
    <cfRule type="cellIs" dxfId="1009" priority="1016" operator="equal">
      <formula>"SP"</formula>
    </cfRule>
    <cfRule type="cellIs" dxfId="1008" priority="1017" operator="equal">
      <formula>"."</formula>
    </cfRule>
  </conditionalFormatting>
  <conditionalFormatting sqref="D26:AH26">
    <cfRule type="cellIs" dxfId="1007" priority="1011" operator="equal">
      <formula>"AL"</formula>
    </cfRule>
    <cfRule type="cellIs" dxfId="1006" priority="1012" operator="equal">
      <formula>"NA"</formula>
    </cfRule>
    <cfRule type="cellIs" dxfId="1005" priority="1013" operator="equal">
      <formula>"SL"</formula>
    </cfRule>
    <cfRule type="cellIs" dxfId="1004" priority="1014" stopIfTrue="1" operator="equal">
      <formula>"X"</formula>
    </cfRule>
    <cfRule type="cellIs" dxfId="1003" priority="1015" operator="equal">
      <formula>"H"</formula>
    </cfRule>
  </conditionalFormatting>
  <conditionalFormatting sqref="D26:AH26">
    <cfRule type="cellIs" dxfId="1002" priority="1009" operator="equal">
      <formula>"SP"</formula>
    </cfRule>
    <cfRule type="cellIs" dxfId="1001" priority="1010" operator="equal">
      <formula>"."</formula>
    </cfRule>
  </conditionalFormatting>
  <conditionalFormatting sqref="D28:AH28">
    <cfRule type="cellIs" dxfId="1000" priority="1004" operator="equal">
      <formula>"AL"</formula>
    </cfRule>
    <cfRule type="cellIs" dxfId="999" priority="1005" operator="equal">
      <formula>"NA"</formula>
    </cfRule>
    <cfRule type="cellIs" dxfId="998" priority="1006" operator="equal">
      <formula>"SL"</formula>
    </cfRule>
    <cfRule type="cellIs" dxfId="997" priority="1007" stopIfTrue="1" operator="equal">
      <formula>"X"</formula>
    </cfRule>
    <cfRule type="cellIs" dxfId="996" priority="1008" operator="equal">
      <formula>"H"</formula>
    </cfRule>
  </conditionalFormatting>
  <conditionalFormatting sqref="D28:AH28">
    <cfRule type="cellIs" dxfId="995" priority="1002" operator="equal">
      <formula>"SP"</formula>
    </cfRule>
    <cfRule type="cellIs" dxfId="994" priority="1003" operator="equal">
      <formula>"."</formula>
    </cfRule>
  </conditionalFormatting>
  <conditionalFormatting sqref="D30:AH30">
    <cfRule type="cellIs" dxfId="993" priority="997" operator="equal">
      <formula>"AL"</formula>
    </cfRule>
    <cfRule type="cellIs" dxfId="992" priority="998" operator="equal">
      <formula>"NA"</formula>
    </cfRule>
    <cfRule type="cellIs" dxfId="991" priority="999" operator="equal">
      <formula>"SL"</formula>
    </cfRule>
    <cfRule type="cellIs" dxfId="990" priority="1000" stopIfTrue="1" operator="equal">
      <formula>"X"</formula>
    </cfRule>
    <cfRule type="cellIs" dxfId="989" priority="1001" operator="equal">
      <formula>"H"</formula>
    </cfRule>
  </conditionalFormatting>
  <conditionalFormatting sqref="D30:AH30">
    <cfRule type="cellIs" dxfId="988" priority="995" operator="equal">
      <formula>"SP"</formula>
    </cfRule>
    <cfRule type="cellIs" dxfId="987" priority="996" operator="equal">
      <formula>"."</formula>
    </cfRule>
  </conditionalFormatting>
  <conditionalFormatting sqref="D32:AH32">
    <cfRule type="cellIs" dxfId="986" priority="990" operator="equal">
      <formula>"AL"</formula>
    </cfRule>
    <cfRule type="cellIs" dxfId="985" priority="991" operator="equal">
      <formula>"NA"</formula>
    </cfRule>
    <cfRule type="cellIs" dxfId="984" priority="992" operator="equal">
      <formula>"SL"</formula>
    </cfRule>
    <cfRule type="cellIs" dxfId="983" priority="993" stopIfTrue="1" operator="equal">
      <formula>"X"</formula>
    </cfRule>
    <cfRule type="cellIs" dxfId="982" priority="994" operator="equal">
      <formula>"H"</formula>
    </cfRule>
  </conditionalFormatting>
  <conditionalFormatting sqref="D32:AH32">
    <cfRule type="cellIs" dxfId="981" priority="988" operator="equal">
      <formula>"SP"</formula>
    </cfRule>
    <cfRule type="cellIs" dxfId="980" priority="989" operator="equal">
      <formula>"."</formula>
    </cfRule>
  </conditionalFormatting>
  <conditionalFormatting sqref="D34:AH34">
    <cfRule type="cellIs" dxfId="979" priority="983" operator="equal">
      <formula>"AL"</formula>
    </cfRule>
    <cfRule type="cellIs" dxfId="978" priority="984" operator="equal">
      <formula>"NA"</formula>
    </cfRule>
    <cfRule type="cellIs" dxfId="977" priority="985" operator="equal">
      <formula>"SL"</formula>
    </cfRule>
    <cfRule type="cellIs" dxfId="976" priority="986" stopIfTrue="1" operator="equal">
      <formula>"X"</formula>
    </cfRule>
    <cfRule type="cellIs" dxfId="975" priority="987" operator="equal">
      <formula>"H"</formula>
    </cfRule>
  </conditionalFormatting>
  <conditionalFormatting sqref="D34:AH34">
    <cfRule type="cellIs" dxfId="974" priority="981" operator="equal">
      <formula>"SP"</formula>
    </cfRule>
    <cfRule type="cellIs" dxfId="973" priority="982" operator="equal">
      <formula>"."</formula>
    </cfRule>
  </conditionalFormatting>
  <conditionalFormatting sqref="D36:AH36">
    <cfRule type="cellIs" dxfId="972" priority="976" operator="equal">
      <formula>"AL"</formula>
    </cfRule>
    <cfRule type="cellIs" dxfId="971" priority="977" operator="equal">
      <formula>"NA"</formula>
    </cfRule>
    <cfRule type="cellIs" dxfId="970" priority="978" operator="equal">
      <formula>"SL"</formula>
    </cfRule>
    <cfRule type="cellIs" dxfId="969" priority="979" stopIfTrue="1" operator="equal">
      <formula>"X"</formula>
    </cfRule>
    <cfRule type="cellIs" dxfId="968" priority="980" operator="equal">
      <formula>"H"</formula>
    </cfRule>
  </conditionalFormatting>
  <conditionalFormatting sqref="D36:AH36">
    <cfRule type="cellIs" dxfId="967" priority="974" operator="equal">
      <formula>"SP"</formula>
    </cfRule>
    <cfRule type="cellIs" dxfId="966" priority="975" operator="equal">
      <formula>"."</formula>
    </cfRule>
  </conditionalFormatting>
  <conditionalFormatting sqref="D38:AH38">
    <cfRule type="cellIs" dxfId="965" priority="969" operator="equal">
      <formula>"AL"</formula>
    </cfRule>
    <cfRule type="cellIs" dxfId="964" priority="970" operator="equal">
      <formula>"NA"</formula>
    </cfRule>
    <cfRule type="cellIs" dxfId="963" priority="971" operator="equal">
      <formula>"SL"</formula>
    </cfRule>
    <cfRule type="cellIs" dxfId="962" priority="972" stopIfTrue="1" operator="equal">
      <formula>"X"</formula>
    </cfRule>
    <cfRule type="cellIs" dxfId="961" priority="973" operator="equal">
      <formula>"H"</formula>
    </cfRule>
  </conditionalFormatting>
  <conditionalFormatting sqref="D38:AH38">
    <cfRule type="cellIs" dxfId="960" priority="967" operator="equal">
      <formula>"SP"</formula>
    </cfRule>
    <cfRule type="cellIs" dxfId="959" priority="968" operator="equal">
      <formula>"."</formula>
    </cfRule>
  </conditionalFormatting>
  <conditionalFormatting sqref="D40:AH40">
    <cfRule type="cellIs" dxfId="958" priority="962" operator="equal">
      <formula>"AL"</formula>
    </cfRule>
    <cfRule type="cellIs" dxfId="957" priority="963" operator="equal">
      <formula>"NA"</formula>
    </cfRule>
    <cfRule type="cellIs" dxfId="956" priority="964" operator="equal">
      <formula>"SL"</formula>
    </cfRule>
    <cfRule type="cellIs" dxfId="955" priority="965" stopIfTrue="1" operator="equal">
      <formula>"X"</formula>
    </cfRule>
    <cfRule type="cellIs" dxfId="954" priority="966" operator="equal">
      <formula>"H"</formula>
    </cfRule>
  </conditionalFormatting>
  <conditionalFormatting sqref="D40:AH40">
    <cfRule type="cellIs" dxfId="953" priority="960" operator="equal">
      <formula>"SP"</formula>
    </cfRule>
    <cfRule type="cellIs" dxfId="952" priority="961" operator="equal">
      <formula>"."</formula>
    </cfRule>
  </conditionalFormatting>
  <conditionalFormatting sqref="D27:AH27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27:AH27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29:AH29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29:AH29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31:AH31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31:AH31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33:AH33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33:AH33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35:AH35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35:AH35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37:AH37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37:AH37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39:AH39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39:AH39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41:AH41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41:AH41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57:AH57">
    <cfRule type="cellIs" dxfId="895" priority="892" operator="equal">
      <formula>"AL"</formula>
    </cfRule>
    <cfRule type="cellIs" dxfId="894" priority="893" operator="equal">
      <formula>"NA"</formula>
    </cfRule>
    <cfRule type="cellIs" dxfId="893" priority="894" operator="equal">
      <formula>"SL"</formula>
    </cfRule>
    <cfRule type="cellIs" dxfId="892" priority="895" stopIfTrue="1" operator="equal">
      <formula>"X"</formula>
    </cfRule>
    <cfRule type="cellIs" dxfId="891" priority="896" operator="equal">
      <formula>"H"</formula>
    </cfRule>
  </conditionalFormatting>
  <conditionalFormatting sqref="D57:AH57">
    <cfRule type="cellIs" dxfId="890" priority="890" operator="equal">
      <formula>"SP"</formula>
    </cfRule>
    <cfRule type="cellIs" dxfId="889" priority="891" operator="equal">
      <formula>"."</formula>
    </cfRule>
  </conditionalFormatting>
  <conditionalFormatting sqref="D59:AH59">
    <cfRule type="cellIs" dxfId="888" priority="885" operator="equal">
      <formula>"AL"</formula>
    </cfRule>
    <cfRule type="cellIs" dxfId="887" priority="886" operator="equal">
      <formula>"NA"</formula>
    </cfRule>
    <cfRule type="cellIs" dxfId="886" priority="887" operator="equal">
      <formula>"SL"</formula>
    </cfRule>
    <cfRule type="cellIs" dxfId="885" priority="888" stopIfTrue="1" operator="equal">
      <formula>"X"</formula>
    </cfRule>
    <cfRule type="cellIs" dxfId="884" priority="889" operator="equal">
      <formula>"H"</formula>
    </cfRule>
  </conditionalFormatting>
  <conditionalFormatting sqref="D59:AH59">
    <cfRule type="cellIs" dxfId="883" priority="883" operator="equal">
      <formula>"SP"</formula>
    </cfRule>
    <cfRule type="cellIs" dxfId="882" priority="884" operator="equal">
      <formula>"."</formula>
    </cfRule>
  </conditionalFormatting>
  <conditionalFormatting sqref="D61:AH61">
    <cfRule type="cellIs" dxfId="881" priority="878" operator="equal">
      <formula>"AL"</formula>
    </cfRule>
    <cfRule type="cellIs" dxfId="880" priority="879" operator="equal">
      <formula>"NA"</formula>
    </cfRule>
    <cfRule type="cellIs" dxfId="879" priority="880" operator="equal">
      <formula>"SL"</formula>
    </cfRule>
    <cfRule type="cellIs" dxfId="878" priority="881" stopIfTrue="1" operator="equal">
      <formula>"X"</formula>
    </cfRule>
    <cfRule type="cellIs" dxfId="877" priority="882" operator="equal">
      <formula>"H"</formula>
    </cfRule>
  </conditionalFormatting>
  <conditionalFormatting sqref="D61:AH61">
    <cfRule type="cellIs" dxfId="876" priority="876" operator="equal">
      <formula>"SP"</formula>
    </cfRule>
    <cfRule type="cellIs" dxfId="875" priority="877" operator="equal">
      <formula>"."</formula>
    </cfRule>
  </conditionalFormatting>
  <conditionalFormatting sqref="D63:AH63">
    <cfRule type="cellIs" dxfId="874" priority="871" operator="equal">
      <formula>"AL"</formula>
    </cfRule>
    <cfRule type="cellIs" dxfId="873" priority="872" operator="equal">
      <formula>"NA"</formula>
    </cfRule>
    <cfRule type="cellIs" dxfId="872" priority="873" operator="equal">
      <formula>"SL"</formula>
    </cfRule>
    <cfRule type="cellIs" dxfId="871" priority="874" stopIfTrue="1" operator="equal">
      <formula>"X"</formula>
    </cfRule>
    <cfRule type="cellIs" dxfId="870" priority="875" operator="equal">
      <formula>"H"</formula>
    </cfRule>
  </conditionalFormatting>
  <conditionalFormatting sqref="D63:AH63">
    <cfRule type="cellIs" dxfId="869" priority="869" operator="equal">
      <formula>"SP"</formula>
    </cfRule>
    <cfRule type="cellIs" dxfId="868" priority="870" operator="equal">
      <formula>"."</formula>
    </cfRule>
  </conditionalFormatting>
  <conditionalFormatting sqref="D65:AH65">
    <cfRule type="cellIs" dxfId="867" priority="864" operator="equal">
      <formula>"AL"</formula>
    </cfRule>
    <cfRule type="cellIs" dxfId="866" priority="865" operator="equal">
      <formula>"NA"</formula>
    </cfRule>
    <cfRule type="cellIs" dxfId="865" priority="866" operator="equal">
      <formula>"SL"</formula>
    </cfRule>
    <cfRule type="cellIs" dxfId="864" priority="867" stopIfTrue="1" operator="equal">
      <formula>"X"</formula>
    </cfRule>
    <cfRule type="cellIs" dxfId="863" priority="868" operator="equal">
      <formula>"H"</formula>
    </cfRule>
  </conditionalFormatting>
  <conditionalFormatting sqref="D65:AH65">
    <cfRule type="cellIs" dxfId="862" priority="862" operator="equal">
      <formula>"SP"</formula>
    </cfRule>
    <cfRule type="cellIs" dxfId="861" priority="863" operator="equal">
      <formula>"."</formula>
    </cfRule>
  </conditionalFormatting>
  <conditionalFormatting sqref="D67:AH67">
    <cfRule type="cellIs" dxfId="860" priority="857" operator="equal">
      <formula>"AL"</formula>
    </cfRule>
    <cfRule type="cellIs" dxfId="859" priority="858" operator="equal">
      <formula>"NA"</formula>
    </cfRule>
    <cfRule type="cellIs" dxfId="858" priority="859" operator="equal">
      <formula>"SL"</formula>
    </cfRule>
    <cfRule type="cellIs" dxfId="857" priority="860" stopIfTrue="1" operator="equal">
      <formula>"X"</formula>
    </cfRule>
    <cfRule type="cellIs" dxfId="856" priority="861" operator="equal">
      <formula>"H"</formula>
    </cfRule>
  </conditionalFormatting>
  <conditionalFormatting sqref="D67:AH67">
    <cfRule type="cellIs" dxfId="855" priority="855" operator="equal">
      <formula>"SP"</formula>
    </cfRule>
    <cfRule type="cellIs" dxfId="854" priority="856" operator="equal">
      <formula>"."</formula>
    </cfRule>
  </conditionalFormatting>
  <conditionalFormatting sqref="D69:AH69">
    <cfRule type="cellIs" dxfId="853" priority="850" operator="equal">
      <formula>"AL"</formula>
    </cfRule>
    <cfRule type="cellIs" dxfId="852" priority="851" operator="equal">
      <formula>"NA"</formula>
    </cfRule>
    <cfRule type="cellIs" dxfId="851" priority="852" operator="equal">
      <formula>"SL"</formula>
    </cfRule>
    <cfRule type="cellIs" dxfId="850" priority="853" stopIfTrue="1" operator="equal">
      <formula>"X"</formula>
    </cfRule>
    <cfRule type="cellIs" dxfId="849" priority="854" operator="equal">
      <formula>"H"</formula>
    </cfRule>
  </conditionalFormatting>
  <conditionalFormatting sqref="D69:AH69">
    <cfRule type="cellIs" dxfId="848" priority="848" operator="equal">
      <formula>"SP"</formula>
    </cfRule>
    <cfRule type="cellIs" dxfId="847" priority="849" operator="equal">
      <formula>"."</formula>
    </cfRule>
  </conditionalFormatting>
  <conditionalFormatting sqref="D71:AH71">
    <cfRule type="cellIs" dxfId="846" priority="843" operator="equal">
      <formula>"AL"</formula>
    </cfRule>
    <cfRule type="cellIs" dxfId="845" priority="844" operator="equal">
      <formula>"NA"</formula>
    </cfRule>
    <cfRule type="cellIs" dxfId="844" priority="845" operator="equal">
      <formula>"SL"</formula>
    </cfRule>
    <cfRule type="cellIs" dxfId="843" priority="846" stopIfTrue="1" operator="equal">
      <formula>"X"</formula>
    </cfRule>
    <cfRule type="cellIs" dxfId="842" priority="847" operator="equal">
      <formula>"H"</formula>
    </cfRule>
  </conditionalFormatting>
  <conditionalFormatting sqref="D71:AH71">
    <cfRule type="cellIs" dxfId="841" priority="841" operator="equal">
      <formula>"SP"</formula>
    </cfRule>
    <cfRule type="cellIs" dxfId="840" priority="842" operator="equal">
      <formula>"."</formula>
    </cfRule>
  </conditionalFormatting>
  <conditionalFormatting sqref="D58:AH58">
    <cfRule type="cellIs" dxfId="839" priority="836" operator="equal">
      <formula>"AL"</formula>
    </cfRule>
    <cfRule type="cellIs" dxfId="838" priority="837" operator="equal">
      <formula>"NA"</formula>
    </cfRule>
    <cfRule type="cellIs" dxfId="837" priority="838" operator="equal">
      <formula>"SL"</formula>
    </cfRule>
    <cfRule type="cellIs" dxfId="836" priority="839" stopIfTrue="1" operator="equal">
      <formula>"X"</formula>
    </cfRule>
    <cfRule type="cellIs" dxfId="835" priority="840" operator="equal">
      <formula>"H"</formula>
    </cfRule>
  </conditionalFormatting>
  <conditionalFormatting sqref="D58:AH58">
    <cfRule type="cellIs" dxfId="834" priority="834" operator="equal">
      <formula>"SP"</formula>
    </cfRule>
    <cfRule type="cellIs" dxfId="833" priority="835" operator="equal">
      <formula>"."</formula>
    </cfRule>
  </conditionalFormatting>
  <conditionalFormatting sqref="D60:AH60">
    <cfRule type="cellIs" dxfId="832" priority="829" operator="equal">
      <formula>"AL"</formula>
    </cfRule>
    <cfRule type="cellIs" dxfId="831" priority="830" operator="equal">
      <formula>"NA"</formula>
    </cfRule>
    <cfRule type="cellIs" dxfId="830" priority="831" operator="equal">
      <formula>"SL"</formula>
    </cfRule>
    <cfRule type="cellIs" dxfId="829" priority="832" stopIfTrue="1" operator="equal">
      <formula>"X"</formula>
    </cfRule>
    <cfRule type="cellIs" dxfId="828" priority="833" operator="equal">
      <formula>"H"</formula>
    </cfRule>
  </conditionalFormatting>
  <conditionalFormatting sqref="D60:AH60">
    <cfRule type="cellIs" dxfId="827" priority="827" operator="equal">
      <formula>"SP"</formula>
    </cfRule>
    <cfRule type="cellIs" dxfId="826" priority="828" operator="equal">
      <formula>"."</formula>
    </cfRule>
  </conditionalFormatting>
  <conditionalFormatting sqref="D62:AH62">
    <cfRule type="cellIs" dxfId="825" priority="822" operator="equal">
      <formula>"AL"</formula>
    </cfRule>
    <cfRule type="cellIs" dxfId="824" priority="823" operator="equal">
      <formula>"NA"</formula>
    </cfRule>
    <cfRule type="cellIs" dxfId="823" priority="824" operator="equal">
      <formula>"SL"</formula>
    </cfRule>
    <cfRule type="cellIs" dxfId="822" priority="825" stopIfTrue="1" operator="equal">
      <formula>"X"</formula>
    </cfRule>
    <cfRule type="cellIs" dxfId="821" priority="826" operator="equal">
      <formula>"H"</formula>
    </cfRule>
  </conditionalFormatting>
  <conditionalFormatting sqref="D62:AH62">
    <cfRule type="cellIs" dxfId="820" priority="820" operator="equal">
      <formula>"SP"</formula>
    </cfRule>
    <cfRule type="cellIs" dxfId="819" priority="821" operator="equal">
      <formula>"."</formula>
    </cfRule>
  </conditionalFormatting>
  <conditionalFormatting sqref="D64:AH64">
    <cfRule type="cellIs" dxfId="818" priority="815" operator="equal">
      <formula>"AL"</formula>
    </cfRule>
    <cfRule type="cellIs" dxfId="817" priority="816" operator="equal">
      <formula>"NA"</formula>
    </cfRule>
    <cfRule type="cellIs" dxfId="816" priority="817" operator="equal">
      <formula>"SL"</formula>
    </cfRule>
    <cfRule type="cellIs" dxfId="815" priority="818" stopIfTrue="1" operator="equal">
      <formula>"X"</formula>
    </cfRule>
    <cfRule type="cellIs" dxfId="814" priority="819" operator="equal">
      <formula>"H"</formula>
    </cfRule>
  </conditionalFormatting>
  <conditionalFormatting sqref="D64:AH64">
    <cfRule type="cellIs" dxfId="813" priority="813" operator="equal">
      <formula>"SP"</formula>
    </cfRule>
    <cfRule type="cellIs" dxfId="812" priority="814" operator="equal">
      <formula>"."</formula>
    </cfRule>
  </conditionalFormatting>
  <conditionalFormatting sqref="D66:AH66">
    <cfRule type="cellIs" dxfId="811" priority="808" operator="equal">
      <formula>"AL"</formula>
    </cfRule>
    <cfRule type="cellIs" dxfId="810" priority="809" operator="equal">
      <formula>"NA"</formula>
    </cfRule>
    <cfRule type="cellIs" dxfId="809" priority="810" operator="equal">
      <formula>"SL"</formula>
    </cfRule>
    <cfRule type="cellIs" dxfId="808" priority="811" stopIfTrue="1" operator="equal">
      <formula>"X"</formula>
    </cfRule>
    <cfRule type="cellIs" dxfId="807" priority="812" operator="equal">
      <formula>"H"</formula>
    </cfRule>
  </conditionalFormatting>
  <conditionalFormatting sqref="D66:AH66">
    <cfRule type="cellIs" dxfId="806" priority="806" operator="equal">
      <formula>"SP"</formula>
    </cfRule>
    <cfRule type="cellIs" dxfId="805" priority="807" operator="equal">
      <formula>"."</formula>
    </cfRule>
  </conditionalFormatting>
  <conditionalFormatting sqref="D68:AH68">
    <cfRule type="cellIs" dxfId="804" priority="801" operator="equal">
      <formula>"AL"</formula>
    </cfRule>
    <cfRule type="cellIs" dxfId="803" priority="802" operator="equal">
      <formula>"NA"</formula>
    </cfRule>
    <cfRule type="cellIs" dxfId="802" priority="803" operator="equal">
      <formula>"SL"</formula>
    </cfRule>
    <cfRule type="cellIs" dxfId="801" priority="804" stopIfTrue="1" operator="equal">
      <formula>"X"</formula>
    </cfRule>
    <cfRule type="cellIs" dxfId="800" priority="805" operator="equal">
      <formula>"H"</formula>
    </cfRule>
  </conditionalFormatting>
  <conditionalFormatting sqref="D68:AH68">
    <cfRule type="cellIs" dxfId="799" priority="799" operator="equal">
      <formula>"SP"</formula>
    </cfRule>
    <cfRule type="cellIs" dxfId="798" priority="800" operator="equal">
      <formula>"."</formula>
    </cfRule>
  </conditionalFormatting>
  <conditionalFormatting sqref="D70:AH70">
    <cfRule type="cellIs" dxfId="797" priority="794" operator="equal">
      <formula>"AL"</formula>
    </cfRule>
    <cfRule type="cellIs" dxfId="796" priority="795" operator="equal">
      <formula>"NA"</formula>
    </cfRule>
    <cfRule type="cellIs" dxfId="795" priority="796" operator="equal">
      <formula>"SL"</formula>
    </cfRule>
    <cfRule type="cellIs" dxfId="794" priority="797" stopIfTrue="1" operator="equal">
      <formula>"X"</formula>
    </cfRule>
    <cfRule type="cellIs" dxfId="793" priority="798" operator="equal">
      <formula>"H"</formula>
    </cfRule>
  </conditionalFormatting>
  <conditionalFormatting sqref="D70:AH70">
    <cfRule type="cellIs" dxfId="792" priority="792" operator="equal">
      <formula>"SP"</formula>
    </cfRule>
    <cfRule type="cellIs" dxfId="791" priority="793" operator="equal">
      <formula>"."</formula>
    </cfRule>
  </conditionalFormatting>
  <conditionalFormatting sqref="D72:AH72">
    <cfRule type="cellIs" dxfId="790" priority="787" operator="equal">
      <formula>"AL"</formula>
    </cfRule>
    <cfRule type="cellIs" dxfId="789" priority="788" operator="equal">
      <formula>"NA"</formula>
    </cfRule>
    <cfRule type="cellIs" dxfId="788" priority="789" operator="equal">
      <formula>"SL"</formula>
    </cfRule>
    <cfRule type="cellIs" dxfId="787" priority="790" stopIfTrue="1" operator="equal">
      <formula>"X"</formula>
    </cfRule>
    <cfRule type="cellIs" dxfId="786" priority="791" operator="equal">
      <formula>"H"</formula>
    </cfRule>
  </conditionalFormatting>
  <conditionalFormatting sqref="D72:AH72">
    <cfRule type="cellIs" dxfId="785" priority="785" operator="equal">
      <formula>"SP"</formula>
    </cfRule>
    <cfRule type="cellIs" dxfId="784" priority="786" operator="equal">
      <formula>"."</formula>
    </cfRule>
  </conditionalFormatting>
  <conditionalFormatting sqref="D103:AG104">
    <cfRule type="cellIs" dxfId="783" priority="673" operator="equal">
      <formula>"SP"</formula>
    </cfRule>
    <cfRule type="cellIs" dxfId="782" priority="674" operator="equal">
      <formula>"."</formula>
    </cfRule>
  </conditionalFormatting>
  <conditionalFormatting sqref="D88:AG88">
    <cfRule type="cellIs" dxfId="781" priority="780" operator="equal">
      <formula>"AL"</formula>
    </cfRule>
    <cfRule type="cellIs" dxfId="780" priority="781" operator="equal">
      <formula>"NA"</formula>
    </cfRule>
    <cfRule type="cellIs" dxfId="779" priority="782" operator="equal">
      <formula>"SL"</formula>
    </cfRule>
    <cfRule type="cellIs" dxfId="778" priority="783" stopIfTrue="1" operator="equal">
      <formula>"X"</formula>
    </cfRule>
    <cfRule type="cellIs" dxfId="777" priority="784" operator="equal">
      <formula>"H"</formula>
    </cfRule>
  </conditionalFormatting>
  <conditionalFormatting sqref="D88:AG88">
    <cfRule type="cellIs" dxfId="776" priority="778" operator="equal">
      <formula>"SP"</formula>
    </cfRule>
    <cfRule type="cellIs" dxfId="775" priority="779" operator="equal">
      <formula>"."</formula>
    </cfRule>
  </conditionalFormatting>
  <conditionalFormatting sqref="D90:AG90">
    <cfRule type="cellIs" dxfId="774" priority="773" operator="equal">
      <formula>"AL"</formula>
    </cfRule>
    <cfRule type="cellIs" dxfId="773" priority="774" operator="equal">
      <formula>"NA"</formula>
    </cfRule>
    <cfRule type="cellIs" dxfId="772" priority="775" operator="equal">
      <formula>"SL"</formula>
    </cfRule>
    <cfRule type="cellIs" dxfId="771" priority="776" stopIfTrue="1" operator="equal">
      <formula>"X"</formula>
    </cfRule>
    <cfRule type="cellIs" dxfId="770" priority="777" operator="equal">
      <formula>"H"</formula>
    </cfRule>
  </conditionalFormatting>
  <conditionalFormatting sqref="D90:AG90">
    <cfRule type="cellIs" dxfId="769" priority="771" operator="equal">
      <formula>"SP"</formula>
    </cfRule>
    <cfRule type="cellIs" dxfId="768" priority="772" operator="equal">
      <formula>"."</formula>
    </cfRule>
  </conditionalFormatting>
  <conditionalFormatting sqref="D92:AG92">
    <cfRule type="cellIs" dxfId="767" priority="766" operator="equal">
      <formula>"AL"</formula>
    </cfRule>
    <cfRule type="cellIs" dxfId="766" priority="767" operator="equal">
      <formula>"NA"</formula>
    </cfRule>
    <cfRule type="cellIs" dxfId="765" priority="768" operator="equal">
      <formula>"SL"</formula>
    </cfRule>
    <cfRule type="cellIs" dxfId="764" priority="769" stopIfTrue="1" operator="equal">
      <formula>"X"</formula>
    </cfRule>
    <cfRule type="cellIs" dxfId="763" priority="770" operator="equal">
      <formula>"H"</formula>
    </cfRule>
  </conditionalFormatting>
  <conditionalFormatting sqref="D92:AG92">
    <cfRule type="cellIs" dxfId="762" priority="764" operator="equal">
      <formula>"SP"</formula>
    </cfRule>
    <cfRule type="cellIs" dxfId="761" priority="765" operator="equal">
      <formula>"."</formula>
    </cfRule>
  </conditionalFormatting>
  <conditionalFormatting sqref="D94:AG94">
    <cfRule type="cellIs" dxfId="760" priority="759" operator="equal">
      <formula>"AL"</formula>
    </cfRule>
    <cfRule type="cellIs" dxfId="759" priority="760" operator="equal">
      <formula>"NA"</formula>
    </cfRule>
    <cfRule type="cellIs" dxfId="758" priority="761" operator="equal">
      <formula>"SL"</formula>
    </cfRule>
    <cfRule type="cellIs" dxfId="757" priority="762" stopIfTrue="1" operator="equal">
      <formula>"X"</formula>
    </cfRule>
    <cfRule type="cellIs" dxfId="756" priority="763" operator="equal">
      <formula>"H"</formula>
    </cfRule>
  </conditionalFormatting>
  <conditionalFormatting sqref="D94:AG94">
    <cfRule type="cellIs" dxfId="755" priority="757" operator="equal">
      <formula>"SP"</formula>
    </cfRule>
    <cfRule type="cellIs" dxfId="754" priority="758" operator="equal">
      <formula>"."</formula>
    </cfRule>
  </conditionalFormatting>
  <conditionalFormatting sqref="D96:AG96">
    <cfRule type="cellIs" dxfId="753" priority="752" operator="equal">
      <formula>"AL"</formula>
    </cfRule>
    <cfRule type="cellIs" dxfId="752" priority="753" operator="equal">
      <formula>"NA"</formula>
    </cfRule>
    <cfRule type="cellIs" dxfId="751" priority="754" operator="equal">
      <formula>"SL"</formula>
    </cfRule>
    <cfRule type="cellIs" dxfId="750" priority="755" stopIfTrue="1" operator="equal">
      <formula>"X"</formula>
    </cfRule>
    <cfRule type="cellIs" dxfId="749" priority="756" operator="equal">
      <formula>"H"</formula>
    </cfRule>
  </conditionalFormatting>
  <conditionalFormatting sqref="D96:AG96">
    <cfRule type="cellIs" dxfId="748" priority="750" operator="equal">
      <formula>"SP"</formula>
    </cfRule>
    <cfRule type="cellIs" dxfId="747" priority="751" operator="equal">
      <formula>"."</formula>
    </cfRule>
  </conditionalFormatting>
  <conditionalFormatting sqref="D98:AG98">
    <cfRule type="cellIs" dxfId="746" priority="745" operator="equal">
      <formula>"AL"</formula>
    </cfRule>
    <cfRule type="cellIs" dxfId="745" priority="746" operator="equal">
      <formula>"NA"</formula>
    </cfRule>
    <cfRule type="cellIs" dxfId="744" priority="747" operator="equal">
      <formula>"SL"</formula>
    </cfRule>
    <cfRule type="cellIs" dxfId="743" priority="748" stopIfTrue="1" operator="equal">
      <formula>"X"</formula>
    </cfRule>
    <cfRule type="cellIs" dxfId="742" priority="749" operator="equal">
      <formula>"H"</formula>
    </cfRule>
  </conditionalFormatting>
  <conditionalFormatting sqref="D98:AG98">
    <cfRule type="cellIs" dxfId="741" priority="743" operator="equal">
      <formula>"SP"</formula>
    </cfRule>
    <cfRule type="cellIs" dxfId="740" priority="744" operator="equal">
      <formula>"."</formula>
    </cfRule>
  </conditionalFormatting>
  <conditionalFormatting sqref="D100:AG100">
    <cfRule type="cellIs" dxfId="739" priority="738" operator="equal">
      <formula>"AL"</formula>
    </cfRule>
    <cfRule type="cellIs" dxfId="738" priority="739" operator="equal">
      <formula>"NA"</formula>
    </cfRule>
    <cfRule type="cellIs" dxfId="737" priority="740" operator="equal">
      <formula>"SL"</formula>
    </cfRule>
    <cfRule type="cellIs" dxfId="736" priority="741" stopIfTrue="1" operator="equal">
      <formula>"X"</formula>
    </cfRule>
    <cfRule type="cellIs" dxfId="735" priority="742" operator="equal">
      <formula>"H"</formula>
    </cfRule>
  </conditionalFormatting>
  <conditionalFormatting sqref="D100:AG100">
    <cfRule type="cellIs" dxfId="734" priority="736" operator="equal">
      <formula>"SP"</formula>
    </cfRule>
    <cfRule type="cellIs" dxfId="733" priority="737" operator="equal">
      <formula>"."</formula>
    </cfRule>
  </conditionalFormatting>
  <conditionalFormatting sqref="D102:AG102">
    <cfRule type="cellIs" dxfId="732" priority="731" operator="equal">
      <formula>"AL"</formula>
    </cfRule>
    <cfRule type="cellIs" dxfId="731" priority="732" operator="equal">
      <formula>"NA"</formula>
    </cfRule>
    <cfRule type="cellIs" dxfId="730" priority="733" operator="equal">
      <formula>"SL"</formula>
    </cfRule>
    <cfRule type="cellIs" dxfId="729" priority="734" stopIfTrue="1" operator="equal">
      <formula>"X"</formula>
    </cfRule>
    <cfRule type="cellIs" dxfId="728" priority="735" operator="equal">
      <formula>"H"</formula>
    </cfRule>
  </conditionalFormatting>
  <conditionalFormatting sqref="D102:AG102">
    <cfRule type="cellIs" dxfId="727" priority="729" operator="equal">
      <formula>"SP"</formula>
    </cfRule>
    <cfRule type="cellIs" dxfId="726" priority="730" operator="equal">
      <formula>"."</formula>
    </cfRule>
  </conditionalFormatting>
  <conditionalFormatting sqref="D89:AG89">
    <cfRule type="cellIs" dxfId="725" priority="724" operator="equal">
      <formula>"AL"</formula>
    </cfRule>
    <cfRule type="cellIs" dxfId="724" priority="725" operator="equal">
      <formula>"NA"</formula>
    </cfRule>
    <cfRule type="cellIs" dxfId="723" priority="726" operator="equal">
      <formula>"SL"</formula>
    </cfRule>
    <cfRule type="cellIs" dxfId="722" priority="727" stopIfTrue="1" operator="equal">
      <formula>"X"</formula>
    </cfRule>
    <cfRule type="cellIs" dxfId="721" priority="728" operator="equal">
      <formula>"H"</formula>
    </cfRule>
  </conditionalFormatting>
  <conditionalFormatting sqref="D89:AG89">
    <cfRule type="cellIs" dxfId="720" priority="722" operator="equal">
      <formula>"SP"</formula>
    </cfRule>
    <cfRule type="cellIs" dxfId="719" priority="723" operator="equal">
      <formula>"."</formula>
    </cfRule>
  </conditionalFormatting>
  <conditionalFormatting sqref="D91:AG91">
    <cfRule type="cellIs" dxfId="718" priority="717" operator="equal">
      <formula>"AL"</formula>
    </cfRule>
    <cfRule type="cellIs" dxfId="717" priority="718" operator="equal">
      <formula>"NA"</formula>
    </cfRule>
    <cfRule type="cellIs" dxfId="716" priority="719" operator="equal">
      <formula>"SL"</formula>
    </cfRule>
    <cfRule type="cellIs" dxfId="715" priority="720" stopIfTrue="1" operator="equal">
      <formula>"X"</formula>
    </cfRule>
    <cfRule type="cellIs" dxfId="714" priority="721" operator="equal">
      <formula>"H"</formula>
    </cfRule>
  </conditionalFormatting>
  <conditionalFormatting sqref="D91:AG91">
    <cfRule type="cellIs" dxfId="713" priority="715" operator="equal">
      <formula>"SP"</formula>
    </cfRule>
    <cfRule type="cellIs" dxfId="712" priority="716" operator="equal">
      <formula>"."</formula>
    </cfRule>
  </conditionalFormatting>
  <conditionalFormatting sqref="D93:AG93">
    <cfRule type="cellIs" dxfId="711" priority="710" operator="equal">
      <formula>"AL"</formula>
    </cfRule>
    <cfRule type="cellIs" dxfId="710" priority="711" operator="equal">
      <formula>"NA"</formula>
    </cfRule>
    <cfRule type="cellIs" dxfId="709" priority="712" operator="equal">
      <formula>"SL"</formula>
    </cfRule>
    <cfRule type="cellIs" dxfId="708" priority="713" stopIfTrue="1" operator="equal">
      <formula>"X"</formula>
    </cfRule>
    <cfRule type="cellIs" dxfId="707" priority="714" operator="equal">
      <formula>"H"</formula>
    </cfRule>
  </conditionalFormatting>
  <conditionalFormatting sqref="D93:AG93">
    <cfRule type="cellIs" dxfId="706" priority="708" operator="equal">
      <formula>"SP"</formula>
    </cfRule>
    <cfRule type="cellIs" dxfId="705" priority="709" operator="equal">
      <formula>"."</formula>
    </cfRule>
  </conditionalFormatting>
  <conditionalFormatting sqref="D95:AG95">
    <cfRule type="cellIs" dxfId="704" priority="703" operator="equal">
      <formula>"AL"</formula>
    </cfRule>
    <cfRule type="cellIs" dxfId="703" priority="704" operator="equal">
      <formula>"NA"</formula>
    </cfRule>
    <cfRule type="cellIs" dxfId="702" priority="705" operator="equal">
      <formula>"SL"</formula>
    </cfRule>
    <cfRule type="cellIs" dxfId="701" priority="706" stopIfTrue="1" operator="equal">
      <formula>"X"</formula>
    </cfRule>
    <cfRule type="cellIs" dxfId="700" priority="707" operator="equal">
      <formula>"H"</formula>
    </cfRule>
  </conditionalFormatting>
  <conditionalFormatting sqref="D95:AG95">
    <cfRule type="cellIs" dxfId="699" priority="701" operator="equal">
      <formula>"SP"</formula>
    </cfRule>
    <cfRule type="cellIs" dxfId="698" priority="702" operator="equal">
      <formula>"."</formula>
    </cfRule>
  </conditionalFormatting>
  <conditionalFormatting sqref="D97:AG97">
    <cfRule type="cellIs" dxfId="697" priority="696" operator="equal">
      <formula>"AL"</formula>
    </cfRule>
    <cfRule type="cellIs" dxfId="696" priority="697" operator="equal">
      <formula>"NA"</formula>
    </cfRule>
    <cfRule type="cellIs" dxfId="695" priority="698" operator="equal">
      <formula>"SL"</formula>
    </cfRule>
    <cfRule type="cellIs" dxfId="694" priority="699" stopIfTrue="1" operator="equal">
      <formula>"X"</formula>
    </cfRule>
    <cfRule type="cellIs" dxfId="693" priority="700" operator="equal">
      <formula>"H"</formula>
    </cfRule>
  </conditionalFormatting>
  <conditionalFormatting sqref="D97:AG97">
    <cfRule type="cellIs" dxfId="692" priority="694" operator="equal">
      <formula>"SP"</formula>
    </cfRule>
    <cfRule type="cellIs" dxfId="691" priority="695" operator="equal">
      <formula>"."</formula>
    </cfRule>
  </conditionalFormatting>
  <conditionalFormatting sqref="D99:AG99">
    <cfRule type="cellIs" dxfId="690" priority="689" operator="equal">
      <formula>"AL"</formula>
    </cfRule>
    <cfRule type="cellIs" dxfId="689" priority="690" operator="equal">
      <formula>"NA"</formula>
    </cfRule>
    <cfRule type="cellIs" dxfId="688" priority="691" operator="equal">
      <formula>"SL"</formula>
    </cfRule>
    <cfRule type="cellIs" dxfId="687" priority="692" stopIfTrue="1" operator="equal">
      <formula>"X"</formula>
    </cfRule>
    <cfRule type="cellIs" dxfId="686" priority="693" operator="equal">
      <formula>"H"</formula>
    </cfRule>
  </conditionalFormatting>
  <conditionalFormatting sqref="D99:AG99">
    <cfRule type="cellIs" dxfId="685" priority="687" operator="equal">
      <formula>"SP"</formula>
    </cfRule>
    <cfRule type="cellIs" dxfId="684" priority="688" operator="equal">
      <formula>"."</formula>
    </cfRule>
  </conditionalFormatting>
  <conditionalFormatting sqref="D101:AG101">
    <cfRule type="cellIs" dxfId="683" priority="682" operator="equal">
      <formula>"AL"</formula>
    </cfRule>
    <cfRule type="cellIs" dxfId="682" priority="683" operator="equal">
      <formula>"NA"</formula>
    </cfRule>
    <cfRule type="cellIs" dxfId="681" priority="684" operator="equal">
      <formula>"SL"</formula>
    </cfRule>
    <cfRule type="cellIs" dxfId="680" priority="685" stopIfTrue="1" operator="equal">
      <formula>"X"</formula>
    </cfRule>
    <cfRule type="cellIs" dxfId="679" priority="686" operator="equal">
      <formula>"H"</formula>
    </cfRule>
  </conditionalFormatting>
  <conditionalFormatting sqref="D101:AG101">
    <cfRule type="cellIs" dxfId="678" priority="680" operator="equal">
      <formula>"SP"</formula>
    </cfRule>
    <cfRule type="cellIs" dxfId="677" priority="681" operator="equal">
      <formula>"."</formula>
    </cfRule>
  </conditionalFormatting>
  <conditionalFormatting sqref="D103:AG104">
    <cfRule type="cellIs" dxfId="676" priority="675" operator="equal">
      <formula>"AL"</formula>
    </cfRule>
    <cfRule type="cellIs" dxfId="675" priority="676" operator="equal">
      <formula>"NA"</formula>
    </cfRule>
    <cfRule type="cellIs" dxfId="674" priority="677" operator="equal">
      <formula>"SL"</formula>
    </cfRule>
    <cfRule type="cellIs" dxfId="673" priority="678" stopIfTrue="1" operator="equal">
      <formula>"X"</formula>
    </cfRule>
    <cfRule type="cellIs" dxfId="672" priority="679" operator="equal">
      <formula>"H"</formula>
    </cfRule>
  </conditionalFormatting>
  <conditionalFormatting sqref="D119:AH119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119:AH119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121:AH121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121:AH121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123:AH123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123:AH123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125:AH125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125:AH125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127:AH127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127:AH127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129:AH129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129:AH129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131:AH131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131:AH131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133:AH133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133:AH133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120:AH120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120:AH120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122:AH122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122:AH122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124:AH124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124:AH124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126:AH126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126:AH126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128:AH128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128:AH128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130:AH130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130:AH130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132:AH132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132:AH132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134:AH134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134:AH134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165:AG166">
    <cfRule type="cellIs" dxfId="559" priority="449" operator="equal">
      <formula>"SP"</formula>
    </cfRule>
    <cfRule type="cellIs" dxfId="558" priority="450" operator="equal">
      <formula>"."</formula>
    </cfRule>
  </conditionalFormatting>
  <conditionalFormatting sqref="D150:AG150">
    <cfRule type="cellIs" dxfId="557" priority="556" operator="equal">
      <formula>"AL"</formula>
    </cfRule>
    <cfRule type="cellIs" dxfId="556" priority="557" operator="equal">
      <formula>"NA"</formula>
    </cfRule>
    <cfRule type="cellIs" dxfId="555" priority="558" operator="equal">
      <formula>"SL"</formula>
    </cfRule>
    <cfRule type="cellIs" dxfId="554" priority="559" stopIfTrue="1" operator="equal">
      <formula>"X"</formula>
    </cfRule>
    <cfRule type="cellIs" dxfId="553" priority="560" operator="equal">
      <formula>"H"</formula>
    </cfRule>
  </conditionalFormatting>
  <conditionalFormatting sqref="D150:AG150">
    <cfRule type="cellIs" dxfId="552" priority="554" operator="equal">
      <formula>"SP"</formula>
    </cfRule>
    <cfRule type="cellIs" dxfId="551" priority="555" operator="equal">
      <formula>"."</formula>
    </cfRule>
  </conditionalFormatting>
  <conditionalFormatting sqref="D152:AG152">
    <cfRule type="cellIs" dxfId="550" priority="549" operator="equal">
      <formula>"AL"</formula>
    </cfRule>
    <cfRule type="cellIs" dxfId="549" priority="550" operator="equal">
      <formula>"NA"</formula>
    </cfRule>
    <cfRule type="cellIs" dxfId="548" priority="551" operator="equal">
      <formula>"SL"</formula>
    </cfRule>
    <cfRule type="cellIs" dxfId="547" priority="552" stopIfTrue="1" operator="equal">
      <formula>"X"</formula>
    </cfRule>
    <cfRule type="cellIs" dxfId="546" priority="553" operator="equal">
      <formula>"H"</formula>
    </cfRule>
  </conditionalFormatting>
  <conditionalFormatting sqref="D152:AG152">
    <cfRule type="cellIs" dxfId="545" priority="547" operator="equal">
      <formula>"SP"</formula>
    </cfRule>
    <cfRule type="cellIs" dxfId="544" priority="548" operator="equal">
      <formula>"."</formula>
    </cfRule>
  </conditionalFormatting>
  <conditionalFormatting sqref="D154:AG154">
    <cfRule type="cellIs" dxfId="543" priority="542" operator="equal">
      <formula>"AL"</formula>
    </cfRule>
    <cfRule type="cellIs" dxfId="542" priority="543" operator="equal">
      <formula>"NA"</formula>
    </cfRule>
    <cfRule type="cellIs" dxfId="541" priority="544" operator="equal">
      <formula>"SL"</formula>
    </cfRule>
    <cfRule type="cellIs" dxfId="540" priority="545" stopIfTrue="1" operator="equal">
      <formula>"X"</formula>
    </cfRule>
    <cfRule type="cellIs" dxfId="539" priority="546" operator="equal">
      <formula>"H"</formula>
    </cfRule>
  </conditionalFormatting>
  <conditionalFormatting sqref="D154:AG154">
    <cfRule type="cellIs" dxfId="538" priority="540" operator="equal">
      <formula>"SP"</formula>
    </cfRule>
    <cfRule type="cellIs" dxfId="537" priority="541" operator="equal">
      <formula>"."</formula>
    </cfRule>
  </conditionalFormatting>
  <conditionalFormatting sqref="D156:AG156">
    <cfRule type="cellIs" dxfId="536" priority="535" operator="equal">
      <formula>"AL"</formula>
    </cfRule>
    <cfRule type="cellIs" dxfId="535" priority="536" operator="equal">
      <formula>"NA"</formula>
    </cfRule>
    <cfRule type="cellIs" dxfId="534" priority="537" operator="equal">
      <formula>"SL"</formula>
    </cfRule>
    <cfRule type="cellIs" dxfId="533" priority="538" stopIfTrue="1" operator="equal">
      <formula>"X"</formula>
    </cfRule>
    <cfRule type="cellIs" dxfId="532" priority="539" operator="equal">
      <formula>"H"</formula>
    </cfRule>
  </conditionalFormatting>
  <conditionalFormatting sqref="D156:AG156">
    <cfRule type="cellIs" dxfId="531" priority="533" operator="equal">
      <formula>"SP"</formula>
    </cfRule>
    <cfRule type="cellIs" dxfId="530" priority="534" operator="equal">
      <formula>"."</formula>
    </cfRule>
  </conditionalFormatting>
  <conditionalFormatting sqref="D158:AG158">
    <cfRule type="cellIs" dxfId="529" priority="528" operator="equal">
      <formula>"AL"</formula>
    </cfRule>
    <cfRule type="cellIs" dxfId="528" priority="529" operator="equal">
      <formula>"NA"</formula>
    </cfRule>
    <cfRule type="cellIs" dxfId="527" priority="530" operator="equal">
      <formula>"SL"</formula>
    </cfRule>
    <cfRule type="cellIs" dxfId="526" priority="531" stopIfTrue="1" operator="equal">
      <formula>"X"</formula>
    </cfRule>
    <cfRule type="cellIs" dxfId="525" priority="532" operator="equal">
      <formula>"H"</formula>
    </cfRule>
  </conditionalFormatting>
  <conditionalFormatting sqref="D158:AG158">
    <cfRule type="cellIs" dxfId="524" priority="526" operator="equal">
      <formula>"SP"</formula>
    </cfRule>
    <cfRule type="cellIs" dxfId="523" priority="527" operator="equal">
      <formula>"."</formula>
    </cfRule>
  </conditionalFormatting>
  <conditionalFormatting sqref="D160:AG160">
    <cfRule type="cellIs" dxfId="522" priority="521" operator="equal">
      <formula>"AL"</formula>
    </cfRule>
    <cfRule type="cellIs" dxfId="521" priority="522" operator="equal">
      <formula>"NA"</formula>
    </cfRule>
    <cfRule type="cellIs" dxfId="520" priority="523" operator="equal">
      <formula>"SL"</formula>
    </cfRule>
    <cfRule type="cellIs" dxfId="519" priority="524" stopIfTrue="1" operator="equal">
      <formula>"X"</formula>
    </cfRule>
    <cfRule type="cellIs" dxfId="518" priority="525" operator="equal">
      <formula>"H"</formula>
    </cfRule>
  </conditionalFormatting>
  <conditionalFormatting sqref="D160:AG160">
    <cfRule type="cellIs" dxfId="517" priority="519" operator="equal">
      <formula>"SP"</formula>
    </cfRule>
    <cfRule type="cellIs" dxfId="516" priority="520" operator="equal">
      <formula>"."</formula>
    </cfRule>
  </conditionalFormatting>
  <conditionalFormatting sqref="D162:AG162">
    <cfRule type="cellIs" dxfId="515" priority="514" operator="equal">
      <formula>"AL"</formula>
    </cfRule>
    <cfRule type="cellIs" dxfId="514" priority="515" operator="equal">
      <formula>"NA"</formula>
    </cfRule>
    <cfRule type="cellIs" dxfId="513" priority="516" operator="equal">
      <formula>"SL"</formula>
    </cfRule>
    <cfRule type="cellIs" dxfId="512" priority="517" stopIfTrue="1" operator="equal">
      <formula>"X"</formula>
    </cfRule>
    <cfRule type="cellIs" dxfId="511" priority="518" operator="equal">
      <formula>"H"</formula>
    </cfRule>
  </conditionalFormatting>
  <conditionalFormatting sqref="D162:AG162">
    <cfRule type="cellIs" dxfId="510" priority="512" operator="equal">
      <formula>"SP"</formula>
    </cfRule>
    <cfRule type="cellIs" dxfId="509" priority="513" operator="equal">
      <formula>"."</formula>
    </cfRule>
  </conditionalFormatting>
  <conditionalFormatting sqref="D164:AG164">
    <cfRule type="cellIs" dxfId="508" priority="507" operator="equal">
      <formula>"AL"</formula>
    </cfRule>
    <cfRule type="cellIs" dxfId="507" priority="508" operator="equal">
      <formula>"NA"</formula>
    </cfRule>
    <cfRule type="cellIs" dxfId="506" priority="509" operator="equal">
      <formula>"SL"</formula>
    </cfRule>
    <cfRule type="cellIs" dxfId="505" priority="510" stopIfTrue="1" operator="equal">
      <formula>"X"</formula>
    </cfRule>
    <cfRule type="cellIs" dxfId="504" priority="511" operator="equal">
      <formula>"H"</formula>
    </cfRule>
  </conditionalFormatting>
  <conditionalFormatting sqref="D164:AG164">
    <cfRule type="cellIs" dxfId="503" priority="505" operator="equal">
      <formula>"SP"</formula>
    </cfRule>
    <cfRule type="cellIs" dxfId="502" priority="506" operator="equal">
      <formula>"."</formula>
    </cfRule>
  </conditionalFormatting>
  <conditionalFormatting sqref="D151:AG151">
    <cfRule type="cellIs" dxfId="501" priority="500" operator="equal">
      <formula>"AL"</formula>
    </cfRule>
    <cfRule type="cellIs" dxfId="500" priority="501" operator="equal">
      <formula>"NA"</formula>
    </cfRule>
    <cfRule type="cellIs" dxfId="499" priority="502" operator="equal">
      <formula>"SL"</formula>
    </cfRule>
    <cfRule type="cellIs" dxfId="498" priority="503" stopIfTrue="1" operator="equal">
      <formula>"X"</formula>
    </cfRule>
    <cfRule type="cellIs" dxfId="497" priority="504" operator="equal">
      <formula>"H"</formula>
    </cfRule>
  </conditionalFormatting>
  <conditionalFormatting sqref="D151:AG151">
    <cfRule type="cellIs" dxfId="496" priority="498" operator="equal">
      <formula>"SP"</formula>
    </cfRule>
    <cfRule type="cellIs" dxfId="495" priority="499" operator="equal">
      <formula>"."</formula>
    </cfRule>
  </conditionalFormatting>
  <conditionalFormatting sqref="D153:AG153">
    <cfRule type="cellIs" dxfId="494" priority="493" operator="equal">
      <formula>"AL"</formula>
    </cfRule>
    <cfRule type="cellIs" dxfId="493" priority="494" operator="equal">
      <formula>"NA"</formula>
    </cfRule>
    <cfRule type="cellIs" dxfId="492" priority="495" operator="equal">
      <formula>"SL"</formula>
    </cfRule>
    <cfRule type="cellIs" dxfId="491" priority="496" stopIfTrue="1" operator="equal">
      <formula>"X"</formula>
    </cfRule>
    <cfRule type="cellIs" dxfId="490" priority="497" operator="equal">
      <formula>"H"</formula>
    </cfRule>
  </conditionalFormatting>
  <conditionalFormatting sqref="D153:AG153">
    <cfRule type="cellIs" dxfId="489" priority="491" operator="equal">
      <formula>"SP"</formula>
    </cfRule>
    <cfRule type="cellIs" dxfId="488" priority="492" operator="equal">
      <formula>"."</formula>
    </cfRule>
  </conditionalFormatting>
  <conditionalFormatting sqref="D155:AG155">
    <cfRule type="cellIs" dxfId="487" priority="486" operator="equal">
      <formula>"AL"</formula>
    </cfRule>
    <cfRule type="cellIs" dxfId="486" priority="487" operator="equal">
      <formula>"NA"</formula>
    </cfRule>
    <cfRule type="cellIs" dxfId="485" priority="488" operator="equal">
      <formula>"SL"</formula>
    </cfRule>
    <cfRule type="cellIs" dxfId="484" priority="489" stopIfTrue="1" operator="equal">
      <formula>"X"</formula>
    </cfRule>
    <cfRule type="cellIs" dxfId="483" priority="490" operator="equal">
      <formula>"H"</formula>
    </cfRule>
  </conditionalFormatting>
  <conditionalFormatting sqref="D155:AG155">
    <cfRule type="cellIs" dxfId="482" priority="484" operator="equal">
      <formula>"SP"</formula>
    </cfRule>
    <cfRule type="cellIs" dxfId="481" priority="485" operator="equal">
      <formula>"."</formula>
    </cfRule>
  </conditionalFormatting>
  <conditionalFormatting sqref="D157:AG157">
    <cfRule type="cellIs" dxfId="480" priority="479" operator="equal">
      <formula>"AL"</formula>
    </cfRule>
    <cfRule type="cellIs" dxfId="479" priority="480" operator="equal">
      <formula>"NA"</formula>
    </cfRule>
    <cfRule type="cellIs" dxfId="478" priority="481" operator="equal">
      <formula>"SL"</formula>
    </cfRule>
    <cfRule type="cellIs" dxfId="477" priority="482" stopIfTrue="1" operator="equal">
      <formula>"X"</formula>
    </cfRule>
    <cfRule type="cellIs" dxfId="476" priority="483" operator="equal">
      <formula>"H"</formula>
    </cfRule>
  </conditionalFormatting>
  <conditionalFormatting sqref="D157:AG157">
    <cfRule type="cellIs" dxfId="475" priority="477" operator="equal">
      <formula>"SP"</formula>
    </cfRule>
    <cfRule type="cellIs" dxfId="474" priority="478" operator="equal">
      <formula>"."</formula>
    </cfRule>
  </conditionalFormatting>
  <conditionalFormatting sqref="D159:AG159">
    <cfRule type="cellIs" dxfId="473" priority="472" operator="equal">
      <formula>"AL"</formula>
    </cfRule>
    <cfRule type="cellIs" dxfId="472" priority="473" operator="equal">
      <formula>"NA"</formula>
    </cfRule>
    <cfRule type="cellIs" dxfId="471" priority="474" operator="equal">
      <formula>"SL"</formula>
    </cfRule>
    <cfRule type="cellIs" dxfId="470" priority="475" stopIfTrue="1" operator="equal">
      <formula>"X"</formula>
    </cfRule>
    <cfRule type="cellIs" dxfId="469" priority="476" operator="equal">
      <formula>"H"</formula>
    </cfRule>
  </conditionalFormatting>
  <conditionalFormatting sqref="D159:AG159">
    <cfRule type="cellIs" dxfId="468" priority="470" operator="equal">
      <formula>"SP"</formula>
    </cfRule>
    <cfRule type="cellIs" dxfId="467" priority="471" operator="equal">
      <formula>"."</formula>
    </cfRule>
  </conditionalFormatting>
  <conditionalFormatting sqref="D161:AG161">
    <cfRule type="cellIs" dxfId="466" priority="465" operator="equal">
      <formula>"AL"</formula>
    </cfRule>
    <cfRule type="cellIs" dxfId="465" priority="466" operator="equal">
      <formula>"NA"</formula>
    </cfRule>
    <cfRule type="cellIs" dxfId="464" priority="467" operator="equal">
      <formula>"SL"</formula>
    </cfRule>
    <cfRule type="cellIs" dxfId="463" priority="468" stopIfTrue="1" operator="equal">
      <formula>"X"</formula>
    </cfRule>
    <cfRule type="cellIs" dxfId="462" priority="469" operator="equal">
      <formula>"H"</formula>
    </cfRule>
  </conditionalFormatting>
  <conditionalFormatting sqref="D161:AG161">
    <cfRule type="cellIs" dxfId="461" priority="463" operator="equal">
      <formula>"SP"</formula>
    </cfRule>
    <cfRule type="cellIs" dxfId="460" priority="464" operator="equal">
      <formula>"."</formula>
    </cfRule>
  </conditionalFormatting>
  <conditionalFormatting sqref="D163:AG163">
    <cfRule type="cellIs" dxfId="459" priority="458" operator="equal">
      <formula>"AL"</formula>
    </cfRule>
    <cfRule type="cellIs" dxfId="458" priority="459" operator="equal">
      <formula>"NA"</formula>
    </cfRule>
    <cfRule type="cellIs" dxfId="457" priority="460" operator="equal">
      <formula>"SL"</formula>
    </cfRule>
    <cfRule type="cellIs" dxfId="456" priority="461" stopIfTrue="1" operator="equal">
      <formula>"X"</formula>
    </cfRule>
    <cfRule type="cellIs" dxfId="455" priority="462" operator="equal">
      <formula>"H"</formula>
    </cfRule>
  </conditionalFormatting>
  <conditionalFormatting sqref="D163:AG163">
    <cfRule type="cellIs" dxfId="454" priority="456" operator="equal">
      <formula>"SP"</formula>
    </cfRule>
    <cfRule type="cellIs" dxfId="453" priority="457" operator="equal">
      <formula>"."</formula>
    </cfRule>
  </conditionalFormatting>
  <conditionalFormatting sqref="D165:AG166">
    <cfRule type="cellIs" dxfId="452" priority="451" operator="equal">
      <formula>"AL"</formula>
    </cfRule>
    <cfRule type="cellIs" dxfId="451" priority="452" operator="equal">
      <formula>"NA"</formula>
    </cfRule>
    <cfRule type="cellIs" dxfId="450" priority="453" operator="equal">
      <formula>"SL"</formula>
    </cfRule>
    <cfRule type="cellIs" dxfId="449" priority="454" stopIfTrue="1" operator="equal">
      <formula>"X"</formula>
    </cfRule>
    <cfRule type="cellIs" dxfId="448" priority="455" operator="equal">
      <formula>"H"</formula>
    </cfRule>
  </conditionalFormatting>
  <conditionalFormatting sqref="D181:AH181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181:AH181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183:AH183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183:AH183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185:AH185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185:AH185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187:AH187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187:AH187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189:AH189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189:AH189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191:AH191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191:AH191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193:AH193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193:AH193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195:AH195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195:AH195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182:AH182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182:AH182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184:AH184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184:AH184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186:AH186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186:AH186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188:AH188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188:AH188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190:AH190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190:AH190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192:AH192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192:AH192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194:AH194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194:AH194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196:AH196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196:AH196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212:AH212">
    <cfRule type="cellIs" dxfId="335" priority="332" operator="equal">
      <formula>"AL"</formula>
    </cfRule>
    <cfRule type="cellIs" dxfId="334" priority="333" operator="equal">
      <formula>"NA"</formula>
    </cfRule>
    <cfRule type="cellIs" dxfId="333" priority="334" operator="equal">
      <formula>"SL"</formula>
    </cfRule>
    <cfRule type="cellIs" dxfId="332" priority="335" stopIfTrue="1" operator="equal">
      <formula>"X"</formula>
    </cfRule>
    <cfRule type="cellIs" dxfId="331" priority="336" operator="equal">
      <formula>"H"</formula>
    </cfRule>
  </conditionalFormatting>
  <conditionalFormatting sqref="D212:AH212">
    <cfRule type="cellIs" dxfId="330" priority="330" operator="equal">
      <formula>"SP"</formula>
    </cfRule>
    <cfRule type="cellIs" dxfId="329" priority="331" operator="equal">
      <formula>"."</formula>
    </cfRule>
  </conditionalFormatting>
  <conditionalFormatting sqref="D214:AH214">
    <cfRule type="cellIs" dxfId="328" priority="325" operator="equal">
      <formula>"AL"</formula>
    </cfRule>
    <cfRule type="cellIs" dxfId="327" priority="326" operator="equal">
      <formula>"NA"</formula>
    </cfRule>
    <cfRule type="cellIs" dxfId="326" priority="327" operator="equal">
      <formula>"SL"</formula>
    </cfRule>
    <cfRule type="cellIs" dxfId="325" priority="328" stopIfTrue="1" operator="equal">
      <formula>"X"</formula>
    </cfRule>
    <cfRule type="cellIs" dxfId="324" priority="329" operator="equal">
      <formula>"H"</formula>
    </cfRule>
  </conditionalFormatting>
  <conditionalFormatting sqref="D214:AH214">
    <cfRule type="cellIs" dxfId="323" priority="323" operator="equal">
      <formula>"SP"</formula>
    </cfRule>
    <cfRule type="cellIs" dxfId="322" priority="324" operator="equal">
      <formula>"."</formula>
    </cfRule>
  </conditionalFormatting>
  <conditionalFormatting sqref="D216:AH216">
    <cfRule type="cellIs" dxfId="321" priority="318" operator="equal">
      <formula>"AL"</formula>
    </cfRule>
    <cfRule type="cellIs" dxfId="320" priority="319" operator="equal">
      <formula>"NA"</formula>
    </cfRule>
    <cfRule type="cellIs" dxfId="319" priority="320" operator="equal">
      <formula>"SL"</formula>
    </cfRule>
    <cfRule type="cellIs" dxfId="318" priority="321" stopIfTrue="1" operator="equal">
      <formula>"X"</formula>
    </cfRule>
    <cfRule type="cellIs" dxfId="317" priority="322" operator="equal">
      <formula>"H"</formula>
    </cfRule>
  </conditionalFormatting>
  <conditionalFormatting sqref="D216:AH216">
    <cfRule type="cellIs" dxfId="316" priority="316" operator="equal">
      <formula>"SP"</formula>
    </cfRule>
    <cfRule type="cellIs" dxfId="315" priority="317" operator="equal">
      <formula>"."</formula>
    </cfRule>
  </conditionalFormatting>
  <conditionalFormatting sqref="D218:AH218">
    <cfRule type="cellIs" dxfId="314" priority="311" operator="equal">
      <formula>"AL"</formula>
    </cfRule>
    <cfRule type="cellIs" dxfId="313" priority="312" operator="equal">
      <formula>"NA"</formula>
    </cfRule>
    <cfRule type="cellIs" dxfId="312" priority="313" operator="equal">
      <formula>"SL"</formula>
    </cfRule>
    <cfRule type="cellIs" dxfId="311" priority="314" stopIfTrue="1" operator="equal">
      <formula>"X"</formula>
    </cfRule>
    <cfRule type="cellIs" dxfId="310" priority="315" operator="equal">
      <formula>"H"</formula>
    </cfRule>
  </conditionalFormatting>
  <conditionalFormatting sqref="D218:AH218">
    <cfRule type="cellIs" dxfId="309" priority="309" operator="equal">
      <formula>"SP"</formula>
    </cfRule>
    <cfRule type="cellIs" dxfId="308" priority="310" operator="equal">
      <formula>"."</formula>
    </cfRule>
  </conditionalFormatting>
  <conditionalFormatting sqref="D220:AH220">
    <cfRule type="cellIs" dxfId="307" priority="304" operator="equal">
      <formula>"AL"</formula>
    </cfRule>
    <cfRule type="cellIs" dxfId="306" priority="305" operator="equal">
      <formula>"NA"</formula>
    </cfRule>
    <cfRule type="cellIs" dxfId="305" priority="306" operator="equal">
      <formula>"SL"</formula>
    </cfRule>
    <cfRule type="cellIs" dxfId="304" priority="307" stopIfTrue="1" operator="equal">
      <formula>"X"</formula>
    </cfRule>
    <cfRule type="cellIs" dxfId="303" priority="308" operator="equal">
      <formula>"H"</formula>
    </cfRule>
  </conditionalFormatting>
  <conditionalFormatting sqref="D220:AH220">
    <cfRule type="cellIs" dxfId="302" priority="302" operator="equal">
      <formula>"SP"</formula>
    </cfRule>
    <cfRule type="cellIs" dxfId="301" priority="303" operator="equal">
      <formula>"."</formula>
    </cfRule>
  </conditionalFormatting>
  <conditionalFormatting sqref="D222:AH222">
    <cfRule type="cellIs" dxfId="300" priority="297" operator="equal">
      <formula>"AL"</formula>
    </cfRule>
    <cfRule type="cellIs" dxfId="299" priority="298" operator="equal">
      <formula>"NA"</formula>
    </cfRule>
    <cfRule type="cellIs" dxfId="298" priority="299" operator="equal">
      <formula>"SL"</formula>
    </cfRule>
    <cfRule type="cellIs" dxfId="297" priority="300" stopIfTrue="1" operator="equal">
      <formula>"X"</formula>
    </cfRule>
    <cfRule type="cellIs" dxfId="296" priority="301" operator="equal">
      <formula>"H"</formula>
    </cfRule>
  </conditionalFormatting>
  <conditionalFormatting sqref="D222:AH222">
    <cfRule type="cellIs" dxfId="295" priority="295" operator="equal">
      <formula>"SP"</formula>
    </cfRule>
    <cfRule type="cellIs" dxfId="294" priority="296" operator="equal">
      <formula>"."</formula>
    </cfRule>
  </conditionalFormatting>
  <conditionalFormatting sqref="D224:AH224">
    <cfRule type="cellIs" dxfId="293" priority="290" operator="equal">
      <formula>"AL"</formula>
    </cfRule>
    <cfRule type="cellIs" dxfId="292" priority="291" operator="equal">
      <formula>"NA"</formula>
    </cfRule>
    <cfRule type="cellIs" dxfId="291" priority="292" operator="equal">
      <formula>"SL"</formula>
    </cfRule>
    <cfRule type="cellIs" dxfId="290" priority="293" stopIfTrue="1" operator="equal">
      <formula>"X"</formula>
    </cfRule>
    <cfRule type="cellIs" dxfId="289" priority="294" operator="equal">
      <formula>"H"</formula>
    </cfRule>
  </conditionalFormatting>
  <conditionalFormatting sqref="D224:AH224">
    <cfRule type="cellIs" dxfId="288" priority="288" operator="equal">
      <formula>"SP"</formula>
    </cfRule>
    <cfRule type="cellIs" dxfId="287" priority="289" operator="equal">
      <formula>"."</formula>
    </cfRule>
  </conditionalFormatting>
  <conditionalFormatting sqref="D226:AH226">
    <cfRule type="cellIs" dxfId="286" priority="283" operator="equal">
      <formula>"AL"</formula>
    </cfRule>
    <cfRule type="cellIs" dxfId="285" priority="284" operator="equal">
      <formula>"NA"</formula>
    </cfRule>
    <cfRule type="cellIs" dxfId="284" priority="285" operator="equal">
      <formula>"SL"</formula>
    </cfRule>
    <cfRule type="cellIs" dxfId="283" priority="286" stopIfTrue="1" operator="equal">
      <formula>"X"</formula>
    </cfRule>
    <cfRule type="cellIs" dxfId="282" priority="287" operator="equal">
      <formula>"H"</formula>
    </cfRule>
  </conditionalFormatting>
  <conditionalFormatting sqref="D226:AH226">
    <cfRule type="cellIs" dxfId="281" priority="281" operator="equal">
      <formula>"SP"</formula>
    </cfRule>
    <cfRule type="cellIs" dxfId="280" priority="282" operator="equal">
      <formula>"."</formula>
    </cfRule>
  </conditionalFormatting>
  <conditionalFormatting sqref="D213:AH213">
    <cfRule type="cellIs" dxfId="279" priority="276" operator="equal">
      <formula>"AL"</formula>
    </cfRule>
    <cfRule type="cellIs" dxfId="278" priority="277" operator="equal">
      <formula>"NA"</formula>
    </cfRule>
    <cfRule type="cellIs" dxfId="277" priority="278" operator="equal">
      <formula>"SL"</formula>
    </cfRule>
    <cfRule type="cellIs" dxfId="276" priority="279" stopIfTrue="1" operator="equal">
      <formula>"X"</formula>
    </cfRule>
    <cfRule type="cellIs" dxfId="275" priority="280" operator="equal">
      <formula>"H"</formula>
    </cfRule>
  </conditionalFormatting>
  <conditionalFormatting sqref="D213:AH213">
    <cfRule type="cellIs" dxfId="274" priority="274" operator="equal">
      <formula>"SP"</formula>
    </cfRule>
    <cfRule type="cellIs" dxfId="273" priority="275" operator="equal">
      <formula>"."</formula>
    </cfRule>
  </conditionalFormatting>
  <conditionalFormatting sqref="D215:AH215">
    <cfRule type="cellIs" dxfId="272" priority="269" operator="equal">
      <formula>"AL"</formula>
    </cfRule>
    <cfRule type="cellIs" dxfId="271" priority="270" operator="equal">
      <formula>"NA"</formula>
    </cfRule>
    <cfRule type="cellIs" dxfId="270" priority="271" operator="equal">
      <formula>"SL"</formula>
    </cfRule>
    <cfRule type="cellIs" dxfId="269" priority="272" stopIfTrue="1" operator="equal">
      <formula>"X"</formula>
    </cfRule>
    <cfRule type="cellIs" dxfId="268" priority="273" operator="equal">
      <formula>"H"</formula>
    </cfRule>
  </conditionalFormatting>
  <conditionalFormatting sqref="D215:AH215">
    <cfRule type="cellIs" dxfId="267" priority="267" operator="equal">
      <formula>"SP"</formula>
    </cfRule>
    <cfRule type="cellIs" dxfId="266" priority="268" operator="equal">
      <formula>"."</formula>
    </cfRule>
  </conditionalFormatting>
  <conditionalFormatting sqref="D217:AH217">
    <cfRule type="cellIs" dxfId="265" priority="262" operator="equal">
      <formula>"AL"</formula>
    </cfRule>
    <cfRule type="cellIs" dxfId="264" priority="263" operator="equal">
      <formula>"NA"</formula>
    </cfRule>
    <cfRule type="cellIs" dxfId="263" priority="264" operator="equal">
      <formula>"SL"</formula>
    </cfRule>
    <cfRule type="cellIs" dxfId="262" priority="265" stopIfTrue="1" operator="equal">
      <formula>"X"</formula>
    </cfRule>
    <cfRule type="cellIs" dxfId="261" priority="266" operator="equal">
      <formula>"H"</formula>
    </cfRule>
  </conditionalFormatting>
  <conditionalFormatting sqref="D217:AH217">
    <cfRule type="cellIs" dxfId="260" priority="260" operator="equal">
      <formula>"SP"</formula>
    </cfRule>
    <cfRule type="cellIs" dxfId="259" priority="261" operator="equal">
      <formula>"."</formula>
    </cfRule>
  </conditionalFormatting>
  <conditionalFormatting sqref="D219:AH219">
    <cfRule type="cellIs" dxfId="258" priority="255" operator="equal">
      <formula>"AL"</formula>
    </cfRule>
    <cfRule type="cellIs" dxfId="257" priority="256" operator="equal">
      <formula>"NA"</formula>
    </cfRule>
    <cfRule type="cellIs" dxfId="256" priority="257" operator="equal">
      <formula>"SL"</formula>
    </cfRule>
    <cfRule type="cellIs" dxfId="255" priority="258" stopIfTrue="1" operator="equal">
      <formula>"X"</formula>
    </cfRule>
    <cfRule type="cellIs" dxfId="254" priority="259" operator="equal">
      <formula>"H"</formula>
    </cfRule>
  </conditionalFormatting>
  <conditionalFormatting sqref="D219:AH219">
    <cfRule type="cellIs" dxfId="253" priority="253" operator="equal">
      <formula>"SP"</formula>
    </cfRule>
    <cfRule type="cellIs" dxfId="252" priority="254" operator="equal">
      <formula>"."</formula>
    </cfRule>
  </conditionalFormatting>
  <conditionalFormatting sqref="D221:AH221">
    <cfRule type="cellIs" dxfId="251" priority="248" operator="equal">
      <formula>"AL"</formula>
    </cfRule>
    <cfRule type="cellIs" dxfId="250" priority="249" operator="equal">
      <formula>"NA"</formula>
    </cfRule>
    <cfRule type="cellIs" dxfId="249" priority="250" operator="equal">
      <formula>"SL"</formula>
    </cfRule>
    <cfRule type="cellIs" dxfId="248" priority="251" stopIfTrue="1" operator="equal">
      <formula>"X"</formula>
    </cfRule>
    <cfRule type="cellIs" dxfId="247" priority="252" operator="equal">
      <formula>"H"</formula>
    </cfRule>
  </conditionalFormatting>
  <conditionalFormatting sqref="D221:AH221">
    <cfRule type="cellIs" dxfId="246" priority="246" operator="equal">
      <formula>"SP"</formula>
    </cfRule>
    <cfRule type="cellIs" dxfId="245" priority="247" operator="equal">
      <formula>"."</formula>
    </cfRule>
  </conditionalFormatting>
  <conditionalFormatting sqref="D223:AH223">
    <cfRule type="cellIs" dxfId="244" priority="241" operator="equal">
      <formula>"AL"</formula>
    </cfRule>
    <cfRule type="cellIs" dxfId="243" priority="242" operator="equal">
      <formula>"NA"</formula>
    </cfRule>
    <cfRule type="cellIs" dxfId="242" priority="243" operator="equal">
      <formula>"SL"</formula>
    </cfRule>
    <cfRule type="cellIs" dxfId="241" priority="244" stopIfTrue="1" operator="equal">
      <formula>"X"</formula>
    </cfRule>
    <cfRule type="cellIs" dxfId="240" priority="245" operator="equal">
      <formula>"H"</formula>
    </cfRule>
  </conditionalFormatting>
  <conditionalFormatting sqref="D223:AH223">
    <cfRule type="cellIs" dxfId="239" priority="239" operator="equal">
      <formula>"SP"</formula>
    </cfRule>
    <cfRule type="cellIs" dxfId="238" priority="240" operator="equal">
      <formula>"."</formula>
    </cfRule>
  </conditionalFormatting>
  <conditionalFormatting sqref="D225:AH225">
    <cfRule type="cellIs" dxfId="237" priority="234" operator="equal">
      <formula>"AL"</formula>
    </cfRule>
    <cfRule type="cellIs" dxfId="236" priority="235" operator="equal">
      <formula>"NA"</formula>
    </cfRule>
    <cfRule type="cellIs" dxfId="235" priority="236" operator="equal">
      <formula>"SL"</formula>
    </cfRule>
    <cfRule type="cellIs" dxfId="234" priority="237" stopIfTrue="1" operator="equal">
      <formula>"X"</formula>
    </cfRule>
    <cfRule type="cellIs" dxfId="233" priority="238" operator="equal">
      <formula>"H"</formula>
    </cfRule>
  </conditionalFormatting>
  <conditionalFormatting sqref="D225:AH225">
    <cfRule type="cellIs" dxfId="232" priority="232" operator="equal">
      <formula>"SP"</formula>
    </cfRule>
    <cfRule type="cellIs" dxfId="231" priority="233" operator="equal">
      <formula>"."</formula>
    </cfRule>
  </conditionalFormatting>
  <conditionalFormatting sqref="D227:AH227">
    <cfRule type="cellIs" dxfId="230" priority="227" operator="equal">
      <formula>"AL"</formula>
    </cfRule>
    <cfRule type="cellIs" dxfId="229" priority="228" operator="equal">
      <formula>"NA"</formula>
    </cfRule>
    <cfRule type="cellIs" dxfId="228" priority="229" operator="equal">
      <formula>"SL"</formula>
    </cfRule>
    <cfRule type="cellIs" dxfId="227" priority="230" stopIfTrue="1" operator="equal">
      <formula>"X"</formula>
    </cfRule>
    <cfRule type="cellIs" dxfId="226" priority="231" operator="equal">
      <formula>"H"</formula>
    </cfRule>
  </conditionalFormatting>
  <conditionalFormatting sqref="D227:AH227">
    <cfRule type="cellIs" dxfId="225" priority="225" operator="equal">
      <formula>"SP"</formula>
    </cfRule>
    <cfRule type="cellIs" dxfId="224" priority="226" operator="equal">
      <formula>"."</formula>
    </cfRule>
  </conditionalFormatting>
  <conditionalFormatting sqref="D243:AF243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243:AF243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245:AF245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245:AF245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247:AF247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247:AF247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249:AF249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249:AF249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251:AF251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251:AF251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253:AF253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253:AF253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255:AF255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255:AF255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257:AF257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257:AF257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244:AF244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244:AF244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246:AF246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246:AF246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248:AF248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248:AF248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250:AF250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250:AF250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252:AF252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252:AF252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254:AF254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254:AF254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256:AF256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256:AF256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258:AF259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258:AF259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274:AH274">
    <cfRule type="cellIs" dxfId="111" priority="108" operator="equal">
      <formula>"AL"</formula>
    </cfRule>
    <cfRule type="cellIs" dxfId="110" priority="109" operator="equal">
      <formula>"NA"</formula>
    </cfRule>
    <cfRule type="cellIs" dxfId="109" priority="110" operator="equal">
      <formula>"SL"</formula>
    </cfRule>
    <cfRule type="cellIs" dxfId="108" priority="111" stopIfTrue="1" operator="equal">
      <formula>"X"</formula>
    </cfRule>
    <cfRule type="cellIs" dxfId="107" priority="112" operator="equal">
      <formula>"H"</formula>
    </cfRule>
  </conditionalFormatting>
  <conditionalFormatting sqref="D274:AH274">
    <cfRule type="cellIs" dxfId="106" priority="106" operator="equal">
      <formula>"SP"</formula>
    </cfRule>
    <cfRule type="cellIs" dxfId="105" priority="107" operator="equal">
      <formula>"."</formula>
    </cfRule>
  </conditionalFormatting>
  <conditionalFormatting sqref="D276:AH276">
    <cfRule type="cellIs" dxfId="104" priority="101" operator="equal">
      <formula>"AL"</formula>
    </cfRule>
    <cfRule type="cellIs" dxfId="103" priority="102" operator="equal">
      <formula>"NA"</formula>
    </cfRule>
    <cfRule type="cellIs" dxfId="102" priority="103" operator="equal">
      <formula>"SL"</formula>
    </cfRule>
    <cfRule type="cellIs" dxfId="101" priority="104" stopIfTrue="1" operator="equal">
      <formula>"X"</formula>
    </cfRule>
    <cfRule type="cellIs" dxfId="100" priority="105" operator="equal">
      <formula>"H"</formula>
    </cfRule>
  </conditionalFormatting>
  <conditionalFormatting sqref="D276:AH276">
    <cfRule type="cellIs" dxfId="99" priority="99" operator="equal">
      <formula>"SP"</formula>
    </cfRule>
    <cfRule type="cellIs" dxfId="98" priority="100" operator="equal">
      <formula>"."</formula>
    </cfRule>
  </conditionalFormatting>
  <conditionalFormatting sqref="D278:AH278">
    <cfRule type="cellIs" dxfId="97" priority="94" operator="equal">
      <formula>"AL"</formula>
    </cfRule>
    <cfRule type="cellIs" dxfId="96" priority="95" operator="equal">
      <formula>"NA"</formula>
    </cfRule>
    <cfRule type="cellIs" dxfId="95" priority="96" operator="equal">
      <formula>"SL"</formula>
    </cfRule>
    <cfRule type="cellIs" dxfId="94" priority="97" stopIfTrue="1" operator="equal">
      <formula>"X"</formula>
    </cfRule>
    <cfRule type="cellIs" dxfId="93" priority="98" operator="equal">
      <formula>"H"</formula>
    </cfRule>
  </conditionalFormatting>
  <conditionalFormatting sqref="D278:AH278">
    <cfRule type="cellIs" dxfId="92" priority="92" operator="equal">
      <formula>"SP"</formula>
    </cfRule>
    <cfRule type="cellIs" dxfId="91" priority="93" operator="equal">
      <formula>"."</formula>
    </cfRule>
  </conditionalFormatting>
  <conditionalFormatting sqref="D280:AH280">
    <cfRule type="cellIs" dxfId="90" priority="87" operator="equal">
      <formula>"AL"</formula>
    </cfRule>
    <cfRule type="cellIs" dxfId="89" priority="88" operator="equal">
      <formula>"NA"</formula>
    </cfRule>
    <cfRule type="cellIs" dxfId="88" priority="89" operator="equal">
      <formula>"SL"</formula>
    </cfRule>
    <cfRule type="cellIs" dxfId="87" priority="90" stopIfTrue="1" operator="equal">
      <formula>"X"</formula>
    </cfRule>
    <cfRule type="cellIs" dxfId="86" priority="91" operator="equal">
      <formula>"H"</formula>
    </cfRule>
  </conditionalFormatting>
  <conditionalFormatting sqref="D280:AH280">
    <cfRule type="cellIs" dxfId="85" priority="85" operator="equal">
      <formula>"SP"</formula>
    </cfRule>
    <cfRule type="cellIs" dxfId="84" priority="86" operator="equal">
      <formula>"."</formula>
    </cfRule>
  </conditionalFormatting>
  <conditionalFormatting sqref="D282:AH282">
    <cfRule type="cellIs" dxfId="83" priority="80" operator="equal">
      <formula>"AL"</formula>
    </cfRule>
    <cfRule type="cellIs" dxfId="82" priority="81" operator="equal">
      <formula>"NA"</formula>
    </cfRule>
    <cfRule type="cellIs" dxfId="81" priority="82" operator="equal">
      <formula>"SL"</formula>
    </cfRule>
    <cfRule type="cellIs" dxfId="80" priority="83" stopIfTrue="1" operator="equal">
      <formula>"X"</formula>
    </cfRule>
    <cfRule type="cellIs" dxfId="79" priority="84" operator="equal">
      <formula>"H"</formula>
    </cfRule>
  </conditionalFormatting>
  <conditionalFormatting sqref="D282:AH282">
    <cfRule type="cellIs" dxfId="78" priority="78" operator="equal">
      <formula>"SP"</formula>
    </cfRule>
    <cfRule type="cellIs" dxfId="77" priority="79" operator="equal">
      <formula>"."</formula>
    </cfRule>
  </conditionalFormatting>
  <conditionalFormatting sqref="D284:AH284">
    <cfRule type="cellIs" dxfId="76" priority="73" operator="equal">
      <formula>"AL"</formula>
    </cfRule>
    <cfRule type="cellIs" dxfId="75" priority="74" operator="equal">
      <formula>"NA"</formula>
    </cfRule>
    <cfRule type="cellIs" dxfId="74" priority="75" operator="equal">
      <formula>"SL"</formula>
    </cfRule>
    <cfRule type="cellIs" dxfId="73" priority="76" stopIfTrue="1" operator="equal">
      <formula>"X"</formula>
    </cfRule>
    <cfRule type="cellIs" dxfId="72" priority="77" operator="equal">
      <formula>"H"</formula>
    </cfRule>
  </conditionalFormatting>
  <conditionalFormatting sqref="D284:AH284">
    <cfRule type="cellIs" dxfId="71" priority="71" operator="equal">
      <formula>"SP"</formula>
    </cfRule>
    <cfRule type="cellIs" dxfId="70" priority="72" operator="equal">
      <formula>"."</formula>
    </cfRule>
  </conditionalFormatting>
  <conditionalFormatting sqref="D286:AH286">
    <cfRule type="cellIs" dxfId="69" priority="66" operator="equal">
      <formula>"AL"</formula>
    </cfRule>
    <cfRule type="cellIs" dxfId="68" priority="67" operator="equal">
      <formula>"NA"</formula>
    </cfRule>
    <cfRule type="cellIs" dxfId="67" priority="68" operator="equal">
      <formula>"SL"</formula>
    </cfRule>
    <cfRule type="cellIs" dxfId="66" priority="69" stopIfTrue="1" operator="equal">
      <formula>"X"</formula>
    </cfRule>
    <cfRule type="cellIs" dxfId="65" priority="70" operator="equal">
      <formula>"H"</formula>
    </cfRule>
  </conditionalFormatting>
  <conditionalFormatting sqref="D286:AH286">
    <cfRule type="cellIs" dxfId="64" priority="64" operator="equal">
      <formula>"SP"</formula>
    </cfRule>
    <cfRule type="cellIs" dxfId="63" priority="65" operator="equal">
      <formula>"."</formula>
    </cfRule>
  </conditionalFormatting>
  <conditionalFormatting sqref="D288:AH288">
    <cfRule type="cellIs" dxfId="62" priority="59" operator="equal">
      <formula>"AL"</formula>
    </cfRule>
    <cfRule type="cellIs" dxfId="61" priority="60" operator="equal">
      <formula>"NA"</formula>
    </cfRule>
    <cfRule type="cellIs" dxfId="60" priority="61" operator="equal">
      <formula>"SL"</formula>
    </cfRule>
    <cfRule type="cellIs" dxfId="59" priority="62" stopIfTrue="1" operator="equal">
      <formula>"X"</formula>
    </cfRule>
    <cfRule type="cellIs" dxfId="58" priority="63" operator="equal">
      <formula>"H"</formula>
    </cfRule>
  </conditionalFormatting>
  <conditionalFormatting sqref="D288:AH288">
    <cfRule type="cellIs" dxfId="57" priority="57" operator="equal">
      <formula>"SP"</formula>
    </cfRule>
    <cfRule type="cellIs" dxfId="56" priority="58" operator="equal">
      <formula>"."</formula>
    </cfRule>
  </conditionalFormatting>
  <conditionalFormatting sqref="D275:AH275">
    <cfRule type="cellIs" dxfId="55" priority="52" operator="equal">
      <formula>"AL"</formula>
    </cfRule>
    <cfRule type="cellIs" dxfId="54" priority="53" operator="equal">
      <formula>"NA"</formula>
    </cfRule>
    <cfRule type="cellIs" dxfId="53" priority="54" operator="equal">
      <formula>"SL"</formula>
    </cfRule>
    <cfRule type="cellIs" dxfId="52" priority="55" stopIfTrue="1" operator="equal">
      <formula>"X"</formula>
    </cfRule>
    <cfRule type="cellIs" dxfId="51" priority="56" operator="equal">
      <formula>"H"</formula>
    </cfRule>
  </conditionalFormatting>
  <conditionalFormatting sqref="D275:AH275">
    <cfRule type="cellIs" dxfId="50" priority="50" operator="equal">
      <formula>"SP"</formula>
    </cfRule>
    <cfRule type="cellIs" dxfId="49" priority="51" operator="equal">
      <formula>"."</formula>
    </cfRule>
  </conditionalFormatting>
  <conditionalFormatting sqref="D277:AH277">
    <cfRule type="cellIs" dxfId="48" priority="45" operator="equal">
      <formula>"AL"</formula>
    </cfRule>
    <cfRule type="cellIs" dxfId="47" priority="46" operator="equal">
      <formula>"NA"</formula>
    </cfRule>
    <cfRule type="cellIs" dxfId="46" priority="47" operator="equal">
      <formula>"SL"</formula>
    </cfRule>
    <cfRule type="cellIs" dxfId="45" priority="48" stopIfTrue="1" operator="equal">
      <formula>"X"</formula>
    </cfRule>
    <cfRule type="cellIs" dxfId="44" priority="49" operator="equal">
      <formula>"H"</formula>
    </cfRule>
  </conditionalFormatting>
  <conditionalFormatting sqref="D277:AH277">
    <cfRule type="cellIs" dxfId="43" priority="43" operator="equal">
      <formula>"SP"</formula>
    </cfRule>
    <cfRule type="cellIs" dxfId="42" priority="44" operator="equal">
      <formula>"."</formula>
    </cfRule>
  </conditionalFormatting>
  <conditionalFormatting sqref="D279:AH279">
    <cfRule type="cellIs" dxfId="41" priority="38" operator="equal">
      <formula>"AL"</formula>
    </cfRule>
    <cfRule type="cellIs" dxfId="40" priority="39" operator="equal">
      <formula>"NA"</formula>
    </cfRule>
    <cfRule type="cellIs" dxfId="39" priority="40" operator="equal">
      <formula>"SL"</formula>
    </cfRule>
    <cfRule type="cellIs" dxfId="38" priority="41" stopIfTrue="1" operator="equal">
      <formula>"X"</formula>
    </cfRule>
    <cfRule type="cellIs" dxfId="37" priority="42" operator="equal">
      <formula>"H"</formula>
    </cfRule>
  </conditionalFormatting>
  <conditionalFormatting sqref="D279:AH279">
    <cfRule type="cellIs" dxfId="36" priority="36" operator="equal">
      <formula>"SP"</formula>
    </cfRule>
    <cfRule type="cellIs" dxfId="35" priority="37" operator="equal">
      <formula>"."</formula>
    </cfRule>
  </conditionalFormatting>
  <conditionalFormatting sqref="D281:AH281">
    <cfRule type="cellIs" dxfId="34" priority="31" operator="equal">
      <formula>"AL"</formula>
    </cfRule>
    <cfRule type="cellIs" dxfId="33" priority="32" operator="equal">
      <formula>"NA"</formula>
    </cfRule>
    <cfRule type="cellIs" dxfId="32" priority="33" operator="equal">
      <formula>"SL"</formula>
    </cfRule>
    <cfRule type="cellIs" dxfId="31" priority="34" stopIfTrue="1" operator="equal">
      <formula>"X"</formula>
    </cfRule>
    <cfRule type="cellIs" dxfId="30" priority="35" operator="equal">
      <formula>"H"</formula>
    </cfRule>
  </conditionalFormatting>
  <conditionalFormatting sqref="D281:AH281">
    <cfRule type="cellIs" dxfId="29" priority="29" operator="equal">
      <formula>"SP"</formula>
    </cfRule>
    <cfRule type="cellIs" dxfId="28" priority="30" operator="equal">
      <formula>"."</formula>
    </cfRule>
  </conditionalFormatting>
  <conditionalFormatting sqref="D283:AH283">
    <cfRule type="cellIs" dxfId="27" priority="24" operator="equal">
      <formula>"AL"</formula>
    </cfRule>
    <cfRule type="cellIs" dxfId="26" priority="25" operator="equal">
      <formula>"NA"</formula>
    </cfRule>
    <cfRule type="cellIs" dxfId="25" priority="26" operator="equal">
      <formula>"SL"</formula>
    </cfRule>
    <cfRule type="cellIs" dxfId="24" priority="27" stopIfTrue="1" operator="equal">
      <formula>"X"</formula>
    </cfRule>
    <cfRule type="cellIs" dxfId="23" priority="28" operator="equal">
      <formula>"H"</formula>
    </cfRule>
  </conditionalFormatting>
  <conditionalFormatting sqref="D283:AH283">
    <cfRule type="cellIs" dxfId="22" priority="22" operator="equal">
      <formula>"SP"</formula>
    </cfRule>
    <cfRule type="cellIs" dxfId="21" priority="23" operator="equal">
      <formula>"."</formula>
    </cfRule>
  </conditionalFormatting>
  <conditionalFormatting sqref="D285:AH285">
    <cfRule type="cellIs" dxfId="20" priority="17" operator="equal">
      <formula>"AL"</formula>
    </cfRule>
    <cfRule type="cellIs" dxfId="19" priority="18" operator="equal">
      <formula>"NA"</formula>
    </cfRule>
    <cfRule type="cellIs" dxfId="18" priority="19" operator="equal">
      <formula>"SL"</formula>
    </cfRule>
    <cfRule type="cellIs" dxfId="17" priority="20" stopIfTrue="1" operator="equal">
      <formula>"X"</formula>
    </cfRule>
    <cfRule type="cellIs" dxfId="16" priority="21" operator="equal">
      <formula>"H"</formula>
    </cfRule>
  </conditionalFormatting>
  <conditionalFormatting sqref="D285:AH285">
    <cfRule type="cellIs" dxfId="15" priority="15" operator="equal">
      <formula>"SP"</formula>
    </cfRule>
    <cfRule type="cellIs" dxfId="14" priority="16" operator="equal">
      <formula>"."</formula>
    </cfRule>
  </conditionalFormatting>
  <conditionalFormatting sqref="D287:AH287">
    <cfRule type="cellIs" dxfId="13" priority="10" operator="equal">
      <formula>"AL"</formula>
    </cfRule>
    <cfRule type="cellIs" dxfId="12" priority="11" operator="equal">
      <formula>"NA"</formula>
    </cfRule>
    <cfRule type="cellIs" dxfId="11" priority="12" operator="equal">
      <formula>"SL"</formula>
    </cfRule>
    <cfRule type="cellIs" dxfId="10" priority="13" stopIfTrue="1" operator="equal">
      <formula>"X"</formula>
    </cfRule>
    <cfRule type="cellIs" dxfId="9" priority="14" operator="equal">
      <formula>"H"</formula>
    </cfRule>
  </conditionalFormatting>
  <conditionalFormatting sqref="D287:AH287">
    <cfRule type="cellIs" dxfId="8" priority="8" operator="equal">
      <formula>"SP"</formula>
    </cfRule>
    <cfRule type="cellIs" dxfId="7" priority="9" operator="equal">
      <formula>"."</formula>
    </cfRule>
  </conditionalFormatting>
  <conditionalFormatting sqref="D289:AH289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6" stopIfTrue="1" operator="equal">
      <formula>"X"</formula>
    </cfRule>
    <cfRule type="cellIs" dxfId="2" priority="7" operator="equal">
      <formula>"H"</formula>
    </cfRule>
  </conditionalFormatting>
  <conditionalFormatting sqref="D289:AH289">
    <cfRule type="cellIs" dxfId="1" priority="1" operator="equal">
      <formula>"SP"</formula>
    </cfRule>
    <cfRule type="cellIs" dxfId="0" priority="2" operator="equal">
      <formula>"."</formula>
    </cfRule>
  </conditionalFormatting>
  <dataValidations count="4">
    <dataValidation type="list" allowBlank="1" showInputMessage="1" showErrorMessage="1" sqref="AH293:AH304 AH323:AH334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00:AH227 D169:AH196 D293:AG304 D308:AH319 D323:AG334 D14:AH41 D45:AH72 D76:AG104 D107:AH134 D138:AG166 D231:AF259 D262:AH289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topLeftCell="A8" workbookViewId="0">
      <selection activeCell="G8" sqref="G8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6" t="s">
        <v>24</v>
      </c>
      <c r="D3" s="147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198" t="s">
        <v>0</v>
      </c>
      <c r="C6" s="199"/>
      <c r="D6" s="199"/>
      <c r="E6" s="200"/>
      <c r="G6" s="196" t="s">
        <v>7</v>
      </c>
      <c r="I6" s="196" t="s">
        <v>12</v>
      </c>
      <c r="K6" s="196" t="s">
        <v>72</v>
      </c>
      <c r="M6" s="201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97"/>
      <c r="I7" s="197"/>
      <c r="K7" s="197"/>
      <c r="M7" s="201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8" t="s">
        <v>10</v>
      </c>
      <c r="K8" s="172">
        <v>43287</v>
      </c>
      <c r="M8" s="171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9" t="s">
        <v>11</v>
      </c>
      <c r="M9" s="171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9" t="s">
        <v>9</v>
      </c>
      <c r="M10" s="171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9" t="s">
        <v>58</v>
      </c>
      <c r="M11" s="171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9" t="s">
        <v>39</v>
      </c>
      <c r="M12" s="171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9" t="s">
        <v>40</v>
      </c>
      <c r="M13" s="171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9" t="s">
        <v>45</v>
      </c>
      <c r="M14" s="171">
        <f t="shared" si="0"/>
        <v>43371</v>
      </c>
    </row>
    <row r="15" spans="2:13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9" t="s">
        <v>46</v>
      </c>
      <c r="M15" s="171">
        <f t="shared" si="0"/>
        <v>43385</v>
      </c>
    </row>
    <row r="16" spans="2:13" ht="14.4" thickBot="1">
      <c r="B16" s="50" t="s">
        <v>38</v>
      </c>
      <c r="C16" s="58" t="s">
        <v>92</v>
      </c>
      <c r="D16" s="58" t="s">
        <v>112</v>
      </c>
      <c r="E16" s="63" t="str">
        <f>LEFT(EmpGName09)&amp;" " &amp; LEFT(EmpSName09)</f>
        <v>1 O</v>
      </c>
      <c r="I16" s="169" t="s">
        <v>51</v>
      </c>
      <c r="M16" s="171">
        <f t="shared" si="0"/>
        <v>43399</v>
      </c>
    </row>
    <row r="17" spans="2:13" ht="14.4" thickBot="1">
      <c r="B17" s="66" t="s">
        <v>47</v>
      </c>
      <c r="C17" s="58" t="s">
        <v>93</v>
      </c>
      <c r="D17" s="58" t="s">
        <v>113</v>
      </c>
      <c r="E17" s="63" t="str">
        <f>LEFT(EmpGName10)&amp;" " &amp; LEFT(EmpSName10)</f>
        <v>2 O</v>
      </c>
      <c r="I17" s="169" t="s">
        <v>62</v>
      </c>
      <c r="M17" s="171">
        <f t="shared" si="0"/>
        <v>43413</v>
      </c>
    </row>
    <row r="18" spans="2:13" ht="14.4" thickBot="1">
      <c r="B18" s="66" t="s">
        <v>48</v>
      </c>
      <c r="C18" s="58" t="s">
        <v>94</v>
      </c>
      <c r="D18" s="58" t="s">
        <v>113</v>
      </c>
      <c r="E18" s="63" t="str">
        <f>LEFT(EmpGName11)&amp;" " &amp; LEFT(EmpSName11)</f>
        <v>2 O</v>
      </c>
      <c r="I18" s="170"/>
      <c r="M18" s="171">
        <f t="shared" si="0"/>
        <v>43427</v>
      </c>
    </row>
    <row r="19" spans="2:13" ht="14.4" thickBot="1">
      <c r="B19" s="66" t="s">
        <v>49</v>
      </c>
      <c r="C19" s="174" t="s">
        <v>95</v>
      </c>
      <c r="D19" s="174" t="s">
        <v>114</v>
      </c>
      <c r="E19" s="63" t="str">
        <f>LEFT(EmpGName12)&amp;" " &amp; LEFT(EmpSName12)</f>
        <v>4 O</v>
      </c>
      <c r="M19" s="171">
        <f>M18+7*2</f>
        <v>43441</v>
      </c>
    </row>
    <row r="20" spans="2:13" ht="14.4" thickBot="1">
      <c r="B20" s="66" t="s">
        <v>74</v>
      </c>
      <c r="C20" s="174" t="s">
        <v>96</v>
      </c>
      <c r="D20" s="174" t="s">
        <v>115</v>
      </c>
      <c r="E20" s="63" t="str">
        <f>LEFT(EmpGName13)&amp;" " &amp; LEFT(EmpSName13)</f>
        <v>A O</v>
      </c>
      <c r="M20" s="171">
        <f t="shared" si="0"/>
        <v>43455</v>
      </c>
    </row>
    <row r="21" spans="2:13" ht="14.4" thickBot="1">
      <c r="B21" s="66" t="s">
        <v>75</v>
      </c>
      <c r="C21" s="174" t="s">
        <v>97</v>
      </c>
      <c r="D21" s="174" t="s">
        <v>116</v>
      </c>
      <c r="E21" s="63" t="str">
        <f>LEFT(EmpGName14)&amp;" " &amp; LEFT(EmpSName14)</f>
        <v>B O</v>
      </c>
      <c r="M21" s="171">
        <f t="shared" si="0"/>
        <v>43469</v>
      </c>
    </row>
    <row r="22" spans="2:13" ht="14.4" thickBot="1">
      <c r="B22" s="66" t="s">
        <v>76</v>
      </c>
      <c r="C22" s="174" t="s">
        <v>98</v>
      </c>
      <c r="D22" s="174" t="s">
        <v>117</v>
      </c>
      <c r="E22" s="63" t="str">
        <f>LEFT(EmpGName15)&amp;" " &amp; LEFT(EmpSName15)</f>
        <v>C O</v>
      </c>
      <c r="M22" s="171">
        <f t="shared" si="0"/>
        <v>43483</v>
      </c>
    </row>
    <row r="23" spans="2:13" ht="14.4" thickBot="1">
      <c r="B23" s="66" t="s">
        <v>77</v>
      </c>
      <c r="C23" s="174" t="s">
        <v>99</v>
      </c>
      <c r="D23" s="174" t="s">
        <v>118</v>
      </c>
      <c r="E23" s="63" t="str">
        <f>LEFT(EmpGName16)&amp;" " &amp; LEFT(EmpSName16)</f>
        <v>D O</v>
      </c>
      <c r="M23" s="171">
        <f t="shared" si="0"/>
        <v>43497</v>
      </c>
    </row>
    <row r="24" spans="2:13" ht="14.4" thickBot="1">
      <c r="B24" s="66" t="s">
        <v>78</v>
      </c>
      <c r="C24" s="174" t="s">
        <v>100</v>
      </c>
      <c r="D24" s="174" t="s">
        <v>119</v>
      </c>
      <c r="E24" s="63" t="str">
        <f>LEFT(EmpGName17)&amp;" " &amp; LEFT(EmpSName17)</f>
        <v>E O</v>
      </c>
      <c r="M24" s="171">
        <f t="shared" si="0"/>
        <v>43511</v>
      </c>
    </row>
    <row r="25" spans="2:13" ht="14.4" thickBot="1">
      <c r="B25" s="66" t="s">
        <v>79</v>
      </c>
      <c r="C25" s="174" t="s">
        <v>101</v>
      </c>
      <c r="D25" s="174" t="s">
        <v>120</v>
      </c>
      <c r="E25" s="63" t="str">
        <f>LEFT(EmpGName18)&amp;" " &amp; LEFT(EmpSName18)</f>
        <v>F O</v>
      </c>
      <c r="M25" s="171">
        <f t="shared" si="0"/>
        <v>43525</v>
      </c>
    </row>
    <row r="26" spans="2:13" ht="14.4" thickBot="1">
      <c r="B26" s="66" t="s">
        <v>80</v>
      </c>
      <c r="C26" s="174" t="s">
        <v>102</v>
      </c>
      <c r="D26" s="174" t="s">
        <v>121</v>
      </c>
      <c r="E26" s="63" t="str">
        <f>LEFT(EmpGName19)&amp;" " &amp; LEFT(EmpSName19)</f>
        <v>G O</v>
      </c>
      <c r="M26" s="171">
        <f t="shared" si="0"/>
        <v>43539</v>
      </c>
    </row>
    <row r="27" spans="2:13" ht="14.4" thickBot="1">
      <c r="B27" s="66" t="s">
        <v>81</v>
      </c>
      <c r="C27" s="174" t="s">
        <v>103</v>
      </c>
      <c r="D27" s="174" t="s">
        <v>122</v>
      </c>
      <c r="E27" s="63" t="str">
        <f>LEFT(EmpGName20)&amp;" " &amp; LEFT(EmpSName20)</f>
        <v>H O</v>
      </c>
      <c r="M27" s="171">
        <f t="shared" si="0"/>
        <v>43553</v>
      </c>
    </row>
    <row r="28" spans="2:13" ht="14.4" thickBot="1">
      <c r="B28" s="66" t="s">
        <v>82</v>
      </c>
      <c r="C28" s="174" t="s">
        <v>104</v>
      </c>
      <c r="D28" s="174" t="s">
        <v>123</v>
      </c>
      <c r="E28" s="63" t="str">
        <f>LEFT(EmpGName21)&amp;" " &amp; LEFT(EmpSName21)</f>
        <v>I O</v>
      </c>
      <c r="M28" s="171">
        <f t="shared" si="0"/>
        <v>43567</v>
      </c>
    </row>
    <row r="29" spans="2:13" ht="14.4" thickBot="1">
      <c r="B29" s="66" t="s">
        <v>83</v>
      </c>
      <c r="C29" s="174" t="s">
        <v>105</v>
      </c>
      <c r="D29" s="174" t="s">
        <v>124</v>
      </c>
      <c r="E29" s="63" t="str">
        <f>LEFT(EmpGName22)&amp;" " &amp; LEFT(EmpSName22)</f>
        <v>J O</v>
      </c>
      <c r="M29" s="171">
        <f t="shared" si="0"/>
        <v>43581</v>
      </c>
    </row>
    <row r="30" spans="2:13" ht="14.4" thickBot="1">
      <c r="B30" s="66" t="s">
        <v>84</v>
      </c>
      <c r="C30" s="174" t="s">
        <v>106</v>
      </c>
      <c r="D30" s="174" t="s">
        <v>125</v>
      </c>
      <c r="E30" s="63" t="str">
        <f>LEFT(EmpGName23)&amp;" " &amp; LEFT(EmpSName23)</f>
        <v>K O</v>
      </c>
      <c r="M30" s="171">
        <f t="shared" si="0"/>
        <v>43595</v>
      </c>
    </row>
    <row r="31" spans="2:13" ht="14.4" thickBot="1">
      <c r="B31" s="66" t="s">
        <v>85</v>
      </c>
      <c r="C31" s="174" t="s">
        <v>107</v>
      </c>
      <c r="D31" s="174" t="s">
        <v>126</v>
      </c>
      <c r="E31" s="63" t="str">
        <f>LEFT(EmpGName24)&amp;" " &amp; LEFT(EmpSName24)</f>
        <v>L O</v>
      </c>
      <c r="M31" s="171">
        <f t="shared" si="0"/>
        <v>43609</v>
      </c>
    </row>
    <row r="32" spans="2:13" ht="14.4" thickBot="1">
      <c r="B32" s="66" t="s">
        <v>86</v>
      </c>
      <c r="C32" s="174" t="s">
        <v>108</v>
      </c>
      <c r="D32" s="174" t="s">
        <v>127</v>
      </c>
      <c r="E32" s="63" t="str">
        <f>LEFT(EmpGName25)&amp;" " &amp; LEFT(EmpSName25)</f>
        <v>M O</v>
      </c>
      <c r="M32" s="171">
        <f t="shared" si="0"/>
        <v>43623</v>
      </c>
    </row>
    <row r="33" spans="2:13" ht="14.4" thickBot="1">
      <c r="B33" s="66" t="s">
        <v>87</v>
      </c>
      <c r="C33" s="174" t="s">
        <v>109</v>
      </c>
      <c r="D33" s="174" t="s">
        <v>128</v>
      </c>
      <c r="E33" s="63" t="str">
        <f>LEFT(EmpGName26)&amp;" " &amp; LEFT(EmpSName26)</f>
        <v>N O</v>
      </c>
      <c r="M33" s="171">
        <f t="shared" si="0"/>
        <v>43637</v>
      </c>
    </row>
    <row r="34" spans="2:13" ht="14.4" thickBot="1">
      <c r="B34" s="66" t="s">
        <v>88</v>
      </c>
      <c r="C34" s="174" t="s">
        <v>110</v>
      </c>
      <c r="D34" s="174" t="s">
        <v>129</v>
      </c>
      <c r="E34" s="63" t="str">
        <f>LEFT(EmpGName27)&amp;" " &amp; LEFT(EmpSName27)</f>
        <v>O O</v>
      </c>
      <c r="M34" s="171">
        <f t="shared" si="0"/>
        <v>43651</v>
      </c>
    </row>
    <row r="35" spans="2:13" ht="14.4" thickBot="1">
      <c r="B35" s="67" t="s">
        <v>89</v>
      </c>
      <c r="C35" s="175" t="s">
        <v>111</v>
      </c>
      <c r="D35" s="175" t="s">
        <v>130</v>
      </c>
      <c r="E35" s="93" t="str">
        <f>LEFT(EmpGName28)&amp;" " &amp; LEFT(EmpSName28)</f>
        <v>P O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6" t="str">
        <f>Location</f>
        <v>Oodlawirra Quarantine Station</v>
      </c>
      <c r="J2" s="109"/>
      <c r="K2" s="109"/>
      <c r="L2" s="109"/>
      <c r="M2" s="109"/>
      <c r="N2" s="109"/>
      <c r="O2" s="109"/>
      <c r="P2" s="109"/>
      <c r="Q2" s="109"/>
      <c r="R2" s="126" t="str">
        <f xml:space="preserve"> "Financial Year Commencing 1st July, " &amp; CurYear -1</f>
        <v>Financial Year Commencing 1st July, 2015</v>
      </c>
      <c r="S2" s="34"/>
      <c r="T2" s="109"/>
      <c r="U2" s="109"/>
      <c r="V2" s="34"/>
      <c r="W2" s="109"/>
      <c r="X2" s="109"/>
      <c r="Y2" s="109"/>
      <c r="Z2" s="109"/>
      <c r="AA2" s="109"/>
      <c r="AB2" s="109"/>
      <c r="AC2" s="109"/>
      <c r="AD2" s="109"/>
      <c r="AE2" s="109"/>
      <c r="AF2" s="109"/>
    </row>
    <row r="3" spans="2:33" s="26" customFormat="1" ht="27" customHeight="1">
      <c r="B3" s="47"/>
      <c r="I3" s="127" t="s">
        <v>25</v>
      </c>
      <c r="R3" s="127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6" customFormat="1" ht="13.8" thickBot="1">
      <c r="B4" s="107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6" t="str">
        <f t="shared" si="0"/>
        <v>Fr</v>
      </c>
    </row>
    <row r="5" spans="2:33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3" ht="14.4" thickTop="1" thickBot="1">
      <c r="B6" s="110">
        <f>CurYear-1</f>
        <v>2015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3" ht="14.4" thickTop="1" thickBot="1">
      <c r="B9" s="110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7"/>
    </row>
    <row r="11" spans="2:33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</row>
    <row r="12" spans="2:33" ht="14.4" thickTop="1" thickBot="1">
      <c r="B12" s="110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3" ht="14.4" thickTop="1" thickBot="1">
      <c r="B15" s="110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</row>
    <row r="18" spans="2:33" ht="14.4" thickTop="1" thickBot="1">
      <c r="B18" s="110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21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8" t="str">
        <f t="shared" si="7"/>
        <v>Tu</v>
      </c>
      <c r="E25" s="128" t="str">
        <f t="shared" si="7"/>
        <v>We</v>
      </c>
      <c r="F25" s="128" t="str">
        <f t="shared" si="7"/>
        <v>Th</v>
      </c>
      <c r="G25" s="128" t="str">
        <f t="shared" si="7"/>
        <v>Fr</v>
      </c>
      <c r="H25" s="128" t="str">
        <f t="shared" si="7"/>
        <v>Sa</v>
      </c>
      <c r="I25" s="128" t="str">
        <f t="shared" si="7"/>
        <v>Su</v>
      </c>
      <c r="J25" s="128" t="str">
        <f t="shared" si="7"/>
        <v>Mo</v>
      </c>
      <c r="K25" s="128" t="str">
        <f t="shared" si="7"/>
        <v>Tu</v>
      </c>
      <c r="L25" s="128" t="str">
        <f t="shared" si="7"/>
        <v>We</v>
      </c>
      <c r="M25" s="128" t="str">
        <f t="shared" si="7"/>
        <v>Th</v>
      </c>
      <c r="N25" s="128" t="str">
        <f t="shared" si="7"/>
        <v>Fr</v>
      </c>
      <c r="O25" s="128" t="str">
        <f t="shared" si="7"/>
        <v>Sa</v>
      </c>
      <c r="P25" s="128" t="str">
        <f t="shared" si="7"/>
        <v>Su</v>
      </c>
      <c r="Q25" s="128" t="str">
        <f t="shared" si="7"/>
        <v>Mo</v>
      </c>
      <c r="R25" s="128" t="str">
        <f t="shared" si="7"/>
        <v>Tu</v>
      </c>
      <c r="S25" s="128" t="str">
        <f t="shared" si="7"/>
        <v>We</v>
      </c>
      <c r="T25" s="128" t="str">
        <f t="shared" si="7"/>
        <v>Th</v>
      </c>
      <c r="U25" s="128" t="str">
        <f t="shared" si="7"/>
        <v>Fr</v>
      </c>
      <c r="V25" s="128" t="str">
        <f t="shared" si="7"/>
        <v>Sa</v>
      </c>
      <c r="W25" s="128" t="str">
        <f t="shared" si="7"/>
        <v>Su</v>
      </c>
      <c r="X25" s="128" t="str">
        <f t="shared" si="7"/>
        <v>Mo</v>
      </c>
      <c r="Y25" s="128" t="str">
        <f t="shared" si="7"/>
        <v>Tu</v>
      </c>
      <c r="Z25" s="128" t="str">
        <f t="shared" si="7"/>
        <v>We</v>
      </c>
      <c r="AA25" s="128" t="str">
        <f t="shared" si="7"/>
        <v>Th</v>
      </c>
      <c r="AB25" s="128" t="str">
        <f t="shared" si="7"/>
        <v>Fr</v>
      </c>
      <c r="AC25" s="128" t="str">
        <f t="shared" si="7"/>
        <v>Sa</v>
      </c>
      <c r="AD25" s="128" t="str">
        <f t="shared" si="7"/>
        <v>Su</v>
      </c>
      <c r="AE25" s="144" t="str">
        <f t="shared" si="7"/>
        <v>Mo</v>
      </c>
      <c r="AF25" s="123"/>
      <c r="AG25" s="123"/>
    </row>
    <row r="26" spans="2:33" ht="14.4" thickTop="1" thickBot="1">
      <c r="B26" s="110" t="str">
        <f>Roster!$C$230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</row>
    <row r="27" spans="2:33" ht="14.4" thickTop="1" thickBot="1">
      <c r="B27" s="110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30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10" t="str">
        <f>Roster!$C$261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5"/>
    </row>
    <row r="32" spans="2:33" ht="14.4" thickTop="1" thickBot="1">
      <c r="B32" s="110" t="str">
        <f>Roster!$C$292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</row>
    <row r="33" spans="2:33" ht="14.4" thickTop="1" thickBot="1">
      <c r="B33" s="110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10" t="str">
        <f>Roster!$C$307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2016</v>
      </c>
      <c r="C36" s="36" t="str">
        <f>Roster!D308</f>
        <v>.</v>
      </c>
      <c r="D36" s="37" t="str">
        <f>Roster!E308</f>
        <v>.</v>
      </c>
      <c r="E36" s="37" t="str">
        <f>Roster!F308</f>
        <v>.</v>
      </c>
      <c r="F36" s="37" t="str">
        <f>Roster!G308</f>
        <v>.</v>
      </c>
      <c r="G36" s="37" t="str">
        <f>Roster!H308</f>
        <v>.</v>
      </c>
      <c r="H36" s="37" t="str">
        <f>Roster!I308</f>
        <v>.</v>
      </c>
      <c r="I36" s="37" t="str">
        <f>Roster!J308</f>
        <v>.</v>
      </c>
      <c r="J36" s="37" t="str">
        <f>Roster!K308</f>
        <v>.</v>
      </c>
      <c r="K36" s="37" t="str">
        <f>Roster!L308</f>
        <v>.</v>
      </c>
      <c r="L36" s="37" t="str">
        <f>Roster!M308</f>
        <v>.</v>
      </c>
      <c r="M36" s="37" t="str">
        <f>Roster!N308</f>
        <v>.</v>
      </c>
      <c r="N36" s="37" t="str">
        <f>Roster!O308</f>
        <v>.</v>
      </c>
      <c r="O36" s="37" t="str">
        <f>Roster!P308</f>
        <v>.</v>
      </c>
      <c r="P36" s="37" t="str">
        <f>Roster!Q308</f>
        <v>.</v>
      </c>
      <c r="Q36" s="37" t="str">
        <f>Roster!R308</f>
        <v>.</v>
      </c>
      <c r="R36" s="37" t="str">
        <f>Roster!S308</f>
        <v>.</v>
      </c>
      <c r="S36" s="37" t="str">
        <f>Roster!T308</f>
        <v>.</v>
      </c>
      <c r="T36" s="37" t="str">
        <f>Roster!U308</f>
        <v>.</v>
      </c>
      <c r="U36" s="37" t="str">
        <f>Roster!V308</f>
        <v>.</v>
      </c>
      <c r="V36" s="37" t="str">
        <f>Roster!W308</f>
        <v>.</v>
      </c>
      <c r="W36" s="37" t="str">
        <f>Roster!X308</f>
        <v>.</v>
      </c>
      <c r="X36" s="37" t="str">
        <f>Roster!Y308</f>
        <v>.</v>
      </c>
      <c r="Y36" s="37" t="str">
        <f>Roster!Z308</f>
        <v>.</v>
      </c>
      <c r="Z36" s="37" t="str">
        <f>Roster!AA308</f>
        <v>.</v>
      </c>
      <c r="AA36" s="37" t="str">
        <f>Roster!AB308</f>
        <v>.</v>
      </c>
      <c r="AB36" s="37" t="str">
        <f>Roster!AC308</f>
        <v>.</v>
      </c>
      <c r="AC36" s="37" t="str">
        <f>Roster!AD308</f>
        <v>.</v>
      </c>
      <c r="AD36" s="37" t="str">
        <f>Roster!AE308</f>
        <v>.</v>
      </c>
      <c r="AE36" s="37" t="str">
        <f>Roster!AF308</f>
        <v>.</v>
      </c>
      <c r="AF36" s="37" t="str">
        <f>Roster!AG308</f>
        <v>.</v>
      </c>
      <c r="AG36" s="38" t="str">
        <f>Roster!AH308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7"/>
    </row>
    <row r="38" spans="2:33" ht="14.4" thickTop="1" thickBot="1">
      <c r="B38" s="110" t="str">
        <f>Roster!C322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</row>
    <row r="39" spans="2:33" ht="14.4" thickTop="1" thickBot="1">
      <c r="B39" s="110" t="str">
        <f>CurYear</f>
        <v>2016</v>
      </c>
      <c r="C39" s="36" t="str">
        <f>Roster!D323</f>
        <v>.</v>
      </c>
      <c r="D39" s="37" t="str">
        <f>Roster!E323</f>
        <v>.</v>
      </c>
      <c r="E39" s="37" t="str">
        <f>Roster!F323</f>
        <v>.</v>
      </c>
      <c r="F39" s="37" t="str">
        <f>Roster!G323</f>
        <v>.</v>
      </c>
      <c r="G39" s="37" t="str">
        <f>Roster!H323</f>
        <v>.</v>
      </c>
      <c r="H39" s="37" t="str">
        <f>Roster!I323</f>
        <v>.</v>
      </c>
      <c r="I39" s="37" t="str">
        <f>Roster!J323</f>
        <v>.</v>
      </c>
      <c r="J39" s="37" t="str">
        <f>Roster!K323</f>
        <v>.</v>
      </c>
      <c r="K39" s="37" t="str">
        <f>Roster!L323</f>
        <v>.</v>
      </c>
      <c r="L39" s="37" t="str">
        <f>Roster!M323</f>
        <v>.</v>
      </c>
      <c r="M39" s="37" t="str">
        <f>Roster!N323</f>
        <v>.</v>
      </c>
      <c r="N39" s="37" t="str">
        <f>Roster!O323</f>
        <v>.</v>
      </c>
      <c r="O39" s="37" t="str">
        <f>Roster!P323</f>
        <v>.</v>
      </c>
      <c r="P39" s="37" t="str">
        <f>Roster!Q323</f>
        <v>.</v>
      </c>
      <c r="Q39" s="37" t="str">
        <f>Roster!R323</f>
        <v>.</v>
      </c>
      <c r="R39" s="37" t="str">
        <f>Roster!S323</f>
        <v>.</v>
      </c>
      <c r="S39" s="37" t="str">
        <f>Roster!T323</f>
        <v>.</v>
      </c>
      <c r="T39" s="37" t="str">
        <f>Roster!U323</f>
        <v>.</v>
      </c>
      <c r="U39" s="37" t="str">
        <f>Roster!V323</f>
        <v>.</v>
      </c>
      <c r="V39" s="37" t="str">
        <f>Roster!W323</f>
        <v>.</v>
      </c>
      <c r="W39" s="37" t="str">
        <f>Roster!X323</f>
        <v>.</v>
      </c>
      <c r="X39" s="37" t="str">
        <f>Roster!Y323</f>
        <v>.</v>
      </c>
      <c r="Y39" s="37" t="str">
        <f>Roster!Z323</f>
        <v>.</v>
      </c>
      <c r="Z39" s="37" t="str">
        <f>Roster!AA323</f>
        <v>.</v>
      </c>
      <c r="AA39" s="37" t="str">
        <f>Roster!AB323</f>
        <v>.</v>
      </c>
      <c r="AB39" s="37" t="str">
        <f>Roster!AC323</f>
        <v>.</v>
      </c>
      <c r="AC39" s="37" t="str">
        <f>Roster!AD323</f>
        <v>.</v>
      </c>
      <c r="AD39" s="37" t="str">
        <f>Roster!AE323</f>
        <v>.</v>
      </c>
      <c r="AE39" s="37" t="str">
        <f>Roster!AF323</f>
        <v>.</v>
      </c>
      <c r="AF39" s="38" t="str">
        <f>Roster!AG323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4" customFormat="1" ht="17.399999999999999">
      <c r="B1" s="133"/>
    </row>
    <row r="2" spans="2:35" s="134" customFormat="1" ht="24.75" customHeight="1">
      <c r="B2" s="133"/>
      <c r="I2" s="138" t="str">
        <f>Location</f>
        <v>Oodlawirra Quarantine Station</v>
      </c>
      <c r="J2" s="136"/>
      <c r="K2" s="136"/>
      <c r="L2" s="136"/>
      <c r="M2" s="136"/>
      <c r="N2" s="136"/>
      <c r="O2" s="136"/>
      <c r="P2" s="136"/>
      <c r="Q2" s="136"/>
      <c r="R2" s="138" t="str">
        <f xml:space="preserve"> "Financial Year Commencing 1st July, " &amp; CurYear -1</f>
        <v>Financial Year Commencing 1st July, 2015</v>
      </c>
      <c r="S2" s="135"/>
      <c r="T2" s="136"/>
      <c r="U2" s="136"/>
      <c r="V2" s="135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2:35" s="134" customFormat="1" ht="27" customHeight="1">
      <c r="B3" s="133"/>
      <c r="I3" s="139" t="s">
        <v>25</v>
      </c>
      <c r="R3" s="139" t="str">
        <f>EmpGName02 &amp;" " &amp; EmpSName02</f>
        <v>Kevin Stone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</row>
    <row r="4" spans="2:35" s="44" customFormat="1" ht="13.8" thickBot="1">
      <c r="B4" s="107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7" t="str">
        <f t="shared" si="0"/>
        <v>Fr</v>
      </c>
    </row>
    <row r="5" spans="2:35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5" ht="14.4" thickTop="1" thickBot="1">
      <c r="B6" s="110">
        <f>CurYear-1</f>
        <v>2015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14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5" ht="14.4" thickTop="1" thickBot="1">
      <c r="B9" s="110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7"/>
      <c r="AI10" s="108"/>
    </row>
    <row r="11" spans="2:35" ht="14.4" thickTop="1" thickBot="1">
      <c r="B11" s="110" t="str">
        <f>Roster!C75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  <c r="AG11" s="20"/>
    </row>
    <row r="12" spans="2:35" ht="14.4" thickTop="1" thickBot="1">
      <c r="B12" s="110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10" t="str">
        <f>Roster!C106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5" ht="14.4" thickTop="1" thickBot="1">
      <c r="B15" s="110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7"/>
    </row>
    <row r="17" spans="2:33" ht="14.4" thickTop="1" thickBot="1">
      <c r="B17" s="110" t="str">
        <f>Roster!C137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  <c r="AG17" s="20"/>
    </row>
    <row r="18" spans="2:33" ht="14.4" thickTop="1" thickBot="1">
      <c r="B18" s="110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21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10" t="str">
        <f>Roster!C168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10" t="str">
        <f>Roster!$C$199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122"/>
      <c r="AG25" s="123"/>
    </row>
    <row r="26" spans="2:33" ht="14.4" thickTop="1" thickBot="1">
      <c r="B26" s="110" t="str">
        <f>Roster!$C$230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  <c r="AG26" s="20"/>
    </row>
    <row r="27" spans="2:33" ht="14.4" thickTop="1" thickBot="1">
      <c r="B27" s="110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30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10" t="str">
        <f>Roster!$C$261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25"/>
    </row>
    <row r="32" spans="2:33" ht="14.4" thickTop="1" thickBot="1">
      <c r="B32" s="110" t="str">
        <f>Roster!$C$292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  <c r="AG32" s="20"/>
    </row>
    <row r="33" spans="2:33" ht="14.4" thickTop="1" thickBot="1">
      <c r="B33" s="110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10" t="str">
        <f>Roster!$C$307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2016</v>
      </c>
      <c r="C36" s="36" t="str">
        <f>Roster!D309</f>
        <v>.</v>
      </c>
      <c r="D36" s="37" t="str">
        <f>Roster!E309</f>
        <v>.</v>
      </c>
      <c r="E36" s="37" t="str">
        <f>Roster!F309</f>
        <v>.</v>
      </c>
      <c r="F36" s="37" t="str">
        <f>Roster!G309</f>
        <v>.</v>
      </c>
      <c r="G36" s="37" t="str">
        <f>Roster!H309</f>
        <v>.</v>
      </c>
      <c r="H36" s="37" t="str">
        <f>Roster!I309</f>
        <v>.</v>
      </c>
      <c r="I36" s="37" t="str">
        <f>Roster!J309</f>
        <v>.</v>
      </c>
      <c r="J36" s="37" t="str">
        <f>Roster!K309</f>
        <v>.</v>
      </c>
      <c r="K36" s="37" t="str">
        <f>Roster!L309</f>
        <v>.</v>
      </c>
      <c r="L36" s="37" t="str">
        <f>Roster!M309</f>
        <v>.</v>
      </c>
      <c r="M36" s="37" t="str">
        <f>Roster!N309</f>
        <v>.</v>
      </c>
      <c r="N36" s="37" t="str">
        <f>Roster!O309</f>
        <v>.</v>
      </c>
      <c r="O36" s="37" t="str">
        <f>Roster!P309</f>
        <v>.</v>
      </c>
      <c r="P36" s="37" t="str">
        <f>Roster!Q309</f>
        <v>.</v>
      </c>
      <c r="Q36" s="37" t="str">
        <f>Roster!R309</f>
        <v>.</v>
      </c>
      <c r="R36" s="37" t="str">
        <f>Roster!S309</f>
        <v>.</v>
      </c>
      <c r="S36" s="37" t="str">
        <f>Roster!T309</f>
        <v>.</v>
      </c>
      <c r="T36" s="37" t="str">
        <f>Roster!U309</f>
        <v>.</v>
      </c>
      <c r="U36" s="37" t="str">
        <f>Roster!V309</f>
        <v>.</v>
      </c>
      <c r="V36" s="37" t="str">
        <f>Roster!W309</f>
        <v>.</v>
      </c>
      <c r="W36" s="37" t="str">
        <f>Roster!X309</f>
        <v>.</v>
      </c>
      <c r="X36" s="37" t="str">
        <f>Roster!Y309</f>
        <v>.</v>
      </c>
      <c r="Y36" s="37" t="str">
        <f>Roster!Z309</f>
        <v>.</v>
      </c>
      <c r="Z36" s="37" t="str">
        <f>Roster!AA309</f>
        <v>.</v>
      </c>
      <c r="AA36" s="37" t="str">
        <f>Roster!AB309</f>
        <v>.</v>
      </c>
      <c r="AB36" s="37" t="str">
        <f>Roster!AC309</f>
        <v>.</v>
      </c>
      <c r="AC36" s="37" t="str">
        <f>Roster!AD309</f>
        <v>.</v>
      </c>
      <c r="AD36" s="37" t="str">
        <f>Roster!AE309</f>
        <v>.</v>
      </c>
      <c r="AE36" s="37" t="str">
        <f>Roster!AF309</f>
        <v>.</v>
      </c>
      <c r="AF36" s="37" t="str">
        <f>Roster!AG309</f>
        <v>.</v>
      </c>
      <c r="AG36" s="38" t="str">
        <f>Roster!AH309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7"/>
    </row>
    <row r="38" spans="2:33" ht="14.4" thickTop="1" thickBot="1">
      <c r="B38" s="110" t="str">
        <f>Roster!C322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  <c r="AG38" s="20"/>
    </row>
    <row r="39" spans="2:33" ht="14.4" thickTop="1" thickBot="1">
      <c r="B39" s="110" t="str">
        <f>CurYear</f>
        <v>2016</v>
      </c>
      <c r="C39" s="36" t="str">
        <f>Roster!D324</f>
        <v>.</v>
      </c>
      <c r="D39" s="37" t="str">
        <f>Roster!E324</f>
        <v>.</v>
      </c>
      <c r="E39" s="37" t="str">
        <f>Roster!F324</f>
        <v>.</v>
      </c>
      <c r="F39" s="37" t="str">
        <f>Roster!G324</f>
        <v>.</v>
      </c>
      <c r="G39" s="37" t="str">
        <f>Roster!H324</f>
        <v>.</v>
      </c>
      <c r="H39" s="37" t="str">
        <f>Roster!I324</f>
        <v>.</v>
      </c>
      <c r="I39" s="37" t="str">
        <f>Roster!J324</f>
        <v>.</v>
      </c>
      <c r="J39" s="37" t="str">
        <f>Roster!K324</f>
        <v>.</v>
      </c>
      <c r="K39" s="37" t="str">
        <f>Roster!L324</f>
        <v>.</v>
      </c>
      <c r="L39" s="37" t="str">
        <f>Roster!M324</f>
        <v>.</v>
      </c>
      <c r="M39" s="37" t="str">
        <f>Roster!N324</f>
        <v>.</v>
      </c>
      <c r="N39" s="37" t="str">
        <f>Roster!O324</f>
        <v>.</v>
      </c>
      <c r="O39" s="37" t="str">
        <f>Roster!P324</f>
        <v>.</v>
      </c>
      <c r="P39" s="37" t="str">
        <f>Roster!Q324</f>
        <v>.</v>
      </c>
      <c r="Q39" s="37" t="str">
        <f>Roster!R324</f>
        <v>.</v>
      </c>
      <c r="R39" s="37" t="str">
        <f>Roster!S324</f>
        <v>.</v>
      </c>
      <c r="S39" s="37" t="str">
        <f>Roster!T324</f>
        <v>.</v>
      </c>
      <c r="T39" s="37" t="str">
        <f>Roster!U324</f>
        <v>.</v>
      </c>
      <c r="U39" s="37" t="str">
        <f>Roster!V324</f>
        <v>.</v>
      </c>
      <c r="V39" s="37" t="str">
        <f>Roster!W324</f>
        <v>.</v>
      </c>
      <c r="W39" s="37" t="str">
        <f>Roster!X324</f>
        <v>.</v>
      </c>
      <c r="X39" s="37" t="str">
        <f>Roster!Y324</f>
        <v>.</v>
      </c>
      <c r="Y39" s="37" t="str">
        <f>Roster!Z324</f>
        <v>.</v>
      </c>
      <c r="Z39" s="37" t="str">
        <f>Roster!AA324</f>
        <v>.</v>
      </c>
      <c r="AA39" s="37" t="str">
        <f>Roster!AB324</f>
        <v>.</v>
      </c>
      <c r="AB39" s="37" t="str">
        <f>Roster!AC324</f>
        <v>.</v>
      </c>
      <c r="AC39" s="37" t="str">
        <f>Roster!AD324</f>
        <v>.</v>
      </c>
      <c r="AD39" s="37" t="str">
        <f>Roster!AE324</f>
        <v>.</v>
      </c>
      <c r="AE39" s="37" t="str">
        <f>Roster!AF324</f>
        <v>.</v>
      </c>
      <c r="AF39" s="38" t="str">
        <f>Roster!AG324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132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EmpGName03 &amp;" " &amp; EmpSName03</f>
        <v>Ian Thelning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30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Roster!D310</f>
        <v>.</v>
      </c>
      <c r="D36" s="37" t="str">
        <f>Roster!E310</f>
        <v>.</v>
      </c>
      <c r="E36" s="37" t="str">
        <f>Roster!F310</f>
        <v>.</v>
      </c>
      <c r="F36" s="37" t="str">
        <f>Roster!G310</f>
        <v>.</v>
      </c>
      <c r="G36" s="37" t="str">
        <f>Roster!H310</f>
        <v>.</v>
      </c>
      <c r="H36" s="37" t="str">
        <f>Roster!I310</f>
        <v>.</v>
      </c>
      <c r="I36" s="37" t="str">
        <f>Roster!J310</f>
        <v>.</v>
      </c>
      <c r="J36" s="37" t="str">
        <f>Roster!K310</f>
        <v>.</v>
      </c>
      <c r="K36" s="37" t="str">
        <f>Roster!L310</f>
        <v>.</v>
      </c>
      <c r="L36" s="37" t="str">
        <f>Roster!M310</f>
        <v>.</v>
      </c>
      <c r="M36" s="37" t="str">
        <f>Roster!N310</f>
        <v>.</v>
      </c>
      <c r="N36" s="37" t="str">
        <f>Roster!O310</f>
        <v>.</v>
      </c>
      <c r="O36" s="37" t="str">
        <f>Roster!P310</f>
        <v>.</v>
      </c>
      <c r="P36" s="37" t="str">
        <f>Roster!Q310</f>
        <v>.</v>
      </c>
      <c r="Q36" s="37" t="str">
        <f>Roster!R310</f>
        <v>.</v>
      </c>
      <c r="R36" s="37" t="str">
        <f>Roster!S310</f>
        <v>.</v>
      </c>
      <c r="S36" s="37" t="str">
        <f>Roster!T310</f>
        <v>.</v>
      </c>
      <c r="T36" s="37" t="str">
        <f>Roster!U310</f>
        <v>.</v>
      </c>
      <c r="U36" s="37" t="str">
        <f>Roster!V310</f>
        <v>.</v>
      </c>
      <c r="V36" s="37" t="str">
        <f>Roster!W310</f>
        <v>.</v>
      </c>
      <c r="W36" s="37" t="str">
        <f>Roster!X310</f>
        <v>.</v>
      </c>
      <c r="X36" s="37" t="str">
        <f>Roster!Y310</f>
        <v>.</v>
      </c>
      <c r="Y36" s="37" t="str">
        <f>Roster!Z310</f>
        <v>.</v>
      </c>
      <c r="Z36" s="37" t="str">
        <f>Roster!AA310</f>
        <v>.</v>
      </c>
      <c r="AA36" s="37" t="str">
        <f>Roster!AB310</f>
        <v>.</v>
      </c>
      <c r="AB36" s="37" t="str">
        <f>Roster!AC310</f>
        <v>.</v>
      </c>
      <c r="AC36" s="37" t="str">
        <f>Roster!AD310</f>
        <v>.</v>
      </c>
      <c r="AD36" s="37" t="str">
        <f>Roster!AE310</f>
        <v>.</v>
      </c>
      <c r="AE36" s="37" t="str">
        <f>Roster!AF310</f>
        <v>.</v>
      </c>
      <c r="AF36" s="37" t="str">
        <f>Roster!AG310</f>
        <v>.</v>
      </c>
      <c r="AG36" s="38" t="str">
        <f>Roster!AH310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Roster!D325</f>
        <v>.</v>
      </c>
      <c r="D39" s="37" t="str">
        <f>Roster!E325</f>
        <v>.</v>
      </c>
      <c r="E39" s="37" t="str">
        <f>Roster!F325</f>
        <v>.</v>
      </c>
      <c r="F39" s="37" t="str">
        <f>Roster!G325</f>
        <v>.</v>
      </c>
      <c r="G39" s="37" t="str">
        <f>Roster!H325</f>
        <v>.</v>
      </c>
      <c r="H39" s="37" t="str">
        <f>Roster!I325</f>
        <v>.</v>
      </c>
      <c r="I39" s="37" t="str">
        <f>Roster!J325</f>
        <v>.</v>
      </c>
      <c r="J39" s="37" t="str">
        <f>Roster!K325</f>
        <v>.</v>
      </c>
      <c r="K39" s="37" t="str">
        <f>Roster!L325</f>
        <v>.</v>
      </c>
      <c r="L39" s="37" t="str">
        <f>Roster!M325</f>
        <v>.</v>
      </c>
      <c r="M39" s="37" t="str">
        <f>Roster!N325</f>
        <v>.</v>
      </c>
      <c r="N39" s="37" t="str">
        <f>Roster!O325</f>
        <v>.</v>
      </c>
      <c r="O39" s="37" t="str">
        <f>Roster!P325</f>
        <v>.</v>
      </c>
      <c r="P39" s="37" t="str">
        <f>Roster!Q325</f>
        <v>.</v>
      </c>
      <c r="Q39" s="37" t="str">
        <f>Roster!R325</f>
        <v>.</v>
      </c>
      <c r="R39" s="37" t="str">
        <f>Roster!S325</f>
        <v>.</v>
      </c>
      <c r="S39" s="37" t="str">
        <f>Roster!T325</f>
        <v>.</v>
      </c>
      <c r="T39" s="37" t="str">
        <f>Roster!U325</f>
        <v>.</v>
      </c>
      <c r="U39" s="37" t="str">
        <f>Roster!V325</f>
        <v>.</v>
      </c>
      <c r="V39" s="37" t="str">
        <f>Roster!W325</f>
        <v>.</v>
      </c>
      <c r="W39" s="37" t="str">
        <f>Roster!X325</f>
        <v>.</v>
      </c>
      <c r="X39" s="37" t="str">
        <f>Roster!Y325</f>
        <v>.</v>
      </c>
      <c r="Y39" s="37" t="str">
        <f>Roster!Z325</f>
        <v>.</v>
      </c>
      <c r="Z39" s="37" t="str">
        <f>Roster!AA325</f>
        <v>.</v>
      </c>
      <c r="AA39" s="37" t="str">
        <f>Roster!AB325</f>
        <v>.</v>
      </c>
      <c r="AB39" s="37" t="str">
        <f>Roster!AC325</f>
        <v>.</v>
      </c>
      <c r="AC39" s="37" t="str">
        <f>Roster!AD325</f>
        <v>.</v>
      </c>
      <c r="AD39" s="37" t="str">
        <f>Roster!AE325</f>
        <v>.</v>
      </c>
      <c r="AE39" s="37" t="str">
        <f>Roster!AF325</f>
        <v>.</v>
      </c>
      <c r="AF39" s="38" t="str">
        <f>Roster!AG325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30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Roster!D311</f>
        <v>.</v>
      </c>
      <c r="D36" s="37" t="str">
        <f>Roster!E311</f>
        <v>.</v>
      </c>
      <c r="E36" s="37" t="str">
        <f>Roster!F311</f>
        <v>.</v>
      </c>
      <c r="F36" s="37" t="str">
        <f>Roster!G311</f>
        <v>.</v>
      </c>
      <c r="G36" s="37" t="str">
        <f>Roster!H311</f>
        <v>.</v>
      </c>
      <c r="H36" s="37" t="str">
        <f>Roster!I311</f>
        <v>.</v>
      </c>
      <c r="I36" s="37" t="str">
        <f>Roster!J311</f>
        <v>.</v>
      </c>
      <c r="J36" s="37" t="str">
        <f>Roster!K311</f>
        <v>.</v>
      </c>
      <c r="K36" s="37" t="str">
        <f>Roster!L311</f>
        <v>.</v>
      </c>
      <c r="L36" s="37" t="str">
        <f>Roster!M311</f>
        <v>.</v>
      </c>
      <c r="M36" s="37" t="str">
        <f>Roster!N311</f>
        <v>.</v>
      </c>
      <c r="N36" s="37" t="str">
        <f>Roster!O311</f>
        <v>.</v>
      </c>
      <c r="O36" s="37" t="str">
        <f>Roster!P311</f>
        <v>.</v>
      </c>
      <c r="P36" s="37" t="str">
        <f>Roster!Q311</f>
        <v>.</v>
      </c>
      <c r="Q36" s="37" t="str">
        <f>Roster!R311</f>
        <v>.</v>
      </c>
      <c r="R36" s="37" t="str">
        <f>Roster!S311</f>
        <v>.</v>
      </c>
      <c r="S36" s="37" t="str">
        <f>Roster!T311</f>
        <v>.</v>
      </c>
      <c r="T36" s="37" t="str">
        <f>Roster!U311</f>
        <v>.</v>
      </c>
      <c r="U36" s="37" t="str">
        <f>Roster!V311</f>
        <v>.</v>
      </c>
      <c r="V36" s="37" t="str">
        <f>Roster!W311</f>
        <v>.</v>
      </c>
      <c r="W36" s="37" t="str">
        <f>Roster!X311</f>
        <v>.</v>
      </c>
      <c r="X36" s="37" t="str">
        <f>Roster!Y311</f>
        <v>.</v>
      </c>
      <c r="Y36" s="37" t="str">
        <f>Roster!Z311</f>
        <v>.</v>
      </c>
      <c r="Z36" s="37" t="str">
        <f>Roster!AA311</f>
        <v>.</v>
      </c>
      <c r="AA36" s="37" t="str">
        <f>Roster!AB311</f>
        <v>.</v>
      </c>
      <c r="AB36" s="37" t="str">
        <f>Roster!AC311</f>
        <v>.</v>
      </c>
      <c r="AC36" s="37" t="str">
        <f>Roster!AD311</f>
        <v>.</v>
      </c>
      <c r="AD36" s="37" t="str">
        <f>Roster!AE311</f>
        <v>.</v>
      </c>
      <c r="AE36" s="37" t="str">
        <f>Roster!AF311</f>
        <v>.</v>
      </c>
      <c r="AF36" s="37" t="str">
        <f>Roster!AG311</f>
        <v>.</v>
      </c>
      <c r="AG36" s="38" t="str">
        <f>Roster!AH311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Roster!D326</f>
        <v>.</v>
      </c>
      <c r="D39" s="37" t="str">
        <f>Roster!E326</f>
        <v>.</v>
      </c>
      <c r="E39" s="37" t="str">
        <f>Roster!F326</f>
        <v>.</v>
      </c>
      <c r="F39" s="37" t="str">
        <f>Roster!G326</f>
        <v>.</v>
      </c>
      <c r="G39" s="37" t="str">
        <f>Roster!H326</f>
        <v>.</v>
      </c>
      <c r="H39" s="37" t="str">
        <f>Roster!I326</f>
        <v>.</v>
      </c>
      <c r="I39" s="37" t="str">
        <f>Roster!J326</f>
        <v>.</v>
      </c>
      <c r="J39" s="37" t="str">
        <f>Roster!K326</f>
        <v>.</v>
      </c>
      <c r="K39" s="37" t="str">
        <f>Roster!L326</f>
        <v>.</v>
      </c>
      <c r="L39" s="37" t="str">
        <f>Roster!M326</f>
        <v>.</v>
      </c>
      <c r="M39" s="37" t="str">
        <f>Roster!N326</f>
        <v>.</v>
      </c>
      <c r="N39" s="37" t="str">
        <f>Roster!O326</f>
        <v>.</v>
      </c>
      <c r="O39" s="37" t="str">
        <f>Roster!P326</f>
        <v>.</v>
      </c>
      <c r="P39" s="37" t="str">
        <f>Roster!Q326</f>
        <v>.</v>
      </c>
      <c r="Q39" s="37" t="str">
        <f>Roster!R326</f>
        <v>.</v>
      </c>
      <c r="R39" s="37" t="str">
        <f>Roster!S326</f>
        <v>.</v>
      </c>
      <c r="S39" s="37" t="str">
        <f>Roster!T326</f>
        <v>.</v>
      </c>
      <c r="T39" s="37" t="str">
        <f>Roster!U326</f>
        <v>.</v>
      </c>
      <c r="U39" s="37" t="str">
        <f>Roster!V326</f>
        <v>.</v>
      </c>
      <c r="V39" s="37" t="str">
        <f>Roster!W326</f>
        <v>.</v>
      </c>
      <c r="W39" s="37" t="str">
        <f>Roster!X326</f>
        <v>.</v>
      </c>
      <c r="X39" s="37" t="str">
        <f>Roster!Y326</f>
        <v>.</v>
      </c>
      <c r="Y39" s="37" t="str">
        <f>Roster!Z326</f>
        <v>.</v>
      </c>
      <c r="Z39" s="37" t="str">
        <f>Roster!AA326</f>
        <v>.</v>
      </c>
      <c r="AA39" s="37" t="str">
        <f>Roster!AB326</f>
        <v>.</v>
      </c>
      <c r="AB39" s="37" t="str">
        <f>Roster!AC326</f>
        <v>.</v>
      </c>
      <c r="AC39" s="37" t="str">
        <f>Roster!AD326</f>
        <v>.</v>
      </c>
      <c r="AD39" s="37" t="str">
        <f>Roster!AE326</f>
        <v>.</v>
      </c>
      <c r="AE39" s="37" t="str">
        <f>Roster!AF326</f>
        <v>.</v>
      </c>
      <c r="AF39" s="38" t="str">
        <f>Roster!AG326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EmpGName05 &amp;" " &amp; EmpSName05</f>
        <v>David Castle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30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Roster!D312</f>
        <v>.</v>
      </c>
      <c r="D36" s="37" t="str">
        <f>Roster!E312</f>
        <v>.</v>
      </c>
      <c r="E36" s="37" t="str">
        <f>Roster!F312</f>
        <v>.</v>
      </c>
      <c r="F36" s="37" t="str">
        <f>Roster!G312</f>
        <v>.</v>
      </c>
      <c r="G36" s="37" t="str">
        <f>Roster!H312</f>
        <v>.</v>
      </c>
      <c r="H36" s="37" t="str">
        <f>Roster!I312</f>
        <v>.</v>
      </c>
      <c r="I36" s="37" t="str">
        <f>Roster!J312</f>
        <v>.</v>
      </c>
      <c r="J36" s="37" t="str">
        <f>Roster!K312</f>
        <v>.</v>
      </c>
      <c r="K36" s="37" t="str">
        <f>Roster!L312</f>
        <v>.</v>
      </c>
      <c r="L36" s="37" t="str">
        <f>Roster!M312</f>
        <v>.</v>
      </c>
      <c r="M36" s="37" t="str">
        <f>Roster!N312</f>
        <v>.</v>
      </c>
      <c r="N36" s="37" t="str">
        <f>Roster!O312</f>
        <v>.</v>
      </c>
      <c r="O36" s="37" t="str">
        <f>Roster!P312</f>
        <v>.</v>
      </c>
      <c r="P36" s="37" t="str">
        <f>Roster!Q312</f>
        <v>.</v>
      </c>
      <c r="Q36" s="37" t="str">
        <f>Roster!R312</f>
        <v>.</v>
      </c>
      <c r="R36" s="37" t="str">
        <f>Roster!S312</f>
        <v>.</v>
      </c>
      <c r="S36" s="37" t="str">
        <f>Roster!T312</f>
        <v>.</v>
      </c>
      <c r="T36" s="37" t="str">
        <f>Roster!U312</f>
        <v>.</v>
      </c>
      <c r="U36" s="37" t="str">
        <f>Roster!V312</f>
        <v>.</v>
      </c>
      <c r="V36" s="37" t="str">
        <f>Roster!W312</f>
        <v>.</v>
      </c>
      <c r="W36" s="37" t="str">
        <f>Roster!X312</f>
        <v>.</v>
      </c>
      <c r="X36" s="37" t="str">
        <f>Roster!Y312</f>
        <v>.</v>
      </c>
      <c r="Y36" s="37" t="str">
        <f>Roster!Z312</f>
        <v>.</v>
      </c>
      <c r="Z36" s="37" t="str">
        <f>Roster!AA312</f>
        <v>.</v>
      </c>
      <c r="AA36" s="37" t="str">
        <f>Roster!AB312</f>
        <v>.</v>
      </c>
      <c r="AB36" s="37" t="str">
        <f>Roster!AC312</f>
        <v>.</v>
      </c>
      <c r="AC36" s="37" t="str">
        <f>Roster!AD312</f>
        <v>.</v>
      </c>
      <c r="AD36" s="37" t="str">
        <f>Roster!AE312</f>
        <v>.</v>
      </c>
      <c r="AE36" s="37" t="str">
        <f>Roster!AF312</f>
        <v>.</v>
      </c>
      <c r="AF36" s="37" t="str">
        <f>Roster!AG312</f>
        <v>.</v>
      </c>
      <c r="AG36" s="38" t="str">
        <f>Roster!AH312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Roster!D327</f>
        <v>.</v>
      </c>
      <c r="D39" s="37" t="str">
        <f>Roster!E327</f>
        <v>.</v>
      </c>
      <c r="E39" s="37" t="str">
        <f>Roster!F327</f>
        <v>.</v>
      </c>
      <c r="F39" s="37" t="str">
        <f>Roster!G327</f>
        <v>.</v>
      </c>
      <c r="G39" s="37" t="str">
        <f>Roster!H327</f>
        <v>.</v>
      </c>
      <c r="H39" s="37" t="str">
        <f>Roster!I327</f>
        <v>.</v>
      </c>
      <c r="I39" s="37" t="str">
        <f>Roster!J327</f>
        <v>.</v>
      </c>
      <c r="J39" s="37" t="str">
        <f>Roster!K327</f>
        <v>.</v>
      </c>
      <c r="K39" s="37" t="str">
        <f>Roster!L327</f>
        <v>.</v>
      </c>
      <c r="L39" s="37" t="str">
        <f>Roster!M327</f>
        <v>.</v>
      </c>
      <c r="M39" s="37" t="str">
        <f>Roster!N327</f>
        <v>.</v>
      </c>
      <c r="N39" s="37" t="str">
        <f>Roster!O327</f>
        <v>.</v>
      </c>
      <c r="O39" s="37" t="str">
        <f>Roster!P327</f>
        <v>.</v>
      </c>
      <c r="P39" s="37" t="str">
        <f>Roster!Q327</f>
        <v>.</v>
      </c>
      <c r="Q39" s="37" t="str">
        <f>Roster!R327</f>
        <v>.</v>
      </c>
      <c r="R39" s="37" t="str">
        <f>Roster!S327</f>
        <v>.</v>
      </c>
      <c r="S39" s="37" t="str">
        <f>Roster!T327</f>
        <v>.</v>
      </c>
      <c r="T39" s="37" t="str">
        <f>Roster!U327</f>
        <v>.</v>
      </c>
      <c r="U39" s="37" t="str">
        <f>Roster!V327</f>
        <v>.</v>
      </c>
      <c r="V39" s="37" t="str">
        <f>Roster!W327</f>
        <v>.</v>
      </c>
      <c r="W39" s="37" t="str">
        <f>Roster!X327</f>
        <v>.</v>
      </c>
      <c r="X39" s="37" t="str">
        <f>Roster!Y327</f>
        <v>.</v>
      </c>
      <c r="Y39" s="37" t="str">
        <f>Roster!Z327</f>
        <v>.</v>
      </c>
      <c r="Z39" s="37" t="str">
        <f>Roster!AA327</f>
        <v>.</v>
      </c>
      <c r="AA39" s="37" t="str">
        <f>Roster!AB327</f>
        <v>.</v>
      </c>
      <c r="AB39" s="37" t="str">
        <f>Roster!AC327</f>
        <v>.</v>
      </c>
      <c r="AC39" s="37" t="str">
        <f>Roster!AD327</f>
        <v>.</v>
      </c>
      <c r="AD39" s="37" t="str">
        <f>Roster!AE327</f>
        <v>.</v>
      </c>
      <c r="AE39" s="37" t="str">
        <f>Roster!AF327</f>
        <v>.</v>
      </c>
      <c r="AF39" s="38" t="str">
        <f>Roster!AG327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30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Roster!D313</f>
        <v>.</v>
      </c>
      <c r="D36" s="37" t="str">
        <f>Roster!E313</f>
        <v>.</v>
      </c>
      <c r="E36" s="37" t="str">
        <f>Roster!F313</f>
        <v>.</v>
      </c>
      <c r="F36" s="37" t="str">
        <f>Roster!G313</f>
        <v>.</v>
      </c>
      <c r="G36" s="37" t="str">
        <f>Roster!H313</f>
        <v>.</v>
      </c>
      <c r="H36" s="37" t="str">
        <f>Roster!I313</f>
        <v>.</v>
      </c>
      <c r="I36" s="37" t="str">
        <f>Roster!J313</f>
        <v>.</v>
      </c>
      <c r="J36" s="37" t="str">
        <f>Roster!K313</f>
        <v>.</v>
      </c>
      <c r="K36" s="37" t="str">
        <f>Roster!L313</f>
        <v>.</v>
      </c>
      <c r="L36" s="37" t="str">
        <f>Roster!M313</f>
        <v>.</v>
      </c>
      <c r="M36" s="37" t="str">
        <f>Roster!N313</f>
        <v>.</v>
      </c>
      <c r="N36" s="37" t="str">
        <f>Roster!O313</f>
        <v>.</v>
      </c>
      <c r="O36" s="37" t="str">
        <f>Roster!P313</f>
        <v>.</v>
      </c>
      <c r="P36" s="37" t="str">
        <f>Roster!Q313</f>
        <v>.</v>
      </c>
      <c r="Q36" s="37" t="str">
        <f>Roster!R313</f>
        <v>.</v>
      </c>
      <c r="R36" s="37" t="str">
        <f>Roster!S313</f>
        <v>.</v>
      </c>
      <c r="S36" s="37" t="str">
        <f>Roster!T313</f>
        <v>.</v>
      </c>
      <c r="T36" s="37" t="str">
        <f>Roster!U313</f>
        <v>.</v>
      </c>
      <c r="U36" s="37" t="str">
        <f>Roster!V313</f>
        <v>.</v>
      </c>
      <c r="V36" s="37" t="str">
        <f>Roster!W313</f>
        <v>.</v>
      </c>
      <c r="W36" s="37" t="str">
        <f>Roster!X313</f>
        <v>.</v>
      </c>
      <c r="X36" s="37" t="str">
        <f>Roster!Y313</f>
        <v>.</v>
      </c>
      <c r="Y36" s="37" t="str">
        <f>Roster!Z313</f>
        <v>.</v>
      </c>
      <c r="Z36" s="37" t="str">
        <f>Roster!AA313</f>
        <v>.</v>
      </c>
      <c r="AA36" s="37" t="str">
        <f>Roster!AB313</f>
        <v>.</v>
      </c>
      <c r="AB36" s="37" t="str">
        <f>Roster!AC313</f>
        <v>.</v>
      </c>
      <c r="AC36" s="37" t="str">
        <f>Roster!AD313</f>
        <v>.</v>
      </c>
      <c r="AD36" s="37" t="str">
        <f>Roster!AE313</f>
        <v>.</v>
      </c>
      <c r="AE36" s="37" t="str">
        <f>Roster!AF313</f>
        <v>.</v>
      </c>
      <c r="AF36" s="37" t="str">
        <f>Roster!AG313</f>
        <v>.</v>
      </c>
      <c r="AG36" s="38" t="str">
        <f>Roster!AH313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Roster!D328</f>
        <v>.</v>
      </c>
      <c r="D39" s="37" t="str">
        <f>Roster!E328</f>
        <v>.</v>
      </c>
      <c r="E39" s="37" t="str">
        <f>Roster!F328</f>
        <v>.</v>
      </c>
      <c r="F39" s="37" t="str">
        <f>Roster!G328</f>
        <v>.</v>
      </c>
      <c r="G39" s="37" t="str">
        <f>Roster!H328</f>
        <v>.</v>
      </c>
      <c r="H39" s="37" t="str">
        <f>Roster!I328</f>
        <v>.</v>
      </c>
      <c r="I39" s="37" t="str">
        <f>Roster!J328</f>
        <v>.</v>
      </c>
      <c r="J39" s="37" t="str">
        <f>Roster!K328</f>
        <v>.</v>
      </c>
      <c r="K39" s="37" t="str">
        <f>Roster!L328</f>
        <v>.</v>
      </c>
      <c r="L39" s="37" t="str">
        <f>Roster!M328</f>
        <v>.</v>
      </c>
      <c r="M39" s="37" t="str">
        <f>Roster!N328</f>
        <v>.</v>
      </c>
      <c r="N39" s="37" t="str">
        <f>Roster!O328</f>
        <v>.</v>
      </c>
      <c r="O39" s="37" t="str">
        <f>Roster!P328</f>
        <v>.</v>
      </c>
      <c r="P39" s="37" t="str">
        <f>Roster!Q328</f>
        <v>.</v>
      </c>
      <c r="Q39" s="37" t="str">
        <f>Roster!R328</f>
        <v>.</v>
      </c>
      <c r="R39" s="37" t="str">
        <f>Roster!S328</f>
        <v>.</v>
      </c>
      <c r="S39" s="37" t="str">
        <f>Roster!T328</f>
        <v>.</v>
      </c>
      <c r="T39" s="37" t="str">
        <f>Roster!U328</f>
        <v>.</v>
      </c>
      <c r="U39" s="37" t="str">
        <f>Roster!V328</f>
        <v>.</v>
      </c>
      <c r="V39" s="37" t="str">
        <f>Roster!W328</f>
        <v>.</v>
      </c>
      <c r="W39" s="37" t="str">
        <f>Roster!X328</f>
        <v>.</v>
      </c>
      <c r="X39" s="37" t="str">
        <f>Roster!Y328</f>
        <v>.</v>
      </c>
      <c r="Y39" s="37" t="str">
        <f>Roster!Z328</f>
        <v>.</v>
      </c>
      <c r="Z39" s="37" t="str">
        <f>Roster!AA328</f>
        <v>.</v>
      </c>
      <c r="AA39" s="37" t="str">
        <f>Roster!AB328</f>
        <v>.</v>
      </c>
      <c r="AB39" s="37" t="str">
        <f>Roster!AC328</f>
        <v>.</v>
      </c>
      <c r="AC39" s="37" t="str">
        <f>Roster!AD328</f>
        <v>.</v>
      </c>
      <c r="AD39" s="37" t="str">
        <f>Roster!AE328</f>
        <v>.</v>
      </c>
      <c r="AE39" s="37" t="str">
        <f>Roster!AF328</f>
        <v>.</v>
      </c>
      <c r="AF39" s="38" t="str">
        <f>Roster!AG328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EmpGName07 &amp;" " &amp; EmpSName07</f>
        <v>Troy Sorensen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30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Roster!D314</f>
        <v>.</v>
      </c>
      <c r="D36" s="37" t="str">
        <f>Roster!E314</f>
        <v>.</v>
      </c>
      <c r="E36" s="37" t="str">
        <f>Roster!F314</f>
        <v>.</v>
      </c>
      <c r="F36" s="37" t="str">
        <f>Roster!G314</f>
        <v>.</v>
      </c>
      <c r="G36" s="37" t="str">
        <f>Roster!H314</f>
        <v>.</v>
      </c>
      <c r="H36" s="37" t="str">
        <f>Roster!I314</f>
        <v>.</v>
      </c>
      <c r="I36" s="37" t="str">
        <f>Roster!J314</f>
        <v>.</v>
      </c>
      <c r="J36" s="37" t="str">
        <f>Roster!K314</f>
        <v>.</v>
      </c>
      <c r="K36" s="37" t="str">
        <f>Roster!L314</f>
        <v>.</v>
      </c>
      <c r="L36" s="37" t="str">
        <f>Roster!M314</f>
        <v>.</v>
      </c>
      <c r="M36" s="37" t="str">
        <f>Roster!N314</f>
        <v>.</v>
      </c>
      <c r="N36" s="37" t="str">
        <f>Roster!O314</f>
        <v>.</v>
      </c>
      <c r="O36" s="37" t="str">
        <f>Roster!P314</f>
        <v>.</v>
      </c>
      <c r="P36" s="37" t="str">
        <f>Roster!Q314</f>
        <v>.</v>
      </c>
      <c r="Q36" s="37" t="str">
        <f>Roster!R314</f>
        <v>.</v>
      </c>
      <c r="R36" s="37" t="str">
        <f>Roster!S314</f>
        <v>.</v>
      </c>
      <c r="S36" s="37" t="str">
        <f>Roster!T314</f>
        <v>.</v>
      </c>
      <c r="T36" s="37" t="str">
        <f>Roster!U314</f>
        <v>.</v>
      </c>
      <c r="U36" s="37" t="str">
        <f>Roster!V314</f>
        <v>.</v>
      </c>
      <c r="V36" s="37" t="str">
        <f>Roster!W314</f>
        <v>.</v>
      </c>
      <c r="W36" s="37" t="str">
        <f>Roster!X314</f>
        <v>.</v>
      </c>
      <c r="X36" s="37" t="str">
        <f>Roster!Y314</f>
        <v>.</v>
      </c>
      <c r="Y36" s="37" t="str">
        <f>Roster!Z314</f>
        <v>.</v>
      </c>
      <c r="Z36" s="37" t="str">
        <f>Roster!AA314</f>
        <v>.</v>
      </c>
      <c r="AA36" s="37" t="str">
        <f>Roster!AB314</f>
        <v>.</v>
      </c>
      <c r="AB36" s="37" t="str">
        <f>Roster!AC314</f>
        <v>.</v>
      </c>
      <c r="AC36" s="37" t="str">
        <f>Roster!AD314</f>
        <v>.</v>
      </c>
      <c r="AD36" s="37" t="str">
        <f>Roster!AE314</f>
        <v>.</v>
      </c>
      <c r="AE36" s="37" t="str">
        <f>Roster!AF314</f>
        <v>.</v>
      </c>
      <c r="AF36" s="37" t="str">
        <f>Roster!AG314</f>
        <v>.</v>
      </c>
      <c r="AG36" s="38" t="str">
        <f>Roster!AH314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Roster!D329</f>
        <v>.</v>
      </c>
      <c r="D39" s="37" t="str">
        <f>Roster!E329</f>
        <v>.</v>
      </c>
      <c r="E39" s="37" t="str">
        <f>Roster!F329</f>
        <v>.</v>
      </c>
      <c r="F39" s="37" t="str">
        <f>Roster!G329</f>
        <v>.</v>
      </c>
      <c r="G39" s="37" t="str">
        <f>Roster!H329</f>
        <v>.</v>
      </c>
      <c r="H39" s="37" t="str">
        <f>Roster!I329</f>
        <v>.</v>
      </c>
      <c r="I39" s="37" t="str">
        <f>Roster!J329</f>
        <v>.</v>
      </c>
      <c r="J39" s="37" t="str">
        <f>Roster!K329</f>
        <v>.</v>
      </c>
      <c r="K39" s="37" t="str">
        <f>Roster!L329</f>
        <v>.</v>
      </c>
      <c r="L39" s="37" t="str">
        <f>Roster!M329</f>
        <v>.</v>
      </c>
      <c r="M39" s="37" t="str">
        <f>Roster!N329</f>
        <v>.</v>
      </c>
      <c r="N39" s="37" t="str">
        <f>Roster!O329</f>
        <v>.</v>
      </c>
      <c r="O39" s="37" t="str">
        <f>Roster!P329</f>
        <v>.</v>
      </c>
      <c r="P39" s="37" t="str">
        <f>Roster!Q329</f>
        <v>.</v>
      </c>
      <c r="Q39" s="37" t="str">
        <f>Roster!R329</f>
        <v>.</v>
      </c>
      <c r="R39" s="37" t="str">
        <f>Roster!S329</f>
        <v>.</v>
      </c>
      <c r="S39" s="37" t="str">
        <f>Roster!T329</f>
        <v>.</v>
      </c>
      <c r="T39" s="37" t="str">
        <f>Roster!U329</f>
        <v>.</v>
      </c>
      <c r="U39" s="37" t="str">
        <f>Roster!V329</f>
        <v>.</v>
      </c>
      <c r="V39" s="37" t="str">
        <f>Roster!W329</f>
        <v>.</v>
      </c>
      <c r="W39" s="37" t="str">
        <f>Roster!X329</f>
        <v>.</v>
      </c>
      <c r="X39" s="37" t="str">
        <f>Roster!Y329</f>
        <v>.</v>
      </c>
      <c r="Y39" s="37" t="str">
        <f>Roster!Z329</f>
        <v>.</v>
      </c>
      <c r="Z39" s="37" t="str">
        <f>Roster!AA329</f>
        <v>.</v>
      </c>
      <c r="AA39" s="37" t="str">
        <f>Roster!AB329</f>
        <v>.</v>
      </c>
      <c r="AB39" s="37" t="str">
        <f>Roster!AC329</f>
        <v>.</v>
      </c>
      <c r="AC39" s="37" t="str">
        <f>Roster!AD329</f>
        <v>.</v>
      </c>
      <c r="AD39" s="37" t="str">
        <f>Roster!AE329</f>
        <v>.</v>
      </c>
      <c r="AE39" s="37" t="str">
        <f>Roster!AF329</f>
        <v>.</v>
      </c>
      <c r="AF39" s="38" t="str">
        <f>Roster!AG329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EmpGName08 &amp;" " &amp; EmpSName08</f>
        <v xml:space="preserve">Bodd Odd 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Roster!D315</f>
        <v>.</v>
      </c>
      <c r="D36" s="37" t="str">
        <f>Roster!E315</f>
        <v>.</v>
      </c>
      <c r="E36" s="37" t="str">
        <f>Roster!F315</f>
        <v>.</v>
      </c>
      <c r="F36" s="37" t="str">
        <f>Roster!G315</f>
        <v>.</v>
      </c>
      <c r="G36" s="37" t="str">
        <f>Roster!H315</f>
        <v>.</v>
      </c>
      <c r="H36" s="37" t="str">
        <f>Roster!I315</f>
        <v>.</v>
      </c>
      <c r="I36" s="37" t="str">
        <f>Roster!J315</f>
        <v>.</v>
      </c>
      <c r="J36" s="37" t="str">
        <f>Roster!K315</f>
        <v>.</v>
      </c>
      <c r="K36" s="37" t="str">
        <f>Roster!L315</f>
        <v>.</v>
      </c>
      <c r="L36" s="37" t="str">
        <f>Roster!M315</f>
        <v>.</v>
      </c>
      <c r="M36" s="37" t="str">
        <f>Roster!N315</f>
        <v>.</v>
      </c>
      <c r="N36" s="37" t="str">
        <f>Roster!O315</f>
        <v>.</v>
      </c>
      <c r="O36" s="37" t="str">
        <f>Roster!P315</f>
        <v>.</v>
      </c>
      <c r="P36" s="37" t="str">
        <f>Roster!Q315</f>
        <v>.</v>
      </c>
      <c r="Q36" s="37" t="str">
        <f>Roster!R315</f>
        <v>.</v>
      </c>
      <c r="R36" s="37" t="str">
        <f>Roster!S315</f>
        <v>.</v>
      </c>
      <c r="S36" s="37" t="str">
        <f>Roster!T315</f>
        <v>.</v>
      </c>
      <c r="T36" s="37" t="str">
        <f>Roster!U315</f>
        <v>.</v>
      </c>
      <c r="U36" s="37" t="str">
        <f>Roster!V315</f>
        <v>.</v>
      </c>
      <c r="V36" s="37" t="str">
        <f>Roster!W315</f>
        <v>.</v>
      </c>
      <c r="W36" s="37" t="str">
        <f>Roster!X315</f>
        <v>.</v>
      </c>
      <c r="X36" s="37" t="str">
        <f>Roster!Y315</f>
        <v>.</v>
      </c>
      <c r="Y36" s="37" t="str">
        <f>Roster!Z315</f>
        <v>.</v>
      </c>
      <c r="Z36" s="37" t="str">
        <f>Roster!AA315</f>
        <v>.</v>
      </c>
      <c r="AA36" s="37" t="str">
        <f>Roster!AB315</f>
        <v>.</v>
      </c>
      <c r="AB36" s="37" t="str">
        <f>Roster!AC315</f>
        <v>.</v>
      </c>
      <c r="AC36" s="37" t="str">
        <f>Roster!AD315</f>
        <v>.</v>
      </c>
      <c r="AD36" s="37" t="str">
        <f>Roster!AE315</f>
        <v>.</v>
      </c>
      <c r="AE36" s="37" t="str">
        <f>Roster!AF315</f>
        <v>.</v>
      </c>
      <c r="AF36" s="37" t="str">
        <f>Roster!AG315</f>
        <v>.</v>
      </c>
      <c r="AG36" s="38" t="str">
        <f>Roster!AH315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Roster!D330</f>
        <v>.</v>
      </c>
      <c r="D39" s="37" t="str">
        <f>Roster!E330</f>
        <v>.</v>
      </c>
      <c r="E39" s="37" t="str">
        <f>Roster!F330</f>
        <v>.</v>
      </c>
      <c r="F39" s="37" t="str">
        <f>Roster!G330</f>
        <v>.</v>
      </c>
      <c r="G39" s="37" t="str">
        <f>Roster!H330</f>
        <v>.</v>
      </c>
      <c r="H39" s="37" t="str">
        <f>Roster!I330</f>
        <v>.</v>
      </c>
      <c r="I39" s="37" t="str">
        <f>Roster!J330</f>
        <v>.</v>
      </c>
      <c r="J39" s="37" t="str">
        <f>Roster!K330</f>
        <v>.</v>
      </c>
      <c r="K39" s="37" t="str">
        <f>Roster!L330</f>
        <v>.</v>
      </c>
      <c r="L39" s="37" t="str">
        <f>Roster!M330</f>
        <v>.</v>
      </c>
      <c r="M39" s="37" t="str">
        <f>Roster!N330</f>
        <v>.</v>
      </c>
      <c r="N39" s="37" t="str">
        <f>Roster!O330</f>
        <v>.</v>
      </c>
      <c r="O39" s="37" t="str">
        <f>Roster!P330</f>
        <v>.</v>
      </c>
      <c r="P39" s="37" t="str">
        <f>Roster!Q330</f>
        <v>.</v>
      </c>
      <c r="Q39" s="37" t="str">
        <f>Roster!R330</f>
        <v>.</v>
      </c>
      <c r="R39" s="37" t="str">
        <f>Roster!S330</f>
        <v>.</v>
      </c>
      <c r="S39" s="37" t="str">
        <f>Roster!T330</f>
        <v>.</v>
      </c>
      <c r="T39" s="37" t="str">
        <f>Roster!U330</f>
        <v>.</v>
      </c>
      <c r="U39" s="37" t="str">
        <f>Roster!V330</f>
        <v>.</v>
      </c>
      <c r="V39" s="37" t="str">
        <f>Roster!W330</f>
        <v>.</v>
      </c>
      <c r="W39" s="37" t="str">
        <f>Roster!X330</f>
        <v>.</v>
      </c>
      <c r="X39" s="37" t="str">
        <f>Roster!Y330</f>
        <v>.</v>
      </c>
      <c r="Y39" s="37" t="str">
        <f>Roster!Z330</f>
        <v>.</v>
      </c>
      <c r="Z39" s="37" t="str">
        <f>Roster!AA330</f>
        <v>.</v>
      </c>
      <c r="AA39" s="37" t="str">
        <f>Roster!AB330</f>
        <v>.</v>
      </c>
      <c r="AB39" s="37" t="str">
        <f>Roster!AC330</f>
        <v>.</v>
      </c>
      <c r="AC39" s="37" t="str">
        <f>Roster!AD330</f>
        <v>.</v>
      </c>
      <c r="AD39" s="37" t="str">
        <f>Roster!AE330</f>
        <v>.</v>
      </c>
      <c r="AE39" s="37" t="str">
        <f>Roster!AF330</f>
        <v>.</v>
      </c>
      <c r="AF39" s="38" t="str">
        <f>Roster!AG330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3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Roster!D316</f>
        <v>.</v>
      </c>
      <c r="D36" s="37" t="str">
        <f>Roster!E316</f>
        <v>.</v>
      </c>
      <c r="E36" s="37" t="str">
        <f>Roster!F316</f>
        <v>.</v>
      </c>
      <c r="F36" s="37" t="str">
        <f>Roster!G316</f>
        <v>.</v>
      </c>
      <c r="G36" s="37" t="str">
        <f>Roster!H316</f>
        <v>.</v>
      </c>
      <c r="H36" s="37" t="str">
        <f>Roster!I316</f>
        <v>.</v>
      </c>
      <c r="I36" s="37" t="str">
        <f>Roster!J316</f>
        <v>.</v>
      </c>
      <c r="J36" s="37" t="str">
        <f>Roster!K316</f>
        <v>.</v>
      </c>
      <c r="K36" s="37" t="str">
        <f>Roster!L316</f>
        <v>.</v>
      </c>
      <c r="L36" s="37" t="str">
        <f>Roster!M316</f>
        <v>.</v>
      </c>
      <c r="M36" s="37" t="str">
        <f>Roster!N316</f>
        <v>.</v>
      </c>
      <c r="N36" s="37" t="str">
        <f>Roster!O316</f>
        <v>.</v>
      </c>
      <c r="O36" s="37" t="str">
        <f>Roster!P316</f>
        <v>.</v>
      </c>
      <c r="P36" s="37" t="str">
        <f>Roster!Q316</f>
        <v>.</v>
      </c>
      <c r="Q36" s="37" t="str">
        <f>Roster!R316</f>
        <v>.</v>
      </c>
      <c r="R36" s="37" t="str">
        <f>Roster!S316</f>
        <v>.</v>
      </c>
      <c r="S36" s="37" t="str">
        <f>Roster!T316</f>
        <v>.</v>
      </c>
      <c r="T36" s="37" t="str">
        <f>Roster!U316</f>
        <v>.</v>
      </c>
      <c r="U36" s="37" t="str">
        <f>Roster!V316</f>
        <v>.</v>
      </c>
      <c r="V36" s="37" t="str">
        <f>Roster!W316</f>
        <v>.</v>
      </c>
      <c r="W36" s="37" t="str">
        <f>Roster!X316</f>
        <v>.</v>
      </c>
      <c r="X36" s="37" t="str">
        <f>Roster!Y316</f>
        <v>.</v>
      </c>
      <c r="Y36" s="37" t="str">
        <f>Roster!Z316</f>
        <v>.</v>
      </c>
      <c r="Z36" s="37" t="str">
        <f>Roster!AA316</f>
        <v>.</v>
      </c>
      <c r="AA36" s="37" t="str">
        <f>Roster!AB316</f>
        <v>.</v>
      </c>
      <c r="AB36" s="37" t="str">
        <f>Roster!AC316</f>
        <v>.</v>
      </c>
      <c r="AC36" s="37" t="str">
        <f>Roster!AD316</f>
        <v>.</v>
      </c>
      <c r="AD36" s="37" t="str">
        <f>Roster!AE316</f>
        <v>.</v>
      </c>
      <c r="AE36" s="37" t="str">
        <f>Roster!AF316</f>
        <v>.</v>
      </c>
      <c r="AF36" s="37" t="str">
        <f>Roster!AG316</f>
        <v>.</v>
      </c>
      <c r="AG36" s="38" t="str">
        <f>Roster!AH316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Roster!D331</f>
        <v>.</v>
      </c>
      <c r="D39" s="37" t="str">
        <f>Roster!E331</f>
        <v>.</v>
      </c>
      <c r="E39" s="37" t="str">
        <f>Roster!F331</f>
        <v>.</v>
      </c>
      <c r="F39" s="37" t="str">
        <f>Roster!G331</f>
        <v>.</v>
      </c>
      <c r="G39" s="37" t="str">
        <f>Roster!H331</f>
        <v>.</v>
      </c>
      <c r="H39" s="37" t="str">
        <f>Roster!I331</f>
        <v>.</v>
      </c>
      <c r="I39" s="37" t="str">
        <f>Roster!J331</f>
        <v>.</v>
      </c>
      <c r="J39" s="37" t="str">
        <f>Roster!K331</f>
        <v>.</v>
      </c>
      <c r="K39" s="37" t="str">
        <f>Roster!L331</f>
        <v>.</v>
      </c>
      <c r="L39" s="37" t="str">
        <f>Roster!M331</f>
        <v>.</v>
      </c>
      <c r="M39" s="37" t="str">
        <f>Roster!N331</f>
        <v>.</v>
      </c>
      <c r="N39" s="37" t="str">
        <f>Roster!O331</f>
        <v>.</v>
      </c>
      <c r="O39" s="37" t="str">
        <f>Roster!P331</f>
        <v>.</v>
      </c>
      <c r="P39" s="37" t="str">
        <f>Roster!Q331</f>
        <v>.</v>
      </c>
      <c r="Q39" s="37" t="str">
        <f>Roster!R331</f>
        <v>.</v>
      </c>
      <c r="R39" s="37" t="str">
        <f>Roster!S331</f>
        <v>.</v>
      </c>
      <c r="S39" s="37" t="str">
        <f>Roster!T331</f>
        <v>.</v>
      </c>
      <c r="T39" s="37" t="str">
        <f>Roster!U331</f>
        <v>.</v>
      </c>
      <c r="U39" s="37" t="str">
        <f>Roster!V331</f>
        <v>.</v>
      </c>
      <c r="V39" s="37" t="str">
        <f>Roster!W331</f>
        <v>.</v>
      </c>
      <c r="W39" s="37" t="str">
        <f>Roster!X331</f>
        <v>.</v>
      </c>
      <c r="X39" s="37" t="str">
        <f>Roster!Y331</f>
        <v>.</v>
      </c>
      <c r="Y39" s="37" t="str">
        <f>Roster!Z331</f>
        <v>.</v>
      </c>
      <c r="Z39" s="37" t="str">
        <f>Roster!AA331</f>
        <v>.</v>
      </c>
      <c r="AA39" s="37" t="str">
        <f>Roster!AB331</f>
        <v>.</v>
      </c>
      <c r="AB39" s="37" t="str">
        <f>Roster!AC331</f>
        <v>.</v>
      </c>
      <c r="AC39" s="37" t="str">
        <f>Roster!AD331</f>
        <v>.</v>
      </c>
      <c r="AD39" s="37" t="str">
        <f>Roster!AE331</f>
        <v>.</v>
      </c>
      <c r="AE39" s="37" t="str">
        <f>Roster!AF331</f>
        <v>.</v>
      </c>
      <c r="AF39" s="38" t="str">
        <f>Roster!AG331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Roster!D317</f>
        <v>.</v>
      </c>
      <c r="D36" s="37" t="str">
        <f>Roster!E317</f>
        <v>.</v>
      </c>
      <c r="E36" s="37" t="str">
        <f>Roster!F317</f>
        <v>.</v>
      </c>
      <c r="F36" s="37" t="str">
        <f>Roster!G317</f>
        <v>.</v>
      </c>
      <c r="G36" s="37" t="str">
        <f>Roster!H317</f>
        <v>.</v>
      </c>
      <c r="H36" s="37" t="str">
        <f>Roster!I317</f>
        <v>.</v>
      </c>
      <c r="I36" s="37" t="str">
        <f>Roster!J317</f>
        <v>.</v>
      </c>
      <c r="J36" s="37" t="str">
        <f>Roster!K317</f>
        <v>.</v>
      </c>
      <c r="K36" s="37" t="str">
        <f>Roster!L317</f>
        <v>.</v>
      </c>
      <c r="L36" s="37" t="str">
        <f>Roster!M317</f>
        <v>.</v>
      </c>
      <c r="M36" s="37" t="str">
        <f>Roster!N317</f>
        <v>.</v>
      </c>
      <c r="N36" s="37" t="str">
        <f>Roster!O317</f>
        <v>.</v>
      </c>
      <c r="O36" s="37" t="str">
        <f>Roster!P317</f>
        <v>.</v>
      </c>
      <c r="P36" s="37" t="str">
        <f>Roster!Q317</f>
        <v>.</v>
      </c>
      <c r="Q36" s="37" t="str">
        <f>Roster!R317</f>
        <v>.</v>
      </c>
      <c r="R36" s="37" t="str">
        <f>Roster!S317</f>
        <v>.</v>
      </c>
      <c r="S36" s="37" t="str">
        <f>Roster!T317</f>
        <v>.</v>
      </c>
      <c r="T36" s="37" t="str">
        <f>Roster!U317</f>
        <v>.</v>
      </c>
      <c r="U36" s="37" t="str">
        <f>Roster!V317</f>
        <v>.</v>
      </c>
      <c r="V36" s="37" t="str">
        <f>Roster!W317</f>
        <v>.</v>
      </c>
      <c r="W36" s="37" t="str">
        <f>Roster!X317</f>
        <v>.</v>
      </c>
      <c r="X36" s="37" t="str">
        <f>Roster!Y317</f>
        <v>.</v>
      </c>
      <c r="Y36" s="37" t="str">
        <f>Roster!Z317</f>
        <v>.</v>
      </c>
      <c r="Z36" s="37" t="str">
        <f>Roster!AA317</f>
        <v>.</v>
      </c>
      <c r="AA36" s="37" t="str">
        <f>Roster!AB317</f>
        <v>.</v>
      </c>
      <c r="AB36" s="37" t="str">
        <f>Roster!AC317</f>
        <v>.</v>
      </c>
      <c r="AC36" s="37" t="str">
        <f>Roster!AD317</f>
        <v>.</v>
      </c>
      <c r="AD36" s="37" t="str">
        <f>Roster!AE317</f>
        <v>.</v>
      </c>
      <c r="AE36" s="37" t="str">
        <f>Roster!AF317</f>
        <v>.</v>
      </c>
      <c r="AF36" s="37" t="str">
        <f>Roster!AG317</f>
        <v>.</v>
      </c>
      <c r="AG36" s="38" t="str">
        <f>Roster!AH317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Roster!D332</f>
        <v>.</v>
      </c>
      <c r="D39" s="37" t="str">
        <f>Roster!E332</f>
        <v>.</v>
      </c>
      <c r="E39" s="37" t="str">
        <f>Roster!F332</f>
        <v>.</v>
      </c>
      <c r="F39" s="37" t="str">
        <f>Roster!G332</f>
        <v>.</v>
      </c>
      <c r="G39" s="37" t="str">
        <f>Roster!H332</f>
        <v>.</v>
      </c>
      <c r="H39" s="37" t="str">
        <f>Roster!I332</f>
        <v>.</v>
      </c>
      <c r="I39" s="37" t="str">
        <f>Roster!J332</f>
        <v>.</v>
      </c>
      <c r="J39" s="37" t="str">
        <f>Roster!K332</f>
        <v>.</v>
      </c>
      <c r="K39" s="37" t="str">
        <f>Roster!L332</f>
        <v>.</v>
      </c>
      <c r="L39" s="37" t="str">
        <f>Roster!M332</f>
        <v>.</v>
      </c>
      <c r="M39" s="37" t="str">
        <f>Roster!N332</f>
        <v>.</v>
      </c>
      <c r="N39" s="37" t="str">
        <f>Roster!O332</f>
        <v>.</v>
      </c>
      <c r="O39" s="37" t="str">
        <f>Roster!P332</f>
        <v>.</v>
      </c>
      <c r="P39" s="37" t="str">
        <f>Roster!Q332</f>
        <v>.</v>
      </c>
      <c r="Q39" s="37" t="str">
        <f>Roster!R332</f>
        <v>.</v>
      </c>
      <c r="R39" s="37" t="str">
        <f>Roster!S332</f>
        <v>.</v>
      </c>
      <c r="S39" s="37" t="str">
        <f>Roster!T332</f>
        <v>.</v>
      </c>
      <c r="T39" s="37" t="str">
        <f>Roster!U332</f>
        <v>.</v>
      </c>
      <c r="U39" s="37" t="str">
        <f>Roster!V332</f>
        <v>.</v>
      </c>
      <c r="V39" s="37" t="str">
        <f>Roster!W332</f>
        <v>.</v>
      </c>
      <c r="W39" s="37" t="str">
        <f>Roster!X332</f>
        <v>.</v>
      </c>
      <c r="X39" s="37" t="str">
        <f>Roster!Y332</f>
        <v>.</v>
      </c>
      <c r="Y39" s="37" t="str">
        <f>Roster!Z332</f>
        <v>.</v>
      </c>
      <c r="Z39" s="37" t="str">
        <f>Roster!AA332</f>
        <v>.</v>
      </c>
      <c r="AA39" s="37" t="str">
        <f>Roster!AB332</f>
        <v>.</v>
      </c>
      <c r="AB39" s="37" t="str">
        <f>Roster!AC332</f>
        <v>.</v>
      </c>
      <c r="AC39" s="37" t="str">
        <f>Roster!AD332</f>
        <v>.</v>
      </c>
      <c r="AD39" s="37" t="str">
        <f>Roster!AE332</f>
        <v>.</v>
      </c>
      <c r="AE39" s="37" t="str">
        <f>Roster!AF332</f>
        <v>.</v>
      </c>
      <c r="AF39" s="38" t="str">
        <f>Roster!AG332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EmpGName11 &amp;" " &amp; EmpSName11</f>
        <v>2Bod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30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Roster!D318</f>
        <v>.</v>
      </c>
      <c r="D36" s="37" t="str">
        <f>Roster!E318</f>
        <v>.</v>
      </c>
      <c r="E36" s="37" t="str">
        <f>Roster!F318</f>
        <v>.</v>
      </c>
      <c r="F36" s="37" t="str">
        <f>Roster!G318</f>
        <v>.</v>
      </c>
      <c r="G36" s="37" t="str">
        <f>Roster!H318</f>
        <v>.</v>
      </c>
      <c r="H36" s="37" t="str">
        <f>Roster!I318</f>
        <v>.</v>
      </c>
      <c r="I36" s="37" t="str">
        <f>Roster!J318</f>
        <v>.</v>
      </c>
      <c r="J36" s="37" t="str">
        <f>Roster!K318</f>
        <v>.</v>
      </c>
      <c r="K36" s="37" t="str">
        <f>Roster!L318</f>
        <v>.</v>
      </c>
      <c r="L36" s="37" t="str">
        <f>Roster!M318</f>
        <v>.</v>
      </c>
      <c r="M36" s="37" t="str">
        <f>Roster!N318</f>
        <v>.</v>
      </c>
      <c r="N36" s="37" t="str">
        <f>Roster!O318</f>
        <v>.</v>
      </c>
      <c r="O36" s="37" t="str">
        <f>Roster!P318</f>
        <v>.</v>
      </c>
      <c r="P36" s="37" t="str">
        <f>Roster!Q318</f>
        <v>.</v>
      </c>
      <c r="Q36" s="37" t="str">
        <f>Roster!R318</f>
        <v>.</v>
      </c>
      <c r="R36" s="37" t="str">
        <f>Roster!S318</f>
        <v>.</v>
      </c>
      <c r="S36" s="37" t="str">
        <f>Roster!T318</f>
        <v>.</v>
      </c>
      <c r="T36" s="37" t="str">
        <f>Roster!U318</f>
        <v>.</v>
      </c>
      <c r="U36" s="37" t="str">
        <f>Roster!V318</f>
        <v>.</v>
      </c>
      <c r="V36" s="37" t="str">
        <f>Roster!W318</f>
        <v>.</v>
      </c>
      <c r="W36" s="37" t="str">
        <f>Roster!X318</f>
        <v>.</v>
      </c>
      <c r="X36" s="37" t="str">
        <f>Roster!Y318</f>
        <v>.</v>
      </c>
      <c r="Y36" s="37" t="str">
        <f>Roster!Z318</f>
        <v>.</v>
      </c>
      <c r="Z36" s="37" t="str">
        <f>Roster!AA318</f>
        <v>.</v>
      </c>
      <c r="AA36" s="37" t="str">
        <f>Roster!AB318</f>
        <v>.</v>
      </c>
      <c r="AB36" s="37" t="str">
        <f>Roster!AC318</f>
        <v>.</v>
      </c>
      <c r="AC36" s="37" t="str">
        <f>Roster!AD318</f>
        <v>.</v>
      </c>
      <c r="AD36" s="37" t="str">
        <f>Roster!AE318</f>
        <v>.</v>
      </c>
      <c r="AE36" s="37" t="str">
        <f>Roster!AF318</f>
        <v>.</v>
      </c>
      <c r="AF36" s="37" t="str">
        <f>Roster!AG318</f>
        <v>.</v>
      </c>
      <c r="AG36" s="38" t="str">
        <f>Roster!AH318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Roster!D333</f>
        <v>.</v>
      </c>
      <c r="D39" s="37" t="str">
        <f>Roster!E333</f>
        <v>.</v>
      </c>
      <c r="E39" s="37" t="str">
        <f>Roster!F333</f>
        <v>.</v>
      </c>
      <c r="F39" s="37" t="str">
        <f>Roster!G333</f>
        <v>.</v>
      </c>
      <c r="G39" s="37" t="str">
        <f>Roster!H333</f>
        <v>.</v>
      </c>
      <c r="H39" s="37" t="str">
        <f>Roster!I333</f>
        <v>.</v>
      </c>
      <c r="I39" s="37" t="str">
        <f>Roster!J333</f>
        <v>.</v>
      </c>
      <c r="J39" s="37" t="str">
        <f>Roster!K333</f>
        <v>.</v>
      </c>
      <c r="K39" s="37" t="str">
        <f>Roster!L333</f>
        <v>.</v>
      </c>
      <c r="L39" s="37" t="str">
        <f>Roster!M333</f>
        <v>.</v>
      </c>
      <c r="M39" s="37" t="str">
        <f>Roster!N333</f>
        <v>.</v>
      </c>
      <c r="N39" s="37" t="str">
        <f>Roster!O333</f>
        <v>.</v>
      </c>
      <c r="O39" s="37" t="str">
        <f>Roster!P333</f>
        <v>.</v>
      </c>
      <c r="P39" s="37" t="str">
        <f>Roster!Q333</f>
        <v>.</v>
      </c>
      <c r="Q39" s="37" t="str">
        <f>Roster!R333</f>
        <v>.</v>
      </c>
      <c r="R39" s="37" t="str">
        <f>Roster!S333</f>
        <v>.</v>
      </c>
      <c r="S39" s="37" t="str">
        <f>Roster!T333</f>
        <v>.</v>
      </c>
      <c r="T39" s="37" t="str">
        <f>Roster!U333</f>
        <v>.</v>
      </c>
      <c r="U39" s="37" t="str">
        <f>Roster!V333</f>
        <v>.</v>
      </c>
      <c r="V39" s="37" t="str">
        <f>Roster!W333</f>
        <v>.</v>
      </c>
      <c r="W39" s="37" t="str">
        <f>Roster!X333</f>
        <v>.</v>
      </c>
      <c r="X39" s="37" t="str">
        <f>Roster!Y333</f>
        <v>.</v>
      </c>
      <c r="Y39" s="37" t="str">
        <f>Roster!Z333</f>
        <v>.</v>
      </c>
      <c r="Z39" s="37" t="str">
        <f>Roster!AA333</f>
        <v>.</v>
      </c>
      <c r="AA39" s="37" t="str">
        <f>Roster!AB333</f>
        <v>.</v>
      </c>
      <c r="AB39" s="37" t="str">
        <f>Roster!AC333</f>
        <v>.</v>
      </c>
      <c r="AC39" s="37" t="str">
        <f>Roster!AD333</f>
        <v>.</v>
      </c>
      <c r="AD39" s="37" t="str">
        <f>Roster!AE333</f>
        <v>.</v>
      </c>
      <c r="AE39" s="37" t="str">
        <f>Roster!AF333</f>
        <v>.</v>
      </c>
      <c r="AF39" s="38" t="str">
        <f>Roster!AG333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31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30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Roster!$C$307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Roster!D319</f>
        <v>.</v>
      </c>
      <c r="D36" s="37" t="str">
        <f>Roster!E319</f>
        <v>.</v>
      </c>
      <c r="E36" s="37" t="str">
        <f>Roster!F319</f>
        <v>.</v>
      </c>
      <c r="F36" s="37" t="str">
        <f>Roster!G319</f>
        <v>.</v>
      </c>
      <c r="G36" s="37" t="str">
        <f>Roster!H319</f>
        <v>.</v>
      </c>
      <c r="H36" s="37" t="str">
        <f>Roster!I319</f>
        <v>.</v>
      </c>
      <c r="I36" s="37" t="str">
        <f>Roster!J319</f>
        <v>.</v>
      </c>
      <c r="J36" s="37" t="str">
        <f>Roster!K319</f>
        <v>.</v>
      </c>
      <c r="K36" s="37" t="str">
        <f>Roster!L319</f>
        <v>.</v>
      </c>
      <c r="L36" s="37" t="str">
        <f>Roster!M319</f>
        <v>.</v>
      </c>
      <c r="M36" s="37" t="str">
        <f>Roster!N319</f>
        <v>.</v>
      </c>
      <c r="N36" s="37" t="str">
        <f>Roster!O319</f>
        <v>.</v>
      </c>
      <c r="O36" s="37" t="str">
        <f>Roster!P319</f>
        <v>.</v>
      </c>
      <c r="P36" s="37" t="str">
        <f>Roster!Q319</f>
        <v>.</v>
      </c>
      <c r="Q36" s="37" t="str">
        <f>Roster!R319</f>
        <v>.</v>
      </c>
      <c r="R36" s="37" t="str">
        <f>Roster!S319</f>
        <v>.</v>
      </c>
      <c r="S36" s="37" t="str">
        <f>Roster!T319</f>
        <v>.</v>
      </c>
      <c r="T36" s="37" t="str">
        <f>Roster!U319</f>
        <v>.</v>
      </c>
      <c r="U36" s="37" t="str">
        <f>Roster!V319</f>
        <v>.</v>
      </c>
      <c r="V36" s="37" t="str">
        <f>Roster!W319</f>
        <v>.</v>
      </c>
      <c r="W36" s="37" t="str">
        <f>Roster!X319</f>
        <v>.</v>
      </c>
      <c r="X36" s="37" t="str">
        <f>Roster!Y319</f>
        <v>.</v>
      </c>
      <c r="Y36" s="37" t="str">
        <f>Roster!Z319</f>
        <v>.</v>
      </c>
      <c r="Z36" s="37" t="str">
        <f>Roster!AA319</f>
        <v>.</v>
      </c>
      <c r="AA36" s="37" t="str">
        <f>Roster!AB319</f>
        <v>.</v>
      </c>
      <c r="AB36" s="37" t="str">
        <f>Roster!AC319</f>
        <v>.</v>
      </c>
      <c r="AC36" s="37" t="str">
        <f>Roster!AD319</f>
        <v>.</v>
      </c>
      <c r="AD36" s="37" t="str">
        <f>Roster!AE319</f>
        <v>.</v>
      </c>
      <c r="AE36" s="37" t="str">
        <f>Roster!AF319</f>
        <v>.</v>
      </c>
      <c r="AF36" s="37" t="str">
        <f>Roster!AG319</f>
        <v>.</v>
      </c>
      <c r="AG36" s="38" t="str">
        <f>Roster!AH319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Roster!C322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Roster!D334</f>
        <v>.</v>
      </c>
      <c r="D39" s="37" t="str">
        <f>Roster!E334</f>
        <v>.</v>
      </c>
      <c r="E39" s="37" t="str">
        <f>Roster!F334</f>
        <v>.</v>
      </c>
      <c r="F39" s="37" t="str">
        <f>Roster!G334</f>
        <v>.</v>
      </c>
      <c r="G39" s="37" t="str">
        <f>Roster!H334</f>
        <v>.</v>
      </c>
      <c r="H39" s="37" t="str">
        <f>Roster!I334</f>
        <v>.</v>
      </c>
      <c r="I39" s="37" t="str">
        <f>Roster!J334</f>
        <v>.</v>
      </c>
      <c r="J39" s="37" t="str">
        <f>Roster!K334</f>
        <v>.</v>
      </c>
      <c r="K39" s="37" t="str">
        <f>Roster!L334</f>
        <v>.</v>
      </c>
      <c r="L39" s="37" t="str">
        <f>Roster!M334</f>
        <v>.</v>
      </c>
      <c r="M39" s="37" t="str">
        <f>Roster!N334</f>
        <v>.</v>
      </c>
      <c r="N39" s="37" t="str">
        <f>Roster!O334</f>
        <v>.</v>
      </c>
      <c r="O39" s="37" t="str">
        <f>Roster!P334</f>
        <v>.</v>
      </c>
      <c r="P39" s="37" t="str">
        <f>Roster!Q334</f>
        <v>.</v>
      </c>
      <c r="Q39" s="37" t="str">
        <f>Roster!R334</f>
        <v>.</v>
      </c>
      <c r="R39" s="37" t="str">
        <f>Roster!S334</f>
        <v>.</v>
      </c>
      <c r="S39" s="37" t="str">
        <f>Roster!T334</f>
        <v>.</v>
      </c>
      <c r="T39" s="37" t="str">
        <f>Roster!U334</f>
        <v>.</v>
      </c>
      <c r="U39" s="37" t="str">
        <f>Roster!V334</f>
        <v>.</v>
      </c>
      <c r="V39" s="37" t="str">
        <f>Roster!W334</f>
        <v>.</v>
      </c>
      <c r="W39" s="37" t="str">
        <f>Roster!X334</f>
        <v>.</v>
      </c>
      <c r="X39" s="37" t="str">
        <f>Roster!Y334</f>
        <v>.</v>
      </c>
      <c r="Y39" s="37" t="str">
        <f>Roster!Z334</f>
        <v>.</v>
      </c>
      <c r="Z39" s="37" t="str">
        <f>Roster!AA334</f>
        <v>.</v>
      </c>
      <c r="AA39" s="37" t="str">
        <f>Roster!AB334</f>
        <v>.</v>
      </c>
      <c r="AB39" s="37" t="str">
        <f>Roster!AC334</f>
        <v>.</v>
      </c>
      <c r="AC39" s="37" t="str">
        <f>Roster!AD334</f>
        <v>.</v>
      </c>
      <c r="AD39" s="37" t="str">
        <f>Roster!AE334</f>
        <v>.</v>
      </c>
      <c r="AE39" s="37" t="str">
        <f>Roster!AF334</f>
        <v>.</v>
      </c>
      <c r="AF39" s="38" t="str">
        <f>Roster!AG334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202" t="str">
        <f>CurYear-1 &amp; "/"&amp;CurYear</f>
        <v>2015/2016</v>
      </c>
      <c r="C3" s="202"/>
      <c r="D3" s="98" t="s">
        <v>9</v>
      </c>
      <c r="E3" s="98" t="s">
        <v>11</v>
      </c>
      <c r="F3" s="98" t="s">
        <v>10</v>
      </c>
      <c r="G3" s="98" t="s">
        <v>71</v>
      </c>
      <c r="H3" s="98" t="s">
        <v>39</v>
      </c>
      <c r="I3" s="98" t="s">
        <v>40</v>
      </c>
      <c r="J3" s="98" t="s">
        <v>45</v>
      </c>
      <c r="K3" s="103" t="s">
        <v>51</v>
      </c>
      <c r="L3" s="98" t="s">
        <v>46</v>
      </c>
      <c r="M3" s="98" t="s">
        <v>29</v>
      </c>
    </row>
    <row r="4" spans="2:13" s="55" customFormat="1">
      <c r="B4" s="99" t="str">
        <f>EmpGName01</f>
        <v>Luciano</v>
      </c>
      <c r="C4" s="99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0" t="str">
        <f>EmpGName02</f>
        <v>Kevin</v>
      </c>
      <c r="C5" s="100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99" t="str">
        <f>EmpGName03</f>
        <v>Ian</v>
      </c>
      <c r="C6" s="99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0" t="str">
        <f>EmpGName04</f>
        <v>Leon</v>
      </c>
      <c r="C7" s="100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99" t="str">
        <f>EmpGName05</f>
        <v>David</v>
      </c>
      <c r="C8" s="99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0" t="str">
        <f>EmpGName06</f>
        <v>Robin</v>
      </c>
      <c r="C9" s="100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99" t="str">
        <f>EmpGName07</f>
        <v>Troy</v>
      </c>
      <c r="C10" s="99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>
      <c r="B11" s="100" t="str">
        <f>EmpGName08</f>
        <v>Bodd</v>
      </c>
      <c r="C11" s="100" t="str">
        <f>EmpSName08</f>
        <v xml:space="preserve">Odd 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99" t="str">
        <f>EmpGName09</f>
        <v>1Bod</v>
      </c>
      <c r="C12" s="99" t="str">
        <f>EmpSName09</f>
        <v>Odd1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0" t="str">
        <f>EmpSName10</f>
        <v>Odd2</v>
      </c>
      <c r="C13" s="100" t="str">
        <f>EmpGName10</f>
        <v>2Bod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99" t="str">
        <f>EmpSName11</f>
        <v>Odd3</v>
      </c>
      <c r="C14" s="99" t="str">
        <f>EmpGName11</f>
        <v>2Bod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customHeight="1">
      <c r="B15" s="100" t="str">
        <f>EmpSName12</f>
        <v>Odd4</v>
      </c>
      <c r="C15" s="100" t="str">
        <f>EmpGName12</f>
        <v>4Bod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2" t="s">
        <v>50</v>
      </c>
      <c r="D17" s="101">
        <f>SUM(D4:D15)</f>
        <v>0</v>
      </c>
      <c r="E17" s="101">
        <f t="shared" ref="E17:M17" si="2">SUM(E4:E15)</f>
        <v>0</v>
      </c>
      <c r="F17" s="101">
        <f t="shared" si="2"/>
        <v>0</v>
      </c>
      <c r="G17" s="101">
        <f t="shared" si="2"/>
        <v>0</v>
      </c>
      <c r="H17" s="101">
        <f t="shared" si="2"/>
        <v>0</v>
      </c>
      <c r="I17" s="101">
        <f t="shared" si="2"/>
        <v>0</v>
      </c>
      <c r="J17" s="101">
        <f t="shared" si="2"/>
        <v>0</v>
      </c>
      <c r="K17" s="104">
        <f t="shared" si="2"/>
        <v>0</v>
      </c>
      <c r="L17" s="101">
        <f t="shared" si="2"/>
        <v>0</v>
      </c>
      <c r="M17" s="101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418</vt:i4>
      </vt:variant>
    </vt:vector>
  </HeadingPairs>
  <TitlesOfParts>
    <vt:vector size="43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Emp13Aug</vt:lpstr>
      <vt:lpstr>Emp13Dec</vt:lpstr>
      <vt:lpstr>Emp13Feb</vt:lpstr>
      <vt:lpstr>Emp13Jan</vt:lpstr>
      <vt:lpstr>Emp13Jul</vt:lpstr>
      <vt:lpstr>Emp13Mar</vt:lpstr>
      <vt:lpstr>Emp13Nov</vt:lpstr>
      <vt:lpstr>Emp13Oct</vt:lpstr>
      <vt:lpstr>Emp13Sep</vt:lpstr>
      <vt:lpstr>Emp14Aug</vt:lpstr>
      <vt:lpstr>Emp14Dec</vt:lpstr>
      <vt:lpstr>Emp14Feb</vt:lpstr>
      <vt:lpstr>Emp14Jan</vt:lpstr>
      <vt:lpstr>Emp14Jul</vt:lpstr>
      <vt:lpstr>Emp14Mar</vt:lpstr>
      <vt:lpstr>Emp14Nov</vt:lpstr>
      <vt:lpstr>Emp14Oct</vt:lpstr>
      <vt:lpstr>Emp14Sep</vt:lpstr>
      <vt:lpstr>Emp15Aug</vt:lpstr>
      <vt:lpstr>Emp15Dec</vt:lpstr>
      <vt:lpstr>Emp15Feb</vt:lpstr>
      <vt:lpstr>Emp15Jan</vt:lpstr>
      <vt:lpstr>Emp15Jul</vt:lpstr>
      <vt:lpstr>Emp15Mar</vt:lpstr>
      <vt:lpstr>Emp15Nov</vt:lpstr>
      <vt:lpstr>Emp15Oct</vt:lpstr>
      <vt:lpstr>Emp15Sep</vt:lpstr>
      <vt:lpstr>Emp16Aug</vt:lpstr>
      <vt:lpstr>Emp16Dec</vt:lpstr>
      <vt:lpstr>Emp16Feb</vt:lpstr>
      <vt:lpstr>Emp16Jan</vt:lpstr>
      <vt:lpstr>Emp16Jul</vt:lpstr>
      <vt:lpstr>Emp16Mar</vt:lpstr>
      <vt:lpstr>Emp16Nov</vt:lpstr>
      <vt:lpstr>Emp16Oct</vt:lpstr>
      <vt:lpstr>Emp16Sep</vt:lpstr>
      <vt:lpstr>Emp17Aug</vt:lpstr>
      <vt:lpstr>Emp17Dec</vt:lpstr>
      <vt:lpstr>Emp17Feb</vt:lpstr>
      <vt:lpstr>Emp17Jan</vt:lpstr>
      <vt:lpstr>Emp17Jul</vt:lpstr>
      <vt:lpstr>Emp17Mar</vt:lpstr>
      <vt:lpstr>Emp17Nov</vt:lpstr>
      <vt:lpstr>Emp17Oct</vt:lpstr>
      <vt:lpstr>Emp17Sep</vt:lpstr>
      <vt:lpstr>Emp18Aug</vt:lpstr>
      <vt:lpstr>Emp18Dec</vt:lpstr>
      <vt:lpstr>Emp18Feb</vt:lpstr>
      <vt:lpstr>Emp18Jan</vt:lpstr>
      <vt:lpstr>Emp18Jul</vt:lpstr>
      <vt:lpstr>Emp18Mar</vt:lpstr>
      <vt:lpstr>Emp18Nov</vt:lpstr>
      <vt:lpstr>Emp18Oct</vt:lpstr>
      <vt:lpstr>Emp18Sep</vt:lpstr>
      <vt:lpstr>Emp19Aug</vt:lpstr>
      <vt:lpstr>Emp19Dec</vt:lpstr>
      <vt:lpstr>Emp19Feb</vt:lpstr>
      <vt:lpstr>Emp19Jan</vt:lpstr>
      <vt:lpstr>Emp19Jul</vt:lpstr>
      <vt:lpstr>Emp19Mar</vt:lpstr>
      <vt:lpstr>Emp19Nov</vt:lpstr>
      <vt:lpstr>Emp19Oct</vt:lpstr>
      <vt:lpstr>Emp19Sep</vt:lpstr>
      <vt:lpstr>'Emp2'!Emp1j</vt:lpstr>
      <vt:lpstr>'Emp3'!Emp1j</vt:lpstr>
      <vt:lpstr>'Emp4'!Emp1j</vt:lpstr>
      <vt:lpstr>'Emp5'!Emp1j</vt:lpstr>
      <vt:lpstr>'Emp6'!Emp1j</vt:lpstr>
      <vt:lpstr>Emp20Aug</vt:lpstr>
      <vt:lpstr>Emp20Dec</vt:lpstr>
      <vt:lpstr>Emp20Feb</vt:lpstr>
      <vt:lpstr>Emp20Jan</vt:lpstr>
      <vt:lpstr>Emp20Jul</vt:lpstr>
      <vt:lpstr>Emp20Mar</vt:lpstr>
      <vt:lpstr>Emp20Nov</vt:lpstr>
      <vt:lpstr>Emp20Oct</vt:lpstr>
      <vt:lpstr>Emp20Sep</vt:lpstr>
      <vt:lpstr>Emp21Aug</vt:lpstr>
      <vt:lpstr>Emp21Dec</vt:lpstr>
      <vt:lpstr>Emp21Feb</vt:lpstr>
      <vt:lpstr>Emp21Jan</vt:lpstr>
      <vt:lpstr>Emp21Jul</vt:lpstr>
      <vt:lpstr>Emp21Mar</vt:lpstr>
      <vt:lpstr>Emp21Nov</vt:lpstr>
      <vt:lpstr>Emp21Oct</vt:lpstr>
      <vt:lpstr>Emp21Sep</vt:lpstr>
      <vt:lpstr>Emp22Aug</vt:lpstr>
      <vt:lpstr>Emp22Dec</vt:lpstr>
      <vt:lpstr>Emp22Feb</vt:lpstr>
      <vt:lpstr>Emp22Jan</vt:lpstr>
      <vt:lpstr>Emp22Jul</vt:lpstr>
      <vt:lpstr>Emp22Mar</vt:lpstr>
      <vt:lpstr>Emp22Nov</vt:lpstr>
      <vt:lpstr>Emp22Oct</vt:lpstr>
      <vt:lpstr>Emp22Sep</vt:lpstr>
      <vt:lpstr>Emp23Aug</vt:lpstr>
      <vt:lpstr>Emp23Dec</vt:lpstr>
      <vt:lpstr>Emp23Feb</vt:lpstr>
      <vt:lpstr>Emp23Jan</vt:lpstr>
      <vt:lpstr>Emp23Jul</vt:lpstr>
      <vt:lpstr>Emp23Mar</vt:lpstr>
      <vt:lpstr>Emp23Nov</vt:lpstr>
      <vt:lpstr>Emp23Oct</vt:lpstr>
      <vt:lpstr>Emp23Sep</vt:lpstr>
      <vt:lpstr>Emp24Aug</vt:lpstr>
      <vt:lpstr>Emp24Dec</vt:lpstr>
      <vt:lpstr>Emp24Feb</vt:lpstr>
      <vt:lpstr>Emp24Jan</vt:lpstr>
      <vt:lpstr>Emp24Jul</vt:lpstr>
      <vt:lpstr>Emp24Mar</vt:lpstr>
      <vt:lpstr>Emp24Nov</vt:lpstr>
      <vt:lpstr>Emp24Oct</vt:lpstr>
      <vt:lpstr>Emp24Sep</vt:lpstr>
      <vt:lpstr>Emp25Aug</vt:lpstr>
      <vt:lpstr>Emp25Dec</vt:lpstr>
      <vt:lpstr>Emp25Feb</vt:lpstr>
      <vt:lpstr>Emp25Jan</vt:lpstr>
      <vt:lpstr>Emp25Jul</vt:lpstr>
      <vt:lpstr>Emp25Mar</vt:lpstr>
      <vt:lpstr>Emp25Nov</vt:lpstr>
      <vt:lpstr>Emp25Oct</vt:lpstr>
      <vt:lpstr>Emp25Sep</vt:lpstr>
      <vt:lpstr>Emp26Aug</vt:lpstr>
      <vt:lpstr>Emp26Dec</vt:lpstr>
      <vt:lpstr>Emp26Feb</vt:lpstr>
      <vt:lpstr>Emp26Jan</vt:lpstr>
      <vt:lpstr>Emp26Jul</vt:lpstr>
      <vt:lpstr>Emp26Mar</vt:lpstr>
      <vt:lpstr>Emp26Nov</vt:lpstr>
      <vt:lpstr>Emp26Oct</vt:lpstr>
      <vt:lpstr>Emp26Sep</vt:lpstr>
      <vt:lpstr>Emp27Aug</vt:lpstr>
      <vt:lpstr>Emp27Dec</vt:lpstr>
      <vt:lpstr>Emp27Feb</vt:lpstr>
      <vt:lpstr>Emp27Jan</vt:lpstr>
      <vt:lpstr>Emp27Jul</vt:lpstr>
      <vt:lpstr>Emp27Mar</vt:lpstr>
      <vt:lpstr>Emp27Nov</vt:lpstr>
      <vt:lpstr>Emp27Oct</vt:lpstr>
      <vt:lpstr>Emp27Sep</vt:lpstr>
      <vt:lpstr>Emp28Aug</vt:lpstr>
      <vt:lpstr>Emp28Dec</vt:lpstr>
      <vt:lpstr>Emp28Feb</vt:lpstr>
      <vt:lpstr>Emp28Jan</vt:lpstr>
      <vt:lpstr>Emp28Jul</vt:lpstr>
      <vt:lpstr>Emp28Mar</vt:lpstr>
      <vt:lpstr>Emp28Nov</vt:lpstr>
      <vt:lpstr>Emp28Oct</vt:lpstr>
      <vt:lpstr>Emp28Sep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2019-03-12T03:43:45Z</dcterms:modified>
</cp:coreProperties>
</file>