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d54e2d2b0f54402" Type="http://schemas.microsoft.com/office/2006/relationships/ui/extensibility" Target="customUI/customUI.xml"/><Relationship Id="R33435d87a8cc423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Roadblock\Dev\Rosters17Dev\"/>
    </mc:Choice>
  </mc:AlternateContent>
  <bookViews>
    <workbookView showSheetTabs="0" xWindow="0" yWindow="0" windowWidth="2172" windowHeight="396" tabRatio="752"/>
  </bookViews>
  <sheets>
    <sheet name="Roster" sheetId="2" r:id="rId1"/>
    <sheet name="DATA" sheetId="1" r:id="rId2"/>
    <sheet name="Emp1" sheetId="3" r:id="rId3"/>
    <sheet name="Emp2" sheetId="4" r:id="rId4"/>
    <sheet name="Emp3" sheetId="5" r:id="rId5"/>
    <sheet name="Emp4" sheetId="6" r:id="rId6"/>
    <sheet name="Emp5" sheetId="7" r:id="rId7"/>
    <sheet name="Emp6" sheetId="8" r:id="rId8"/>
    <sheet name="Emp7" sheetId="10" r:id="rId9"/>
    <sheet name="Emp8" sheetId="11" r:id="rId10"/>
    <sheet name="Emp9" sheetId="12" r:id="rId11"/>
    <sheet name="Emp10" sheetId="13" r:id="rId12"/>
    <sheet name="Emp11" sheetId="14" r:id="rId13"/>
    <sheet name="Emp12" sheetId="15" r:id="rId14"/>
    <sheet name="Summary" sheetId="9" r:id="rId15"/>
  </sheets>
  <definedNames>
    <definedName name="_29">'Emp6'!$AE$26</definedName>
    <definedName name="_Emp1">Roster!$D$200:$AH$200,Roster!$D$231:$AF$231,Roster!$D$262:$AH$262,Roster!$D$293:$AG$293,Roster!$D$324:$AH$324,Roster!$D$355:$AG$355,Roster!$D$14:$AH$14,Roster!$D$45:$AH$45,Roster!$D$76:$AG$76,Roster!$D$107:$AH$107,Roster!$D$138:$AG$138,Roster!$D$169:$AH$169</definedName>
    <definedName name="AllEmps">Roster!$D$14:$AH$25,Roster!$D$45:$AH$56,Roster!$D$76:$AG$87,Roster!$D$107:$AH$118,Roster!$D$138:$AG$149,Roster!$D$169:$AH$180,Roster!$D$200:$AH$211,Roster!$D$231:$AF$242,Roster!$D$262:$AH$273,Roster!$D$293:$AG$304,Roster!$D$324:$AH$335,Roster!$D$355:$AG$366</definedName>
    <definedName name="April_Heads">Roster!$C$292:$AG$292</definedName>
    <definedName name="August_Heads">Roster!$C$44:$AH$44</definedName>
    <definedName name="AutoEnd">Roster!$A$5</definedName>
    <definedName name="BlockEmps">DATA!$C$8:$E$19</definedName>
    <definedName name="CurYear">Roster!$B$4</definedName>
    <definedName name="D">Roster!$D$200:$AH$211,Roster!$D$231:$AF$242,Roster!$D$262:$AH$273,Roster!$D$293:$AG$304,Roster!$D$324:$AH$335,Roster!$D$355:$AG$366,Roster!$D$14:$AH$25,Roster!$D$45:$AH$56,Roster!$D$76:$AG$87,Roster!$D$107:$AH$118,Roster!$D$138:$AG$149,Roster!$D$169:$AH$180</definedName>
    <definedName name="December_Heads">Roster!$C$168:$AH$168</definedName>
    <definedName name="ee">Roster!$D$14:$AH$25,Roster!$D$45:$AH$56,Roster!$D$76:$AG$87,Roster!$D$107:$AH$118,Roster!$D$138:$AG$149,Roster!$D$169:$AH$180,Roster!$D$200:$AH$211,Roster!$D$231:$AF$242,Roster!$D$262:$AH$273,Roster!$D$293:$AG$304,Roster!$D$324:$AH$335,Roster!$D$355:$AG$366</definedName>
    <definedName name="Emp01Apr">Roster!$D$293:$AG$293</definedName>
    <definedName name="Emp01Aug">Roster!$D$45:$AH$45</definedName>
    <definedName name="Emp01Dec">Roster!$D$169:$AH$169</definedName>
    <definedName name="Emp01Feb">Roster!$D$231:$AF$231</definedName>
    <definedName name="Emp01Jan">Roster!$D$200:$AH$200</definedName>
    <definedName name="Emp01Jul">Roster!$D$14:$AH$14</definedName>
    <definedName name="Emp01Jun">Roster!$D$355:$AG$355</definedName>
    <definedName name="Emp01Mar">Roster!$D$262:$AH$262</definedName>
    <definedName name="Emp01May">Roster!$D$324:$AH$324</definedName>
    <definedName name="Emp01Nov">Roster!$D$138:$AG$138</definedName>
    <definedName name="Emp01Oct">Roster!$D$107:$AH$107</definedName>
    <definedName name="Emp01Sep">Roster!$D$76:$AG$76</definedName>
    <definedName name="Emp01Summary">Summary!$C$4:$D$4</definedName>
    <definedName name="Emp02Apr">Roster!$D$294:$AG$294</definedName>
    <definedName name="Emp02Aug">Roster!$D$46:$AH$46</definedName>
    <definedName name="Emp02Dec">Roster!$D$170:$AH$170</definedName>
    <definedName name="Emp02Feb">Roster!$D$232:$AF$232</definedName>
    <definedName name="Emp02Jan">Roster!$D$201:$AH$201</definedName>
    <definedName name="Emp02Jul">Roster!$D$15:$AH$15</definedName>
    <definedName name="Emp02Jun">Roster!$D$356:$AG$356</definedName>
    <definedName name="Emp02Mar">Roster!$D$263:$AH$263</definedName>
    <definedName name="Emp02May">Roster!$D$325:$AH$325</definedName>
    <definedName name="Emp02Nov">Roster!$D$139:$AG$139</definedName>
    <definedName name="Emp02Oct">Roster!$D$108:$AH$108</definedName>
    <definedName name="Emp02Sep">Roster!$D$77:$AG$77</definedName>
    <definedName name="Emp02Summary">Summary!$C$5:$D$5</definedName>
    <definedName name="Emp03Apr">Roster!$D$295:$AG$295</definedName>
    <definedName name="Emp03Aug">Roster!$D$47:$AH$47</definedName>
    <definedName name="Emp03Dec">Roster!$D$171:$AH$171</definedName>
    <definedName name="Emp03Feb">Roster!$D$233:$AF$233</definedName>
    <definedName name="Emp03Jan">Roster!$D$202:$AH$202</definedName>
    <definedName name="Emp03Jul">Roster!$D$16:$AH$16</definedName>
    <definedName name="Emp03Jun">Roster!$D$357:$AG$357</definedName>
    <definedName name="Emp03Mar">Roster!$D$264:$AH$264</definedName>
    <definedName name="Emp03May">Roster!$D$326:$AH$326</definedName>
    <definedName name="Emp03Nov">Roster!$D$140:$AG$140</definedName>
    <definedName name="Emp03Oct">Roster!$D$109:$AH$109</definedName>
    <definedName name="Emp03Sep">Roster!$D$78:$AG$78</definedName>
    <definedName name="Emp03Summary">Summary!$C$6:$D$6</definedName>
    <definedName name="Emp04Apr">Roster!$D$296:$AG$296</definedName>
    <definedName name="Emp04Aug">Roster!$D$48:$AH$48</definedName>
    <definedName name="Emp04Dec">Roster!$D$172:$AH$172</definedName>
    <definedName name="Emp04Feb">Roster!$D$234:$AF$234</definedName>
    <definedName name="Emp04Jan">Roster!$D$203:$AH$203</definedName>
    <definedName name="Emp04Jul">Roster!$D$17:$AH$17</definedName>
    <definedName name="Emp04Jun">Roster!$D$358:$AG$358</definedName>
    <definedName name="Emp04Mar">Roster!$D$265:$AH$265</definedName>
    <definedName name="Emp04May">Roster!$D$327:$AH$327</definedName>
    <definedName name="Emp04Nov">Roster!$D$141:$AG$141</definedName>
    <definedName name="Emp04Oct">Roster!$D$110:$AH$110</definedName>
    <definedName name="Emp04Sep">Roster!$D$79:$AG$79</definedName>
    <definedName name="Emp04Summary">Summary!$C$7:$D$7</definedName>
    <definedName name="Emp05Apr">Roster!$D$297:$AG$297</definedName>
    <definedName name="Emp05Aug">Roster!$D$49:$AH$49</definedName>
    <definedName name="Emp05Dec">Roster!$D$173:$AH$173</definedName>
    <definedName name="Emp05Feb">Roster!$D$235:$AF$235</definedName>
    <definedName name="Emp05Jan">Roster!$D$204:$AH$204</definedName>
    <definedName name="Emp05Jul">Roster!$D$18:$AH$18</definedName>
    <definedName name="Emp05Jun">Roster!$D$359:$AG$359</definedName>
    <definedName name="Emp05Mar">Roster!$D$266:$AH$266</definedName>
    <definedName name="Emp05May">Roster!$D$328:$AH$328</definedName>
    <definedName name="Emp05Nov">Roster!$D$142:$AG$142</definedName>
    <definedName name="Emp05Oct">Roster!$D$111:$AH$111</definedName>
    <definedName name="Emp05Sep">Roster!$D$80:$AG$80</definedName>
    <definedName name="Emp05Summary">Summary!$C$8:$D$8</definedName>
    <definedName name="Emp06Apr">Roster!$D$298:$AG$298</definedName>
    <definedName name="Emp06Aug">Roster!$D$50:$AH$50</definedName>
    <definedName name="Emp06Dec">Roster!$D$174:$AH$174</definedName>
    <definedName name="Emp06Feb">Roster!$D$236:$AF$236</definedName>
    <definedName name="Emp06Jan">Roster!$D$205:$AH$205</definedName>
    <definedName name="Emp06Jul">Roster!$D$19:$AH$19</definedName>
    <definedName name="Emp06Jun">Roster!$D$360:$AG$360</definedName>
    <definedName name="Emp06Mar">Roster!$D$267:$AH$267</definedName>
    <definedName name="Emp06May">Roster!$D$329:$AH$329</definedName>
    <definedName name="Emp06Nov">Roster!$D$143:$AG$143</definedName>
    <definedName name="Emp06Oct">Roster!$D$112:$AH$112</definedName>
    <definedName name="Emp06Sep">Roster!$D$81:$AG$81</definedName>
    <definedName name="Emp06Summary">Summary!$C$9:$D$9</definedName>
    <definedName name="Emp07Apr">Roster!$D$299:$AG$299</definedName>
    <definedName name="Emp07Aug">Roster!$D$51:$AH$51</definedName>
    <definedName name="Emp07Dec">Roster!$D$175:$AH$175</definedName>
    <definedName name="Emp07Feb">Roster!$D$237:$AF$237</definedName>
    <definedName name="Emp07Jan">Roster!$D$206:$AH$206</definedName>
    <definedName name="Emp07Jul">Roster!$D$20:$AH$20</definedName>
    <definedName name="Emp07Jun">Roster!$D$361:$AG$361</definedName>
    <definedName name="Emp07Mar">Roster!$D$268:$AH$268</definedName>
    <definedName name="Emp07May">Roster!$D$330:$AH$330</definedName>
    <definedName name="Emp07Nov">Roster!$D$144:$AG$144</definedName>
    <definedName name="Emp07Oct">Roster!$D$113:$AH$113</definedName>
    <definedName name="Emp07Sep">Roster!$D$82:$AG$82</definedName>
    <definedName name="Emp07Summary">Summary!$C$10:$D$10</definedName>
    <definedName name="Emp08Apr">Roster!$D$300:$AG$300</definedName>
    <definedName name="Emp08Aug">Roster!$D$52:$AH$52</definedName>
    <definedName name="Emp08Dec">Roster!$D$176:$AH$176</definedName>
    <definedName name="Emp08Feb">Roster!$D$238:$AF$238</definedName>
    <definedName name="Emp08Jan">Roster!$D$207:$AH$207</definedName>
    <definedName name="Emp08Jul">Roster!$D$21:$AH$21</definedName>
    <definedName name="Emp08Jun">Roster!$D$362:$AG$362</definedName>
    <definedName name="Emp08Mar">Roster!$D$269:$AH$269</definedName>
    <definedName name="Emp08May">Roster!$D$331:$AH$331</definedName>
    <definedName name="Emp08Nov">Roster!$D$145:$AG$145</definedName>
    <definedName name="Emp08Oct">Roster!$D$114:$AH$114</definedName>
    <definedName name="Emp08Sep">Roster!$D$83:$AG$83</definedName>
    <definedName name="Emp08Summary">Summary!$C$11:$D$11</definedName>
    <definedName name="Emp09Apr">Roster!$D$301:$AG$301</definedName>
    <definedName name="Emp09Aug">Roster!$D$53:$AH$53</definedName>
    <definedName name="Emp09Dec">Roster!$D$177:$AH$177</definedName>
    <definedName name="Emp09Feb">Roster!$D$239:$AF$239</definedName>
    <definedName name="Emp09Jan">Roster!$D$208:$AH$208</definedName>
    <definedName name="Emp09Jul">Roster!$D$22:$AH$22</definedName>
    <definedName name="Emp09Jun">Roster!$D$363:$AG$363</definedName>
    <definedName name="Emp09Mar">Roster!$D$270:$AH$270</definedName>
    <definedName name="Emp09May">Roster!$D$332:$AH$332</definedName>
    <definedName name="Emp09Nov">Roster!$D$146:$AG$146</definedName>
    <definedName name="Emp09Oct">Roster!$D$115:$AH$115</definedName>
    <definedName name="Emp09Sep">Roster!$D$84:$AG$84</definedName>
    <definedName name="Emp09Summary">Summary!$C$12:$D$12</definedName>
    <definedName name="Emp10Apr">Roster!$D$302:$AG$302</definedName>
    <definedName name="Emp10Aug">Roster!$D$54:$AH$54</definedName>
    <definedName name="Emp10Dec">Roster!$D$178:$AH$178</definedName>
    <definedName name="Emp10Feb">Roster!$D$240:$AF$240</definedName>
    <definedName name="Emp10Jan">Roster!$D$209:$AH$209</definedName>
    <definedName name="Emp10Jul">Roster!$D$23:$AH$23</definedName>
    <definedName name="Emp10Jun">Roster!$D$364:$AG$364</definedName>
    <definedName name="Emp10Mar">Roster!$D$271:$AH$271</definedName>
    <definedName name="Emp10May">Roster!$D$333:$AH$333</definedName>
    <definedName name="Emp10Nov">Roster!$D$147:$AG$147</definedName>
    <definedName name="Emp10Oct">Roster!$D$116:$AH$116</definedName>
    <definedName name="Emp10Sep">Roster!$D$85:$AG$85</definedName>
    <definedName name="Emp10Summary">Summary!$C$13:$D$13</definedName>
    <definedName name="Emp11Apr">Roster!$D$303:$AG$303</definedName>
    <definedName name="Emp11Aug">Roster!$D$55:$AH$55</definedName>
    <definedName name="Emp11Dec">Roster!$D$179:$AH$179</definedName>
    <definedName name="Emp11Feb">Roster!$D$241:$AF$241</definedName>
    <definedName name="Emp11Jan">Roster!$D$210:$AH$210</definedName>
    <definedName name="Emp11Jul">Roster!$D$24:$AH$24</definedName>
    <definedName name="Emp11Jun">Roster!$D$365:$AG$365</definedName>
    <definedName name="Emp11Mar">Roster!$D$272:$AH$272</definedName>
    <definedName name="Emp11May">Roster!$D$334:$AH$334</definedName>
    <definedName name="Emp11Nov">Roster!$D$148:$AG$148</definedName>
    <definedName name="Emp11Oct">Roster!$D$117:$AH$117</definedName>
    <definedName name="Emp11Sep">Roster!$D$86:$AG$86</definedName>
    <definedName name="Emp11Summary">Summary!$C$14:$D$14</definedName>
    <definedName name="Emp12Apr">Roster!$D$304:$AG$304</definedName>
    <definedName name="Emp12Aug">Roster!$D$56:$AH$56</definedName>
    <definedName name="Emp12Dec">Roster!$D$180:$AH$180</definedName>
    <definedName name="Emp12Feb">Roster!$D$242:$AF$242</definedName>
    <definedName name="Emp12Jan">Roster!$D$211:$AH$211</definedName>
    <definedName name="Emp12Jul">Roster!$D$25:$AH$25</definedName>
    <definedName name="Emp12Jun">Roster!$D$366:$AG$366</definedName>
    <definedName name="Emp12Mar">Roster!$D$273:$AH$273</definedName>
    <definedName name="Emp12May">Roster!$D$335:$AH$335</definedName>
    <definedName name="Emp12Nov">Roster!$D$149:$AG$149</definedName>
    <definedName name="Emp12Oct">Roster!$D$118:$AH$118</definedName>
    <definedName name="Emp12Sep">Roster!$D$87:$AG$87</definedName>
    <definedName name="Emp12Summary">Summary!$C$15:$D$15</definedName>
    <definedName name="Emp13Apr">Roster!$D$305:$AG$305</definedName>
    <definedName name="Emp13Aug">Roster!$D$57:$AH$57</definedName>
    <definedName name="Emp13Dec">Roster!$D$181:$AH$181</definedName>
    <definedName name="Emp13Feb">Roster!$D$243:$AF$243</definedName>
    <definedName name="Emp13Jan">Roster!$D$212:$AH$212</definedName>
    <definedName name="Emp13Jul">Roster!$D$26:$AH$26</definedName>
    <definedName name="Emp13Jun">Roster!$D$367:$AG$367</definedName>
    <definedName name="Emp13Mar">Roster!$D$274:$AH$274</definedName>
    <definedName name="Emp13May">Roster!$D$336:$AH$336</definedName>
    <definedName name="Emp13Nov">Roster!$D$150:$AG$150</definedName>
    <definedName name="Emp13Oct">Roster!$D$119:$AH$119</definedName>
    <definedName name="Emp13Sep">Roster!$D$88:$AG$88</definedName>
    <definedName name="Emp13Summary">Summary!$C$16:$D$16</definedName>
    <definedName name="Emp14Apr">Roster!$D$306:$AG$306</definedName>
    <definedName name="Emp14Aug">Roster!$D$58:$AH$58</definedName>
    <definedName name="Emp14Dec">Roster!$D$182:$AH$182</definedName>
    <definedName name="Emp14Feb">Roster!$D$244:$AF$244</definedName>
    <definedName name="Emp14Jan">Roster!$D$213:$AH$213</definedName>
    <definedName name="Emp14Jul">Roster!$D$27:$AH$27</definedName>
    <definedName name="Emp14Jun">Roster!$D$368:$AG$368</definedName>
    <definedName name="Emp14Mar">Roster!$D$275:$AH$275</definedName>
    <definedName name="Emp14May">Roster!$D$337:$AH$337</definedName>
    <definedName name="Emp14Nov">Roster!$D$151:$AG$151</definedName>
    <definedName name="Emp14Oct">Roster!$D$120:$AH$120</definedName>
    <definedName name="Emp14Sep">Roster!$D$89:$AG$89</definedName>
    <definedName name="Emp14Summary">Summary!$C$17:$D$17</definedName>
    <definedName name="Emp15Apr">Roster!$D$307:$AG$307</definedName>
    <definedName name="Emp15Aug">Roster!$D$59:$AH$59</definedName>
    <definedName name="Emp15Dec">Roster!$D$183:$AH$183</definedName>
    <definedName name="Emp15Feb">Roster!$D$245:$AF$245</definedName>
    <definedName name="Emp15Jan">Roster!$D$214:$AH$214</definedName>
    <definedName name="Emp15Jul">Roster!$D$28:$AH$28</definedName>
    <definedName name="Emp15Jun">Roster!$D$369:$AG$369</definedName>
    <definedName name="Emp15Mar">Roster!$D$276:$AH$276</definedName>
    <definedName name="Emp15May">Roster!$D$338:$AH$338</definedName>
    <definedName name="Emp15Nov">Roster!$D$152:$AG$152</definedName>
    <definedName name="Emp15Oct">Roster!$D$121:$AH$121</definedName>
    <definedName name="Emp15Sep">Roster!$D$90:$AG$90</definedName>
    <definedName name="Emp15Summary">Summary!$C$18:$D$18</definedName>
    <definedName name="Emp16Apr">Roster!$D$308:$AG$308</definedName>
    <definedName name="Emp16Aug">Roster!$D$60:$AH$60</definedName>
    <definedName name="Emp16Dec">Roster!$D$184:$AH$184</definedName>
    <definedName name="Emp16Feb">Roster!$D$246:$AF$246</definedName>
    <definedName name="Emp16Jan">Roster!$D$215:$AH$215</definedName>
    <definedName name="Emp16Jul">Roster!$D$29:$AH$29</definedName>
    <definedName name="Emp16Jun">Roster!$D$370:$AG$370</definedName>
    <definedName name="Emp16Mar">Roster!$D$277:$AH$277</definedName>
    <definedName name="Emp16May">Roster!$D$339:$AH$339</definedName>
    <definedName name="Emp16Nov">Roster!$D$153:$AG$153</definedName>
    <definedName name="Emp16Oct">Roster!$D$122:$AH$122</definedName>
    <definedName name="Emp16Sep">Roster!$D$91:$AG$91</definedName>
    <definedName name="Emp16Summary">Summary!$C$19:$D$19</definedName>
    <definedName name="Emp17Apr">Roster!$D$309:$AG$309</definedName>
    <definedName name="Emp17Aug">Roster!$D$61:$AH$61</definedName>
    <definedName name="Emp17Dec">Roster!$D$185:$AH$185</definedName>
    <definedName name="Emp17Feb">Roster!$D$247:$AF$247</definedName>
    <definedName name="Emp17Jan">Roster!$D$216:$AH$216</definedName>
    <definedName name="Emp17Jul">Roster!$D$30:$AH$30</definedName>
    <definedName name="Emp17Jun">Roster!$D$371:$AG$371</definedName>
    <definedName name="Emp17Mar">Roster!$D$278:$AH$278</definedName>
    <definedName name="Emp17May">Roster!$D$340:$AH$340</definedName>
    <definedName name="Emp17Nov">Roster!$D$154:$AG$154</definedName>
    <definedName name="Emp17Oct">Roster!$D$123:$AH$123</definedName>
    <definedName name="Emp17Sep">Roster!$D$92:$AG$92</definedName>
    <definedName name="Emp17Summary">Summary!$C$20:$D$20</definedName>
    <definedName name="Emp18Apr">Roster!$D$310:$AG$310</definedName>
    <definedName name="Emp18Aug">Roster!$D$62:$AH$62</definedName>
    <definedName name="Emp18Dec">Roster!$D$186:$AH$186</definedName>
    <definedName name="Emp18Feb">Roster!$D$248:$AF$248</definedName>
    <definedName name="Emp18Jan">Roster!$D$217:$AH$217</definedName>
    <definedName name="Emp18Jul">Roster!$D$31:$AH$31</definedName>
    <definedName name="Emp18Jun">Roster!$D$372:$AG$372</definedName>
    <definedName name="Emp18Mar">Roster!$D$279:$AH$279</definedName>
    <definedName name="Emp18May">Roster!$D$341:$AH$341</definedName>
    <definedName name="Emp18Nov">Roster!$D$155:$AG$155</definedName>
    <definedName name="Emp18Oct">Roster!$D$124:$AH$124</definedName>
    <definedName name="Emp18Sep">Roster!$D$93:$AG$93</definedName>
    <definedName name="Emp18Summary">Summary!$C$21:$D$21</definedName>
    <definedName name="Emp19Apr">Roster!$D$311:$AG$311</definedName>
    <definedName name="Emp19Aug">Roster!$D$63:$AH$63</definedName>
    <definedName name="Emp19Dec">Roster!$D$187:$AH$187</definedName>
    <definedName name="Emp19Feb">Roster!$D$249:$AF$249</definedName>
    <definedName name="Emp19Jan">Roster!$D$218:$AH$218</definedName>
    <definedName name="Emp19Jul">Roster!$D$32:$AH$32</definedName>
    <definedName name="Emp19Jun">Roster!$D$373:$AG$373</definedName>
    <definedName name="Emp19Mar">Roster!$D$280:$AH$280</definedName>
    <definedName name="Emp19May">Roster!$D$342:$AH$342</definedName>
    <definedName name="Emp19Nov">Roster!$D$156:$AG$156</definedName>
    <definedName name="Emp19Oct">Roster!$D$125:$AH$125</definedName>
    <definedName name="Emp19Sep">Roster!$D$94:$AG$94</definedName>
    <definedName name="Emp19Summary">Summary!$C$22:$D$22</definedName>
    <definedName name="Emp1j" localSheetId="3">'Emp2'!$C$24:$AG$24</definedName>
    <definedName name="Emp1j" localSheetId="4">'Emp3'!$C$24:$AG$24</definedName>
    <definedName name="Emp1j" localSheetId="5">'Emp4'!$C$24:$AG$24</definedName>
    <definedName name="Emp1j" localSheetId="6">'Emp5'!$C$24:$AG$24</definedName>
    <definedName name="Emp1j" localSheetId="7">'Emp6'!$C$24:$AG$24</definedName>
    <definedName name="Emp20Apr">Roster!$D$312:$AG$312</definedName>
    <definedName name="Emp20Aug">Roster!$D$64:$AH$64</definedName>
    <definedName name="Emp20Dec">Roster!$D$188:$AH$188</definedName>
    <definedName name="Emp20Feb">Roster!$D$250:$AF$250</definedName>
    <definedName name="Emp20Jan">Roster!$D$219:$AH$219</definedName>
    <definedName name="Emp20Jul">Roster!$D$33:$AH$33</definedName>
    <definedName name="Emp20Jun">Roster!$D$374:$AG$374</definedName>
    <definedName name="Emp20Mar">Roster!$D$281:$AH$281</definedName>
    <definedName name="Emp20May">Roster!$D$343:$AH$343</definedName>
    <definedName name="Emp20Nov">Roster!$D$157:$AG$157</definedName>
    <definedName name="Emp20Oct">Roster!$D$126:$AH$126</definedName>
    <definedName name="Emp20Sep">Roster!$D$95:$AG$95</definedName>
    <definedName name="Emp20Summary">Summary!$C$23:$D$23</definedName>
    <definedName name="Emp21Apr">Roster!$D$313:$AG$313</definedName>
    <definedName name="Emp21Aug">Roster!$D$65:$AH$65</definedName>
    <definedName name="Emp21Dec">Roster!$D$189:$AH$189</definedName>
    <definedName name="Emp21Feb">Roster!$D$251:$AF$251</definedName>
    <definedName name="Emp21Jan">Roster!$D$220:$AH$220</definedName>
    <definedName name="Emp21Jul">Roster!$D$34:$AH$34</definedName>
    <definedName name="Emp21Jun">Roster!$D$375:$AG$375</definedName>
    <definedName name="Emp21Mar">Roster!$D$282:$AH$282</definedName>
    <definedName name="Emp21May">Roster!$D$344:$AH$344</definedName>
    <definedName name="Emp21Nov">Roster!$D$158:$AG$158</definedName>
    <definedName name="Emp21Oct">Roster!$D$127:$AH$127</definedName>
    <definedName name="Emp21Sep">Roster!$D$96:$AG$96</definedName>
    <definedName name="Emp21Summary">Summary!$C$24:$D$24</definedName>
    <definedName name="Emp22Apr">Roster!$D$314:$AG$314</definedName>
    <definedName name="Emp22Aug">Roster!$D$66:$AH$66</definedName>
    <definedName name="Emp22Dec">Roster!$D$190:$AH$190</definedName>
    <definedName name="Emp22Feb">Roster!$D$252:$AF$252</definedName>
    <definedName name="Emp22Jan">Roster!$D$221:$AH$221</definedName>
    <definedName name="Emp22Jul">Roster!$D$35:$AH$35</definedName>
    <definedName name="Emp22Jun">Roster!$D$376:$AG$376</definedName>
    <definedName name="Emp22Mar">Roster!$D$283:$AH$283</definedName>
    <definedName name="Emp22May">Roster!$D$345:$AH$345</definedName>
    <definedName name="Emp22Nov">Roster!$D$159:$AG$159</definedName>
    <definedName name="Emp22Oct">Roster!$D$128:$AH$128</definedName>
    <definedName name="Emp22Sep">Roster!$D$97:$AG$97</definedName>
    <definedName name="Emp22Summary">Summary!$C$25:$D$25</definedName>
    <definedName name="Emp23Apr">Roster!$D$315:$AG$315</definedName>
    <definedName name="Emp23Aug">Roster!$D$67:$AH$67</definedName>
    <definedName name="Emp23Dec">Roster!$D$191:$AH$191</definedName>
    <definedName name="Emp23Feb">Roster!$D$253:$AF$253</definedName>
    <definedName name="Emp23Jan">Roster!$D$222:$AH$222</definedName>
    <definedName name="Emp23Jul">Roster!$D$36:$AH$36</definedName>
    <definedName name="Emp23Jun">Roster!$D$377:$AG$377</definedName>
    <definedName name="Emp23Mar">Roster!$D$284:$AH$284</definedName>
    <definedName name="Emp23May">Roster!$D$346:$AH$346</definedName>
    <definedName name="Emp23Nov">Roster!$D$160:$AG$160</definedName>
    <definedName name="Emp23Oct">Roster!$D$129:$AH$129</definedName>
    <definedName name="Emp23Sep">Roster!$D$98:$AG$98</definedName>
    <definedName name="Emp23Summary">Summary!$C$26:$D$26</definedName>
    <definedName name="Emp24Apr">Roster!$D$316:$AG$316</definedName>
    <definedName name="Emp24Aug">Roster!$D$68:$AH$68</definedName>
    <definedName name="Emp24Dec">Roster!$D$192:$AH$192</definedName>
    <definedName name="Emp24Feb">Roster!$D$254:$AF$254</definedName>
    <definedName name="Emp24Jan">Roster!$D$223:$AH$223</definedName>
    <definedName name="Emp24Jul">Roster!$D$37:$AH$37</definedName>
    <definedName name="Emp24Jun">Roster!$D$378:$AG$378</definedName>
    <definedName name="Emp24Mar">Roster!$D$285:$AH$285</definedName>
    <definedName name="Emp24May">Roster!$D$347:$AH$347</definedName>
    <definedName name="Emp24Nov">Roster!$D$161:$AG$161</definedName>
    <definedName name="Emp24Oct">Roster!$D$130:$AH$130</definedName>
    <definedName name="Emp24Sep">Roster!$D$99:$AG$99</definedName>
    <definedName name="Emp24Summary">Summary!$C$27:$D$27</definedName>
    <definedName name="Emp25Apr">Roster!$D$317:$AG$317</definedName>
    <definedName name="Emp25Aug">Roster!$D$69:$AH$69</definedName>
    <definedName name="Emp25Dec">Roster!$D$193:$AH$193</definedName>
    <definedName name="Emp25Feb">Roster!$D$255:$AF$255</definedName>
    <definedName name="Emp25Jan">Roster!$D$224:$AH$224</definedName>
    <definedName name="Emp25Jul">Roster!$D$38:$AH$38</definedName>
    <definedName name="Emp25Jun">Roster!$D$379:$AG$379</definedName>
    <definedName name="Emp25Mar">Roster!$D$286:$AH$286</definedName>
    <definedName name="Emp25May">Roster!$D$348:$AH$348</definedName>
    <definedName name="Emp25Nov">Roster!$D$162:$AG$162</definedName>
    <definedName name="Emp25Oct">Roster!$D$131:$AH$131</definedName>
    <definedName name="Emp25Sep">Roster!$D$100:$AG$100</definedName>
    <definedName name="Emp25Summary">Summary!$C$28:$D$28</definedName>
    <definedName name="Emp26Apr">Roster!$D$318:$AG$318</definedName>
    <definedName name="Emp26Aug">Roster!$D$70:$AH$70</definedName>
    <definedName name="Emp26Dec">Roster!$D$194:$AH$194</definedName>
    <definedName name="Emp26Feb">Roster!$D$256:$AF$256</definedName>
    <definedName name="Emp26Jan">Roster!$D$225:$AH$225</definedName>
    <definedName name="Emp26Jul">Roster!$D$39:$AH$39</definedName>
    <definedName name="Emp26Jun">Roster!$D$380:$AG$380</definedName>
    <definedName name="Emp26Mar">Roster!$D$287:$AH$287</definedName>
    <definedName name="Emp26May">Roster!$D$349:$AH$349</definedName>
    <definedName name="Emp26Nov">Roster!$D$163:$AG$163</definedName>
    <definedName name="Emp26Oct">Roster!$D$132:$AH$132</definedName>
    <definedName name="Emp26Sep">Roster!$D$101:$AG$101</definedName>
    <definedName name="Emp26Summary">Summary!$C$29:$D$29</definedName>
    <definedName name="Emp27Apr">Roster!$D$319:$AG$319</definedName>
    <definedName name="Emp27Aug">Roster!$D$71:$AH$71</definedName>
    <definedName name="Emp27Dec">Roster!$D$195:$AH$195</definedName>
    <definedName name="Emp27Feb">Roster!$D$257:$AF$257</definedName>
    <definedName name="Emp27Jan">Roster!$D$226:$AH$226</definedName>
    <definedName name="Emp27Jul">Roster!$D$40:$AH$40</definedName>
    <definedName name="Emp27Jun">Roster!$D$381:$AG$381</definedName>
    <definedName name="Emp27Mar">Roster!$D$288:$AH$288</definedName>
    <definedName name="Emp27May">Roster!$D$350:$AH$350</definedName>
    <definedName name="Emp27Nov">Roster!$D$164:$AG$164</definedName>
    <definedName name="Emp27Oct">Roster!$D$133:$AH$133</definedName>
    <definedName name="Emp27Sep">Roster!$D$102:$AG$102</definedName>
    <definedName name="Emp27Summary">Summary!$C$30:$D$30</definedName>
    <definedName name="Emp28Apr">Roster!$D$320:$AG$320</definedName>
    <definedName name="Emp28Aug">Roster!$D$72:$AH$72</definedName>
    <definedName name="Emp28Dec">Roster!$D$196:$AH$196</definedName>
    <definedName name="Emp28Feb">Roster!$D$258:$AF$258</definedName>
    <definedName name="Emp28Jan">Roster!$D$227:$AH$227</definedName>
    <definedName name="Emp28Jul">Roster!$D$41:$AH$41</definedName>
    <definedName name="Emp28Jun">Roster!$D$382:$AG$382</definedName>
    <definedName name="Emp28Mar">Roster!$D$289:$AH$289</definedName>
    <definedName name="Emp28May">Roster!$D$351:$AH$351</definedName>
    <definedName name="Emp28Nov">Roster!$D$165:$AG$165</definedName>
    <definedName name="Emp28Oct">Roster!$D$134:$AH$134</definedName>
    <definedName name="Emp28Sep">Roster!$D$103:$AG$103</definedName>
    <definedName name="Emp28Summary">Summary!$C$31:$D$31</definedName>
    <definedName name="EmpGName01">DATA!$D$8</definedName>
    <definedName name="EmpGName02">DATA!$D$9</definedName>
    <definedName name="EmpGName03">DATA!$D$10</definedName>
    <definedName name="EmpGName04">DATA!$D$11</definedName>
    <definedName name="EmpGName05">DATA!$D$12</definedName>
    <definedName name="EmpGName06">DATA!$D$13</definedName>
    <definedName name="EmpGName07">DATA!$D$14</definedName>
    <definedName name="EmpGName08">DATA!$D$15</definedName>
    <definedName name="EmpGName09">DATA!$D$16</definedName>
    <definedName name="EmpGName10">DATA!$D$17</definedName>
    <definedName name="EmpGName11">DATA!$D$18</definedName>
    <definedName name="EmpGName12">DATA!$D$19</definedName>
    <definedName name="EmpGName13">DATA!$D$20</definedName>
    <definedName name="EmpGName14">DATA!$D$21</definedName>
    <definedName name="EmpGName15">DATA!$D$22</definedName>
    <definedName name="EmpGName16">DATA!$D$23</definedName>
    <definedName name="EmpGName17">DATA!$D$24</definedName>
    <definedName name="EmpGName18">DATA!$D$25</definedName>
    <definedName name="EmpGName19">DATA!$D$26</definedName>
    <definedName name="EmpGName20">DATA!$D$27</definedName>
    <definedName name="EmpGName21">DATA!$D$28</definedName>
    <definedName name="EmpGName22">DATA!$D$29</definedName>
    <definedName name="EmpGName23">DATA!$D$30</definedName>
    <definedName name="EmpGName24">DATA!$D$31</definedName>
    <definedName name="EmpGName25">DATA!$D$32</definedName>
    <definedName name="EmpGName26">DATA!$D$33</definedName>
    <definedName name="EmpGName27">DATA!$D$34</definedName>
    <definedName name="EmpGName28">DATA!$D$35</definedName>
    <definedName name="EmpsALL">Roster!$D$14:$AH$25,Roster!$D$45:$AH$56,Roster!$D$76:$AG$87,Roster!$D$107:$AH$118,Roster!$D$138:$AG$149,Roster!$D$169:$AH$180,Roster!$D$200:$AH$211,Roster!$D$231:$AF$242,Roster!$D$262:$AH$273,Roster!$D$293:$AG$304,Roster!$D$324:$AH$335,Roster!$D$355:$AG$366</definedName>
    <definedName name="EmpSName01">DATA!$C$8</definedName>
    <definedName name="EmpSName02">DATA!$C$9</definedName>
    <definedName name="EmpSName03">DATA!$C$10</definedName>
    <definedName name="EmpSName04">DATA!$C$11</definedName>
    <definedName name="EmpSName05">DATA!$C$12</definedName>
    <definedName name="EmpSName06">DATA!$C$13</definedName>
    <definedName name="EmpSName07">DATA!$C$14</definedName>
    <definedName name="EmpSName08">DATA!$C$15</definedName>
    <definedName name="EmpSName09">DATA!$C$16</definedName>
    <definedName name="EmpSName10">DATA!$C$17</definedName>
    <definedName name="EmpSName11">DATA!$C$18</definedName>
    <definedName name="EmpSName12">DATA!$C$19</definedName>
    <definedName name="EmpSName13">DATA!$C$20</definedName>
    <definedName name="EmpSName14">DATA!$C$21</definedName>
    <definedName name="EmpSName15">DATA!$C$22</definedName>
    <definedName name="EmpSName16">DATA!$C$23</definedName>
    <definedName name="EmpSName17">DATA!$C$24</definedName>
    <definedName name="EmpSName18">DATA!$C$25</definedName>
    <definedName name="EmpSName19">DATA!$C$26</definedName>
    <definedName name="EmpSName20">DATA!$C$27</definedName>
    <definedName name="EmpSName21">DATA!$C$28</definedName>
    <definedName name="EmpSName22">DATA!$C$29</definedName>
    <definedName name="EmpSName23">DATA!$C$30</definedName>
    <definedName name="EmpSName24">DATA!$C$31</definedName>
    <definedName name="EmpSName25">DATA!$C$32</definedName>
    <definedName name="EmpSName26">DATA!$C$33</definedName>
    <definedName name="EmpSName27">DATA!$C$34</definedName>
    <definedName name="EmpSName28">DATA!$C$35</definedName>
    <definedName name="EmpSNamfe09">DATA!$C$16</definedName>
    <definedName name="FebHead">Roster!$AF$230</definedName>
    <definedName name="FebLast" localSheetId="2">'Emp1'!$AE$26</definedName>
    <definedName name="FebLast" localSheetId="11">'Emp10'!$AE$26</definedName>
    <definedName name="FebLast" localSheetId="12">'Emp11'!$AE$26</definedName>
    <definedName name="FebLast" localSheetId="13">'Emp12'!$AE$26</definedName>
    <definedName name="FebLast" localSheetId="3">'Emp2'!$AE$26</definedName>
    <definedName name="FebLast" localSheetId="4">'Emp3'!$AE$26</definedName>
    <definedName name="FebLast" localSheetId="5">'Emp4'!$AE$26</definedName>
    <definedName name="FebLast" localSheetId="6">'Emp5'!$AE$26</definedName>
    <definedName name="FebLast" localSheetId="7">'Emp6'!$AE$26</definedName>
    <definedName name="FebLast" localSheetId="8">'Emp7'!$AE$26</definedName>
    <definedName name="FebLast" localSheetId="9">'Emp8'!$AE$26</definedName>
    <definedName name="FebLast" localSheetId="10">'Emp9'!$AE$26</definedName>
    <definedName name="February_Heads">Roster!$C$230:$AF$230</definedName>
    <definedName name="FebVal">Roster!$D$231:$AF$236</definedName>
    <definedName name="InitialPeriodEnding">DATA!$K$8</definedName>
    <definedName name="January_Heads">Roster!$C$199:$AH$199</definedName>
    <definedName name="JanVal">Roster!$D$200:$AH$205</definedName>
    <definedName name="July_Heads">Roster!$C$13:$AH$13</definedName>
    <definedName name="June_Heads">Roster!$C$354:$AG$354</definedName>
    <definedName name="LegEnd">Roster!$A$6:$A$10</definedName>
    <definedName name="Location">DATA!$D$3</definedName>
    <definedName name="March_Heads">Roster!$C$261:$AH$261</definedName>
    <definedName name="May_Heads">Roster!$C$323:$AH$323</definedName>
    <definedName name="November_Heads">Roster!$C$137:$AG$137</definedName>
    <definedName name="October_Heads">Roster!$C$106:$AH$106</definedName>
    <definedName name="PeriodsEnding">DATA!$M$8:$M$34</definedName>
    <definedName name="_xlnm.Print_Area" localSheetId="2">'Emp1'!$B$2:$AG$39</definedName>
    <definedName name="_xlnm.Print_Area" localSheetId="11">'Emp10'!$B$2:$AG$39</definedName>
    <definedName name="_xlnm.Print_Area" localSheetId="12">'Emp11'!$B$2:$AG$39</definedName>
    <definedName name="_xlnm.Print_Area" localSheetId="13">'Emp12'!$B$2:$AG$39</definedName>
    <definedName name="_xlnm.Print_Area" localSheetId="3">'Emp2'!$B$2:$AG$39</definedName>
    <definedName name="_xlnm.Print_Area" localSheetId="4">'Emp3'!$B$2:$AG$39</definedName>
    <definedName name="_xlnm.Print_Area" localSheetId="5">'Emp4'!$B$2:$AG$39</definedName>
    <definedName name="_xlnm.Print_Area" localSheetId="6">'Emp5'!$B$2:$AG$39</definedName>
    <definedName name="_xlnm.Print_Area" localSheetId="7">'Emp6'!$B$2:$AG$39</definedName>
    <definedName name="_xlnm.Print_Area" localSheetId="8">'Emp7'!$B$2:$AG$39</definedName>
    <definedName name="_xlnm.Print_Area" localSheetId="9">'Emp8'!$B$2:$AG$39</definedName>
    <definedName name="_xlnm.Print_Area" localSheetId="10">'Emp9'!$B$2:$AG$39</definedName>
    <definedName name="_xlnm.Print_Area" localSheetId="0">Roster!$B$12:$AH$367</definedName>
    <definedName name="PublicHolidays">DATA!$P$8:$P$22</definedName>
    <definedName name="September_Heads">Roster!$C$75:$AG$75</definedName>
    <definedName name="Shifts">DATA!$I$8:$I$18</definedName>
    <definedName name="test">Roster!$D$200:$AH$200,Roster!$D$231:$AF$231</definedName>
    <definedName name="Years">DATA!$G$8:$G$14</definedName>
    <definedName name="Z_AD9D0CFE_E6C4_49DD_B2D2_304A3BF30C6C_.wvu.PrintArea" localSheetId="2" hidden="1">'Emp1'!$B$2:$AG$21</definedName>
    <definedName name="Z_AD9D0CFE_E6C4_49DD_B2D2_304A3BF30C6C_.wvu.PrintArea" localSheetId="11" hidden="1">'Emp10'!$B$2:$AG$21</definedName>
    <definedName name="Z_AD9D0CFE_E6C4_49DD_B2D2_304A3BF30C6C_.wvu.PrintArea" localSheetId="12" hidden="1">'Emp11'!$B$2:$AG$21</definedName>
    <definedName name="Z_AD9D0CFE_E6C4_49DD_B2D2_304A3BF30C6C_.wvu.PrintArea" localSheetId="13" hidden="1">'Emp12'!$B$2:$AG$21</definedName>
    <definedName name="Z_AD9D0CFE_E6C4_49DD_B2D2_304A3BF30C6C_.wvu.PrintArea" localSheetId="3" hidden="1">'Emp2'!$B$2:$AG$21</definedName>
    <definedName name="Z_AD9D0CFE_E6C4_49DD_B2D2_304A3BF30C6C_.wvu.PrintArea" localSheetId="4" hidden="1">'Emp3'!$B$2:$AG$21</definedName>
    <definedName name="Z_AD9D0CFE_E6C4_49DD_B2D2_304A3BF30C6C_.wvu.PrintArea" localSheetId="5" hidden="1">'Emp4'!$B$2:$AG$21</definedName>
    <definedName name="Z_AD9D0CFE_E6C4_49DD_B2D2_304A3BF30C6C_.wvu.PrintArea" localSheetId="6" hidden="1">'Emp5'!$B$2:$AG$21</definedName>
    <definedName name="Z_AD9D0CFE_E6C4_49DD_B2D2_304A3BF30C6C_.wvu.PrintArea" localSheetId="7" hidden="1">'Emp6'!$B$2:$AG$21</definedName>
    <definedName name="Z_AD9D0CFE_E6C4_49DD_B2D2_304A3BF30C6C_.wvu.PrintArea" localSheetId="8" hidden="1">'Emp7'!$B$2:$AG$21</definedName>
    <definedName name="Z_AD9D0CFE_E6C4_49DD_B2D2_304A3BF30C6C_.wvu.PrintArea" localSheetId="9" hidden="1">'Emp8'!$B$2:$AG$21</definedName>
    <definedName name="Z_AD9D0CFE_E6C4_49DD_B2D2_304A3BF30C6C_.wvu.PrintArea" localSheetId="10" hidden="1">'Emp9'!$B$2:$AG$21</definedName>
  </definedNames>
  <calcPr calcId="162913"/>
  <customWorkbookViews>
    <customWorkbookView name="Looch - Personal View" guid="{AD9D0CFE-E6C4-49DD-B2D2-304A3BF30C6C}" mergeInterval="0" personalView="1" maximized="1" windowWidth="1020" windowHeight="544" activeSheetId="2"/>
    <customWorkbookView name="Summary" guid="{9CC23DA7-DD7F-416D-ABE1-6A68EF4528AC}" includePrintSettings="0" includeHiddenRowCol="0" maximized="1" windowWidth="1020" windowHeight="606" tabRatio="752" activeSheetId="9" showComments="commIndAndComment"/>
  </customWorkbookViews>
</workbook>
</file>

<file path=xl/calcChain.xml><?xml version="1.0" encoding="utf-8"?>
<calcChain xmlns="http://schemas.openxmlformats.org/spreadsheetml/2006/main">
  <c r="C353" i="2" l="1"/>
  <c r="C322" i="2"/>
  <c r="C291" i="2"/>
  <c r="C260" i="2"/>
  <c r="C229" i="2"/>
  <c r="C198" i="2"/>
  <c r="C167" i="2"/>
  <c r="C136" i="2"/>
  <c r="C105" i="2"/>
  <c r="C12" i="2"/>
  <c r="C43" i="2"/>
  <c r="C74" i="2"/>
  <c r="M31" i="9" l="1"/>
  <c r="L31" i="9"/>
  <c r="K31" i="9"/>
  <c r="J31" i="9"/>
  <c r="I31" i="9"/>
  <c r="H31" i="9"/>
  <c r="G31" i="9"/>
  <c r="F31" i="9"/>
  <c r="E31" i="9"/>
  <c r="M30" i="9"/>
  <c r="L30" i="9"/>
  <c r="K30" i="9"/>
  <c r="J30" i="9"/>
  <c r="I30" i="9"/>
  <c r="H30" i="9"/>
  <c r="G30" i="9"/>
  <c r="F30" i="9"/>
  <c r="E30" i="9"/>
  <c r="M29" i="9"/>
  <c r="L29" i="9"/>
  <c r="K29" i="9"/>
  <c r="J29" i="9"/>
  <c r="I29" i="9"/>
  <c r="H29" i="9"/>
  <c r="G29" i="9"/>
  <c r="F29" i="9"/>
  <c r="E29" i="9"/>
  <c r="M28" i="9"/>
  <c r="L28" i="9"/>
  <c r="K28" i="9"/>
  <c r="J28" i="9"/>
  <c r="I28" i="9"/>
  <c r="H28" i="9"/>
  <c r="G28" i="9"/>
  <c r="F28" i="9"/>
  <c r="E28" i="9"/>
  <c r="M27" i="9"/>
  <c r="L27" i="9"/>
  <c r="K27" i="9"/>
  <c r="J27" i="9"/>
  <c r="I27" i="9"/>
  <c r="H27" i="9"/>
  <c r="G27" i="9"/>
  <c r="F27" i="9"/>
  <c r="E27" i="9"/>
  <c r="M26" i="9"/>
  <c r="L26" i="9"/>
  <c r="K26" i="9"/>
  <c r="J26" i="9"/>
  <c r="I26" i="9"/>
  <c r="H26" i="9"/>
  <c r="G26" i="9"/>
  <c r="F26" i="9"/>
  <c r="E26" i="9"/>
  <c r="M25" i="9"/>
  <c r="L25" i="9"/>
  <c r="K25" i="9"/>
  <c r="J25" i="9"/>
  <c r="I25" i="9"/>
  <c r="H25" i="9"/>
  <c r="G25" i="9"/>
  <c r="F25" i="9"/>
  <c r="E25" i="9"/>
  <c r="M24" i="9"/>
  <c r="L24" i="9"/>
  <c r="K24" i="9"/>
  <c r="J24" i="9"/>
  <c r="I24" i="9"/>
  <c r="H24" i="9"/>
  <c r="G24" i="9"/>
  <c r="F24" i="9"/>
  <c r="E24" i="9"/>
  <c r="M23" i="9"/>
  <c r="L23" i="9"/>
  <c r="K23" i="9"/>
  <c r="J23" i="9"/>
  <c r="I23" i="9"/>
  <c r="H23" i="9"/>
  <c r="G23" i="9"/>
  <c r="F23" i="9"/>
  <c r="E23" i="9"/>
  <c r="M22" i="9"/>
  <c r="L22" i="9"/>
  <c r="K22" i="9"/>
  <c r="J22" i="9"/>
  <c r="I22" i="9"/>
  <c r="H22" i="9"/>
  <c r="G22" i="9"/>
  <c r="F22" i="9"/>
  <c r="E22" i="9"/>
  <c r="M21" i="9"/>
  <c r="L21" i="9"/>
  <c r="K21" i="9"/>
  <c r="J21" i="9"/>
  <c r="I21" i="9"/>
  <c r="H21" i="9"/>
  <c r="G21" i="9"/>
  <c r="F21" i="9"/>
  <c r="E21" i="9"/>
  <c r="M20" i="9"/>
  <c r="L20" i="9"/>
  <c r="K20" i="9"/>
  <c r="J20" i="9"/>
  <c r="I20" i="9"/>
  <c r="H20" i="9"/>
  <c r="G20" i="9"/>
  <c r="F20" i="9"/>
  <c r="E20" i="9"/>
  <c r="M19" i="9"/>
  <c r="L19" i="9"/>
  <c r="K19" i="9"/>
  <c r="J19" i="9"/>
  <c r="I19" i="9"/>
  <c r="H19" i="9"/>
  <c r="G19" i="9"/>
  <c r="F19" i="9"/>
  <c r="E19" i="9"/>
  <c r="M18" i="9"/>
  <c r="L18" i="9"/>
  <c r="K18" i="9"/>
  <c r="J18" i="9"/>
  <c r="I18" i="9"/>
  <c r="H18" i="9"/>
  <c r="G18" i="9"/>
  <c r="F18" i="9"/>
  <c r="E18" i="9"/>
  <c r="M17" i="9"/>
  <c r="L17" i="9"/>
  <c r="K17" i="9"/>
  <c r="J17" i="9"/>
  <c r="I17" i="9"/>
  <c r="H17" i="9"/>
  <c r="G17" i="9"/>
  <c r="F17" i="9"/>
  <c r="E17" i="9"/>
  <c r="N31" i="9" l="1"/>
  <c r="N30" i="9"/>
  <c r="N29" i="9"/>
  <c r="N28" i="9"/>
  <c r="N27" i="9"/>
  <c r="N26" i="9"/>
  <c r="N25" i="9"/>
  <c r="N24" i="9"/>
  <c r="N23" i="9"/>
  <c r="N22" i="9"/>
  <c r="N21" i="9"/>
  <c r="N20" i="9"/>
  <c r="N19" i="9"/>
  <c r="N18" i="9"/>
  <c r="M16" i="9"/>
  <c r="L16" i="9"/>
  <c r="K16" i="9"/>
  <c r="J16" i="9"/>
  <c r="I16" i="9"/>
  <c r="H16" i="9"/>
  <c r="G16" i="9"/>
  <c r="F16" i="9"/>
  <c r="E16" i="9"/>
  <c r="N17" i="9" l="1"/>
  <c r="N16" i="9"/>
  <c r="C31" i="9"/>
  <c r="C30" i="9"/>
  <c r="C29" i="9"/>
  <c r="C28" i="9"/>
  <c r="C27" i="9"/>
  <c r="C26" i="9"/>
  <c r="D31" i="9"/>
  <c r="D30" i="9"/>
  <c r="D29" i="9"/>
  <c r="D28" i="9"/>
  <c r="D27" i="9"/>
  <c r="D26" i="9"/>
  <c r="D25" i="9"/>
  <c r="D24" i="9"/>
  <c r="D23" i="9"/>
  <c r="D22" i="9"/>
  <c r="C24" i="9"/>
  <c r="C23" i="9"/>
  <c r="C22" i="9"/>
  <c r="D21" i="9"/>
  <c r="C21" i="9"/>
  <c r="D20" i="9"/>
  <c r="C20" i="9"/>
  <c r="D19" i="9"/>
  <c r="C19" i="9"/>
  <c r="D18" i="9"/>
  <c r="C18" i="9"/>
  <c r="D17" i="9"/>
  <c r="C17" i="9"/>
  <c r="D16" i="9"/>
  <c r="C16" i="9"/>
  <c r="C382" i="2" l="1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20" i="2" l="1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289" i="2" l="1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27" i="2" l="1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196" i="2" l="1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41" i="2" l="1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C45" i="2"/>
  <c r="C46" i="2"/>
  <c r="C47" i="2"/>
  <c r="C48" i="2"/>
  <c r="C49" i="2"/>
  <c r="C50" i="2"/>
  <c r="C51" i="2"/>
  <c r="C52" i="2"/>
  <c r="C53" i="2"/>
  <c r="C54" i="2"/>
  <c r="C55" i="2"/>
  <c r="C56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C76" i="2"/>
  <c r="C77" i="2"/>
  <c r="E35" i="1" l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M8" i="1" l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10" i="9" l="1"/>
  <c r="C176" i="2" l="1"/>
  <c r="H14" i="9"/>
  <c r="H13" i="9"/>
  <c r="H12" i="9"/>
  <c r="H11" i="9"/>
  <c r="H10" i="9"/>
  <c r="H9" i="9"/>
  <c r="H8" i="9"/>
  <c r="H7" i="9"/>
  <c r="H6" i="9"/>
  <c r="H5" i="9"/>
  <c r="H4" i="9"/>
  <c r="C19" i="2" l="1"/>
  <c r="H15" i="9" l="1"/>
  <c r="H33" i="9" s="1"/>
  <c r="I18" i="4" l="1"/>
  <c r="AD9" i="3" l="1"/>
  <c r="AE9" i="3"/>
  <c r="E24" i="3" l="1"/>
  <c r="F24" i="3"/>
  <c r="G24" i="3"/>
  <c r="D24" i="3"/>
  <c r="C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B24" i="3"/>
  <c r="C27" i="3"/>
  <c r="L15" i="9" l="1"/>
  <c r="L14" i="9"/>
  <c r="L12" i="9"/>
  <c r="L13" i="9"/>
  <c r="L11" i="9"/>
  <c r="L10" i="9"/>
  <c r="L9" i="9"/>
  <c r="L8" i="9"/>
  <c r="L7" i="9"/>
  <c r="L6" i="9"/>
  <c r="L5" i="9"/>
  <c r="L4" i="9"/>
  <c r="C11" i="9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G260" i="2"/>
  <c r="AH260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Z322" i="2"/>
  <c r="AA322" i="2"/>
  <c r="AB322" i="2"/>
  <c r="AC322" i="2"/>
  <c r="AD322" i="2"/>
  <c r="AE322" i="2"/>
  <c r="AF322" i="2"/>
  <c r="AG322" i="2"/>
  <c r="AH322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V353" i="2"/>
  <c r="W353" i="2"/>
  <c r="X353" i="2"/>
  <c r="Y353" i="2"/>
  <c r="Z353" i="2"/>
  <c r="AA353" i="2"/>
  <c r="AB353" i="2"/>
  <c r="AC353" i="2"/>
  <c r="AD353" i="2"/>
  <c r="AE353" i="2"/>
  <c r="AF353" i="2"/>
  <c r="AG353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M15" i="9"/>
  <c r="M14" i="9"/>
  <c r="M13" i="9"/>
  <c r="K15" i="9"/>
  <c r="K14" i="9"/>
  <c r="K13" i="9"/>
  <c r="J15" i="9"/>
  <c r="J14" i="9"/>
  <c r="J13" i="9"/>
  <c r="I15" i="9"/>
  <c r="I14" i="9"/>
  <c r="I13" i="9"/>
  <c r="G15" i="9"/>
  <c r="G14" i="9"/>
  <c r="G13" i="9"/>
  <c r="F15" i="9"/>
  <c r="F14" i="9"/>
  <c r="F13" i="9"/>
  <c r="E14" i="9"/>
  <c r="E15" i="9"/>
  <c r="E13" i="9"/>
  <c r="D15" i="9"/>
  <c r="D14" i="9"/>
  <c r="D13" i="9"/>
  <c r="C15" i="9"/>
  <c r="C14" i="9"/>
  <c r="C13" i="9"/>
  <c r="D12" i="9"/>
  <c r="AG21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AF18" i="15"/>
  <c r="AE18" i="15"/>
  <c r="AD18" i="15"/>
  <c r="AC18" i="15"/>
  <c r="AB18" i="15"/>
  <c r="AA18" i="15"/>
  <c r="Z18" i="15"/>
  <c r="Y18" i="15"/>
  <c r="X18" i="15"/>
  <c r="W18" i="15"/>
  <c r="V18" i="15"/>
  <c r="U18" i="15"/>
  <c r="T18" i="15"/>
  <c r="S18" i="15"/>
  <c r="R18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C12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D6" i="15"/>
  <c r="C6" i="15"/>
  <c r="AF39" i="15"/>
  <c r="AE39" i="15"/>
  <c r="AD39" i="15"/>
  <c r="AC39" i="15"/>
  <c r="AB39" i="15"/>
  <c r="AA39" i="15"/>
  <c r="Z39" i="15"/>
  <c r="Y39" i="15"/>
  <c r="X39" i="15"/>
  <c r="W39" i="15"/>
  <c r="V39" i="15"/>
  <c r="U39" i="15"/>
  <c r="T39" i="15"/>
  <c r="S39" i="15"/>
  <c r="R39" i="15"/>
  <c r="Q39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AG36" i="15"/>
  <c r="AF36" i="15"/>
  <c r="AE36" i="15"/>
  <c r="AD36" i="15"/>
  <c r="AC36" i="15"/>
  <c r="AB36" i="15"/>
  <c r="AA36" i="15"/>
  <c r="Z36" i="15"/>
  <c r="Y36" i="15"/>
  <c r="X36" i="15"/>
  <c r="W36" i="15"/>
  <c r="V36" i="15"/>
  <c r="U36" i="15"/>
  <c r="T36" i="15"/>
  <c r="S36" i="15"/>
  <c r="R36" i="15"/>
  <c r="Q36" i="15"/>
  <c r="P36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AF33" i="15"/>
  <c r="AE33" i="15"/>
  <c r="AD33" i="15"/>
  <c r="AC33" i="15"/>
  <c r="AB33" i="15"/>
  <c r="AA33" i="15"/>
  <c r="Z33" i="15"/>
  <c r="Y33" i="15"/>
  <c r="X33" i="15"/>
  <c r="W33" i="15"/>
  <c r="V33" i="15"/>
  <c r="U33" i="15"/>
  <c r="T33" i="15"/>
  <c r="S33" i="15"/>
  <c r="R33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AG30" i="15"/>
  <c r="AF30" i="15"/>
  <c r="AE30" i="15"/>
  <c r="AD30" i="15"/>
  <c r="AC30" i="15"/>
  <c r="AB30" i="15"/>
  <c r="AA30" i="15"/>
  <c r="Z30" i="15"/>
  <c r="Y30" i="15"/>
  <c r="X30" i="15"/>
  <c r="W30" i="15"/>
  <c r="V30" i="15"/>
  <c r="U30" i="15"/>
  <c r="T30" i="15"/>
  <c r="S30" i="15"/>
  <c r="R30" i="15"/>
  <c r="Q30" i="15"/>
  <c r="P30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C30" i="15"/>
  <c r="AE27" i="15"/>
  <c r="AD27" i="15"/>
  <c r="AC27" i="15"/>
  <c r="AB27" i="15"/>
  <c r="AA27" i="15"/>
  <c r="Z27" i="15"/>
  <c r="Y27" i="15"/>
  <c r="X27" i="15"/>
  <c r="W27" i="15"/>
  <c r="V27" i="15"/>
  <c r="U27" i="15"/>
  <c r="T27" i="15"/>
  <c r="S27" i="15"/>
  <c r="R27" i="15"/>
  <c r="Q27" i="15"/>
  <c r="P27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R3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S24" i="15"/>
  <c r="R24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C24" i="15"/>
  <c r="AG21" i="14"/>
  <c r="AF21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C21" i="14"/>
  <c r="AF18" i="14"/>
  <c r="AE18" i="14"/>
  <c r="AD18" i="14"/>
  <c r="AC18" i="14"/>
  <c r="AB18" i="14"/>
  <c r="AA18" i="14"/>
  <c r="Z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C18" i="14"/>
  <c r="AG15" i="14"/>
  <c r="AF15" i="14"/>
  <c r="AE15" i="14"/>
  <c r="AD15" i="14"/>
  <c r="AC15" i="14"/>
  <c r="AB15" i="14"/>
  <c r="AA15" i="14"/>
  <c r="Z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C15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AG9" i="14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D9" i="14"/>
  <c r="C9" i="14"/>
  <c r="AG6" i="14"/>
  <c r="AF6" i="14"/>
  <c r="AE6" i="14"/>
  <c r="AD6" i="14"/>
  <c r="AC6" i="14"/>
  <c r="AB6" i="14"/>
  <c r="AA6" i="14"/>
  <c r="Z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C6" i="14"/>
  <c r="AF39" i="14"/>
  <c r="AE39" i="14"/>
  <c r="AD39" i="14"/>
  <c r="AC39" i="14"/>
  <c r="AB39" i="14"/>
  <c r="AA39" i="14"/>
  <c r="Z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AG30" i="14"/>
  <c r="AF30" i="14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AG24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R3" i="14"/>
  <c r="R3" i="13"/>
  <c r="AG21" i="13"/>
  <c r="AF21" i="13"/>
  <c r="AE21" i="13"/>
  <c r="AD21" i="13"/>
  <c r="AC21" i="13"/>
  <c r="AB21" i="13"/>
  <c r="AA21" i="13"/>
  <c r="Z21" i="13"/>
  <c r="Y21" i="13"/>
  <c r="X21" i="13"/>
  <c r="W21" i="13"/>
  <c r="V21" i="13"/>
  <c r="U21" i="13"/>
  <c r="T21" i="13"/>
  <c r="S21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F21" i="13"/>
  <c r="E21" i="13"/>
  <c r="D21" i="13"/>
  <c r="C21" i="13"/>
  <c r="AF18" i="13"/>
  <c r="AE18" i="13"/>
  <c r="AD18" i="13"/>
  <c r="AC18" i="13"/>
  <c r="AB18" i="13"/>
  <c r="AA18" i="13"/>
  <c r="Z18" i="13"/>
  <c r="Y18" i="13"/>
  <c r="X18" i="13"/>
  <c r="W18" i="13"/>
  <c r="V18" i="13"/>
  <c r="U18" i="13"/>
  <c r="T18" i="13"/>
  <c r="S18" i="13"/>
  <c r="R18" i="13"/>
  <c r="Q18" i="13"/>
  <c r="P18" i="13"/>
  <c r="O18" i="13"/>
  <c r="N18" i="13"/>
  <c r="M18" i="13"/>
  <c r="L18" i="13"/>
  <c r="K18" i="13"/>
  <c r="J18" i="13"/>
  <c r="I18" i="13"/>
  <c r="H18" i="13"/>
  <c r="G18" i="13"/>
  <c r="F18" i="13"/>
  <c r="E18" i="13"/>
  <c r="D18" i="13"/>
  <c r="C18" i="13"/>
  <c r="AG15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AG9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AG6" i="13"/>
  <c r="AF6" i="13"/>
  <c r="AE6" i="13"/>
  <c r="AD6" i="13"/>
  <c r="AC6" i="13"/>
  <c r="AB6" i="13"/>
  <c r="AA6" i="13"/>
  <c r="Z6" i="13"/>
  <c r="Y6" i="13"/>
  <c r="X6" i="13"/>
  <c r="W6" i="13"/>
  <c r="V6" i="13"/>
  <c r="U6" i="13"/>
  <c r="T6" i="13"/>
  <c r="S6" i="13"/>
  <c r="R6" i="13"/>
  <c r="Q6" i="13"/>
  <c r="P6" i="13"/>
  <c r="O6" i="13"/>
  <c r="N6" i="13"/>
  <c r="M6" i="13"/>
  <c r="L6" i="13"/>
  <c r="K6" i="13"/>
  <c r="J6" i="13"/>
  <c r="I6" i="13"/>
  <c r="H6" i="13"/>
  <c r="G6" i="13"/>
  <c r="F6" i="13"/>
  <c r="E6" i="13"/>
  <c r="D6" i="13"/>
  <c r="C6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F39" i="13"/>
  <c r="E39" i="13"/>
  <c r="D39" i="13"/>
  <c r="C39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C36" i="13"/>
  <c r="AF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C33" i="13"/>
  <c r="AG30" i="13"/>
  <c r="AF30" i="13"/>
  <c r="AE30" i="13"/>
  <c r="AD30" i="13"/>
  <c r="AC30" i="13"/>
  <c r="AB30" i="13"/>
  <c r="AA30" i="13"/>
  <c r="Z30" i="1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D27" i="13"/>
  <c r="C27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C24" i="13"/>
  <c r="B21" i="15"/>
  <c r="B20" i="15"/>
  <c r="AB19" i="15" s="1"/>
  <c r="B18" i="15"/>
  <c r="B17" i="15"/>
  <c r="AF16" i="15" s="1"/>
  <c r="B15" i="15"/>
  <c r="B14" i="15"/>
  <c r="AG13" i="15" s="1"/>
  <c r="B12" i="15"/>
  <c r="B11" i="15"/>
  <c r="AE10" i="15" s="1"/>
  <c r="B9" i="15"/>
  <c r="B8" i="15"/>
  <c r="AE7" i="15" s="1"/>
  <c r="B6" i="15"/>
  <c r="B5" i="15"/>
  <c r="AE4" i="15" s="1"/>
  <c r="B39" i="15"/>
  <c r="B38" i="15"/>
  <c r="AC37" i="15" s="1"/>
  <c r="B36" i="15"/>
  <c r="B35" i="15"/>
  <c r="AC34" i="15" s="1"/>
  <c r="B33" i="15"/>
  <c r="B32" i="15"/>
  <c r="AA31" i="15" s="1"/>
  <c r="B30" i="15"/>
  <c r="B29" i="15"/>
  <c r="AC28" i="15" s="1"/>
  <c r="B27" i="15"/>
  <c r="B26" i="15"/>
  <c r="AE25" i="15" s="1"/>
  <c r="B24" i="15"/>
  <c r="B23" i="15"/>
  <c r="AE22" i="15" s="1"/>
  <c r="R2" i="15"/>
  <c r="I2" i="15"/>
  <c r="B21" i="14"/>
  <c r="B20" i="14"/>
  <c r="AG19" i="14" s="1"/>
  <c r="B18" i="14"/>
  <c r="B17" i="14"/>
  <c r="Z16" i="14" s="1"/>
  <c r="B15" i="14"/>
  <c r="B14" i="14"/>
  <c r="AF13" i="14" s="1"/>
  <c r="B12" i="14"/>
  <c r="B11" i="14"/>
  <c r="AF10" i="14" s="1"/>
  <c r="B9" i="14"/>
  <c r="B8" i="14"/>
  <c r="AF7" i="14" s="1"/>
  <c r="B6" i="14"/>
  <c r="B5" i="14"/>
  <c r="AF4" i="14" s="1"/>
  <c r="B39" i="14"/>
  <c r="B38" i="14"/>
  <c r="AC37" i="14" s="1"/>
  <c r="B36" i="14"/>
  <c r="B35" i="14"/>
  <c r="AC34" i="14" s="1"/>
  <c r="B33" i="14"/>
  <c r="B32" i="14"/>
  <c r="AA31" i="14" s="1"/>
  <c r="B30" i="14"/>
  <c r="B29" i="14"/>
  <c r="AG28" i="14" s="1"/>
  <c r="AE27" i="14"/>
  <c r="B27" i="14"/>
  <c r="B26" i="14"/>
  <c r="AD25" i="14" s="1"/>
  <c r="B24" i="14"/>
  <c r="B23" i="14"/>
  <c r="AF22" i="14" s="1"/>
  <c r="R2" i="14"/>
  <c r="I2" i="14"/>
  <c r="B21" i="13"/>
  <c r="B20" i="13"/>
  <c r="AA19" i="13" s="1"/>
  <c r="B18" i="13"/>
  <c r="B17" i="13"/>
  <c r="Z16" i="13" s="1"/>
  <c r="B15" i="13"/>
  <c r="B14" i="13"/>
  <c r="AC13" i="13" s="1"/>
  <c r="B12" i="13"/>
  <c r="B11" i="13"/>
  <c r="AF10" i="13" s="1"/>
  <c r="B9" i="13"/>
  <c r="B8" i="13"/>
  <c r="AF7" i="13" s="1"/>
  <c r="B6" i="13"/>
  <c r="B5" i="13"/>
  <c r="AF4" i="13" s="1"/>
  <c r="B39" i="13"/>
  <c r="B38" i="13"/>
  <c r="AD37" i="13" s="1"/>
  <c r="B36" i="13"/>
  <c r="B35" i="13"/>
  <c r="AC34" i="13" s="1"/>
  <c r="B33" i="13"/>
  <c r="B32" i="13"/>
  <c r="AA31" i="13" s="1"/>
  <c r="B30" i="13"/>
  <c r="B29" i="13"/>
  <c r="AA28" i="13" s="1"/>
  <c r="AE27" i="13"/>
  <c r="B27" i="13"/>
  <c r="B26" i="13"/>
  <c r="Y25" i="13" s="1"/>
  <c r="B24" i="13"/>
  <c r="B23" i="13"/>
  <c r="AF22" i="13" s="1"/>
  <c r="R2" i="13"/>
  <c r="I2" i="13"/>
  <c r="C180" i="2"/>
  <c r="C179" i="2"/>
  <c r="C178" i="2"/>
  <c r="C149" i="2"/>
  <c r="C148" i="2"/>
  <c r="C147" i="2"/>
  <c r="C118" i="2"/>
  <c r="C117" i="2"/>
  <c r="C116" i="2"/>
  <c r="C87" i="2"/>
  <c r="C86" i="2"/>
  <c r="C85" i="2"/>
  <c r="C25" i="2"/>
  <c r="C24" i="2"/>
  <c r="C23" i="2"/>
  <c r="E19" i="1"/>
  <c r="E18" i="1"/>
  <c r="E17" i="1"/>
  <c r="E12" i="3"/>
  <c r="D12" i="3"/>
  <c r="F12" i="4"/>
  <c r="E12" i="4"/>
  <c r="M12" i="9"/>
  <c r="M11" i="9"/>
  <c r="M9" i="9"/>
  <c r="M8" i="9"/>
  <c r="M7" i="9"/>
  <c r="M6" i="9"/>
  <c r="M5" i="9"/>
  <c r="M4" i="9"/>
  <c r="K12" i="9"/>
  <c r="K11" i="9"/>
  <c r="K10" i="9"/>
  <c r="K9" i="9"/>
  <c r="K8" i="9"/>
  <c r="K7" i="9"/>
  <c r="K6" i="9"/>
  <c r="K5" i="9"/>
  <c r="K4" i="9"/>
  <c r="I4" i="9"/>
  <c r="K33" i="9" l="1"/>
  <c r="M33" i="9"/>
  <c r="L33" i="9"/>
  <c r="Y31" i="14"/>
  <c r="L25" i="15"/>
  <c r="P19" i="15"/>
  <c r="J19" i="15"/>
  <c r="L10" i="14"/>
  <c r="J28" i="15"/>
  <c r="R19" i="15"/>
  <c r="N19" i="15"/>
  <c r="I31" i="14"/>
  <c r="G19" i="15"/>
  <c r="E19" i="15"/>
  <c r="AD16" i="13"/>
  <c r="AE22" i="14"/>
  <c r="Q19" i="15"/>
  <c r="O22" i="14"/>
  <c r="R28" i="14"/>
  <c r="AG19" i="15"/>
  <c r="AA37" i="15"/>
  <c r="I19" i="15"/>
  <c r="Z19" i="15"/>
  <c r="H19" i="15"/>
  <c r="X19" i="15"/>
  <c r="S19" i="15"/>
  <c r="E22" i="14"/>
  <c r="O13" i="15"/>
  <c r="T25" i="14"/>
  <c r="G13" i="15"/>
  <c r="D19" i="15"/>
  <c r="L19" i="15"/>
  <c r="V19" i="15"/>
  <c r="D13" i="15"/>
  <c r="C19" i="15"/>
  <c r="K19" i="15"/>
  <c r="T19" i="15"/>
  <c r="M10" i="13"/>
  <c r="R19" i="13"/>
  <c r="R22" i="14"/>
  <c r="C28" i="14"/>
  <c r="AE19" i="15"/>
  <c r="G22" i="14"/>
  <c r="U7" i="14"/>
  <c r="N16" i="14"/>
  <c r="L7" i="15"/>
  <c r="S13" i="15"/>
  <c r="F19" i="15"/>
  <c r="O19" i="15"/>
  <c r="Y19" i="15"/>
  <c r="I16" i="13"/>
  <c r="U28" i="14"/>
  <c r="O10" i="14"/>
  <c r="H7" i="15"/>
  <c r="AC19" i="15"/>
  <c r="AA19" i="15"/>
  <c r="L22" i="14"/>
  <c r="G25" i="14"/>
  <c r="O28" i="14"/>
  <c r="O31" i="14"/>
  <c r="D10" i="14"/>
  <c r="AG34" i="15"/>
  <c r="AF7" i="15"/>
  <c r="M13" i="15"/>
  <c r="G28" i="14"/>
  <c r="K34" i="15"/>
  <c r="T7" i="15"/>
  <c r="AF16" i="13"/>
  <c r="F28" i="14"/>
  <c r="J37" i="14"/>
  <c r="P25" i="15"/>
  <c r="I34" i="15"/>
  <c r="R7" i="15"/>
  <c r="F13" i="15"/>
  <c r="W19" i="15"/>
  <c r="AF19" i="15"/>
  <c r="V25" i="13"/>
  <c r="L10" i="13"/>
  <c r="Q16" i="13"/>
  <c r="AC22" i="14"/>
  <c r="AE28" i="14"/>
  <c r="J7" i="14"/>
  <c r="AC10" i="14"/>
  <c r="X19" i="14"/>
  <c r="E25" i="15"/>
  <c r="S37" i="15"/>
  <c r="K7" i="15"/>
  <c r="Z13" i="15"/>
  <c r="N16" i="13"/>
  <c r="T22" i="14"/>
  <c r="W28" i="14"/>
  <c r="C7" i="14"/>
  <c r="U10" i="14"/>
  <c r="C25" i="15"/>
  <c r="K37" i="15"/>
  <c r="I7" i="15"/>
  <c r="U13" i="15"/>
  <c r="M19" i="15"/>
  <c r="U19" i="15"/>
  <c r="AD19" i="15"/>
  <c r="N13" i="9"/>
  <c r="N15" i="9"/>
  <c r="N14" i="9"/>
  <c r="D22" i="14"/>
  <c r="Z22" i="14"/>
  <c r="N28" i="14"/>
  <c r="AD28" i="14"/>
  <c r="AB4" i="14"/>
  <c r="C10" i="14"/>
  <c r="S10" i="14"/>
  <c r="V13" i="14"/>
  <c r="O19" i="14"/>
  <c r="X22" i="15"/>
  <c r="I28" i="15"/>
  <c r="AG28" i="15"/>
  <c r="Y34" i="15"/>
  <c r="AC7" i="15"/>
  <c r="O22" i="13"/>
  <c r="U22" i="14"/>
  <c r="M28" i="14"/>
  <c r="AC28" i="14"/>
  <c r="AF31" i="14"/>
  <c r="C4" i="14"/>
  <c r="R10" i="14"/>
  <c r="I13" i="14"/>
  <c r="F19" i="14"/>
  <c r="L22" i="15"/>
  <c r="AB25" i="15"/>
  <c r="H28" i="15"/>
  <c r="AF28" i="15"/>
  <c r="R34" i="15"/>
  <c r="X7" i="15"/>
  <c r="K28" i="14"/>
  <c r="AA28" i="14"/>
  <c r="Q10" i="14"/>
  <c r="S25" i="15"/>
  <c r="Z28" i="15"/>
  <c r="Q34" i="15"/>
  <c r="L4" i="15"/>
  <c r="U7" i="15"/>
  <c r="X28" i="15"/>
  <c r="R28" i="15"/>
  <c r="U25" i="13"/>
  <c r="X19" i="13"/>
  <c r="E28" i="14"/>
  <c r="S28" i="14"/>
  <c r="I10" i="14"/>
  <c r="AB10" i="14"/>
  <c r="M16" i="14"/>
  <c r="Q28" i="15"/>
  <c r="Q31" i="15"/>
  <c r="M10" i="15"/>
  <c r="P25" i="13"/>
  <c r="W19" i="13"/>
  <c r="E10" i="14"/>
  <c r="AA10" i="14"/>
  <c r="P28" i="15"/>
  <c r="I31" i="15"/>
  <c r="D22" i="13"/>
  <c r="U22" i="13"/>
  <c r="R22" i="13"/>
  <c r="W16" i="13"/>
  <c r="J22" i="14"/>
  <c r="AB22" i="14"/>
  <c r="U25" i="14"/>
  <c r="P31" i="14"/>
  <c r="J19" i="14"/>
  <c r="S19" i="14"/>
  <c r="AB19" i="14"/>
  <c r="M25" i="15"/>
  <c r="O34" i="15"/>
  <c r="AE34" i="15"/>
  <c r="Y37" i="15"/>
  <c r="T4" i="15"/>
  <c r="J7" i="15"/>
  <c r="AB7" i="15"/>
  <c r="E13" i="15"/>
  <c r="R13" i="15"/>
  <c r="AD13" i="15"/>
  <c r="H19" i="14"/>
  <c r="R19" i="14"/>
  <c r="AA19" i="14"/>
  <c r="AA34" i="15"/>
  <c r="S4" i="15"/>
  <c r="AC13" i="15"/>
  <c r="J22" i="13"/>
  <c r="AE22" i="13"/>
  <c r="H25" i="14"/>
  <c r="AE4" i="14"/>
  <c r="AA7" i="14"/>
  <c r="G19" i="14"/>
  <c r="P19" i="14"/>
  <c r="Z19" i="14"/>
  <c r="J34" i="15"/>
  <c r="Z34" i="15"/>
  <c r="Q37" i="15"/>
  <c r="R4" i="15"/>
  <c r="C13" i="15"/>
  <c r="N13" i="15"/>
  <c r="AA13" i="15"/>
  <c r="G22" i="13"/>
  <c r="AD22" i="13"/>
  <c r="F22" i="13"/>
  <c r="AC22" i="13"/>
  <c r="L34" i="13"/>
  <c r="F16" i="13"/>
  <c r="C22" i="14"/>
  <c r="S22" i="14"/>
  <c r="G4" i="14"/>
  <c r="O7" i="14"/>
  <c r="G10" i="14"/>
  <c r="Y10" i="14"/>
  <c r="E19" i="14"/>
  <c r="N19" i="14"/>
  <c r="W19" i="14"/>
  <c r="AF19" i="14"/>
  <c r="AA25" i="15"/>
  <c r="Y28" i="15"/>
  <c r="G34" i="15"/>
  <c r="W34" i="15"/>
  <c r="I37" i="15"/>
  <c r="J4" i="15"/>
  <c r="AF4" i="15"/>
  <c r="S7" i="15"/>
  <c r="K10" i="15"/>
  <c r="L13" i="15"/>
  <c r="W13" i="15"/>
  <c r="W16" i="15"/>
  <c r="E22" i="13"/>
  <c r="V22" i="13"/>
  <c r="K34" i="13"/>
  <c r="E4" i="14"/>
  <c r="M7" i="14"/>
  <c r="D19" i="14"/>
  <c r="M19" i="14"/>
  <c r="V19" i="14"/>
  <c r="AE19" i="14"/>
  <c r="Y25" i="15"/>
  <c r="C34" i="15"/>
  <c r="S34" i="15"/>
  <c r="C37" i="15"/>
  <c r="I4" i="15"/>
  <c r="AC4" i="15"/>
  <c r="K13" i="15"/>
  <c r="V13" i="15"/>
  <c r="N16" i="15"/>
  <c r="C19" i="14"/>
  <c r="L19" i="14"/>
  <c r="U19" i="14"/>
  <c r="AD19" i="14"/>
  <c r="H4" i="15"/>
  <c r="AB4" i="15"/>
  <c r="E16" i="15"/>
  <c r="T22" i="13"/>
  <c r="G4" i="13"/>
  <c r="K19" i="14"/>
  <c r="T19" i="14"/>
  <c r="AC19" i="14"/>
  <c r="X4" i="15"/>
  <c r="R10" i="13"/>
  <c r="N13" i="13"/>
  <c r="M25" i="14"/>
  <c r="Y25" i="14"/>
  <c r="O4" i="14"/>
  <c r="N13" i="14"/>
  <c r="Z13" i="14"/>
  <c r="D16" i="14"/>
  <c r="V16" i="14"/>
  <c r="E22" i="15"/>
  <c r="Q22" i="15"/>
  <c r="AA22" i="15"/>
  <c r="D28" i="15"/>
  <c r="L28" i="15"/>
  <c r="T28" i="15"/>
  <c r="AB28" i="15"/>
  <c r="U10" i="15"/>
  <c r="I16" i="15"/>
  <c r="R16" i="15"/>
  <c r="AA16" i="15"/>
  <c r="X25" i="13"/>
  <c r="O10" i="13"/>
  <c r="F13" i="13"/>
  <c r="Z19" i="13"/>
  <c r="L25" i="14"/>
  <c r="X25" i="14"/>
  <c r="C37" i="14"/>
  <c r="J4" i="14"/>
  <c r="Z7" i="14"/>
  <c r="M13" i="14"/>
  <c r="Y13" i="14"/>
  <c r="C16" i="14"/>
  <c r="U16" i="14"/>
  <c r="D22" i="15"/>
  <c r="P22" i="15"/>
  <c r="Z22" i="15"/>
  <c r="D25" i="15"/>
  <c r="Q25" i="15"/>
  <c r="AC25" i="15"/>
  <c r="C28" i="15"/>
  <c r="K28" i="15"/>
  <c r="S28" i="15"/>
  <c r="AA28" i="15"/>
  <c r="K4" i="15"/>
  <c r="U4" i="15"/>
  <c r="AG4" i="15"/>
  <c r="AG7" i="15"/>
  <c r="S10" i="15"/>
  <c r="G16" i="15"/>
  <c r="Q16" i="15"/>
  <c r="Z16" i="15"/>
  <c r="N10" i="13"/>
  <c r="E13" i="13"/>
  <c r="K25" i="14"/>
  <c r="W25" i="14"/>
  <c r="J13" i="14"/>
  <c r="W13" i="14"/>
  <c r="O16" i="14"/>
  <c r="C22" i="15"/>
  <c r="M22" i="15"/>
  <c r="Y22" i="15"/>
  <c r="Q10" i="15"/>
  <c r="F16" i="15"/>
  <c r="O16" i="15"/>
  <c r="Y16" i="15"/>
  <c r="J34" i="14"/>
  <c r="AG13" i="14"/>
  <c r="K22" i="15"/>
  <c r="AG22" i="15"/>
  <c r="D16" i="15"/>
  <c r="M16" i="15"/>
  <c r="V16" i="15"/>
  <c r="AE16" i="15"/>
  <c r="N22" i="13"/>
  <c r="AB22" i="13"/>
  <c r="H25" i="13"/>
  <c r="H37" i="13"/>
  <c r="D10" i="13"/>
  <c r="AC10" i="13"/>
  <c r="Y13" i="13"/>
  <c r="V16" i="13"/>
  <c r="J19" i="13"/>
  <c r="M22" i="14"/>
  <c r="AA22" i="14"/>
  <c r="E25" i="14"/>
  <c r="Q25" i="14"/>
  <c r="AE25" i="14"/>
  <c r="J28" i="14"/>
  <c r="V28" i="14"/>
  <c r="G31" i="14"/>
  <c r="I34" i="14"/>
  <c r="U4" i="14"/>
  <c r="L7" i="14"/>
  <c r="M10" i="14"/>
  <c r="Z10" i="14"/>
  <c r="F13" i="14"/>
  <c r="R13" i="14"/>
  <c r="AE13" i="14"/>
  <c r="K16" i="14"/>
  <c r="AC16" i="14"/>
  <c r="J22" i="15"/>
  <c r="T22" i="15"/>
  <c r="AF22" i="15"/>
  <c r="K25" i="15"/>
  <c r="X25" i="15"/>
  <c r="G28" i="15"/>
  <c r="O28" i="15"/>
  <c r="W28" i="15"/>
  <c r="AE28" i="15"/>
  <c r="E4" i="15"/>
  <c r="Q4" i="15"/>
  <c r="AA4" i="15"/>
  <c r="E7" i="15"/>
  <c r="Q7" i="15"/>
  <c r="AA7" i="15"/>
  <c r="I10" i="15"/>
  <c r="AC10" i="15"/>
  <c r="C16" i="15"/>
  <c r="L16" i="15"/>
  <c r="U16" i="15"/>
  <c r="AD16" i="15"/>
  <c r="U22" i="15"/>
  <c r="M22" i="13"/>
  <c r="Z22" i="13"/>
  <c r="F25" i="13"/>
  <c r="Z10" i="13"/>
  <c r="X13" i="13"/>
  <c r="H19" i="13"/>
  <c r="D25" i="14"/>
  <c r="P25" i="14"/>
  <c r="AC25" i="14"/>
  <c r="T4" i="14"/>
  <c r="E13" i="14"/>
  <c r="Q13" i="14"/>
  <c r="AB13" i="14"/>
  <c r="I16" i="14"/>
  <c r="AB16" i="14"/>
  <c r="I22" i="15"/>
  <c r="S22" i="15"/>
  <c r="AC22" i="15"/>
  <c r="I25" i="15"/>
  <c r="U25" i="15"/>
  <c r="F28" i="15"/>
  <c r="N28" i="15"/>
  <c r="V28" i="15"/>
  <c r="AD28" i="15"/>
  <c r="D4" i="15"/>
  <c r="P4" i="15"/>
  <c r="Z4" i="15"/>
  <c r="D7" i="15"/>
  <c r="P7" i="15"/>
  <c r="Z7" i="15"/>
  <c r="E10" i="15"/>
  <c r="AA10" i="15"/>
  <c r="K16" i="15"/>
  <c r="T16" i="15"/>
  <c r="AC16" i="15"/>
  <c r="G13" i="14"/>
  <c r="S13" i="14"/>
  <c r="L22" i="13"/>
  <c r="W22" i="13"/>
  <c r="E25" i="13"/>
  <c r="V10" i="13"/>
  <c r="P13" i="13"/>
  <c r="P16" i="13"/>
  <c r="G19" i="13"/>
  <c r="K22" i="14"/>
  <c r="W22" i="14"/>
  <c r="C25" i="14"/>
  <c r="O25" i="14"/>
  <c r="Z25" i="14"/>
  <c r="Q37" i="14"/>
  <c r="S4" i="14"/>
  <c r="G7" i="14"/>
  <c r="AB7" i="14"/>
  <c r="K10" i="14"/>
  <c r="W10" i="14"/>
  <c r="D13" i="14"/>
  <c r="O13" i="14"/>
  <c r="AA13" i="14"/>
  <c r="E16" i="14"/>
  <c r="Y16" i="14"/>
  <c r="H22" i="15"/>
  <c r="R22" i="15"/>
  <c r="AB22" i="15"/>
  <c r="H25" i="15"/>
  <c r="T25" i="15"/>
  <c r="E28" i="15"/>
  <c r="M28" i="15"/>
  <c r="U28" i="15"/>
  <c r="Y31" i="15"/>
  <c r="C4" i="15"/>
  <c r="M4" i="15"/>
  <c r="Y4" i="15"/>
  <c r="C7" i="15"/>
  <c r="M7" i="15"/>
  <c r="Y7" i="15"/>
  <c r="C10" i="15"/>
  <c r="Y10" i="15"/>
  <c r="J13" i="15"/>
  <c r="T13" i="15"/>
  <c r="AE13" i="15"/>
  <c r="J16" i="15"/>
  <c r="S16" i="15"/>
  <c r="AB16" i="15"/>
  <c r="K13" i="13"/>
  <c r="AD13" i="13"/>
  <c r="P19" i="13"/>
  <c r="Z28" i="14"/>
  <c r="L25" i="13"/>
  <c r="AB25" i="13"/>
  <c r="R34" i="13"/>
  <c r="I37" i="13"/>
  <c r="N4" i="13"/>
  <c r="G7" i="13"/>
  <c r="E10" i="13"/>
  <c r="W10" i="13"/>
  <c r="H13" i="13"/>
  <c r="Q13" i="13"/>
  <c r="Z13" i="13"/>
  <c r="G16" i="13"/>
  <c r="X16" i="13"/>
  <c r="N19" i="13"/>
  <c r="AD19" i="13"/>
  <c r="I25" i="14"/>
  <c r="R25" i="14"/>
  <c r="AA25" i="14"/>
  <c r="H28" i="14"/>
  <c r="P28" i="14"/>
  <c r="X28" i="14"/>
  <c r="AF28" i="14"/>
  <c r="Q31" i="14"/>
  <c r="R34" i="14"/>
  <c r="R37" i="14"/>
  <c r="K4" i="14"/>
  <c r="W4" i="14"/>
  <c r="D7" i="14"/>
  <c r="R7" i="14"/>
  <c r="AC7" i="14"/>
  <c r="J10" i="14"/>
  <c r="T10" i="14"/>
  <c r="AE10" i="14"/>
  <c r="K13" i="14"/>
  <c r="T13" i="14"/>
  <c r="AC13" i="14"/>
  <c r="F16" i="14"/>
  <c r="Q16" i="14"/>
  <c r="AD16" i="14"/>
  <c r="I19" i="14"/>
  <c r="Q19" i="14"/>
  <c r="Y19" i="14"/>
  <c r="F22" i="15"/>
  <c r="N22" i="15"/>
  <c r="V22" i="15"/>
  <c r="AD22" i="15"/>
  <c r="F25" i="15"/>
  <c r="N25" i="15"/>
  <c r="V25" i="15"/>
  <c r="AD25" i="15"/>
  <c r="J31" i="15"/>
  <c r="R31" i="15"/>
  <c r="Z31" i="15"/>
  <c r="D34" i="15"/>
  <c r="L34" i="15"/>
  <c r="T34" i="15"/>
  <c r="AB34" i="15"/>
  <c r="D37" i="15"/>
  <c r="L37" i="15"/>
  <c r="T37" i="15"/>
  <c r="AB37" i="15"/>
  <c r="F4" i="15"/>
  <c r="N4" i="15"/>
  <c r="V4" i="15"/>
  <c r="AD4" i="15"/>
  <c r="F7" i="15"/>
  <c r="N7" i="15"/>
  <c r="V7" i="15"/>
  <c r="AD7" i="15"/>
  <c r="F10" i="15"/>
  <c r="N10" i="15"/>
  <c r="V10" i="15"/>
  <c r="AD10" i="15"/>
  <c r="H13" i="15"/>
  <c r="P13" i="15"/>
  <c r="X13" i="15"/>
  <c r="AF13" i="15"/>
  <c r="H16" i="15"/>
  <c r="P16" i="15"/>
  <c r="X16" i="15"/>
  <c r="K37" i="14"/>
  <c r="H31" i="15"/>
  <c r="P31" i="15"/>
  <c r="X31" i="15"/>
  <c r="AF31" i="15"/>
  <c r="J37" i="15"/>
  <c r="R37" i="15"/>
  <c r="Z37" i="15"/>
  <c r="D10" i="15"/>
  <c r="L10" i="15"/>
  <c r="T10" i="15"/>
  <c r="AB10" i="15"/>
  <c r="J34" i="13"/>
  <c r="AB34" i="13"/>
  <c r="W7" i="13"/>
  <c r="G31" i="15"/>
  <c r="O31" i="15"/>
  <c r="W31" i="15"/>
  <c r="AE31" i="15"/>
  <c r="D13" i="13"/>
  <c r="M13" i="13"/>
  <c r="V13" i="13"/>
  <c r="AG13" i="13"/>
  <c r="D25" i="13"/>
  <c r="T25" i="13"/>
  <c r="D34" i="13"/>
  <c r="AA34" i="13"/>
  <c r="Y37" i="13"/>
  <c r="AB4" i="13"/>
  <c r="V7" i="13"/>
  <c r="C13" i="13"/>
  <c r="L13" i="13"/>
  <c r="U13" i="13"/>
  <c r="AE13" i="13"/>
  <c r="F19" i="13"/>
  <c r="V19" i="13"/>
  <c r="D28" i="14"/>
  <c r="L28" i="14"/>
  <c r="T28" i="14"/>
  <c r="AB28" i="14"/>
  <c r="H31" i="14"/>
  <c r="AE31" i="14"/>
  <c r="I37" i="14"/>
  <c r="D4" i="14"/>
  <c r="R4" i="14"/>
  <c r="AC4" i="14"/>
  <c r="K7" i="14"/>
  <c r="W7" i="14"/>
  <c r="L16" i="14"/>
  <c r="W16" i="14"/>
  <c r="J25" i="15"/>
  <c r="R25" i="15"/>
  <c r="Z25" i="15"/>
  <c r="F31" i="15"/>
  <c r="N31" i="15"/>
  <c r="V31" i="15"/>
  <c r="AD31" i="15"/>
  <c r="H34" i="15"/>
  <c r="P34" i="15"/>
  <c r="X34" i="15"/>
  <c r="AF34" i="15"/>
  <c r="H37" i="15"/>
  <c r="P37" i="15"/>
  <c r="X37" i="15"/>
  <c r="AF37" i="15"/>
  <c r="J10" i="15"/>
  <c r="R10" i="15"/>
  <c r="Z10" i="15"/>
  <c r="AB13" i="15"/>
  <c r="E4" i="13"/>
  <c r="AD4" i="13"/>
  <c r="D4" i="13"/>
  <c r="C34" i="13"/>
  <c r="E31" i="15"/>
  <c r="M31" i="15"/>
  <c r="U31" i="15"/>
  <c r="AC31" i="15"/>
  <c r="G37" i="15"/>
  <c r="O37" i="15"/>
  <c r="W37" i="15"/>
  <c r="AE37" i="15"/>
  <c r="Z34" i="13"/>
  <c r="X37" i="13"/>
  <c r="U4" i="13"/>
  <c r="U7" i="13"/>
  <c r="N25" i="13"/>
  <c r="AD25" i="13"/>
  <c r="J13" i="13"/>
  <c r="S13" i="13"/>
  <c r="AB13" i="13"/>
  <c r="AF19" i="13"/>
  <c r="M4" i="14"/>
  <c r="T7" i="14"/>
  <c r="D31" i="15"/>
  <c r="L31" i="15"/>
  <c r="T31" i="15"/>
  <c r="AB31" i="15"/>
  <c r="F34" i="15"/>
  <c r="N34" i="15"/>
  <c r="V34" i="15"/>
  <c r="AD34" i="15"/>
  <c r="F37" i="15"/>
  <c r="N37" i="15"/>
  <c r="V37" i="15"/>
  <c r="AD37" i="15"/>
  <c r="H10" i="15"/>
  <c r="P10" i="15"/>
  <c r="X10" i="15"/>
  <c r="AF10" i="15"/>
  <c r="AC4" i="13"/>
  <c r="T13" i="13"/>
  <c r="T34" i="13"/>
  <c r="Q37" i="13"/>
  <c r="R4" i="13"/>
  <c r="L7" i="13"/>
  <c r="X31" i="14"/>
  <c r="Z37" i="14"/>
  <c r="AA4" i="14"/>
  <c r="M25" i="13"/>
  <c r="AC25" i="13"/>
  <c r="S34" i="13"/>
  <c r="P37" i="13"/>
  <c r="O4" i="13"/>
  <c r="J7" i="13"/>
  <c r="G10" i="13"/>
  <c r="Y10" i="13"/>
  <c r="I13" i="13"/>
  <c r="R13" i="13"/>
  <c r="AA13" i="13"/>
  <c r="H16" i="13"/>
  <c r="Y16" i="13"/>
  <c r="O19" i="13"/>
  <c r="AE19" i="13"/>
  <c r="J25" i="14"/>
  <c r="S25" i="14"/>
  <c r="AB25" i="14"/>
  <c r="I28" i="14"/>
  <c r="Q28" i="14"/>
  <c r="Y28" i="14"/>
  <c r="W31" i="14"/>
  <c r="Z34" i="14"/>
  <c r="Y37" i="14"/>
  <c r="L4" i="14"/>
  <c r="Z4" i="14"/>
  <c r="E7" i="14"/>
  <c r="S7" i="14"/>
  <c r="AE7" i="14"/>
  <c r="C13" i="14"/>
  <c r="L13" i="14"/>
  <c r="U13" i="14"/>
  <c r="AD13" i="14"/>
  <c r="G16" i="14"/>
  <c r="T16" i="14"/>
  <c r="AE16" i="14"/>
  <c r="G22" i="15"/>
  <c r="O22" i="15"/>
  <c r="W22" i="15"/>
  <c r="G25" i="15"/>
  <c r="O25" i="15"/>
  <c r="W25" i="15"/>
  <c r="C31" i="15"/>
  <c r="K31" i="15"/>
  <c r="S31" i="15"/>
  <c r="E34" i="15"/>
  <c r="M34" i="15"/>
  <c r="U34" i="15"/>
  <c r="E37" i="15"/>
  <c r="M37" i="15"/>
  <c r="U37" i="15"/>
  <c r="G4" i="15"/>
  <c r="O4" i="15"/>
  <c r="W4" i="15"/>
  <c r="G7" i="15"/>
  <c r="O7" i="15"/>
  <c r="W7" i="15"/>
  <c r="G10" i="15"/>
  <c r="O10" i="15"/>
  <c r="W10" i="15"/>
  <c r="I13" i="15"/>
  <c r="Q13" i="15"/>
  <c r="Y13" i="15"/>
  <c r="J28" i="13"/>
  <c r="J31" i="13"/>
  <c r="N7" i="13"/>
  <c r="AB7" i="13"/>
  <c r="G25" i="13"/>
  <c r="O25" i="13"/>
  <c r="W25" i="13"/>
  <c r="AE25" i="13"/>
  <c r="I28" i="13"/>
  <c r="I31" i="13"/>
  <c r="J37" i="13"/>
  <c r="R37" i="13"/>
  <c r="Z37" i="13"/>
  <c r="F4" i="13"/>
  <c r="T4" i="13"/>
  <c r="AE4" i="13"/>
  <c r="M7" i="13"/>
  <c r="Z7" i="13"/>
  <c r="F10" i="13"/>
  <c r="Q10" i="13"/>
  <c r="AB10" i="13"/>
  <c r="G13" i="13"/>
  <c r="O13" i="13"/>
  <c r="W13" i="13"/>
  <c r="AF13" i="13"/>
  <c r="O16" i="13"/>
  <c r="AE16" i="13"/>
  <c r="I19" i="13"/>
  <c r="Q19" i="13"/>
  <c r="Y19" i="13"/>
  <c r="AG19" i="13"/>
  <c r="F22" i="14"/>
  <c r="N22" i="14"/>
  <c r="V22" i="14"/>
  <c r="AD22" i="14"/>
  <c r="F25" i="14"/>
  <c r="N25" i="14"/>
  <c r="V25" i="14"/>
  <c r="J31" i="14"/>
  <c r="R31" i="14"/>
  <c r="Z31" i="14"/>
  <c r="D34" i="14"/>
  <c r="L34" i="14"/>
  <c r="T34" i="14"/>
  <c r="AB34" i="14"/>
  <c r="D37" i="14"/>
  <c r="L37" i="14"/>
  <c r="T37" i="14"/>
  <c r="AB37" i="14"/>
  <c r="F4" i="14"/>
  <c r="N4" i="14"/>
  <c r="V4" i="14"/>
  <c r="AD4" i="14"/>
  <c r="F7" i="14"/>
  <c r="N7" i="14"/>
  <c r="V7" i="14"/>
  <c r="AD7" i="14"/>
  <c r="F10" i="14"/>
  <c r="N10" i="14"/>
  <c r="V10" i="14"/>
  <c r="AD10" i="14"/>
  <c r="H13" i="14"/>
  <c r="P13" i="14"/>
  <c r="X13" i="14"/>
  <c r="H16" i="14"/>
  <c r="P16" i="14"/>
  <c r="X16" i="14"/>
  <c r="AF16" i="14"/>
  <c r="C34" i="14"/>
  <c r="K34" i="14"/>
  <c r="S34" i="14"/>
  <c r="AA34" i="14"/>
  <c r="S37" i="14"/>
  <c r="AA37" i="14"/>
  <c r="G37" i="13"/>
  <c r="O37" i="13"/>
  <c r="W37" i="13"/>
  <c r="AF37" i="13"/>
  <c r="Q34" i="14"/>
  <c r="Y34" i="14"/>
  <c r="AG34" i="14"/>
  <c r="S25" i="13"/>
  <c r="F37" i="13"/>
  <c r="N37" i="13"/>
  <c r="V37" i="13"/>
  <c r="AE37" i="13"/>
  <c r="M4" i="13"/>
  <c r="Z4" i="13"/>
  <c r="F7" i="13"/>
  <c r="T7" i="13"/>
  <c r="AE7" i="13"/>
  <c r="E19" i="13"/>
  <c r="M19" i="13"/>
  <c r="U19" i="13"/>
  <c r="AC19" i="13"/>
  <c r="F31" i="14"/>
  <c r="N31" i="14"/>
  <c r="V31" i="14"/>
  <c r="AD31" i="14"/>
  <c r="H34" i="14"/>
  <c r="P34" i="14"/>
  <c r="X34" i="14"/>
  <c r="AF34" i="14"/>
  <c r="H37" i="14"/>
  <c r="P37" i="14"/>
  <c r="X37" i="14"/>
  <c r="AF37" i="14"/>
  <c r="AG28" i="13"/>
  <c r="Z28" i="13"/>
  <c r="J25" i="13"/>
  <c r="R25" i="13"/>
  <c r="Z25" i="13"/>
  <c r="R28" i="13"/>
  <c r="R31" i="13"/>
  <c r="E37" i="13"/>
  <c r="M37" i="13"/>
  <c r="U37" i="13"/>
  <c r="AC37" i="13"/>
  <c r="L4" i="13"/>
  <c r="W4" i="13"/>
  <c r="E7" i="13"/>
  <c r="R7" i="13"/>
  <c r="AD7" i="13"/>
  <c r="J10" i="13"/>
  <c r="U10" i="13"/>
  <c r="AE10" i="13"/>
  <c r="D19" i="13"/>
  <c r="L19" i="13"/>
  <c r="T19" i="13"/>
  <c r="AB19" i="13"/>
  <c r="I22" i="14"/>
  <c r="Q22" i="14"/>
  <c r="Y22" i="14"/>
  <c r="AG22" i="14"/>
  <c r="E31" i="14"/>
  <c r="M31" i="14"/>
  <c r="U31" i="14"/>
  <c r="AC31" i="14"/>
  <c r="G34" i="14"/>
  <c r="O34" i="14"/>
  <c r="W34" i="14"/>
  <c r="AE34" i="14"/>
  <c r="G37" i="14"/>
  <c r="O37" i="14"/>
  <c r="W37" i="14"/>
  <c r="AE37" i="14"/>
  <c r="I4" i="14"/>
  <c r="Q4" i="14"/>
  <c r="Y4" i="14"/>
  <c r="AG4" i="14"/>
  <c r="I7" i="14"/>
  <c r="Q7" i="14"/>
  <c r="Y7" i="14"/>
  <c r="AG7" i="14"/>
  <c r="S16" i="14"/>
  <c r="AA16" i="14"/>
  <c r="C25" i="13"/>
  <c r="K25" i="13"/>
  <c r="AA25" i="13"/>
  <c r="Y28" i="13"/>
  <c r="Y31" i="13"/>
  <c r="I25" i="13"/>
  <c r="Q25" i="13"/>
  <c r="Q28" i="13"/>
  <c r="Q31" i="13"/>
  <c r="D37" i="13"/>
  <c r="L37" i="13"/>
  <c r="T37" i="13"/>
  <c r="AB37" i="13"/>
  <c r="J4" i="13"/>
  <c r="V4" i="13"/>
  <c r="D7" i="13"/>
  <c r="O7" i="13"/>
  <c r="AC7" i="13"/>
  <c r="I10" i="13"/>
  <c r="T10" i="13"/>
  <c r="AD10" i="13"/>
  <c r="C19" i="13"/>
  <c r="K19" i="13"/>
  <c r="S19" i="13"/>
  <c r="H22" i="14"/>
  <c r="P22" i="14"/>
  <c r="X22" i="14"/>
  <c r="D31" i="14"/>
  <c r="L31" i="14"/>
  <c r="T31" i="14"/>
  <c r="AB31" i="14"/>
  <c r="F34" i="14"/>
  <c r="N34" i="14"/>
  <c r="V34" i="14"/>
  <c r="AD34" i="14"/>
  <c r="F37" i="14"/>
  <c r="N37" i="14"/>
  <c r="V37" i="14"/>
  <c r="AD37" i="14"/>
  <c r="H4" i="14"/>
  <c r="P4" i="14"/>
  <c r="X4" i="14"/>
  <c r="H7" i="14"/>
  <c r="P7" i="14"/>
  <c r="X7" i="14"/>
  <c r="H10" i="14"/>
  <c r="P10" i="14"/>
  <c r="X10" i="14"/>
  <c r="J16" i="14"/>
  <c r="R16" i="14"/>
  <c r="C37" i="13"/>
  <c r="K37" i="13"/>
  <c r="S37" i="13"/>
  <c r="AA37" i="13"/>
  <c r="C31" i="14"/>
  <c r="K31" i="14"/>
  <c r="S31" i="14"/>
  <c r="E34" i="14"/>
  <c r="M34" i="14"/>
  <c r="U34" i="14"/>
  <c r="E37" i="14"/>
  <c r="M37" i="14"/>
  <c r="U37" i="14"/>
  <c r="Z31" i="13"/>
  <c r="H28" i="13"/>
  <c r="P28" i="13"/>
  <c r="X28" i="13"/>
  <c r="AF28" i="13"/>
  <c r="H31" i="13"/>
  <c r="P31" i="13"/>
  <c r="X31" i="13"/>
  <c r="AF31" i="13"/>
  <c r="C22" i="13"/>
  <c r="K22" i="13"/>
  <c r="S22" i="13"/>
  <c r="AA22" i="13"/>
  <c r="G28" i="13"/>
  <c r="O28" i="13"/>
  <c r="W28" i="13"/>
  <c r="AE28" i="13"/>
  <c r="G31" i="13"/>
  <c r="O31" i="13"/>
  <c r="W31" i="13"/>
  <c r="AE31" i="13"/>
  <c r="I34" i="13"/>
  <c r="Q34" i="13"/>
  <c r="Y34" i="13"/>
  <c r="AG34" i="13"/>
  <c r="C4" i="13"/>
  <c r="K4" i="13"/>
  <c r="S4" i="13"/>
  <c r="AA4" i="13"/>
  <c r="C7" i="13"/>
  <c r="K7" i="13"/>
  <c r="S7" i="13"/>
  <c r="AA7" i="13"/>
  <c r="C10" i="13"/>
  <c r="K10" i="13"/>
  <c r="S10" i="13"/>
  <c r="AA10" i="13"/>
  <c r="E16" i="13"/>
  <c r="M16" i="13"/>
  <c r="U16" i="13"/>
  <c r="AC16" i="13"/>
  <c r="F28" i="13"/>
  <c r="N28" i="13"/>
  <c r="V28" i="13"/>
  <c r="AD28" i="13"/>
  <c r="F31" i="13"/>
  <c r="N31" i="13"/>
  <c r="V31" i="13"/>
  <c r="AD31" i="13"/>
  <c r="H34" i="13"/>
  <c r="P34" i="13"/>
  <c r="X34" i="13"/>
  <c r="AF34" i="13"/>
  <c r="D16" i="13"/>
  <c r="L16" i="13"/>
  <c r="T16" i="13"/>
  <c r="AB16" i="13"/>
  <c r="I22" i="13"/>
  <c r="Q22" i="13"/>
  <c r="Y22" i="13"/>
  <c r="AG22" i="13"/>
  <c r="E28" i="13"/>
  <c r="M28" i="13"/>
  <c r="U28" i="13"/>
  <c r="AC28" i="13"/>
  <c r="E31" i="13"/>
  <c r="M31" i="13"/>
  <c r="U31" i="13"/>
  <c r="AC31" i="13"/>
  <c r="G34" i="13"/>
  <c r="O34" i="13"/>
  <c r="W34" i="13"/>
  <c r="AE34" i="13"/>
  <c r="I4" i="13"/>
  <c r="Q4" i="13"/>
  <c r="Y4" i="13"/>
  <c r="AG4" i="13"/>
  <c r="I7" i="13"/>
  <c r="Q7" i="13"/>
  <c r="Y7" i="13"/>
  <c r="AG7" i="13"/>
  <c r="C16" i="13"/>
  <c r="K16" i="13"/>
  <c r="S16" i="13"/>
  <c r="AA16" i="13"/>
  <c r="H22" i="13"/>
  <c r="P22" i="13"/>
  <c r="X22" i="13"/>
  <c r="D28" i="13"/>
  <c r="L28" i="13"/>
  <c r="T28" i="13"/>
  <c r="AB28" i="13"/>
  <c r="D31" i="13"/>
  <c r="L31" i="13"/>
  <c r="T31" i="13"/>
  <c r="AB31" i="13"/>
  <c r="F34" i="13"/>
  <c r="N34" i="13"/>
  <c r="V34" i="13"/>
  <c r="AD34" i="13"/>
  <c r="H4" i="13"/>
  <c r="P4" i="13"/>
  <c r="X4" i="13"/>
  <c r="H7" i="13"/>
  <c r="P7" i="13"/>
  <c r="X7" i="13"/>
  <c r="H10" i="13"/>
  <c r="P10" i="13"/>
  <c r="X10" i="13"/>
  <c r="J16" i="13"/>
  <c r="R16" i="13"/>
  <c r="C28" i="13"/>
  <c r="K28" i="13"/>
  <c r="S28" i="13"/>
  <c r="C31" i="13"/>
  <c r="K31" i="13"/>
  <c r="S31" i="13"/>
  <c r="E34" i="13"/>
  <c r="M34" i="13"/>
  <c r="U34" i="13"/>
  <c r="E16" i="1"/>
  <c r="E15" i="1"/>
  <c r="E14" i="1"/>
  <c r="E13" i="1"/>
  <c r="E12" i="1"/>
  <c r="E11" i="1"/>
  <c r="E10" i="1"/>
  <c r="E9" i="1"/>
  <c r="E8" i="1"/>
  <c r="R3" i="3"/>
  <c r="R2" i="3"/>
  <c r="I2" i="3"/>
  <c r="B20" i="3"/>
  <c r="AE19" i="3" s="1"/>
  <c r="B17" i="3"/>
  <c r="AE16" i="3" s="1"/>
  <c r="B14" i="3"/>
  <c r="AF13" i="3" s="1"/>
  <c r="B11" i="3"/>
  <c r="AE10" i="3" s="1"/>
  <c r="B8" i="3"/>
  <c r="AC7" i="3" s="1"/>
  <c r="B5" i="3"/>
  <c r="AB4" i="3" s="1"/>
  <c r="B21" i="3"/>
  <c r="B18" i="3"/>
  <c r="B15" i="3"/>
  <c r="B12" i="3"/>
  <c r="B9" i="3"/>
  <c r="B6" i="3"/>
  <c r="B39" i="3"/>
  <c r="B36" i="3"/>
  <c r="B33" i="3"/>
  <c r="B30" i="3"/>
  <c r="B27" i="3"/>
  <c r="B38" i="3"/>
  <c r="K37" i="3" s="1"/>
  <c r="B35" i="3"/>
  <c r="AG34" i="3" s="1"/>
  <c r="B32" i="3"/>
  <c r="AF31" i="3" s="1"/>
  <c r="B29" i="3"/>
  <c r="AG28" i="3" s="1"/>
  <c r="B23" i="3"/>
  <c r="AF22" i="3" s="1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21" i="3"/>
  <c r="C18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C12" i="3"/>
  <c r="AG9" i="3"/>
  <c r="AF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C6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C39" i="3"/>
  <c r="C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C30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B26" i="3"/>
  <c r="E25" i="3" s="1"/>
  <c r="E18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H18" i="4"/>
  <c r="G18" i="4"/>
  <c r="F18" i="4"/>
  <c r="D18" i="4"/>
  <c r="C18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D12" i="4"/>
  <c r="C12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R3" i="4"/>
  <c r="R2" i="4"/>
  <c r="I2" i="4"/>
  <c r="B20" i="4"/>
  <c r="M19" i="4" s="1"/>
  <c r="B17" i="4"/>
  <c r="AD16" i="4" s="1"/>
  <c r="B14" i="4"/>
  <c r="AG13" i="4" s="1"/>
  <c r="B11" i="4"/>
  <c r="AF10" i="4" s="1"/>
  <c r="B8" i="4"/>
  <c r="AD7" i="4" s="1"/>
  <c r="B5" i="4"/>
  <c r="R4" i="4" s="1"/>
  <c r="B21" i="4"/>
  <c r="B18" i="4"/>
  <c r="B15" i="4"/>
  <c r="B12" i="4"/>
  <c r="B9" i="4"/>
  <c r="B6" i="4"/>
  <c r="B39" i="4"/>
  <c r="B36" i="4"/>
  <c r="B33" i="4"/>
  <c r="B30" i="4"/>
  <c r="B27" i="4"/>
  <c r="B24" i="4"/>
  <c r="B38" i="4"/>
  <c r="Q37" i="4" s="1"/>
  <c r="B35" i="4"/>
  <c r="AD34" i="4" s="1"/>
  <c r="B32" i="4"/>
  <c r="AF31" i="4" s="1"/>
  <c r="B29" i="4"/>
  <c r="AE28" i="4" s="1"/>
  <c r="B23" i="4"/>
  <c r="AE22" i="4" s="1"/>
  <c r="B26" i="4"/>
  <c r="F25" i="4" s="1"/>
  <c r="AG30" i="5"/>
  <c r="AF30" i="5"/>
  <c r="AE30" i="5"/>
  <c r="AD30" i="5"/>
  <c r="AC30" i="5"/>
  <c r="AB30" i="5"/>
  <c r="AA30" i="5"/>
  <c r="Z30" i="5"/>
  <c r="X30" i="5"/>
  <c r="Y30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AG36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R3" i="5"/>
  <c r="R2" i="5"/>
  <c r="I2" i="5"/>
  <c r="B20" i="5"/>
  <c r="AD19" i="5" s="1"/>
  <c r="B17" i="5"/>
  <c r="AD16" i="5" s="1"/>
  <c r="B14" i="5"/>
  <c r="W13" i="5" s="1"/>
  <c r="B11" i="5"/>
  <c r="V10" i="5" s="1"/>
  <c r="B8" i="5"/>
  <c r="M7" i="5" s="1"/>
  <c r="B5" i="5"/>
  <c r="S4" i="5" s="1"/>
  <c r="B21" i="5"/>
  <c r="B18" i="5"/>
  <c r="B15" i="5"/>
  <c r="B12" i="5"/>
  <c r="B9" i="5"/>
  <c r="B6" i="5"/>
  <c r="B39" i="5"/>
  <c r="B36" i="5"/>
  <c r="B33" i="5"/>
  <c r="B30" i="5"/>
  <c r="B27" i="5"/>
  <c r="B24" i="5"/>
  <c r="B38" i="5"/>
  <c r="AF37" i="5" s="1"/>
  <c r="B35" i="5"/>
  <c r="X34" i="5" s="1"/>
  <c r="B32" i="5"/>
  <c r="T31" i="5" s="1"/>
  <c r="B29" i="5"/>
  <c r="Z28" i="5" s="1"/>
  <c r="B23" i="5"/>
  <c r="Z22" i="5" s="1"/>
  <c r="B26" i="5"/>
  <c r="J25" i="5" s="1"/>
  <c r="AG30" i="6"/>
  <c r="AF30" i="6"/>
  <c r="AE30" i="6"/>
  <c r="AD30" i="6"/>
  <c r="AC30" i="6"/>
  <c r="AB30" i="6"/>
  <c r="AA30" i="6"/>
  <c r="Z30" i="6"/>
  <c r="X30" i="6"/>
  <c r="Y30" i="6"/>
  <c r="K15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J15" i="6"/>
  <c r="I15" i="6"/>
  <c r="H15" i="6"/>
  <c r="G15" i="6"/>
  <c r="F15" i="6"/>
  <c r="E15" i="6"/>
  <c r="D15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21" i="6"/>
  <c r="C18" i="6"/>
  <c r="C15" i="6"/>
  <c r="C12" i="6"/>
  <c r="C9" i="6"/>
  <c r="C6" i="6"/>
  <c r="C39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36" i="6"/>
  <c r="C33" i="6"/>
  <c r="C30" i="6"/>
  <c r="C27" i="6"/>
  <c r="C24" i="6"/>
  <c r="R3" i="6"/>
  <c r="R2" i="6"/>
  <c r="I2" i="6"/>
  <c r="B20" i="6"/>
  <c r="W19" i="6" s="1"/>
  <c r="B17" i="6"/>
  <c r="V16" i="6" s="1"/>
  <c r="B14" i="6"/>
  <c r="AC13" i="6" s="1"/>
  <c r="B11" i="6"/>
  <c r="V10" i="6" s="1"/>
  <c r="B8" i="6"/>
  <c r="AF7" i="6" s="1"/>
  <c r="B5" i="6"/>
  <c r="X4" i="6" s="1"/>
  <c r="B21" i="6"/>
  <c r="B18" i="6"/>
  <c r="B15" i="6"/>
  <c r="B12" i="6"/>
  <c r="B9" i="6"/>
  <c r="B6" i="6"/>
  <c r="B39" i="6"/>
  <c r="B36" i="6"/>
  <c r="B33" i="6"/>
  <c r="B30" i="6"/>
  <c r="B27" i="6"/>
  <c r="B24" i="6"/>
  <c r="B38" i="6"/>
  <c r="AF37" i="6" s="1"/>
  <c r="B35" i="6"/>
  <c r="AD34" i="6" s="1"/>
  <c r="B32" i="6"/>
  <c r="AA31" i="6" s="1"/>
  <c r="B29" i="6"/>
  <c r="R28" i="6" s="1"/>
  <c r="B23" i="6"/>
  <c r="AD22" i="6" s="1"/>
  <c r="B26" i="6"/>
  <c r="J25" i="6" s="1"/>
  <c r="P27" i="7"/>
  <c r="R3" i="7"/>
  <c r="AG21" i="7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F39" i="7"/>
  <c r="AE39" i="7"/>
  <c r="AD39" i="7"/>
  <c r="AC39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AG36" i="7"/>
  <c r="AF36" i="7"/>
  <c r="AE36" i="7"/>
  <c r="AD36" i="7"/>
  <c r="AC36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AF33" i="7"/>
  <c r="AE33" i="7"/>
  <c r="AD33" i="7"/>
  <c r="AC33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AE27" i="7"/>
  <c r="AD27" i="7"/>
  <c r="AC27" i="7"/>
  <c r="AB27" i="7"/>
  <c r="AA27" i="7"/>
  <c r="Z27" i="7"/>
  <c r="Y27" i="7"/>
  <c r="X27" i="7"/>
  <c r="W27" i="7"/>
  <c r="V27" i="7"/>
  <c r="U27" i="7"/>
  <c r="T27" i="7"/>
  <c r="S27" i="7"/>
  <c r="R27" i="7"/>
  <c r="Q27" i="7"/>
  <c r="O27" i="7"/>
  <c r="N27" i="7"/>
  <c r="M27" i="7"/>
  <c r="L27" i="7"/>
  <c r="K27" i="7"/>
  <c r="J27" i="7"/>
  <c r="I27" i="7"/>
  <c r="H27" i="7"/>
  <c r="G27" i="7"/>
  <c r="F27" i="7"/>
  <c r="E27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1" i="7"/>
  <c r="C18" i="7"/>
  <c r="C15" i="7"/>
  <c r="C12" i="7"/>
  <c r="C9" i="7"/>
  <c r="C6" i="7"/>
  <c r="C39" i="7"/>
  <c r="C36" i="7"/>
  <c r="C33" i="7"/>
  <c r="C30" i="7"/>
  <c r="C27" i="7"/>
  <c r="C24" i="7"/>
  <c r="R2" i="7"/>
  <c r="I2" i="7"/>
  <c r="B20" i="7"/>
  <c r="AF19" i="7" s="1"/>
  <c r="B17" i="7"/>
  <c r="Y16" i="7" s="1"/>
  <c r="B14" i="7"/>
  <c r="AF13" i="7" s="1"/>
  <c r="B11" i="7"/>
  <c r="AE10" i="7" s="1"/>
  <c r="B8" i="7"/>
  <c r="AG7" i="7" s="1"/>
  <c r="B5" i="7"/>
  <c r="X4" i="7" s="1"/>
  <c r="B21" i="7"/>
  <c r="B18" i="7"/>
  <c r="B15" i="7"/>
  <c r="B12" i="7"/>
  <c r="B9" i="7"/>
  <c r="B6" i="7"/>
  <c r="B39" i="7"/>
  <c r="B36" i="7"/>
  <c r="B33" i="7"/>
  <c r="B30" i="7"/>
  <c r="B27" i="7"/>
  <c r="B24" i="7"/>
  <c r="B38" i="7"/>
  <c r="AF37" i="7" s="1"/>
  <c r="B35" i="7"/>
  <c r="AE34" i="7" s="1"/>
  <c r="B32" i="7"/>
  <c r="AF31" i="7" s="1"/>
  <c r="B29" i="7"/>
  <c r="Y28" i="7" s="1"/>
  <c r="B23" i="7"/>
  <c r="AD22" i="7" s="1"/>
  <c r="B26" i="7"/>
  <c r="J25" i="7" s="1"/>
  <c r="R3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AF18" i="8"/>
  <c r="AE18" i="8"/>
  <c r="AD18" i="8"/>
  <c r="AC18" i="8"/>
  <c r="AB18" i="8"/>
  <c r="AA18" i="8"/>
  <c r="Z18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AF12" i="8"/>
  <c r="AE12" i="8"/>
  <c r="AD12" i="8"/>
  <c r="AC12" i="8"/>
  <c r="AB12" i="8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AG6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AF39" i="8"/>
  <c r="AE39" i="8"/>
  <c r="AD39" i="8"/>
  <c r="AC39" i="8"/>
  <c r="AB39" i="8"/>
  <c r="AA39" i="8"/>
  <c r="Z39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AG36" i="8"/>
  <c r="AF36" i="8"/>
  <c r="AE36" i="8"/>
  <c r="AD36" i="8"/>
  <c r="AC36" i="8"/>
  <c r="AB36" i="8"/>
  <c r="AA36" i="8"/>
  <c r="Z36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AG30" i="8"/>
  <c r="AF30" i="8"/>
  <c r="AE30" i="8"/>
  <c r="AD30" i="8"/>
  <c r="AC30" i="8"/>
  <c r="AB30" i="8"/>
  <c r="AA30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C21" i="8"/>
  <c r="C18" i="8"/>
  <c r="C15" i="8"/>
  <c r="C12" i="8"/>
  <c r="C9" i="8"/>
  <c r="C6" i="8"/>
  <c r="C39" i="8"/>
  <c r="C36" i="8"/>
  <c r="C33" i="8"/>
  <c r="C30" i="8"/>
  <c r="C27" i="8"/>
  <c r="C24" i="8"/>
  <c r="R2" i="8"/>
  <c r="I2" i="8"/>
  <c r="B20" i="8"/>
  <c r="AF19" i="8" s="1"/>
  <c r="B17" i="8"/>
  <c r="AF16" i="8" s="1"/>
  <c r="B14" i="8"/>
  <c r="X13" i="8" s="1"/>
  <c r="B11" i="8"/>
  <c r="AC10" i="8" s="1"/>
  <c r="B8" i="8"/>
  <c r="W7" i="8" s="1"/>
  <c r="B5" i="8"/>
  <c r="AC4" i="8" s="1"/>
  <c r="B21" i="8"/>
  <c r="B18" i="8"/>
  <c r="B15" i="8"/>
  <c r="B12" i="8"/>
  <c r="B9" i="8"/>
  <c r="B6" i="8"/>
  <c r="B39" i="8"/>
  <c r="B36" i="8"/>
  <c r="B33" i="8"/>
  <c r="B30" i="8"/>
  <c r="B27" i="8"/>
  <c r="B24" i="8"/>
  <c r="B38" i="8"/>
  <c r="AF37" i="8" s="1"/>
  <c r="B35" i="8"/>
  <c r="AB34" i="8" s="1"/>
  <c r="B32" i="8"/>
  <c r="AE31" i="8" s="1"/>
  <c r="B29" i="8"/>
  <c r="AD28" i="8" s="1"/>
  <c r="B23" i="8"/>
  <c r="AC22" i="8" s="1"/>
  <c r="B26" i="8"/>
  <c r="F25" i="8" s="1"/>
  <c r="AG30" i="10"/>
  <c r="AF30" i="10"/>
  <c r="AE30" i="10"/>
  <c r="AD30" i="10"/>
  <c r="AC30" i="10"/>
  <c r="AB30" i="10"/>
  <c r="AA30" i="10"/>
  <c r="Z30" i="10"/>
  <c r="Y30" i="10"/>
  <c r="X30" i="10"/>
  <c r="W30" i="10"/>
  <c r="V30" i="10"/>
  <c r="U30" i="10"/>
  <c r="T30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C30" i="10"/>
  <c r="AG21" i="10"/>
  <c r="AF21" i="10"/>
  <c r="AE21" i="10"/>
  <c r="AD21" i="10"/>
  <c r="AC21" i="10"/>
  <c r="AB21" i="10"/>
  <c r="AA21" i="10"/>
  <c r="Z21" i="10"/>
  <c r="Y21" i="10"/>
  <c r="X21" i="10"/>
  <c r="W21" i="10"/>
  <c r="V21" i="10"/>
  <c r="U21" i="10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C21" i="10"/>
  <c r="AF18" i="10"/>
  <c r="AE18" i="10"/>
  <c r="AD18" i="10"/>
  <c r="AC18" i="10"/>
  <c r="AB18" i="10"/>
  <c r="AA18" i="10"/>
  <c r="Z18" i="10"/>
  <c r="Y18" i="10"/>
  <c r="X18" i="10"/>
  <c r="W18" i="10"/>
  <c r="V18" i="10"/>
  <c r="U18" i="10"/>
  <c r="T18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C18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AG9" i="10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C9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C6" i="10"/>
  <c r="AF39" i="10"/>
  <c r="AE39" i="10"/>
  <c r="AD39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C39" i="10"/>
  <c r="AG36" i="10"/>
  <c r="AF36" i="10"/>
  <c r="AE36" i="10"/>
  <c r="AD36" i="10"/>
  <c r="AC36" i="10"/>
  <c r="AB36" i="10"/>
  <c r="AA36" i="10"/>
  <c r="Z36" i="10"/>
  <c r="Y36" i="10"/>
  <c r="X36" i="10"/>
  <c r="W36" i="10"/>
  <c r="V36" i="10"/>
  <c r="U36" i="10"/>
  <c r="T36" i="10"/>
  <c r="S36" i="10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C36" i="10"/>
  <c r="AF33" i="10"/>
  <c r="AE33" i="10"/>
  <c r="AD33" i="10"/>
  <c r="AC33" i="10"/>
  <c r="AB33" i="10"/>
  <c r="AA33" i="10"/>
  <c r="Z33" i="10"/>
  <c r="Y33" i="10"/>
  <c r="X33" i="10"/>
  <c r="W33" i="10"/>
  <c r="V33" i="10"/>
  <c r="U33" i="10"/>
  <c r="T33" i="10"/>
  <c r="S33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AE27" i="10"/>
  <c r="AD27" i="10"/>
  <c r="AC27" i="10"/>
  <c r="AB27" i="10"/>
  <c r="AA27" i="10"/>
  <c r="Z27" i="10"/>
  <c r="Y27" i="10"/>
  <c r="X27" i="10"/>
  <c r="W27" i="10"/>
  <c r="V27" i="10"/>
  <c r="U27" i="10"/>
  <c r="T27" i="10"/>
  <c r="S27" i="10"/>
  <c r="R27" i="10"/>
  <c r="Q27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C27" i="10"/>
  <c r="AG24" i="10"/>
  <c r="AF24" i="10"/>
  <c r="AE24" i="10"/>
  <c r="AD24" i="10"/>
  <c r="AC24" i="10"/>
  <c r="AB24" i="10"/>
  <c r="AA24" i="10"/>
  <c r="Z24" i="10"/>
  <c r="Y24" i="10"/>
  <c r="X24" i="10"/>
  <c r="W24" i="10"/>
  <c r="V24" i="10"/>
  <c r="U24" i="10"/>
  <c r="T24" i="10"/>
  <c r="S24" i="10"/>
  <c r="R24" i="10"/>
  <c r="Q24" i="10"/>
  <c r="P24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C24" i="10"/>
  <c r="R3" i="10"/>
  <c r="R2" i="10"/>
  <c r="I2" i="10"/>
  <c r="B20" i="10"/>
  <c r="AF19" i="10" s="1"/>
  <c r="B17" i="10"/>
  <c r="AC16" i="10" s="1"/>
  <c r="B14" i="10"/>
  <c r="AD13" i="10" s="1"/>
  <c r="B11" i="10"/>
  <c r="I10" i="10" s="1"/>
  <c r="B8" i="10"/>
  <c r="X7" i="10" s="1"/>
  <c r="B5" i="10"/>
  <c r="AC4" i="10" s="1"/>
  <c r="B21" i="10"/>
  <c r="B18" i="10"/>
  <c r="B15" i="10"/>
  <c r="B12" i="10"/>
  <c r="B9" i="10"/>
  <c r="B6" i="10"/>
  <c r="B39" i="10"/>
  <c r="B36" i="10"/>
  <c r="B33" i="10"/>
  <c r="B30" i="10"/>
  <c r="B27" i="10"/>
  <c r="B24" i="10"/>
  <c r="B38" i="10"/>
  <c r="W37" i="10" s="1"/>
  <c r="B35" i="10"/>
  <c r="AD34" i="10" s="1"/>
  <c r="B32" i="10"/>
  <c r="B29" i="10"/>
  <c r="AB28" i="10" s="1"/>
  <c r="B23" i="10"/>
  <c r="AF22" i="10" s="1"/>
  <c r="B26" i="10"/>
  <c r="D25" i="10" s="1"/>
  <c r="R3" i="11"/>
  <c r="AG21" i="11"/>
  <c r="AF21" i="11"/>
  <c r="AE21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AG15" i="1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AG9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AG6" i="11"/>
  <c r="AF6" i="11"/>
  <c r="AE6" i="11"/>
  <c r="AD6" i="11"/>
  <c r="AC6" i="11"/>
  <c r="AB6" i="11"/>
  <c r="AA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AF39" i="11"/>
  <c r="AE39" i="11"/>
  <c r="AD39" i="11"/>
  <c r="AC39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AG30" i="11"/>
  <c r="AF30" i="11"/>
  <c r="AE30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AG24" i="11"/>
  <c r="AF24" i="11"/>
  <c r="AE24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R2" i="11"/>
  <c r="I2" i="11"/>
  <c r="B20" i="11"/>
  <c r="Y19" i="11" s="1"/>
  <c r="B17" i="11"/>
  <c r="AF16" i="11" s="1"/>
  <c r="B14" i="11"/>
  <c r="X13" i="11" s="1"/>
  <c r="B11" i="11"/>
  <c r="O10" i="11" s="1"/>
  <c r="B8" i="11"/>
  <c r="AE7" i="11" s="1"/>
  <c r="B5" i="11"/>
  <c r="AF4" i="11" s="1"/>
  <c r="B21" i="11"/>
  <c r="B18" i="11"/>
  <c r="B15" i="11"/>
  <c r="B12" i="11"/>
  <c r="B9" i="11"/>
  <c r="B6" i="11"/>
  <c r="B39" i="11"/>
  <c r="B36" i="11"/>
  <c r="B33" i="11"/>
  <c r="B30" i="11"/>
  <c r="B27" i="11"/>
  <c r="B24" i="11"/>
  <c r="B38" i="11"/>
  <c r="AC37" i="11" s="1"/>
  <c r="B35" i="11"/>
  <c r="AD34" i="11" s="1"/>
  <c r="B32" i="11"/>
  <c r="AF31" i="11" s="1"/>
  <c r="B29" i="11"/>
  <c r="Z28" i="11" s="1"/>
  <c r="B23" i="11"/>
  <c r="AG22" i="11" s="1"/>
  <c r="B26" i="11"/>
  <c r="F25" i="11" s="1"/>
  <c r="R3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C21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C18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C15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C12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C9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C6" i="12"/>
  <c r="AF39" i="12"/>
  <c r="AE39" i="12"/>
  <c r="AD39" i="12"/>
  <c r="AC39" i="12"/>
  <c r="AB39" i="12"/>
  <c r="AA39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C39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C36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C33" i="12"/>
  <c r="AG30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D27" i="12"/>
  <c r="E27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C27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R2" i="12"/>
  <c r="I2" i="12"/>
  <c r="B20" i="12"/>
  <c r="AG19" i="12" s="1"/>
  <c r="B17" i="12"/>
  <c r="W16" i="12" s="1"/>
  <c r="B14" i="12"/>
  <c r="AA13" i="12" s="1"/>
  <c r="B11" i="12"/>
  <c r="Z10" i="12" s="1"/>
  <c r="B8" i="12"/>
  <c r="V7" i="12" s="1"/>
  <c r="B5" i="12"/>
  <c r="AD4" i="12" s="1"/>
  <c r="B21" i="12"/>
  <c r="B18" i="12"/>
  <c r="B15" i="12"/>
  <c r="B12" i="12"/>
  <c r="B9" i="12"/>
  <c r="B6" i="12"/>
  <c r="B39" i="12"/>
  <c r="B36" i="12"/>
  <c r="B33" i="12"/>
  <c r="B30" i="12"/>
  <c r="B27" i="12"/>
  <c r="B24" i="12"/>
  <c r="B38" i="12"/>
  <c r="AC37" i="12" s="1"/>
  <c r="B35" i="12"/>
  <c r="AG34" i="12" s="1"/>
  <c r="B32" i="12"/>
  <c r="AF31" i="12" s="1"/>
  <c r="B29" i="12"/>
  <c r="AG28" i="12" s="1"/>
  <c r="B23" i="12"/>
  <c r="AD22" i="12" s="1"/>
  <c r="B26" i="12"/>
  <c r="C25" i="12" s="1"/>
  <c r="J3" i="2"/>
  <c r="C177" i="2"/>
  <c r="C175" i="2"/>
  <c r="C174" i="2"/>
  <c r="C173" i="2"/>
  <c r="C172" i="2"/>
  <c r="C171" i="2"/>
  <c r="C170" i="2"/>
  <c r="C169" i="2"/>
  <c r="C146" i="2"/>
  <c r="C145" i="2"/>
  <c r="C144" i="2"/>
  <c r="C143" i="2"/>
  <c r="C142" i="2"/>
  <c r="C141" i="2"/>
  <c r="C140" i="2"/>
  <c r="C139" i="2"/>
  <c r="C138" i="2"/>
  <c r="C115" i="2"/>
  <c r="C114" i="2"/>
  <c r="C113" i="2"/>
  <c r="C112" i="2"/>
  <c r="C111" i="2"/>
  <c r="C110" i="2"/>
  <c r="C109" i="2"/>
  <c r="C108" i="2"/>
  <c r="C107" i="2"/>
  <c r="C84" i="2"/>
  <c r="C83" i="2"/>
  <c r="C82" i="2"/>
  <c r="C81" i="2"/>
  <c r="C80" i="2"/>
  <c r="C79" i="2"/>
  <c r="C78" i="2"/>
  <c r="C22" i="2"/>
  <c r="C21" i="2"/>
  <c r="C20" i="2"/>
  <c r="C18" i="2"/>
  <c r="C17" i="2"/>
  <c r="C16" i="2"/>
  <c r="C15" i="2"/>
  <c r="C14" i="2"/>
  <c r="AH167" i="2"/>
  <c r="AG167" i="2"/>
  <c r="AF167" i="2"/>
  <c r="AE167" i="2"/>
  <c r="AD167" i="2"/>
  <c r="AC167" i="2"/>
  <c r="AB167" i="2"/>
  <c r="AA167" i="2"/>
  <c r="Z167" i="2"/>
  <c r="Y167" i="2"/>
  <c r="X167" i="2"/>
  <c r="W167" i="2"/>
  <c r="V167" i="2"/>
  <c r="U167" i="2"/>
  <c r="T167" i="2"/>
  <c r="S167" i="2"/>
  <c r="R167" i="2"/>
  <c r="Q167" i="2"/>
  <c r="P167" i="2"/>
  <c r="O167" i="2"/>
  <c r="N167" i="2"/>
  <c r="M167" i="2"/>
  <c r="L167" i="2"/>
  <c r="K167" i="2"/>
  <c r="J167" i="2"/>
  <c r="I167" i="2"/>
  <c r="H167" i="2"/>
  <c r="G167" i="2"/>
  <c r="F167" i="2"/>
  <c r="E167" i="2"/>
  <c r="D167" i="2"/>
  <c r="AG136" i="2"/>
  <c r="AF136" i="2"/>
  <c r="AE136" i="2"/>
  <c r="AD136" i="2"/>
  <c r="AC136" i="2"/>
  <c r="AB136" i="2"/>
  <c r="AA136" i="2"/>
  <c r="Z136" i="2"/>
  <c r="Y136" i="2"/>
  <c r="X136" i="2"/>
  <c r="W136" i="2"/>
  <c r="V136" i="2"/>
  <c r="U136" i="2"/>
  <c r="T136" i="2"/>
  <c r="S136" i="2"/>
  <c r="R136" i="2"/>
  <c r="Q136" i="2"/>
  <c r="P136" i="2"/>
  <c r="O136" i="2"/>
  <c r="N136" i="2"/>
  <c r="M136" i="2"/>
  <c r="L136" i="2"/>
  <c r="K136" i="2"/>
  <c r="J136" i="2"/>
  <c r="I136" i="2"/>
  <c r="H136" i="2"/>
  <c r="G136" i="2"/>
  <c r="F136" i="2"/>
  <c r="E136" i="2"/>
  <c r="D136" i="2"/>
  <c r="AH105" i="2"/>
  <c r="AG105" i="2"/>
  <c r="AF105" i="2"/>
  <c r="AE105" i="2"/>
  <c r="AD105" i="2"/>
  <c r="AC105" i="2"/>
  <c r="AB105" i="2"/>
  <c r="AA105" i="2"/>
  <c r="Z105" i="2"/>
  <c r="Y105" i="2"/>
  <c r="X105" i="2"/>
  <c r="W105" i="2"/>
  <c r="V105" i="2"/>
  <c r="U105" i="2"/>
  <c r="T105" i="2"/>
  <c r="S105" i="2"/>
  <c r="R105" i="2"/>
  <c r="Q105" i="2"/>
  <c r="P105" i="2"/>
  <c r="O105" i="2"/>
  <c r="N105" i="2"/>
  <c r="M105" i="2"/>
  <c r="L105" i="2"/>
  <c r="K105" i="2"/>
  <c r="J105" i="2"/>
  <c r="I105" i="2"/>
  <c r="H105" i="2"/>
  <c r="G105" i="2"/>
  <c r="F105" i="2"/>
  <c r="E105" i="2"/>
  <c r="D105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J1" i="2"/>
  <c r="J12" i="9"/>
  <c r="J11" i="9"/>
  <c r="J10" i="9"/>
  <c r="J9" i="9"/>
  <c r="J8" i="9"/>
  <c r="J7" i="9"/>
  <c r="J6" i="9"/>
  <c r="J5" i="9"/>
  <c r="J4" i="9"/>
  <c r="G5" i="9"/>
  <c r="E12" i="9"/>
  <c r="F12" i="9"/>
  <c r="G12" i="9"/>
  <c r="I12" i="9"/>
  <c r="E11" i="9"/>
  <c r="F11" i="9"/>
  <c r="G11" i="9"/>
  <c r="I11" i="9"/>
  <c r="E10" i="9"/>
  <c r="F10" i="9"/>
  <c r="G10" i="9"/>
  <c r="I10" i="9"/>
  <c r="E9" i="9"/>
  <c r="F9" i="9"/>
  <c r="G9" i="9"/>
  <c r="I9" i="9"/>
  <c r="E8" i="9"/>
  <c r="F8" i="9"/>
  <c r="G8" i="9"/>
  <c r="I8" i="9"/>
  <c r="E7" i="9"/>
  <c r="F7" i="9"/>
  <c r="G7" i="9"/>
  <c r="I7" i="9"/>
  <c r="E6" i="9"/>
  <c r="F6" i="9"/>
  <c r="G6" i="9"/>
  <c r="I6" i="9"/>
  <c r="E5" i="9"/>
  <c r="F5" i="9"/>
  <c r="I5" i="9"/>
  <c r="E4" i="9"/>
  <c r="F4" i="9"/>
  <c r="G4" i="9"/>
  <c r="D11" i="9"/>
  <c r="D10" i="9"/>
  <c r="C10" i="9"/>
  <c r="C12" i="9"/>
  <c r="C3" i="9"/>
  <c r="D9" i="9"/>
  <c r="C9" i="9"/>
  <c r="D8" i="9"/>
  <c r="C8" i="9"/>
  <c r="C7" i="9"/>
  <c r="D7" i="9"/>
  <c r="D6" i="9"/>
  <c r="C6" i="9"/>
  <c r="D5" i="9"/>
  <c r="C5" i="9"/>
  <c r="D4" i="9"/>
  <c r="C4" i="9"/>
  <c r="P10" i="12"/>
  <c r="X37" i="4"/>
  <c r="T37" i="4"/>
  <c r="Z37" i="4"/>
  <c r="E28" i="3"/>
  <c r="AE28" i="3"/>
  <c r="S28" i="3"/>
  <c r="G19" i="3"/>
  <c r="I33" i="9" l="1"/>
  <c r="J33" i="9"/>
  <c r="G33" i="9"/>
  <c r="E33" i="9"/>
  <c r="F33" i="9"/>
  <c r="K34" i="4"/>
  <c r="U34" i="3"/>
  <c r="C13" i="5"/>
  <c r="X34" i="4"/>
  <c r="AF34" i="4"/>
  <c r="X13" i="5"/>
  <c r="W34" i="4"/>
  <c r="O16" i="7"/>
  <c r="AA34" i="4"/>
  <c r="AE34" i="4"/>
  <c r="AB34" i="4"/>
  <c r="F34" i="4"/>
  <c r="J37" i="8"/>
  <c r="J28" i="3"/>
  <c r="U13" i="8"/>
  <c r="T28" i="3"/>
  <c r="N28" i="3"/>
  <c r="C28" i="3"/>
  <c r="L34" i="4"/>
  <c r="I37" i="5"/>
  <c r="S37" i="4"/>
  <c r="AA37" i="4"/>
  <c r="AE37" i="4"/>
  <c r="F37" i="4"/>
  <c r="D37" i="4"/>
  <c r="AF37" i="4"/>
  <c r="AC37" i="4"/>
  <c r="S34" i="3"/>
  <c r="D34" i="4"/>
  <c r="C34" i="4"/>
  <c r="P13" i="5"/>
  <c r="O37" i="5"/>
  <c r="H34" i="4"/>
  <c r="G34" i="4"/>
  <c r="AD37" i="5"/>
  <c r="AE37" i="5"/>
  <c r="P34" i="4"/>
  <c r="O34" i="4"/>
  <c r="V34" i="4"/>
  <c r="E13" i="5"/>
  <c r="AF34" i="3"/>
  <c r="T34" i="4"/>
  <c r="S34" i="4"/>
  <c r="N34" i="4"/>
  <c r="U13" i="5"/>
  <c r="J37" i="4"/>
  <c r="AB37" i="4"/>
  <c r="V37" i="4"/>
  <c r="C37" i="4"/>
  <c r="M37" i="4"/>
  <c r="K37" i="4"/>
  <c r="E37" i="4"/>
  <c r="L37" i="4"/>
  <c r="W37" i="4"/>
  <c r="H37" i="4"/>
  <c r="G37" i="4"/>
  <c r="N37" i="4"/>
  <c r="AE19" i="7"/>
  <c r="Y22" i="10"/>
  <c r="X19" i="7"/>
  <c r="E22" i="10"/>
  <c r="AA7" i="12"/>
  <c r="R37" i="4"/>
  <c r="P37" i="4"/>
  <c r="O37" i="4"/>
  <c r="U37" i="4"/>
  <c r="C7" i="12"/>
  <c r="M7" i="12"/>
  <c r="T7" i="12"/>
  <c r="S37" i="8"/>
  <c r="AC34" i="7"/>
  <c r="O28" i="3"/>
  <c r="AC7" i="7"/>
  <c r="L34" i="7"/>
  <c r="N25" i="6"/>
  <c r="K10" i="12"/>
  <c r="O25" i="6"/>
  <c r="U25" i="7"/>
  <c r="AC25" i="6"/>
  <c r="AF4" i="10"/>
  <c r="H25" i="7"/>
  <c r="J4" i="10"/>
  <c r="D4" i="10"/>
  <c r="S4" i="10"/>
  <c r="G31" i="11"/>
  <c r="Y28" i="10"/>
  <c r="U4" i="3"/>
  <c r="Y4" i="3"/>
  <c r="E22" i="3"/>
  <c r="AD28" i="3"/>
  <c r="I28" i="3"/>
  <c r="G28" i="3"/>
  <c r="W28" i="3"/>
  <c r="M7" i="3"/>
  <c r="U28" i="3"/>
  <c r="U4" i="4"/>
  <c r="F4" i="10"/>
  <c r="E25" i="7"/>
  <c r="T19" i="11"/>
  <c r="P25" i="6"/>
  <c r="M25" i="6"/>
  <c r="AB34" i="7"/>
  <c r="AD25" i="7"/>
  <c r="W19" i="3"/>
  <c r="Y28" i="3"/>
  <c r="D28" i="3"/>
  <c r="K28" i="3"/>
  <c r="AA28" i="3"/>
  <c r="P28" i="3"/>
  <c r="S25" i="3"/>
  <c r="AE25" i="6"/>
  <c r="C37" i="8"/>
  <c r="E13" i="8"/>
  <c r="P31" i="11"/>
  <c r="K13" i="8"/>
  <c r="W31" i="11"/>
  <c r="AA10" i="6"/>
  <c r="M34" i="7"/>
  <c r="O13" i="8"/>
  <c r="AF34" i="11"/>
  <c r="X22" i="6"/>
  <c r="W22" i="6"/>
  <c r="O22" i="7"/>
  <c r="AB22" i="7"/>
  <c r="AE10" i="11"/>
  <c r="P31" i="3"/>
  <c r="V19" i="4"/>
  <c r="AA37" i="12"/>
  <c r="X13" i="12"/>
  <c r="U13" i="12"/>
  <c r="H31" i="3"/>
  <c r="N31" i="4"/>
  <c r="I22" i="6"/>
  <c r="S13" i="6"/>
  <c r="K4" i="8"/>
  <c r="R10" i="11"/>
  <c r="AE22" i="7"/>
  <c r="AE4" i="8"/>
  <c r="P34" i="11"/>
  <c r="E13" i="12"/>
  <c r="K37" i="12"/>
  <c r="F22" i="7"/>
  <c r="AD4" i="8"/>
  <c r="I10" i="11"/>
  <c r="H13" i="12"/>
  <c r="N37" i="12"/>
  <c r="Y22" i="6"/>
  <c r="D4" i="8"/>
  <c r="K7" i="10"/>
  <c r="AC34" i="11"/>
  <c r="P37" i="12"/>
  <c r="J4" i="8"/>
  <c r="I4" i="8"/>
  <c r="W34" i="11"/>
  <c r="S34" i="5"/>
  <c r="H22" i="6"/>
  <c r="G22" i="6"/>
  <c r="T4" i="8"/>
  <c r="AA7" i="10"/>
  <c r="V7" i="10"/>
  <c r="M34" i="11"/>
  <c r="J22" i="6"/>
  <c r="U7" i="10"/>
  <c r="U10" i="11"/>
  <c r="T7" i="10"/>
  <c r="G34" i="11"/>
  <c r="Y7" i="4"/>
  <c r="AD19" i="4"/>
  <c r="D10" i="5"/>
  <c r="R37" i="6"/>
  <c r="L22" i="6"/>
  <c r="AB22" i="6"/>
  <c r="M22" i="6"/>
  <c r="AC22" i="6"/>
  <c r="K22" i="6"/>
  <c r="AA22" i="6"/>
  <c r="H4" i="8"/>
  <c r="X4" i="8"/>
  <c r="O7" i="10"/>
  <c r="AE7" i="10"/>
  <c r="X13" i="6"/>
  <c r="AA4" i="8"/>
  <c r="F4" i="8"/>
  <c r="Q7" i="10"/>
  <c r="F10" i="11"/>
  <c r="V10" i="11"/>
  <c r="Y34" i="11"/>
  <c r="I34" i="11"/>
  <c r="AB37" i="12"/>
  <c r="L37" i="12"/>
  <c r="C22" i="7"/>
  <c r="S22" i="7"/>
  <c r="Z4" i="8"/>
  <c r="E4" i="8"/>
  <c r="P7" i="10"/>
  <c r="P10" i="11"/>
  <c r="AB34" i="11"/>
  <c r="L34" i="11"/>
  <c r="Q13" i="12"/>
  <c r="W37" i="12"/>
  <c r="G37" i="12"/>
  <c r="V22" i="6"/>
  <c r="V22" i="7"/>
  <c r="Y4" i="8"/>
  <c r="C4" i="8"/>
  <c r="N7" i="10"/>
  <c r="Y10" i="11"/>
  <c r="D10" i="11"/>
  <c r="S34" i="11"/>
  <c r="C34" i="11"/>
  <c r="T13" i="12"/>
  <c r="D13" i="12"/>
  <c r="AD37" i="12"/>
  <c r="F37" i="12"/>
  <c r="K31" i="3"/>
  <c r="E10" i="5"/>
  <c r="W7" i="4"/>
  <c r="P19" i="4"/>
  <c r="F34" i="5"/>
  <c r="L37" i="7"/>
  <c r="P22" i="6"/>
  <c r="AF22" i="6"/>
  <c r="Q22" i="6"/>
  <c r="AG22" i="6"/>
  <c r="O22" i="6"/>
  <c r="AE22" i="6"/>
  <c r="L4" i="8"/>
  <c r="AB4" i="8"/>
  <c r="C7" i="10"/>
  <c r="S7" i="10"/>
  <c r="V4" i="8"/>
  <c r="L7" i="10"/>
  <c r="J10" i="11"/>
  <c r="Z10" i="11"/>
  <c r="U34" i="11"/>
  <c r="E34" i="11"/>
  <c r="X37" i="12"/>
  <c r="H37" i="12"/>
  <c r="G22" i="7"/>
  <c r="W22" i="7"/>
  <c r="U4" i="8"/>
  <c r="AF7" i="10"/>
  <c r="J7" i="10"/>
  <c r="K10" i="11"/>
  <c r="X34" i="11"/>
  <c r="H34" i="11"/>
  <c r="AC13" i="12"/>
  <c r="M13" i="12"/>
  <c r="S37" i="12"/>
  <c r="C37" i="12"/>
  <c r="F22" i="6"/>
  <c r="Q22" i="7"/>
  <c r="S4" i="8"/>
  <c r="AD7" i="10"/>
  <c r="I7" i="10"/>
  <c r="T10" i="11"/>
  <c r="AE34" i="11"/>
  <c r="O34" i="11"/>
  <c r="AF13" i="12"/>
  <c r="P13" i="12"/>
  <c r="V37" i="12"/>
  <c r="N31" i="3"/>
  <c r="AC31" i="3"/>
  <c r="AA31" i="3"/>
  <c r="H19" i="4"/>
  <c r="K31" i="4"/>
  <c r="X7" i="4"/>
  <c r="U31" i="4"/>
  <c r="N34" i="5"/>
  <c r="Y37" i="6"/>
  <c r="D22" i="6"/>
  <c r="T22" i="6"/>
  <c r="E22" i="6"/>
  <c r="U22" i="6"/>
  <c r="C22" i="6"/>
  <c r="S22" i="6"/>
  <c r="P4" i="8"/>
  <c r="AF4" i="8"/>
  <c r="G7" i="10"/>
  <c r="W7" i="10"/>
  <c r="K13" i="6"/>
  <c r="Q4" i="8"/>
  <c r="AB7" i="10"/>
  <c r="F7" i="10"/>
  <c r="N10" i="11"/>
  <c r="AD10" i="11"/>
  <c r="Q34" i="11"/>
  <c r="T37" i="12"/>
  <c r="D37" i="12"/>
  <c r="K22" i="7"/>
  <c r="AA22" i="7"/>
  <c r="O4" i="8"/>
  <c r="Z7" i="10"/>
  <c r="E7" i="10"/>
  <c r="AA10" i="11"/>
  <c r="E10" i="11"/>
  <c r="T34" i="11"/>
  <c r="D34" i="11"/>
  <c r="Y13" i="12"/>
  <c r="I13" i="12"/>
  <c r="AE37" i="12"/>
  <c r="O37" i="12"/>
  <c r="W13" i="6"/>
  <c r="L22" i="7"/>
  <c r="N4" i="8"/>
  <c r="Y7" i="10"/>
  <c r="D7" i="10"/>
  <c r="AA34" i="11"/>
  <c r="K34" i="11"/>
  <c r="AB13" i="12"/>
  <c r="L13" i="12"/>
  <c r="R37" i="12"/>
  <c r="L7" i="3"/>
  <c r="AE7" i="3"/>
  <c r="E4" i="12"/>
  <c r="AA4" i="12"/>
  <c r="S25" i="10"/>
  <c r="O25" i="10"/>
  <c r="AE25" i="10"/>
  <c r="K25" i="10"/>
  <c r="AA25" i="10"/>
  <c r="C25" i="10"/>
  <c r="T16" i="6"/>
  <c r="AE16" i="7"/>
  <c r="X16" i="7"/>
  <c r="M16" i="7"/>
  <c r="N16" i="7"/>
  <c r="AB16" i="7"/>
  <c r="AD16" i="7"/>
  <c r="T16" i="7"/>
  <c r="R16" i="7"/>
  <c r="C16" i="7"/>
  <c r="S16" i="7"/>
  <c r="P16" i="7"/>
  <c r="E16" i="7"/>
  <c r="L16" i="7"/>
  <c r="F16" i="7"/>
  <c r="V16" i="7"/>
  <c r="G16" i="7"/>
  <c r="W16" i="7"/>
  <c r="H16" i="7"/>
  <c r="AC16" i="7"/>
  <c r="D16" i="7"/>
  <c r="J16" i="7"/>
  <c r="Z16" i="7"/>
  <c r="K16" i="7"/>
  <c r="AA16" i="7"/>
  <c r="U16" i="7"/>
  <c r="I19" i="6"/>
  <c r="AB16" i="6"/>
  <c r="L28" i="6"/>
  <c r="X16" i="6"/>
  <c r="P16" i="6"/>
  <c r="AF16" i="6"/>
  <c r="AF13" i="5"/>
  <c r="K13" i="5"/>
  <c r="Y37" i="5"/>
  <c r="D37" i="5"/>
  <c r="S13" i="5"/>
  <c r="C37" i="5"/>
  <c r="S37" i="5"/>
  <c r="I13" i="5"/>
  <c r="Y13" i="5"/>
  <c r="AA13" i="5"/>
  <c r="F13" i="5"/>
  <c r="T37" i="5"/>
  <c r="N13" i="5"/>
  <c r="G37" i="5"/>
  <c r="W37" i="5"/>
  <c r="M13" i="5"/>
  <c r="AC13" i="5"/>
  <c r="V13" i="5"/>
  <c r="N37" i="5"/>
  <c r="AD13" i="5"/>
  <c r="H13" i="5"/>
  <c r="K37" i="5"/>
  <c r="AA37" i="5"/>
  <c r="Q13" i="5"/>
  <c r="AG13" i="5"/>
  <c r="T4" i="4"/>
  <c r="R16" i="4"/>
  <c r="AA28" i="4"/>
  <c r="C4" i="4"/>
  <c r="Z4" i="4"/>
  <c r="K28" i="4"/>
  <c r="S4" i="4"/>
  <c r="E4" i="4"/>
  <c r="D4" i="4"/>
  <c r="Q4" i="3"/>
  <c r="AD22" i="3"/>
  <c r="AC4" i="3"/>
  <c r="AG4" i="3"/>
  <c r="E4" i="3"/>
  <c r="I4" i="3"/>
  <c r="AE22" i="3"/>
  <c r="M4" i="3"/>
  <c r="Y22" i="3"/>
  <c r="W22" i="3"/>
  <c r="P22" i="3"/>
  <c r="AA22" i="3"/>
  <c r="Z28" i="3"/>
  <c r="J22" i="3"/>
  <c r="T22" i="3"/>
  <c r="G22" i="3"/>
  <c r="N22" i="3"/>
  <c r="K22" i="3"/>
  <c r="C22" i="3"/>
  <c r="I22" i="3"/>
  <c r="O22" i="3"/>
  <c r="Z22" i="3"/>
  <c r="D22" i="3"/>
  <c r="S22" i="3"/>
  <c r="U22" i="3"/>
  <c r="V37" i="10"/>
  <c r="AB31" i="6"/>
  <c r="C10" i="8"/>
  <c r="N16" i="3"/>
  <c r="L4" i="5"/>
  <c r="S34" i="8"/>
  <c r="C22" i="4"/>
  <c r="L10" i="8"/>
  <c r="X13" i="10"/>
  <c r="U4" i="5"/>
  <c r="AA7" i="6"/>
  <c r="AA37" i="10"/>
  <c r="R37" i="10"/>
  <c r="H10" i="8"/>
  <c r="T13" i="10"/>
  <c r="AA16" i="11"/>
  <c r="Y10" i="8"/>
  <c r="C34" i="8"/>
  <c r="AE4" i="5"/>
  <c r="D4" i="5"/>
  <c r="S7" i="6"/>
  <c r="E7" i="6"/>
  <c r="D7" i="6"/>
  <c r="D31" i="6"/>
  <c r="E7" i="7"/>
  <c r="J37" i="10"/>
  <c r="D10" i="8"/>
  <c r="P13" i="10"/>
  <c r="G16" i="11"/>
  <c r="AA31" i="7"/>
  <c r="AF4" i="5"/>
  <c r="O7" i="6"/>
  <c r="J7" i="6"/>
  <c r="I7" i="6"/>
  <c r="H31" i="6"/>
  <c r="I7" i="7"/>
  <c r="F37" i="10"/>
  <c r="AF10" i="8"/>
  <c r="H13" i="10"/>
  <c r="K31" i="7"/>
  <c r="V16" i="3"/>
  <c r="AB4" i="5"/>
  <c r="K7" i="6"/>
  <c r="P7" i="6"/>
  <c r="N7" i="6"/>
  <c r="L31" i="6"/>
  <c r="M7" i="7"/>
  <c r="AB10" i="8"/>
  <c r="D13" i="10"/>
  <c r="J10" i="8"/>
  <c r="O37" i="10"/>
  <c r="R16" i="3"/>
  <c r="W7" i="6"/>
  <c r="Z16" i="3"/>
  <c r="E4" i="5"/>
  <c r="X4" i="5"/>
  <c r="G7" i="6"/>
  <c r="U7" i="6"/>
  <c r="T7" i="6"/>
  <c r="P31" i="6"/>
  <c r="Q7" i="7"/>
  <c r="X10" i="8"/>
  <c r="O10" i="8"/>
  <c r="F13" i="10"/>
  <c r="E16" i="11"/>
  <c r="I19" i="12"/>
  <c r="Z4" i="5"/>
  <c r="H4" i="5"/>
  <c r="F16" i="3"/>
  <c r="J4" i="5"/>
  <c r="T4" i="5"/>
  <c r="C7" i="6"/>
  <c r="Z7" i="6"/>
  <c r="Y7" i="6"/>
  <c r="T31" i="6"/>
  <c r="U7" i="7"/>
  <c r="T10" i="8"/>
  <c r="E37" i="10"/>
  <c r="U10" i="8"/>
  <c r="AC19" i="12"/>
  <c r="J16" i="3"/>
  <c r="O4" i="5"/>
  <c r="P4" i="5"/>
  <c r="AE7" i="6"/>
  <c r="AD7" i="6"/>
  <c r="X31" i="6"/>
  <c r="Y7" i="7"/>
  <c r="Z37" i="10"/>
  <c r="P10" i="8"/>
  <c r="AF13" i="10"/>
  <c r="U37" i="10"/>
  <c r="O13" i="10"/>
  <c r="M37" i="10"/>
  <c r="O4" i="6"/>
  <c r="E4" i="7"/>
  <c r="AC4" i="7"/>
  <c r="P4" i="6"/>
  <c r="AC25" i="4"/>
  <c r="F28" i="6"/>
  <c r="Y25" i="4"/>
  <c r="I4" i="7"/>
  <c r="AA10" i="10"/>
  <c r="E10" i="10"/>
  <c r="X37" i="8"/>
  <c r="V19" i="11"/>
  <c r="K37" i="11"/>
  <c r="U25" i="4"/>
  <c r="M4" i="7"/>
  <c r="X7" i="8"/>
  <c r="W28" i="7"/>
  <c r="Q28" i="7"/>
  <c r="Q4" i="7"/>
  <c r="J7" i="8"/>
  <c r="T16" i="10"/>
  <c r="N10" i="10"/>
  <c r="Q25" i="4"/>
  <c r="M25" i="4"/>
  <c r="U4" i="7"/>
  <c r="K28" i="6"/>
  <c r="T37" i="8"/>
  <c r="AE25" i="12"/>
  <c r="I25" i="4"/>
  <c r="Y4" i="7"/>
  <c r="M28" i="6"/>
  <c r="J16" i="10"/>
  <c r="O25" i="12"/>
  <c r="P37" i="11"/>
  <c r="AD31" i="8"/>
  <c r="N4" i="6"/>
  <c r="AE13" i="11"/>
  <c r="D19" i="11"/>
  <c r="G31" i="4"/>
  <c r="J31" i="4"/>
  <c r="J10" i="5"/>
  <c r="U7" i="4"/>
  <c r="S7" i="4"/>
  <c r="T7" i="4"/>
  <c r="AF10" i="5"/>
  <c r="I34" i="5"/>
  <c r="O34" i="5"/>
  <c r="V37" i="6"/>
  <c r="E34" i="5"/>
  <c r="AC37" i="6"/>
  <c r="P37" i="7"/>
  <c r="F13" i="6"/>
  <c r="N13" i="6"/>
  <c r="T13" i="6"/>
  <c r="C31" i="4"/>
  <c r="F31" i="4"/>
  <c r="O10" i="5"/>
  <c r="Q7" i="4"/>
  <c r="O7" i="4"/>
  <c r="P7" i="4"/>
  <c r="AB10" i="5"/>
  <c r="D34" i="5"/>
  <c r="K34" i="5"/>
  <c r="H34" i="5"/>
  <c r="Z37" i="6"/>
  <c r="P34" i="5"/>
  <c r="T37" i="7"/>
  <c r="AE13" i="6"/>
  <c r="I13" i="6"/>
  <c r="P13" i="6"/>
  <c r="AE31" i="4"/>
  <c r="U10" i="5"/>
  <c r="M7" i="4"/>
  <c r="K7" i="4"/>
  <c r="L7" i="4"/>
  <c r="G10" i="5"/>
  <c r="X10" i="5"/>
  <c r="AG34" i="5"/>
  <c r="G34" i="5"/>
  <c r="R34" i="5"/>
  <c r="AE37" i="6"/>
  <c r="Z34" i="5"/>
  <c r="E37" i="6"/>
  <c r="X37" i="7"/>
  <c r="Z13" i="6"/>
  <c r="C13" i="6"/>
  <c r="L13" i="6"/>
  <c r="AA31" i="4"/>
  <c r="AD31" i="4"/>
  <c r="Z10" i="5"/>
  <c r="I7" i="4"/>
  <c r="G7" i="4"/>
  <c r="H7" i="4"/>
  <c r="M10" i="5"/>
  <c r="T10" i="5"/>
  <c r="AB34" i="5"/>
  <c r="C34" i="5"/>
  <c r="I37" i="6"/>
  <c r="AB37" i="7"/>
  <c r="U13" i="6"/>
  <c r="AG13" i="6"/>
  <c r="H13" i="6"/>
  <c r="W31" i="4"/>
  <c r="Z31" i="4"/>
  <c r="AE10" i="5"/>
  <c r="E7" i="4"/>
  <c r="C7" i="4"/>
  <c r="D7" i="4"/>
  <c r="R10" i="5"/>
  <c r="P10" i="5"/>
  <c r="V34" i="5"/>
  <c r="AD34" i="5"/>
  <c r="AE34" i="5"/>
  <c r="F37" i="6"/>
  <c r="M37" i="6"/>
  <c r="R13" i="6"/>
  <c r="O13" i="6"/>
  <c r="AA13" i="6"/>
  <c r="D13" i="6"/>
  <c r="G13" i="6"/>
  <c r="F7" i="4"/>
  <c r="S31" i="4"/>
  <c r="V31" i="4"/>
  <c r="AG7" i="4"/>
  <c r="AE7" i="4"/>
  <c r="AF7" i="4"/>
  <c r="E31" i="4"/>
  <c r="W10" i="5"/>
  <c r="J7" i="4"/>
  <c r="L10" i="5"/>
  <c r="Q34" i="5"/>
  <c r="Y34" i="5"/>
  <c r="AA34" i="5"/>
  <c r="J37" i="6"/>
  <c r="Q37" i="6"/>
  <c r="D37" i="7"/>
  <c r="J13" i="6"/>
  <c r="V13" i="6"/>
  <c r="AD13" i="6"/>
  <c r="AF13" i="6"/>
  <c r="V7" i="4"/>
  <c r="O31" i="4"/>
  <c r="R31" i="4"/>
  <c r="AC7" i="4"/>
  <c r="AA7" i="4"/>
  <c r="AB7" i="4"/>
  <c r="N7" i="4"/>
  <c r="M31" i="4"/>
  <c r="AC10" i="5"/>
  <c r="Z7" i="4"/>
  <c r="H10" i="5"/>
  <c r="L34" i="5"/>
  <c r="T34" i="5"/>
  <c r="W34" i="5"/>
  <c r="N37" i="6"/>
  <c r="U37" i="6"/>
  <c r="H37" i="7"/>
  <c r="E13" i="6"/>
  <c r="Q13" i="6"/>
  <c r="Y13" i="6"/>
  <c r="AB13" i="6"/>
  <c r="AC7" i="12"/>
  <c r="E7" i="12"/>
  <c r="AA13" i="10"/>
  <c r="D37" i="10"/>
  <c r="K16" i="11"/>
  <c r="AE16" i="11"/>
  <c r="L7" i="12"/>
  <c r="O31" i="7"/>
  <c r="AE31" i="7"/>
  <c r="S10" i="8"/>
  <c r="G34" i="8"/>
  <c r="W34" i="8"/>
  <c r="J13" i="10"/>
  <c r="H37" i="10"/>
  <c r="I22" i="10"/>
  <c r="AG22" i="10"/>
  <c r="Z16" i="11"/>
  <c r="Y19" i="12"/>
  <c r="E19" i="12"/>
  <c r="S7" i="12"/>
  <c r="K37" i="10"/>
  <c r="Q7" i="12"/>
  <c r="Z10" i="8"/>
  <c r="E10" i="8"/>
  <c r="K13" i="10"/>
  <c r="T37" i="10"/>
  <c r="W16" i="11"/>
  <c r="X7" i="12"/>
  <c r="D7" i="12"/>
  <c r="G31" i="7"/>
  <c r="W31" i="7"/>
  <c r="AD10" i="8"/>
  <c r="I10" i="8"/>
  <c r="O34" i="8"/>
  <c r="AE34" i="8"/>
  <c r="U13" i="10"/>
  <c r="X37" i="10"/>
  <c r="U22" i="10"/>
  <c r="J16" i="11"/>
  <c r="M19" i="12"/>
  <c r="AE7" i="12"/>
  <c r="K7" i="12"/>
  <c r="U7" i="12"/>
  <c r="V13" i="10"/>
  <c r="Y37" i="10"/>
  <c r="O16" i="11"/>
  <c r="AB7" i="12"/>
  <c r="H7" i="12"/>
  <c r="C31" i="7"/>
  <c r="S31" i="7"/>
  <c r="N10" i="8"/>
  <c r="K34" i="8"/>
  <c r="AA34" i="8"/>
  <c r="AE13" i="10"/>
  <c r="AC37" i="10"/>
  <c r="C37" i="10"/>
  <c r="Q22" i="10"/>
  <c r="P16" i="11"/>
  <c r="U19" i="12"/>
  <c r="O7" i="12"/>
  <c r="C4" i="10"/>
  <c r="N37" i="10"/>
  <c r="AD37" i="10"/>
  <c r="L13" i="10"/>
  <c r="AB13" i="10"/>
  <c r="AB4" i="10"/>
  <c r="P37" i="10"/>
  <c r="Y7" i="12"/>
  <c r="I7" i="12"/>
  <c r="D16" i="10"/>
  <c r="Q13" i="10"/>
  <c r="AE37" i="10"/>
  <c r="I37" i="10"/>
  <c r="C16" i="11"/>
  <c r="S16" i="11"/>
  <c r="AF7" i="12"/>
  <c r="P7" i="12"/>
  <c r="T4" i="12"/>
  <c r="Z13" i="10"/>
  <c r="E13" i="10"/>
  <c r="Y4" i="10"/>
  <c r="S37" i="10"/>
  <c r="I28" i="10"/>
  <c r="M22" i="10"/>
  <c r="AC22" i="10"/>
  <c r="W25" i="10"/>
  <c r="G25" i="10"/>
  <c r="U16" i="11"/>
  <c r="Z13" i="11"/>
  <c r="R31" i="11"/>
  <c r="Q19" i="12"/>
  <c r="AA10" i="12"/>
  <c r="W7" i="12"/>
  <c r="G7" i="12"/>
  <c r="M28" i="12"/>
  <c r="G31" i="3"/>
  <c r="W31" i="3"/>
  <c r="I7" i="3"/>
  <c r="Y7" i="3"/>
  <c r="U31" i="3"/>
  <c r="V16" i="4"/>
  <c r="F16" i="4"/>
  <c r="O28" i="4"/>
  <c r="Q4" i="4"/>
  <c r="AG4" i="4"/>
  <c r="O4" i="4"/>
  <c r="AE4" i="4"/>
  <c r="P4" i="4"/>
  <c r="AF4" i="4"/>
  <c r="R31" i="5"/>
  <c r="G31" i="5"/>
  <c r="I34" i="6"/>
  <c r="T25" i="6"/>
  <c r="D25" i="6"/>
  <c r="S25" i="6"/>
  <c r="C25" i="6"/>
  <c r="Q25" i="6"/>
  <c r="O37" i="8"/>
  <c r="AE37" i="8"/>
  <c r="O4" i="10"/>
  <c r="AE4" i="10"/>
  <c r="Q13" i="8"/>
  <c r="AG13" i="8"/>
  <c r="P37" i="8"/>
  <c r="L4" i="10"/>
  <c r="T31" i="11"/>
  <c r="D31" i="11"/>
  <c r="Y25" i="7"/>
  <c r="I25" i="7"/>
  <c r="P13" i="8"/>
  <c r="Y37" i="8"/>
  <c r="D37" i="8"/>
  <c r="P16" i="10"/>
  <c r="AF16" i="10"/>
  <c r="P4" i="10"/>
  <c r="P19" i="11"/>
  <c r="AF19" i="11"/>
  <c r="AA31" i="11"/>
  <c r="K31" i="11"/>
  <c r="T10" i="12"/>
  <c r="D10" i="12"/>
  <c r="X10" i="6"/>
  <c r="H34" i="7"/>
  <c r="X34" i="7"/>
  <c r="I34" i="7"/>
  <c r="Y34" i="7"/>
  <c r="X25" i="7"/>
  <c r="T13" i="8"/>
  <c r="AC37" i="8"/>
  <c r="H37" i="8"/>
  <c r="O16" i="10"/>
  <c r="AD4" i="10"/>
  <c r="I4" i="10"/>
  <c r="E28" i="10"/>
  <c r="U28" i="10"/>
  <c r="AA19" i="11"/>
  <c r="F19" i="11"/>
  <c r="V31" i="11"/>
  <c r="F31" i="11"/>
  <c r="AE10" i="12"/>
  <c r="O10" i="12"/>
  <c r="K25" i="12"/>
  <c r="AA25" i="12"/>
  <c r="AA19" i="3"/>
  <c r="K19" i="3"/>
  <c r="M31" i="3"/>
  <c r="O19" i="3"/>
  <c r="Y31" i="3"/>
  <c r="D31" i="3"/>
  <c r="R31" i="3"/>
  <c r="C31" i="3"/>
  <c r="S31" i="3"/>
  <c r="E7" i="3"/>
  <c r="U7" i="3"/>
  <c r="Z31" i="3"/>
  <c r="E31" i="3"/>
  <c r="Z16" i="4"/>
  <c r="J16" i="4"/>
  <c r="S28" i="4"/>
  <c r="C28" i="4"/>
  <c r="F4" i="4"/>
  <c r="M4" i="4"/>
  <c r="AC4" i="4"/>
  <c r="K4" i="4"/>
  <c r="AA4" i="4"/>
  <c r="L4" i="4"/>
  <c r="AB4" i="4"/>
  <c r="T7" i="5"/>
  <c r="H31" i="5"/>
  <c r="X25" i="6"/>
  <c r="H25" i="6"/>
  <c r="W25" i="6"/>
  <c r="G25" i="6"/>
  <c r="U25" i="6"/>
  <c r="E25" i="6"/>
  <c r="K37" i="8"/>
  <c r="AA37" i="8"/>
  <c r="K4" i="10"/>
  <c r="AA4" i="10"/>
  <c r="M13" i="8"/>
  <c r="AC13" i="8"/>
  <c r="U37" i="8"/>
  <c r="Q4" i="10"/>
  <c r="X31" i="11"/>
  <c r="H31" i="11"/>
  <c r="AC25" i="7"/>
  <c r="M25" i="7"/>
  <c r="V13" i="8"/>
  <c r="AD37" i="8"/>
  <c r="I37" i="8"/>
  <c r="L16" i="10"/>
  <c r="AB16" i="10"/>
  <c r="U4" i="10"/>
  <c r="L19" i="11"/>
  <c r="AB19" i="11"/>
  <c r="AE31" i="11"/>
  <c r="O31" i="11"/>
  <c r="X10" i="12"/>
  <c r="H10" i="12"/>
  <c r="J10" i="6"/>
  <c r="D34" i="7"/>
  <c r="T34" i="7"/>
  <c r="E34" i="7"/>
  <c r="U34" i="7"/>
  <c r="S25" i="7"/>
  <c r="Z13" i="8"/>
  <c r="D13" i="8"/>
  <c r="M37" i="8"/>
  <c r="U16" i="10"/>
  <c r="N4" i="10"/>
  <c r="Q28" i="10"/>
  <c r="AG28" i="10"/>
  <c r="K19" i="11"/>
  <c r="Z31" i="11"/>
  <c r="J31" i="11"/>
  <c r="S10" i="12"/>
  <c r="C10" i="12"/>
  <c r="G25" i="12"/>
  <c r="W25" i="12"/>
  <c r="T31" i="3"/>
  <c r="S19" i="3"/>
  <c r="C19" i="3"/>
  <c r="AD31" i="3"/>
  <c r="I31" i="3"/>
  <c r="X31" i="3"/>
  <c r="O31" i="3"/>
  <c r="AE31" i="3"/>
  <c r="Q7" i="3"/>
  <c r="AG7" i="3"/>
  <c r="J31" i="3"/>
  <c r="N16" i="4"/>
  <c r="W28" i="4"/>
  <c r="G28" i="4"/>
  <c r="V4" i="4"/>
  <c r="E7" i="5"/>
  <c r="I4" i="4"/>
  <c r="Y4" i="4"/>
  <c r="G4" i="4"/>
  <c r="W4" i="4"/>
  <c r="H4" i="4"/>
  <c r="X4" i="4"/>
  <c r="N4" i="4"/>
  <c r="J4" i="4"/>
  <c r="AB25" i="6"/>
  <c r="L25" i="6"/>
  <c r="AA25" i="6"/>
  <c r="K25" i="6"/>
  <c r="Y25" i="6"/>
  <c r="I25" i="6"/>
  <c r="G37" i="8"/>
  <c r="W37" i="8"/>
  <c r="G4" i="10"/>
  <c r="W4" i="10"/>
  <c r="I13" i="8"/>
  <c r="Y13" i="8"/>
  <c r="Z37" i="8"/>
  <c r="E37" i="8"/>
  <c r="V4" i="10"/>
  <c r="AB31" i="11"/>
  <c r="L31" i="11"/>
  <c r="Z25" i="6"/>
  <c r="Q25" i="7"/>
  <c r="AA13" i="8"/>
  <c r="F13" i="8"/>
  <c r="N37" i="8"/>
  <c r="H16" i="10"/>
  <c r="X16" i="10"/>
  <c r="Z4" i="10"/>
  <c r="E4" i="10"/>
  <c r="H19" i="11"/>
  <c r="X19" i="11"/>
  <c r="S31" i="11"/>
  <c r="C31" i="11"/>
  <c r="AB10" i="12"/>
  <c r="L10" i="12"/>
  <c r="AD25" i="6"/>
  <c r="P34" i="7"/>
  <c r="AF34" i="7"/>
  <c r="Q34" i="7"/>
  <c r="AG34" i="7"/>
  <c r="N25" i="7"/>
  <c r="AE13" i="8"/>
  <c r="J13" i="8"/>
  <c r="R37" i="8"/>
  <c r="Z16" i="10"/>
  <c r="E16" i="10"/>
  <c r="T4" i="10"/>
  <c r="M28" i="10"/>
  <c r="AC28" i="10"/>
  <c r="Q19" i="11"/>
  <c r="AD31" i="11"/>
  <c r="N31" i="11"/>
  <c r="W10" i="12"/>
  <c r="G10" i="12"/>
  <c r="S25" i="12"/>
  <c r="L16" i="5"/>
  <c r="O37" i="7"/>
  <c r="Z34" i="3"/>
  <c r="Y34" i="3"/>
  <c r="AB34" i="3"/>
  <c r="W25" i="3"/>
  <c r="G22" i="4"/>
  <c r="AC19" i="4"/>
  <c r="J7" i="5"/>
  <c r="P7" i="5"/>
  <c r="Q19" i="4"/>
  <c r="Y19" i="4"/>
  <c r="L19" i="4"/>
  <c r="C31" i="5"/>
  <c r="N31" i="5"/>
  <c r="Q31" i="5"/>
  <c r="M34" i="6"/>
  <c r="E10" i="6"/>
  <c r="R10" i="6"/>
  <c r="W10" i="6"/>
  <c r="E22" i="12"/>
  <c r="X34" i="3"/>
  <c r="AA25" i="3"/>
  <c r="K22" i="4"/>
  <c r="O7" i="5"/>
  <c r="L7" i="5"/>
  <c r="K19" i="4"/>
  <c r="S19" i="4"/>
  <c r="AE19" i="4"/>
  <c r="AF31" i="5"/>
  <c r="J31" i="5"/>
  <c r="Q34" i="6"/>
  <c r="AD10" i="6"/>
  <c r="M10" i="6"/>
  <c r="S10" i="6"/>
  <c r="F19" i="10"/>
  <c r="I22" i="12"/>
  <c r="AE34" i="3"/>
  <c r="AD34" i="3"/>
  <c r="T34" i="3"/>
  <c r="F34" i="3"/>
  <c r="AE25" i="3"/>
  <c r="O22" i="4"/>
  <c r="U7" i="5"/>
  <c r="R19" i="4"/>
  <c r="H7" i="5"/>
  <c r="G19" i="4"/>
  <c r="N19" i="4"/>
  <c r="Z19" i="4"/>
  <c r="AA31" i="5"/>
  <c r="F31" i="5"/>
  <c r="U34" i="6"/>
  <c r="Y10" i="6"/>
  <c r="H10" i="6"/>
  <c r="O10" i="6"/>
  <c r="U22" i="12"/>
  <c r="P34" i="3"/>
  <c r="K34" i="3"/>
  <c r="C25" i="3"/>
  <c r="S22" i="4"/>
  <c r="Z7" i="5"/>
  <c r="D19" i="4"/>
  <c r="D7" i="5"/>
  <c r="C19" i="4"/>
  <c r="I19" i="4"/>
  <c r="U19" i="4"/>
  <c r="AF19" i="4"/>
  <c r="U31" i="5"/>
  <c r="AC31" i="5"/>
  <c r="D31" i="5"/>
  <c r="Y34" i="6"/>
  <c r="T10" i="6"/>
  <c r="AF10" i="6"/>
  <c r="K10" i="6"/>
  <c r="Y22" i="12"/>
  <c r="E34" i="3"/>
  <c r="C34" i="3"/>
  <c r="L34" i="3"/>
  <c r="Q34" i="3"/>
  <c r="G25" i="3"/>
  <c r="W22" i="4"/>
  <c r="AE7" i="5"/>
  <c r="W19" i="4"/>
  <c r="AF7" i="5"/>
  <c r="E19" i="4"/>
  <c r="O19" i="4"/>
  <c r="AB19" i="4"/>
  <c r="P31" i="5"/>
  <c r="X31" i="5"/>
  <c r="AD31" i="5"/>
  <c r="O31" i="5"/>
  <c r="AC34" i="6"/>
  <c r="N10" i="6"/>
  <c r="Z10" i="6"/>
  <c r="G10" i="6"/>
  <c r="J34" i="3"/>
  <c r="I34" i="3"/>
  <c r="H34" i="3"/>
  <c r="V34" i="3"/>
  <c r="K25" i="3"/>
  <c r="AA22" i="4"/>
  <c r="AB7" i="5"/>
  <c r="AG19" i="4"/>
  <c r="J19" i="4"/>
  <c r="X19" i="4"/>
  <c r="K31" i="5"/>
  <c r="S31" i="5"/>
  <c r="Z31" i="5"/>
  <c r="Y31" i="5"/>
  <c r="AC19" i="10"/>
  <c r="I10" i="6"/>
  <c r="U10" i="6"/>
  <c r="C10" i="6"/>
  <c r="V28" i="4"/>
  <c r="O34" i="3"/>
  <c r="N34" i="3"/>
  <c r="D34" i="3"/>
  <c r="AA34" i="3"/>
  <c r="O25" i="3"/>
  <c r="X7" i="5"/>
  <c r="AA19" i="4"/>
  <c r="F19" i="4"/>
  <c r="T19" i="4"/>
  <c r="E31" i="5"/>
  <c r="M31" i="5"/>
  <c r="V31" i="5"/>
  <c r="E34" i="6"/>
  <c r="D10" i="6"/>
  <c r="P10" i="6"/>
  <c r="AC10" i="6"/>
  <c r="AE10" i="6"/>
  <c r="D28" i="4"/>
  <c r="F13" i="3"/>
  <c r="E19" i="6"/>
  <c r="AB19" i="7"/>
  <c r="C19" i="7"/>
  <c r="T7" i="8"/>
  <c r="F7" i="8"/>
  <c r="W10" i="10"/>
  <c r="AA13" i="11"/>
  <c r="S28" i="7"/>
  <c r="O7" i="8"/>
  <c r="J10" i="10"/>
  <c r="F13" i="11"/>
  <c r="T37" i="11"/>
  <c r="V28" i="7"/>
  <c r="Z31" i="8"/>
  <c r="T10" i="10"/>
  <c r="AF13" i="11"/>
  <c r="O37" i="11"/>
  <c r="D16" i="12"/>
  <c r="Y19" i="7"/>
  <c r="AG19" i="6"/>
  <c r="G19" i="7"/>
  <c r="P7" i="8"/>
  <c r="K7" i="8"/>
  <c r="S10" i="10"/>
  <c r="W13" i="11"/>
  <c r="O28" i="7"/>
  <c r="U7" i="8"/>
  <c r="P10" i="10"/>
  <c r="L13" i="11"/>
  <c r="X37" i="11"/>
  <c r="AB28" i="7"/>
  <c r="C7" i="8"/>
  <c r="V31" i="8"/>
  <c r="Y10" i="10"/>
  <c r="S37" i="11"/>
  <c r="H16" i="12"/>
  <c r="J19" i="7"/>
  <c r="AC19" i="6"/>
  <c r="D19" i="7"/>
  <c r="K19" i="7"/>
  <c r="L7" i="8"/>
  <c r="Q7" i="8"/>
  <c r="O10" i="10"/>
  <c r="S13" i="11"/>
  <c r="K28" i="7"/>
  <c r="Z7" i="8"/>
  <c r="U10" i="10"/>
  <c r="Q13" i="11"/>
  <c r="AB37" i="11"/>
  <c r="I7" i="8"/>
  <c r="R31" i="8"/>
  <c r="AD10" i="10"/>
  <c r="W37" i="11"/>
  <c r="L16" i="12"/>
  <c r="Y19" i="6"/>
  <c r="H19" i="7"/>
  <c r="O19" i="7"/>
  <c r="H7" i="8"/>
  <c r="V7" i="8"/>
  <c r="K10" i="10"/>
  <c r="O13" i="11"/>
  <c r="G28" i="7"/>
  <c r="AE7" i="8"/>
  <c r="Z10" i="10"/>
  <c r="V13" i="11"/>
  <c r="N7" i="8"/>
  <c r="N31" i="8"/>
  <c r="E13" i="11"/>
  <c r="AA37" i="11"/>
  <c r="P16" i="12"/>
  <c r="AB25" i="4"/>
  <c r="U19" i="6"/>
  <c r="L19" i="7"/>
  <c r="S19" i="7"/>
  <c r="D7" i="8"/>
  <c r="AA7" i="8"/>
  <c r="G10" i="10"/>
  <c r="K13" i="11"/>
  <c r="C28" i="7"/>
  <c r="AB13" i="11"/>
  <c r="D37" i="11"/>
  <c r="S7" i="8"/>
  <c r="J31" i="8"/>
  <c r="J13" i="11"/>
  <c r="AE37" i="11"/>
  <c r="T16" i="12"/>
  <c r="X37" i="3"/>
  <c r="Q19" i="6"/>
  <c r="P19" i="7"/>
  <c r="W19" i="7"/>
  <c r="AF7" i="8"/>
  <c r="C10" i="10"/>
  <c r="G13" i="11"/>
  <c r="AE28" i="7"/>
  <c r="H37" i="11"/>
  <c r="F28" i="7"/>
  <c r="Y7" i="8"/>
  <c r="F31" i="8"/>
  <c r="D10" i="10"/>
  <c r="P13" i="11"/>
  <c r="C37" i="11"/>
  <c r="X16" i="12"/>
  <c r="M19" i="6"/>
  <c r="T19" i="7"/>
  <c r="AA19" i="7"/>
  <c r="AB7" i="8"/>
  <c r="AE10" i="10"/>
  <c r="C13" i="11"/>
  <c r="AA28" i="7"/>
  <c r="E7" i="8"/>
  <c r="L37" i="11"/>
  <c r="L28" i="7"/>
  <c r="AD7" i="8"/>
  <c r="U13" i="11"/>
  <c r="G37" i="11"/>
  <c r="AB16" i="12"/>
  <c r="Y28" i="4"/>
  <c r="N13" i="3"/>
  <c r="T37" i="3"/>
  <c r="K4" i="6"/>
  <c r="U4" i="6"/>
  <c r="T4" i="6"/>
  <c r="H28" i="6"/>
  <c r="I28" i="6"/>
  <c r="G28" i="6"/>
  <c r="I4" i="12"/>
  <c r="Y19" i="10"/>
  <c r="X4" i="12"/>
  <c r="V28" i="6"/>
  <c r="K19" i="10"/>
  <c r="AE4" i="12"/>
  <c r="Q28" i="12"/>
  <c r="P37" i="3"/>
  <c r="G4" i="6"/>
  <c r="Z4" i="6"/>
  <c r="Y4" i="6"/>
  <c r="D28" i="6"/>
  <c r="E28" i="6"/>
  <c r="C28" i="6"/>
  <c r="M4" i="12"/>
  <c r="U19" i="10"/>
  <c r="AB4" i="12"/>
  <c r="P19" i="10"/>
  <c r="C4" i="12"/>
  <c r="U28" i="12"/>
  <c r="L28" i="4"/>
  <c r="L37" i="3"/>
  <c r="C4" i="6"/>
  <c r="AD4" i="6"/>
  <c r="AF28" i="6"/>
  <c r="AG28" i="6"/>
  <c r="AE28" i="6"/>
  <c r="Q4" i="12"/>
  <c r="Q19" i="10"/>
  <c r="AF4" i="12"/>
  <c r="V19" i="10"/>
  <c r="G4" i="12"/>
  <c r="Y28" i="12"/>
  <c r="F28" i="4"/>
  <c r="T16" i="4"/>
  <c r="H37" i="3"/>
  <c r="AE4" i="6"/>
  <c r="AB28" i="6"/>
  <c r="AC28" i="6"/>
  <c r="AA28" i="6"/>
  <c r="U4" i="12"/>
  <c r="M19" i="10"/>
  <c r="D4" i="12"/>
  <c r="AA19" i="10"/>
  <c r="K4" i="12"/>
  <c r="AC28" i="12"/>
  <c r="AA4" i="6"/>
  <c r="X28" i="6"/>
  <c r="Y28" i="6"/>
  <c r="W28" i="6"/>
  <c r="Y4" i="12"/>
  <c r="I19" i="10"/>
  <c r="H4" i="12"/>
  <c r="O4" i="12"/>
  <c r="D37" i="3"/>
  <c r="AF37" i="3"/>
  <c r="W4" i="6"/>
  <c r="E4" i="6"/>
  <c r="D4" i="6"/>
  <c r="T28" i="6"/>
  <c r="U28" i="6"/>
  <c r="S28" i="6"/>
  <c r="AC4" i="12"/>
  <c r="E19" i="10"/>
  <c r="L4" i="12"/>
  <c r="S4" i="12"/>
  <c r="E28" i="12"/>
  <c r="F7" i="11"/>
  <c r="AB37" i="3"/>
  <c r="S4" i="6"/>
  <c r="J4" i="6"/>
  <c r="I4" i="6"/>
  <c r="P28" i="6"/>
  <c r="Q28" i="6"/>
  <c r="O28" i="6"/>
  <c r="J28" i="6"/>
  <c r="AG19" i="10"/>
  <c r="P4" i="12"/>
  <c r="W4" i="12"/>
  <c r="I28" i="12"/>
  <c r="E31" i="7"/>
  <c r="N16" i="11"/>
  <c r="R37" i="5"/>
  <c r="AB28" i="4"/>
  <c r="Q28" i="4"/>
  <c r="E16" i="4"/>
  <c r="N28" i="4"/>
  <c r="P22" i="12"/>
  <c r="E31" i="11"/>
  <c r="F37" i="11"/>
  <c r="L7" i="11"/>
  <c r="X16" i="11"/>
  <c r="AC25" i="10"/>
  <c r="G28" i="10"/>
  <c r="R28" i="8"/>
  <c r="T31" i="7"/>
  <c r="R31" i="6"/>
  <c r="E37" i="5"/>
  <c r="I28" i="4"/>
  <c r="T28" i="4"/>
  <c r="AD28" i="4"/>
  <c r="W13" i="3"/>
  <c r="AC25" i="12"/>
  <c r="Q28" i="11"/>
  <c r="T7" i="11"/>
  <c r="H22" i="8"/>
  <c r="AG28" i="4"/>
  <c r="P25" i="12"/>
  <c r="N28" i="12"/>
  <c r="R25" i="11"/>
  <c r="J34" i="11"/>
  <c r="AA7" i="11"/>
  <c r="F16" i="11"/>
  <c r="G22" i="10"/>
  <c r="T22" i="8"/>
  <c r="L37" i="6"/>
  <c r="F4" i="6"/>
  <c r="G16" i="10"/>
  <c r="M22" i="8"/>
  <c r="H28" i="8"/>
  <c r="X28" i="8"/>
  <c r="O31" i="8"/>
  <c r="F34" i="8"/>
  <c r="M7" i="8"/>
  <c r="L16" i="8"/>
  <c r="AB25" i="7"/>
  <c r="M22" i="7"/>
  <c r="L31" i="7"/>
  <c r="Z31" i="7"/>
  <c r="N34" i="7"/>
  <c r="F37" i="7"/>
  <c r="Z37" i="7"/>
  <c r="K10" i="7"/>
  <c r="Q31" i="3"/>
  <c r="I10" i="3"/>
  <c r="F16" i="12"/>
  <c r="N19" i="12"/>
  <c r="V28" i="10"/>
  <c r="S16" i="10"/>
  <c r="R19" i="10"/>
  <c r="V10" i="7"/>
  <c r="L13" i="7"/>
  <c r="Q19" i="7"/>
  <c r="AG19" i="7"/>
  <c r="R25" i="6"/>
  <c r="R22" i="6"/>
  <c r="AD28" i="6"/>
  <c r="F31" i="6"/>
  <c r="Z31" i="6"/>
  <c r="R4" i="6"/>
  <c r="L7" i="6"/>
  <c r="W16" i="5"/>
  <c r="L19" i="5"/>
  <c r="O25" i="4"/>
  <c r="E28" i="4"/>
  <c r="H28" i="4"/>
  <c r="J28" i="4"/>
  <c r="M28" i="4"/>
  <c r="P28" i="4"/>
  <c r="R28" i="4"/>
  <c r="U28" i="4"/>
  <c r="X28" i="4"/>
  <c r="Z28" i="4"/>
  <c r="AC28" i="4"/>
  <c r="AF28" i="4"/>
  <c r="H31" i="4"/>
  <c r="I34" i="4"/>
  <c r="M16" i="4"/>
  <c r="AA16" i="4"/>
  <c r="X25" i="3"/>
  <c r="F31" i="3"/>
  <c r="AB31" i="3"/>
  <c r="G34" i="3"/>
  <c r="U10" i="3"/>
  <c r="V25" i="12"/>
  <c r="H25" i="12"/>
  <c r="G22" i="12"/>
  <c r="X22" i="12"/>
  <c r="C28" i="12"/>
  <c r="X28" i="12"/>
  <c r="R16" i="12"/>
  <c r="C19" i="12"/>
  <c r="X19" i="12"/>
  <c r="U37" i="11"/>
  <c r="F4" i="11"/>
  <c r="I16" i="11"/>
  <c r="T16" i="11"/>
  <c r="AC16" i="11"/>
  <c r="R19" i="11"/>
  <c r="V22" i="10"/>
  <c r="W25" i="8"/>
  <c r="AC7" i="8"/>
  <c r="G10" i="8"/>
  <c r="V16" i="8"/>
  <c r="J19" i="8"/>
  <c r="K37" i="7"/>
  <c r="U37" i="7"/>
  <c r="AC37" i="7"/>
  <c r="F4" i="7"/>
  <c r="R7" i="7"/>
  <c r="E19" i="7"/>
  <c r="M19" i="7"/>
  <c r="U19" i="7"/>
  <c r="Z19" i="7"/>
  <c r="V25" i="6"/>
  <c r="F25" i="6"/>
  <c r="N22" i="6"/>
  <c r="Z22" i="6"/>
  <c r="N28" i="6"/>
  <c r="Z28" i="6"/>
  <c r="E31" i="6"/>
  <c r="K31" i="6"/>
  <c r="U31" i="6"/>
  <c r="AF31" i="6"/>
  <c r="H34" i="6"/>
  <c r="C37" i="6"/>
  <c r="W37" i="6"/>
  <c r="M34" i="5"/>
  <c r="F7" i="5"/>
  <c r="Q10" i="4"/>
  <c r="R13" i="4"/>
  <c r="M19" i="3"/>
  <c r="H19" i="12"/>
  <c r="S19" i="12"/>
  <c r="AD19" i="12"/>
  <c r="Z34" i="11"/>
  <c r="T4" i="11"/>
  <c r="H16" i="11"/>
  <c r="M16" i="11"/>
  <c r="Q16" i="11"/>
  <c r="V16" i="11"/>
  <c r="AB16" i="11"/>
  <c r="AD16" i="11"/>
  <c r="G19" i="11"/>
  <c r="N25" i="10"/>
  <c r="L28" i="10"/>
  <c r="N16" i="10"/>
  <c r="AA16" i="10"/>
  <c r="G19" i="10"/>
  <c r="Z19" i="10"/>
  <c r="N25" i="8"/>
  <c r="G4" i="8"/>
  <c r="V10" i="8"/>
  <c r="N13" i="8"/>
  <c r="U19" i="8"/>
  <c r="W34" i="7"/>
  <c r="T4" i="7"/>
  <c r="G7" i="7"/>
  <c r="Z7" i="7"/>
  <c r="W13" i="7"/>
  <c r="G37" i="6"/>
  <c r="S37" i="6"/>
  <c r="AB37" i="6"/>
  <c r="X7" i="6"/>
  <c r="L37" i="5"/>
  <c r="Z37" i="5"/>
  <c r="K10" i="5"/>
  <c r="L13" i="5"/>
  <c r="I10" i="4"/>
  <c r="Y10" i="4"/>
  <c r="J13" i="4"/>
  <c r="Z13" i="4"/>
  <c r="J13" i="3"/>
  <c r="R13" i="3"/>
  <c r="AA13" i="3"/>
  <c r="X19" i="3"/>
  <c r="N8" i="9"/>
  <c r="N7" i="9"/>
  <c r="M34" i="12"/>
  <c r="E37" i="12"/>
  <c r="F19" i="12"/>
  <c r="K19" i="12"/>
  <c r="P19" i="12"/>
  <c r="V19" i="12"/>
  <c r="AA19" i="12"/>
  <c r="AF19" i="12"/>
  <c r="U31" i="11"/>
  <c r="M37" i="11"/>
  <c r="J7" i="11"/>
  <c r="P7" i="11"/>
  <c r="W7" i="11"/>
  <c r="L22" i="10"/>
  <c r="AB22" i="10"/>
  <c r="AD25" i="8"/>
  <c r="S25" i="8"/>
  <c r="G25" i="8"/>
  <c r="U34" i="8"/>
  <c r="W4" i="8"/>
  <c r="G7" i="8"/>
  <c r="R7" i="8"/>
  <c r="AG7" i="8"/>
  <c r="F16" i="8"/>
  <c r="Q16" i="8"/>
  <c r="AB16" i="8"/>
  <c r="E19" i="8"/>
  <c r="O19" i="8"/>
  <c r="AB19" i="8"/>
  <c r="U22" i="7"/>
  <c r="I31" i="7"/>
  <c r="P31" i="7"/>
  <c r="V31" i="7"/>
  <c r="AD31" i="7"/>
  <c r="G34" i="7"/>
  <c r="R34" i="7"/>
  <c r="AD34" i="7"/>
  <c r="N4" i="7"/>
  <c r="C7" i="7"/>
  <c r="L7" i="7"/>
  <c r="T7" i="7"/>
  <c r="AE7" i="7"/>
  <c r="F10" i="7"/>
  <c r="Q10" i="7"/>
  <c r="AA10" i="7"/>
  <c r="G13" i="7"/>
  <c r="R13" i="7"/>
  <c r="AB13" i="7"/>
  <c r="D37" i="6"/>
  <c r="K37" i="6"/>
  <c r="O37" i="6"/>
  <c r="T37" i="6"/>
  <c r="AA37" i="6"/>
  <c r="Q7" i="6"/>
  <c r="AG7" i="6"/>
  <c r="Q10" i="6"/>
  <c r="R25" i="5"/>
  <c r="R22" i="5"/>
  <c r="R28" i="5"/>
  <c r="AF34" i="5"/>
  <c r="G16" i="5"/>
  <c r="Q16" i="5"/>
  <c r="AB16" i="5"/>
  <c r="D19" i="5"/>
  <c r="W19" i="5"/>
  <c r="V25" i="4"/>
  <c r="G25" i="4"/>
  <c r="R22" i="4"/>
  <c r="E10" i="4"/>
  <c r="M10" i="4"/>
  <c r="U10" i="4"/>
  <c r="AC10" i="4"/>
  <c r="F13" i="4"/>
  <c r="N13" i="4"/>
  <c r="V13" i="4"/>
  <c r="AD13" i="4"/>
  <c r="M25" i="3"/>
  <c r="H22" i="3"/>
  <c r="W4" i="3"/>
  <c r="E10" i="3"/>
  <c r="N10" i="3"/>
  <c r="Y10" i="3"/>
  <c r="H19" i="3"/>
  <c r="R19" i="3"/>
  <c r="AC19" i="3"/>
  <c r="K28" i="12"/>
  <c r="V28" i="12"/>
  <c r="AF28" i="12"/>
  <c r="U37" i="12"/>
  <c r="N4" i="12"/>
  <c r="J7" i="12"/>
  <c r="R10" i="12"/>
  <c r="Q16" i="12"/>
  <c r="AC16" i="12"/>
  <c r="Z25" i="11"/>
  <c r="J25" i="11"/>
  <c r="Q22" i="11"/>
  <c r="M31" i="11"/>
  <c r="AC31" i="11"/>
  <c r="F34" i="11"/>
  <c r="N34" i="11"/>
  <c r="L4" i="11"/>
  <c r="AA4" i="11"/>
  <c r="N13" i="11"/>
  <c r="K22" i="10"/>
  <c r="R22" i="10"/>
  <c r="W22" i="10"/>
  <c r="R34" i="10"/>
  <c r="H4" i="10"/>
  <c r="R7" i="10"/>
  <c r="AE25" i="8"/>
  <c r="AA25" i="8"/>
  <c r="V25" i="8"/>
  <c r="O25" i="8"/>
  <c r="K25" i="8"/>
  <c r="I28" i="8"/>
  <c r="T28" i="8"/>
  <c r="E31" i="8"/>
  <c r="W31" i="8"/>
  <c r="M10" i="8"/>
  <c r="G19" i="8"/>
  <c r="M19" i="8"/>
  <c r="R19" i="8"/>
  <c r="X19" i="8"/>
  <c r="P22" i="7"/>
  <c r="P28" i="7"/>
  <c r="D31" i="7"/>
  <c r="F31" i="7"/>
  <c r="J31" i="7"/>
  <c r="N31" i="7"/>
  <c r="Q31" i="7"/>
  <c r="U31" i="7"/>
  <c r="Y31" i="7"/>
  <c r="AB31" i="7"/>
  <c r="F34" i="7"/>
  <c r="J34" i="7"/>
  <c r="O34" i="7"/>
  <c r="V34" i="7"/>
  <c r="Z34" i="7"/>
  <c r="E37" i="7"/>
  <c r="G37" i="7"/>
  <c r="M37" i="7"/>
  <c r="R37" i="7"/>
  <c r="V37" i="7"/>
  <c r="AA37" i="7"/>
  <c r="D7" i="7"/>
  <c r="J7" i="7"/>
  <c r="N7" i="7"/>
  <c r="S7" i="7"/>
  <c r="X7" i="7"/>
  <c r="AB7" i="7"/>
  <c r="E10" i="7"/>
  <c r="J10" i="7"/>
  <c r="O10" i="7"/>
  <c r="U10" i="7"/>
  <c r="Z10" i="7"/>
  <c r="F13" i="7"/>
  <c r="K13" i="7"/>
  <c r="P13" i="7"/>
  <c r="V13" i="7"/>
  <c r="AA13" i="7"/>
  <c r="N34" i="6"/>
  <c r="H4" i="6"/>
  <c r="AF4" i="6"/>
  <c r="F7" i="6"/>
  <c r="M7" i="6"/>
  <c r="V7" i="6"/>
  <c r="AB7" i="6"/>
  <c r="L10" i="6"/>
  <c r="M13" i="6"/>
  <c r="L16" i="6"/>
  <c r="L19" i="6"/>
  <c r="H37" i="5"/>
  <c r="P37" i="5"/>
  <c r="V37" i="5"/>
  <c r="AC37" i="5"/>
  <c r="F4" i="5"/>
  <c r="H19" i="5"/>
  <c r="R19" i="5"/>
  <c r="AB19" i="5"/>
  <c r="Z25" i="4"/>
  <c r="R25" i="4"/>
  <c r="K25" i="4"/>
  <c r="D25" i="4"/>
  <c r="H22" i="4"/>
  <c r="AB22" i="4"/>
  <c r="Y34" i="4"/>
  <c r="R7" i="4"/>
  <c r="C10" i="4"/>
  <c r="G10" i="4"/>
  <c r="K10" i="4"/>
  <c r="O10" i="4"/>
  <c r="S10" i="4"/>
  <c r="W10" i="4"/>
  <c r="AA10" i="4"/>
  <c r="AE10" i="4"/>
  <c r="D13" i="4"/>
  <c r="H13" i="4"/>
  <c r="L13" i="4"/>
  <c r="P13" i="4"/>
  <c r="T13" i="4"/>
  <c r="X13" i="4"/>
  <c r="AB13" i="4"/>
  <c r="AF13" i="4"/>
  <c r="C16" i="4"/>
  <c r="I16" i="4"/>
  <c r="P16" i="4"/>
  <c r="X16" i="4"/>
  <c r="AE16" i="4"/>
  <c r="V22" i="3"/>
  <c r="AC34" i="3"/>
  <c r="F10" i="3"/>
  <c r="M10" i="3"/>
  <c r="Q10" i="3"/>
  <c r="V10" i="3"/>
  <c r="AC10" i="3"/>
  <c r="C13" i="3"/>
  <c r="G13" i="3"/>
  <c r="K13" i="3"/>
  <c r="O13" i="3"/>
  <c r="S13" i="3"/>
  <c r="Z13" i="3"/>
  <c r="AE13" i="3"/>
  <c r="M16" i="3"/>
  <c r="E19" i="3"/>
  <c r="J19" i="3"/>
  <c r="P19" i="3"/>
  <c r="U19" i="3"/>
  <c r="Z19" i="3"/>
  <c r="AF19" i="3"/>
  <c r="N11" i="9"/>
  <c r="N12" i="9"/>
  <c r="N10" i="9"/>
  <c r="N9" i="9"/>
  <c r="N6" i="9"/>
  <c r="N5" i="9"/>
  <c r="N4" i="9"/>
  <c r="AC22" i="12"/>
  <c r="M22" i="12"/>
  <c r="C22" i="12"/>
  <c r="N22" i="12"/>
  <c r="W22" i="12"/>
  <c r="AF22" i="12"/>
  <c r="H28" i="12"/>
  <c r="S28" i="12"/>
  <c r="AD28" i="12"/>
  <c r="W31" i="12"/>
  <c r="Q37" i="12"/>
  <c r="AF37" i="12"/>
  <c r="F7" i="12"/>
  <c r="Z7" i="12"/>
  <c r="M10" i="12"/>
  <c r="AC10" i="12"/>
  <c r="Z13" i="12"/>
  <c r="M16" i="12"/>
  <c r="AA16" i="12"/>
  <c r="Z22" i="11"/>
  <c r="AD28" i="11"/>
  <c r="Y28" i="11"/>
  <c r="I28" i="11"/>
  <c r="AF37" i="11"/>
  <c r="Z37" i="11"/>
  <c r="N37" i="11"/>
  <c r="E37" i="11"/>
  <c r="J4" i="11"/>
  <c r="P4" i="11"/>
  <c r="W4" i="11"/>
  <c r="AE4" i="11"/>
  <c r="AG7" i="11"/>
  <c r="AD7" i="11"/>
  <c r="X7" i="11"/>
  <c r="S7" i="11"/>
  <c r="N7" i="11"/>
  <c r="H7" i="11"/>
  <c r="C7" i="11"/>
  <c r="AG19" i="11"/>
  <c r="AC19" i="11"/>
  <c r="N19" i="11"/>
  <c r="X25" i="10"/>
  <c r="H25" i="10"/>
  <c r="AD28" i="10"/>
  <c r="AA28" i="10"/>
  <c r="P28" i="10"/>
  <c r="F28" i="10"/>
  <c r="X4" i="10"/>
  <c r="W13" i="10"/>
  <c r="C19" i="10"/>
  <c r="L19" i="10"/>
  <c r="T19" i="10"/>
  <c r="AE19" i="10"/>
  <c r="Y22" i="8"/>
  <c r="N22" i="8"/>
  <c r="D22" i="8"/>
  <c r="I31" i="8"/>
  <c r="T31" i="8"/>
  <c r="AB31" i="8"/>
  <c r="AA10" i="8"/>
  <c r="Q10" i="8"/>
  <c r="F10" i="8"/>
  <c r="D16" i="8"/>
  <c r="I16" i="8"/>
  <c r="N16" i="8"/>
  <c r="T16" i="8"/>
  <c r="Y16" i="8"/>
  <c r="AD16" i="8"/>
  <c r="AE19" i="8"/>
  <c r="AA19" i="8"/>
  <c r="W19" i="8"/>
  <c r="AD19" i="8"/>
  <c r="Y19" i="8"/>
  <c r="T19" i="8"/>
  <c r="P19" i="8"/>
  <c r="L19" i="8"/>
  <c r="H19" i="8"/>
  <c r="D19" i="8"/>
  <c r="AA25" i="11"/>
  <c r="K25" i="11"/>
  <c r="J22" i="11"/>
  <c r="R28" i="11"/>
  <c r="J37" i="11"/>
  <c r="V37" i="11"/>
  <c r="D4" i="11"/>
  <c r="K4" i="11"/>
  <c r="R4" i="11"/>
  <c r="Z4" i="11"/>
  <c r="G7" i="11"/>
  <c r="O7" i="11"/>
  <c r="V7" i="11"/>
  <c r="AB7" i="11"/>
  <c r="AB10" i="11"/>
  <c r="M10" i="11"/>
  <c r="C19" i="11"/>
  <c r="U19" i="11"/>
  <c r="R25" i="10"/>
  <c r="K28" i="10"/>
  <c r="W28" i="10"/>
  <c r="AC31" i="10"/>
  <c r="Q31" i="10"/>
  <c r="AF37" i="10"/>
  <c r="G37" i="10"/>
  <c r="D19" i="10"/>
  <c r="N19" i="10"/>
  <c r="X19" i="10"/>
  <c r="I22" i="8"/>
  <c r="X22" i="8"/>
  <c r="Y28" i="8"/>
  <c r="N28" i="8"/>
  <c r="D28" i="8"/>
  <c r="L31" i="8"/>
  <c r="U31" i="8"/>
  <c r="K10" i="8"/>
  <c r="W10" i="8"/>
  <c r="E16" i="8"/>
  <c r="J16" i="8"/>
  <c r="P16" i="8"/>
  <c r="U16" i="8"/>
  <c r="Z16" i="8"/>
  <c r="F19" i="8"/>
  <c r="K19" i="8"/>
  <c r="Q19" i="8"/>
  <c r="V19" i="8"/>
  <c r="AC19" i="8"/>
  <c r="H22" i="12"/>
  <c r="R22" i="12"/>
  <c r="AB22" i="12"/>
  <c r="I37" i="12"/>
  <c r="Y37" i="12"/>
  <c r="R7" i="12"/>
  <c r="E10" i="12"/>
  <c r="U10" i="12"/>
  <c r="C13" i="12"/>
  <c r="AD22" i="11"/>
  <c r="Y22" i="11"/>
  <c r="I22" i="11"/>
  <c r="AG4" i="11"/>
  <c r="AD4" i="11"/>
  <c r="X4" i="11"/>
  <c r="S4" i="11"/>
  <c r="N4" i="11"/>
  <c r="H4" i="11"/>
  <c r="C4" i="11"/>
  <c r="F25" i="10"/>
  <c r="I25" i="10"/>
  <c r="T25" i="10"/>
  <c r="AD25" i="10"/>
  <c r="AG4" i="10"/>
  <c r="M4" i="10"/>
  <c r="AG13" i="10"/>
  <c r="N13" i="10"/>
  <c r="AD19" i="10"/>
  <c r="W19" i="10"/>
  <c r="O19" i="10"/>
  <c r="H19" i="10"/>
  <c r="AF31" i="8"/>
  <c r="Y31" i="8"/>
  <c r="Q31" i="8"/>
  <c r="K31" i="8"/>
  <c r="D31" i="8"/>
  <c r="AE16" i="8"/>
  <c r="AA16" i="8"/>
  <c r="W16" i="8"/>
  <c r="S16" i="8"/>
  <c r="O16" i="8"/>
  <c r="K16" i="8"/>
  <c r="G16" i="8"/>
  <c r="C16" i="8"/>
  <c r="Z37" i="12"/>
  <c r="J37" i="12"/>
  <c r="Q22" i="12"/>
  <c r="K22" i="12"/>
  <c r="V22" i="12"/>
  <c r="F28" i="12"/>
  <c r="P28" i="12"/>
  <c r="AA28" i="12"/>
  <c r="L31" i="12"/>
  <c r="X34" i="12"/>
  <c r="M37" i="12"/>
  <c r="J10" i="12"/>
  <c r="K13" i="12"/>
  <c r="G16" i="12"/>
  <c r="S25" i="11"/>
  <c r="C25" i="11"/>
  <c r="R22" i="11"/>
  <c r="J28" i="11"/>
  <c r="AG28" i="11"/>
  <c r="AG34" i="11"/>
  <c r="V34" i="11"/>
  <c r="R37" i="11"/>
  <c r="AD37" i="11"/>
  <c r="G4" i="11"/>
  <c r="O4" i="11"/>
  <c r="V4" i="11"/>
  <c r="AB4" i="11"/>
  <c r="D7" i="11"/>
  <c r="K7" i="11"/>
  <c r="R7" i="11"/>
  <c r="Z7" i="11"/>
  <c r="AF7" i="11"/>
  <c r="J19" i="11"/>
  <c r="AE19" i="11"/>
  <c r="Y25" i="10"/>
  <c r="M25" i="10"/>
  <c r="AD22" i="10"/>
  <c r="AA22" i="10"/>
  <c r="P22" i="10"/>
  <c r="F22" i="10"/>
  <c r="R28" i="10"/>
  <c r="AF28" i="10"/>
  <c r="R4" i="10"/>
  <c r="M7" i="10"/>
  <c r="I13" i="10"/>
  <c r="J19" i="10"/>
  <c r="S19" i="10"/>
  <c r="AB19" i="10"/>
  <c r="J25" i="8"/>
  <c r="R25" i="8"/>
  <c r="Z25" i="8"/>
  <c r="R22" i="8"/>
  <c r="AD22" i="8"/>
  <c r="M28" i="8"/>
  <c r="AC28" i="8"/>
  <c r="G31" i="8"/>
  <c r="P31" i="8"/>
  <c r="AA31" i="8"/>
  <c r="R10" i="8"/>
  <c r="AE10" i="8"/>
  <c r="AD13" i="8"/>
  <c r="G13" i="8"/>
  <c r="H16" i="8"/>
  <c r="M16" i="8"/>
  <c r="R16" i="8"/>
  <c r="X16" i="8"/>
  <c r="AC16" i="8"/>
  <c r="C19" i="8"/>
  <c r="I19" i="8"/>
  <c r="N19" i="8"/>
  <c r="S19" i="8"/>
  <c r="Z19" i="8"/>
  <c r="AG19" i="8"/>
  <c r="K25" i="7"/>
  <c r="AD37" i="7"/>
  <c r="Y37" i="7"/>
  <c r="S37" i="7"/>
  <c r="N37" i="7"/>
  <c r="I37" i="7"/>
  <c r="C37" i="7"/>
  <c r="AE37" i="7"/>
  <c r="W37" i="7"/>
  <c r="Q37" i="7"/>
  <c r="J37" i="7"/>
  <c r="AF4" i="7"/>
  <c r="AE4" i="7"/>
  <c r="P4" i="7"/>
  <c r="C4" i="7"/>
  <c r="AF16" i="7"/>
  <c r="C34" i="6"/>
  <c r="X34" i="6"/>
  <c r="AG7" i="5"/>
  <c r="Y7" i="5"/>
  <c r="R7" i="5"/>
  <c r="K7" i="5"/>
  <c r="C7" i="5"/>
  <c r="AD7" i="5"/>
  <c r="W7" i="5"/>
  <c r="Q7" i="5"/>
  <c r="I7" i="5"/>
  <c r="AC7" i="5"/>
  <c r="V7" i="5"/>
  <c r="N7" i="5"/>
  <c r="G7" i="5"/>
  <c r="AB31" i="5"/>
  <c r="L31" i="5"/>
  <c r="AE31" i="5"/>
  <c r="I31" i="5"/>
  <c r="W31" i="5"/>
  <c r="AG34" i="6"/>
  <c r="AA34" i="6"/>
  <c r="P34" i="6"/>
  <c r="F34" i="6"/>
  <c r="AF34" i="6"/>
  <c r="V34" i="6"/>
  <c r="K34" i="6"/>
  <c r="S7" i="5"/>
  <c r="AE13" i="5"/>
  <c r="T13" i="5"/>
  <c r="J13" i="5"/>
  <c r="AB13" i="5"/>
  <c r="R13" i="5"/>
  <c r="G13" i="5"/>
  <c r="Z13" i="5"/>
  <c r="O13" i="5"/>
  <c r="D13" i="5"/>
  <c r="AG22" i="7"/>
  <c r="Z22" i="7"/>
  <c r="H22" i="7"/>
  <c r="AC31" i="7"/>
  <c r="X31" i="7"/>
  <c r="R31" i="7"/>
  <c r="M31" i="7"/>
  <c r="H31" i="7"/>
  <c r="AA34" i="7"/>
  <c r="S34" i="7"/>
  <c r="K34" i="7"/>
  <c r="C34" i="7"/>
  <c r="J4" i="7"/>
  <c r="AA4" i="7"/>
  <c r="S34" i="6"/>
  <c r="AA7" i="5"/>
  <c r="AD10" i="5"/>
  <c r="S10" i="5"/>
  <c r="I10" i="5"/>
  <c r="AA10" i="5"/>
  <c r="Q10" i="5"/>
  <c r="F10" i="5"/>
  <c r="Y10" i="5"/>
  <c r="N10" i="5"/>
  <c r="C10" i="5"/>
  <c r="J34" i="5"/>
  <c r="AC34" i="5"/>
  <c r="C16" i="5"/>
  <c r="H16" i="5"/>
  <c r="M16" i="5"/>
  <c r="S16" i="5"/>
  <c r="X16" i="5"/>
  <c r="AC16" i="5"/>
  <c r="AE25" i="4"/>
  <c r="W25" i="4"/>
  <c r="P25" i="4"/>
  <c r="J25" i="4"/>
  <c r="E25" i="4"/>
  <c r="M22" i="4"/>
  <c r="AG22" i="4"/>
  <c r="AC34" i="4"/>
  <c r="D16" i="4"/>
  <c r="K16" i="4"/>
  <c r="S16" i="4"/>
  <c r="Y16" i="4"/>
  <c r="AF16" i="4"/>
  <c r="V25" i="3"/>
  <c r="L25" i="3"/>
  <c r="L22" i="3"/>
  <c r="AB22" i="3"/>
  <c r="F28" i="3"/>
  <c r="S16" i="3"/>
  <c r="D19" i="3"/>
  <c r="I19" i="3"/>
  <c r="N19" i="3"/>
  <c r="T19" i="3"/>
  <c r="Y19" i="3"/>
  <c r="AD19" i="3"/>
  <c r="D16" i="5"/>
  <c r="I16" i="5"/>
  <c r="O16" i="5"/>
  <c r="T16" i="5"/>
  <c r="Y16" i="5"/>
  <c r="AE16" i="5"/>
  <c r="AC25" i="3"/>
  <c r="R25" i="3"/>
  <c r="H25" i="3"/>
  <c r="Q22" i="3"/>
  <c r="AC22" i="3"/>
  <c r="Q28" i="3"/>
  <c r="C16" i="3"/>
  <c r="X16" i="3"/>
  <c r="M31" i="6"/>
  <c r="U34" i="5"/>
  <c r="E16" i="5"/>
  <c r="K16" i="5"/>
  <c r="P16" i="5"/>
  <c r="U16" i="5"/>
  <c r="AA16" i="5"/>
  <c r="AF16" i="5"/>
  <c r="AA25" i="4"/>
  <c r="T25" i="4"/>
  <c r="L25" i="4"/>
  <c r="D22" i="4"/>
  <c r="V22" i="4"/>
  <c r="Q34" i="4"/>
  <c r="Y37" i="4"/>
  <c r="H16" i="4"/>
  <c r="O16" i="4"/>
  <c r="U16" i="4"/>
  <c r="AC16" i="4"/>
  <c r="AB25" i="3"/>
  <c r="Q25" i="3"/>
  <c r="F25" i="3"/>
  <c r="F22" i="3"/>
  <c r="R22" i="3"/>
  <c r="AG22" i="3"/>
  <c r="AB28" i="3"/>
  <c r="V31" i="3"/>
  <c r="R34" i="3"/>
  <c r="L4" i="3"/>
  <c r="J10" i="3"/>
  <c r="R10" i="3"/>
  <c r="Z10" i="3"/>
  <c r="V13" i="3"/>
  <c r="AD13" i="3"/>
  <c r="H16" i="3"/>
  <c r="AC16" i="3"/>
  <c r="F19" i="3"/>
  <c r="L19" i="3"/>
  <c r="Q19" i="3"/>
  <c r="V19" i="3"/>
  <c r="AB19" i="3"/>
  <c r="AG19" i="3"/>
  <c r="D28" i="12"/>
  <c r="G28" i="12"/>
  <c r="J28" i="12"/>
  <c r="L28" i="12"/>
  <c r="O28" i="12"/>
  <c r="R28" i="12"/>
  <c r="T28" i="12"/>
  <c r="W28" i="12"/>
  <c r="Z28" i="12"/>
  <c r="AB28" i="12"/>
  <c r="AE28" i="12"/>
  <c r="G31" i="12"/>
  <c r="Q31" i="12"/>
  <c r="AB31" i="12"/>
  <c r="H34" i="12"/>
  <c r="R34" i="12"/>
  <c r="AC34" i="12"/>
  <c r="J13" i="12"/>
  <c r="S13" i="12"/>
  <c r="D19" i="12"/>
  <c r="G19" i="12"/>
  <c r="J19" i="12"/>
  <c r="L19" i="12"/>
  <c r="O19" i="12"/>
  <c r="R19" i="12"/>
  <c r="T19" i="12"/>
  <c r="W19" i="12"/>
  <c r="Z19" i="12"/>
  <c r="AB19" i="12"/>
  <c r="AE19" i="12"/>
  <c r="I31" i="11"/>
  <c r="Q31" i="11"/>
  <c r="Y31" i="11"/>
  <c r="E19" i="11"/>
  <c r="I19" i="11"/>
  <c r="M19" i="11"/>
  <c r="O19" i="11"/>
  <c r="S19" i="11"/>
  <c r="W19" i="11"/>
  <c r="Z19" i="11"/>
  <c r="AD19" i="11"/>
  <c r="Q37" i="10"/>
  <c r="AB37" i="10"/>
  <c r="C13" i="10"/>
  <c r="M13" i="10"/>
  <c r="S13" i="10"/>
  <c r="Y13" i="10"/>
  <c r="F16" i="10"/>
  <c r="I16" i="10"/>
  <c r="Q16" i="10"/>
  <c r="W16" i="10"/>
  <c r="P34" i="8"/>
  <c r="AC34" i="8"/>
  <c r="R4" i="8"/>
  <c r="H13" i="8"/>
  <c r="S13" i="8"/>
  <c r="AB13" i="8"/>
  <c r="AE25" i="7"/>
  <c r="R25" i="7"/>
  <c r="E22" i="7"/>
  <c r="I22" i="7"/>
  <c r="N22" i="7"/>
  <c r="T22" i="7"/>
  <c r="X22" i="7"/>
  <c r="AC22" i="7"/>
  <c r="N28" i="7"/>
  <c r="AF28" i="7"/>
  <c r="D4" i="7"/>
  <c r="H4" i="7"/>
  <c r="K4" i="7"/>
  <c r="O4" i="7"/>
  <c r="S4" i="7"/>
  <c r="V4" i="7"/>
  <c r="Z4" i="7"/>
  <c r="AD4" i="7"/>
  <c r="D34" i="6"/>
  <c r="G34" i="6"/>
  <c r="J34" i="6"/>
  <c r="L34" i="6"/>
  <c r="O34" i="6"/>
  <c r="R34" i="6"/>
  <c r="T34" i="6"/>
  <c r="W34" i="6"/>
  <c r="Z34" i="6"/>
  <c r="AB34" i="6"/>
  <c r="AE34" i="6"/>
  <c r="D16" i="6"/>
  <c r="Z25" i="5"/>
  <c r="J22" i="5"/>
  <c r="J28" i="5"/>
  <c r="F37" i="5"/>
  <c r="J37" i="5"/>
  <c r="M37" i="5"/>
  <c r="Q37" i="5"/>
  <c r="U37" i="5"/>
  <c r="X37" i="5"/>
  <c r="AB37" i="5"/>
  <c r="E19" i="5"/>
  <c r="I19" i="5"/>
  <c r="N19" i="5"/>
  <c r="S19" i="5"/>
  <c r="X19" i="5"/>
  <c r="F22" i="4"/>
  <c r="L22" i="4"/>
  <c r="N22" i="4"/>
  <c r="T22" i="4"/>
  <c r="Y22" i="4"/>
  <c r="AC22" i="4"/>
  <c r="T31" i="4"/>
  <c r="E34" i="4"/>
  <c r="M34" i="4"/>
  <c r="R34" i="4"/>
  <c r="Z34" i="4"/>
  <c r="I37" i="4"/>
  <c r="AD37" i="4"/>
  <c r="D10" i="4"/>
  <c r="F10" i="4"/>
  <c r="H10" i="4"/>
  <c r="J10" i="4"/>
  <c r="L10" i="4"/>
  <c r="N10" i="4"/>
  <c r="P10" i="4"/>
  <c r="R10" i="4"/>
  <c r="T10" i="4"/>
  <c r="V10" i="4"/>
  <c r="X10" i="4"/>
  <c r="Z10" i="4"/>
  <c r="AB10" i="4"/>
  <c r="AD10" i="4"/>
  <c r="C13" i="4"/>
  <c r="E13" i="4"/>
  <c r="G13" i="4"/>
  <c r="I13" i="4"/>
  <c r="K13" i="4"/>
  <c r="M13" i="4"/>
  <c r="O13" i="4"/>
  <c r="Q13" i="4"/>
  <c r="S13" i="4"/>
  <c r="U13" i="4"/>
  <c r="W13" i="4"/>
  <c r="Y13" i="4"/>
  <c r="AA13" i="4"/>
  <c r="AC13" i="4"/>
  <c r="AE13" i="4"/>
  <c r="H28" i="3"/>
  <c r="R28" i="3"/>
  <c r="AC28" i="3"/>
  <c r="M34" i="3"/>
  <c r="W34" i="3"/>
  <c r="AD10" i="3"/>
  <c r="X25" i="12"/>
  <c r="Q25" i="12"/>
  <c r="J25" i="12"/>
  <c r="AE22" i="12"/>
  <c r="Z22" i="12"/>
  <c r="T22" i="12"/>
  <c r="O22" i="12"/>
  <c r="J22" i="12"/>
  <c r="D22" i="12"/>
  <c r="E31" i="12"/>
  <c r="K31" i="12"/>
  <c r="P31" i="12"/>
  <c r="U31" i="12"/>
  <c r="AA31" i="12"/>
  <c r="F34" i="12"/>
  <c r="L34" i="12"/>
  <c r="Q34" i="12"/>
  <c r="V34" i="12"/>
  <c r="AB34" i="12"/>
  <c r="J4" i="12"/>
  <c r="AD13" i="12"/>
  <c r="V13" i="12"/>
  <c r="N13" i="12"/>
  <c r="F13" i="12"/>
  <c r="AE13" i="12"/>
  <c r="W13" i="12"/>
  <c r="O13" i="12"/>
  <c r="G13" i="12"/>
  <c r="AD16" i="12"/>
  <c r="Y16" i="12"/>
  <c r="S16" i="12"/>
  <c r="N16" i="12"/>
  <c r="I16" i="12"/>
  <c r="C16" i="12"/>
  <c r="AE16" i="12"/>
  <c r="Z16" i="12"/>
  <c r="U16" i="12"/>
  <c r="O16" i="12"/>
  <c r="J16" i="12"/>
  <c r="E16" i="12"/>
  <c r="AD25" i="11"/>
  <c r="V25" i="11"/>
  <c r="N25" i="11"/>
  <c r="F22" i="11"/>
  <c r="N22" i="11"/>
  <c r="V22" i="11"/>
  <c r="F28" i="11"/>
  <c r="N28" i="11"/>
  <c r="V28" i="11"/>
  <c r="G10" i="11"/>
  <c r="AC13" i="11"/>
  <c r="R13" i="11"/>
  <c r="H13" i="11"/>
  <c r="AD13" i="11"/>
  <c r="T13" i="11"/>
  <c r="I13" i="11"/>
  <c r="M31" i="10"/>
  <c r="N34" i="10"/>
  <c r="AC10" i="10"/>
  <c r="R10" i="10"/>
  <c r="H10" i="10"/>
  <c r="AB10" i="10"/>
  <c r="M10" i="10"/>
  <c r="X10" i="10"/>
  <c r="L10" i="10"/>
  <c r="AF10" i="10"/>
  <c r="Q10" i="10"/>
  <c r="D25" i="12"/>
  <c r="I25" i="12"/>
  <c r="N25" i="12"/>
  <c r="T25" i="12"/>
  <c r="Y25" i="12"/>
  <c r="AD25" i="12"/>
  <c r="AD31" i="12"/>
  <c r="Z31" i="12"/>
  <c r="V31" i="12"/>
  <c r="R31" i="12"/>
  <c r="N31" i="12"/>
  <c r="J31" i="12"/>
  <c r="F31" i="12"/>
  <c r="AE34" i="12"/>
  <c r="AA34" i="12"/>
  <c r="W34" i="12"/>
  <c r="S34" i="12"/>
  <c r="O34" i="12"/>
  <c r="K34" i="12"/>
  <c r="G34" i="12"/>
  <c r="C34" i="12"/>
  <c r="AG4" i="12"/>
  <c r="R4" i="12"/>
  <c r="AC10" i="11"/>
  <c r="S10" i="11"/>
  <c r="H10" i="11"/>
  <c r="AF10" i="11"/>
  <c r="W10" i="11"/>
  <c r="L10" i="11"/>
  <c r="AE31" i="10"/>
  <c r="AA31" i="10"/>
  <c r="W31" i="10"/>
  <c r="S31" i="10"/>
  <c r="O31" i="10"/>
  <c r="K31" i="10"/>
  <c r="G31" i="10"/>
  <c r="C31" i="10"/>
  <c r="AD31" i="10"/>
  <c r="Z31" i="10"/>
  <c r="V31" i="10"/>
  <c r="R31" i="10"/>
  <c r="N31" i="10"/>
  <c r="J31" i="10"/>
  <c r="F31" i="10"/>
  <c r="AF31" i="10"/>
  <c r="AB31" i="10"/>
  <c r="X31" i="10"/>
  <c r="T31" i="10"/>
  <c r="P31" i="10"/>
  <c r="L31" i="10"/>
  <c r="H31" i="10"/>
  <c r="D31" i="10"/>
  <c r="AF34" i="10"/>
  <c r="AB34" i="10"/>
  <c r="X34" i="10"/>
  <c r="T34" i="10"/>
  <c r="P34" i="10"/>
  <c r="L34" i="10"/>
  <c r="H34" i="10"/>
  <c r="D34" i="10"/>
  <c r="AE34" i="10"/>
  <c r="AA34" i="10"/>
  <c r="W34" i="10"/>
  <c r="S34" i="10"/>
  <c r="O34" i="10"/>
  <c r="K34" i="10"/>
  <c r="G34" i="10"/>
  <c r="C34" i="10"/>
  <c r="AG34" i="10"/>
  <c r="AC34" i="10"/>
  <c r="Y34" i="10"/>
  <c r="U34" i="10"/>
  <c r="Q34" i="10"/>
  <c r="M34" i="10"/>
  <c r="I34" i="10"/>
  <c r="E34" i="10"/>
  <c r="AB25" i="12"/>
  <c r="U25" i="12"/>
  <c r="M25" i="12"/>
  <c r="F25" i="12"/>
  <c r="C31" i="12"/>
  <c r="H31" i="12"/>
  <c r="M31" i="12"/>
  <c r="S31" i="12"/>
  <c r="X31" i="12"/>
  <c r="AC31" i="12"/>
  <c r="D34" i="12"/>
  <c r="I34" i="12"/>
  <c r="N34" i="12"/>
  <c r="T34" i="12"/>
  <c r="Y34" i="12"/>
  <c r="AD34" i="12"/>
  <c r="V4" i="12"/>
  <c r="E25" i="11"/>
  <c r="I25" i="11"/>
  <c r="M25" i="11"/>
  <c r="Q25" i="11"/>
  <c r="U25" i="11"/>
  <c r="Y25" i="11"/>
  <c r="AC25" i="11"/>
  <c r="D25" i="11"/>
  <c r="H25" i="11"/>
  <c r="L25" i="11"/>
  <c r="P25" i="11"/>
  <c r="T25" i="11"/>
  <c r="X25" i="11"/>
  <c r="AB25" i="11"/>
  <c r="AE22" i="11"/>
  <c r="AA22" i="11"/>
  <c r="W22" i="11"/>
  <c r="S22" i="11"/>
  <c r="O22" i="11"/>
  <c r="K22" i="11"/>
  <c r="G22" i="11"/>
  <c r="C22" i="11"/>
  <c r="AF22" i="11"/>
  <c r="AB22" i="11"/>
  <c r="X22" i="11"/>
  <c r="T22" i="11"/>
  <c r="P22" i="11"/>
  <c r="L22" i="11"/>
  <c r="H22" i="11"/>
  <c r="D22" i="11"/>
  <c r="AE28" i="11"/>
  <c r="AA28" i="11"/>
  <c r="W28" i="11"/>
  <c r="S28" i="11"/>
  <c r="O28" i="11"/>
  <c r="K28" i="11"/>
  <c r="G28" i="11"/>
  <c r="C28" i="11"/>
  <c r="AF28" i="11"/>
  <c r="AB28" i="11"/>
  <c r="X28" i="11"/>
  <c r="T28" i="11"/>
  <c r="P28" i="11"/>
  <c r="L28" i="11"/>
  <c r="H28" i="11"/>
  <c r="D28" i="11"/>
  <c r="Q10" i="11"/>
  <c r="D13" i="11"/>
  <c r="Y13" i="11"/>
  <c r="E31" i="10"/>
  <c r="U31" i="10"/>
  <c r="F34" i="10"/>
  <c r="V34" i="10"/>
  <c r="F10" i="10"/>
  <c r="Z25" i="12"/>
  <c r="R25" i="12"/>
  <c r="L25" i="12"/>
  <c r="E25" i="12"/>
  <c r="F22" i="12"/>
  <c r="L22" i="12"/>
  <c r="S22" i="12"/>
  <c r="AA22" i="12"/>
  <c r="AG22" i="12"/>
  <c r="D31" i="12"/>
  <c r="I31" i="12"/>
  <c r="O31" i="12"/>
  <c r="T31" i="12"/>
  <c r="Y31" i="12"/>
  <c r="AE31" i="12"/>
  <c r="E34" i="12"/>
  <c r="J34" i="12"/>
  <c r="P34" i="12"/>
  <c r="U34" i="12"/>
  <c r="Z34" i="12"/>
  <c r="AF34" i="12"/>
  <c r="F4" i="12"/>
  <c r="Z4" i="12"/>
  <c r="AD7" i="12"/>
  <c r="N7" i="12"/>
  <c r="AG7" i="12"/>
  <c r="AD10" i="12"/>
  <c r="V10" i="12"/>
  <c r="N10" i="12"/>
  <c r="F10" i="12"/>
  <c r="AF10" i="12"/>
  <c r="Y10" i="12"/>
  <c r="Q10" i="12"/>
  <c r="I10" i="12"/>
  <c r="R13" i="12"/>
  <c r="AG13" i="12"/>
  <c r="K16" i="12"/>
  <c r="V16" i="12"/>
  <c r="AF16" i="12"/>
  <c r="AE25" i="11"/>
  <c r="W25" i="11"/>
  <c r="O25" i="11"/>
  <c r="G25" i="11"/>
  <c r="E22" i="11"/>
  <c r="M22" i="11"/>
  <c r="U22" i="11"/>
  <c r="AC22" i="11"/>
  <c r="E28" i="11"/>
  <c r="M28" i="11"/>
  <c r="U28" i="11"/>
  <c r="AC28" i="11"/>
  <c r="C10" i="11"/>
  <c r="X10" i="11"/>
  <c r="M13" i="11"/>
  <c r="AG13" i="11"/>
  <c r="I31" i="10"/>
  <c r="Y31" i="10"/>
  <c r="J34" i="10"/>
  <c r="Z34" i="10"/>
  <c r="V10" i="10"/>
  <c r="Z25" i="10"/>
  <c r="U25" i="10"/>
  <c r="P25" i="10"/>
  <c r="J25" i="10"/>
  <c r="E25" i="10"/>
  <c r="D22" i="10"/>
  <c r="J22" i="10"/>
  <c r="O22" i="10"/>
  <c r="T22" i="10"/>
  <c r="Z22" i="10"/>
  <c r="AE22" i="10"/>
  <c r="D28" i="10"/>
  <c r="J28" i="10"/>
  <c r="O28" i="10"/>
  <c r="T28" i="10"/>
  <c r="Z28" i="10"/>
  <c r="AE28" i="10"/>
  <c r="AC7" i="10"/>
  <c r="H7" i="10"/>
  <c r="AE16" i="10"/>
  <c r="Y16" i="10"/>
  <c r="R16" i="10"/>
  <c r="K16" i="10"/>
  <c r="C16" i="10"/>
  <c r="M34" i="8"/>
  <c r="F25" i="7"/>
  <c r="L25" i="7"/>
  <c r="T25" i="7"/>
  <c r="AA25" i="7"/>
  <c r="D25" i="7"/>
  <c r="O25" i="7"/>
  <c r="W25" i="7"/>
  <c r="G25" i="7"/>
  <c r="P25" i="7"/>
  <c r="Z25" i="7"/>
  <c r="H28" i="7"/>
  <c r="AB37" i="8"/>
  <c r="F37" i="8"/>
  <c r="V37" i="8"/>
  <c r="Q37" i="8"/>
  <c r="AD34" i="8"/>
  <c r="Y34" i="8"/>
  <c r="T34" i="8"/>
  <c r="N34" i="8"/>
  <c r="I34" i="8"/>
  <c r="D34" i="8"/>
  <c r="AG34" i="8"/>
  <c r="Z34" i="8"/>
  <c r="R34" i="8"/>
  <c r="L34" i="8"/>
  <c r="E34" i="8"/>
  <c r="AF34" i="8"/>
  <c r="X34" i="8"/>
  <c r="Q34" i="8"/>
  <c r="J34" i="8"/>
  <c r="AG28" i="7"/>
  <c r="Z28" i="7"/>
  <c r="T28" i="7"/>
  <c r="M28" i="7"/>
  <c r="E28" i="7"/>
  <c r="AD28" i="7"/>
  <c r="U28" i="7"/>
  <c r="J28" i="7"/>
  <c r="AC28" i="7"/>
  <c r="R28" i="7"/>
  <c r="I28" i="7"/>
  <c r="R34" i="11"/>
  <c r="I37" i="11"/>
  <c r="Q37" i="11"/>
  <c r="Y37" i="11"/>
  <c r="E4" i="11"/>
  <c r="I4" i="11"/>
  <c r="M4" i="11"/>
  <c r="Q4" i="11"/>
  <c r="U4" i="11"/>
  <c r="Y4" i="11"/>
  <c r="AC4" i="11"/>
  <c r="E7" i="11"/>
  <c r="I7" i="11"/>
  <c r="M7" i="11"/>
  <c r="Q7" i="11"/>
  <c r="U7" i="11"/>
  <c r="Y7" i="11"/>
  <c r="AC7" i="11"/>
  <c r="D16" i="11"/>
  <c r="L16" i="11"/>
  <c r="R16" i="11"/>
  <c r="Y16" i="11"/>
  <c r="AB25" i="10"/>
  <c r="V25" i="10"/>
  <c r="Q25" i="10"/>
  <c r="L25" i="10"/>
  <c r="C22" i="10"/>
  <c r="H22" i="10"/>
  <c r="N22" i="10"/>
  <c r="S22" i="10"/>
  <c r="X22" i="10"/>
  <c r="C28" i="10"/>
  <c r="H28" i="10"/>
  <c r="N28" i="10"/>
  <c r="S28" i="10"/>
  <c r="X28" i="10"/>
  <c r="L37" i="10"/>
  <c r="AG7" i="10"/>
  <c r="AC13" i="10"/>
  <c r="R13" i="10"/>
  <c r="G13" i="10"/>
  <c r="M16" i="10"/>
  <c r="V16" i="10"/>
  <c r="AD16" i="10"/>
  <c r="E25" i="8"/>
  <c r="C25" i="8"/>
  <c r="H25" i="8"/>
  <c r="L25" i="8"/>
  <c r="P25" i="8"/>
  <c r="T25" i="8"/>
  <c r="X25" i="8"/>
  <c r="AB25" i="8"/>
  <c r="D25" i="8"/>
  <c r="I25" i="8"/>
  <c r="M25" i="8"/>
  <c r="Q25" i="8"/>
  <c r="U25" i="8"/>
  <c r="Y25" i="8"/>
  <c r="AC25" i="8"/>
  <c r="AE22" i="8"/>
  <c r="AA22" i="8"/>
  <c r="W22" i="8"/>
  <c r="S22" i="8"/>
  <c r="O22" i="8"/>
  <c r="K22" i="8"/>
  <c r="G22" i="8"/>
  <c r="C22" i="8"/>
  <c r="AG22" i="8"/>
  <c r="AB22" i="8"/>
  <c r="V22" i="8"/>
  <c r="Q22" i="8"/>
  <c r="L22" i="8"/>
  <c r="F22" i="8"/>
  <c r="AF22" i="8"/>
  <c r="Z22" i="8"/>
  <c r="U22" i="8"/>
  <c r="P22" i="8"/>
  <c r="J22" i="8"/>
  <c r="E22" i="8"/>
  <c r="AE28" i="8"/>
  <c r="AA28" i="8"/>
  <c r="W28" i="8"/>
  <c r="S28" i="8"/>
  <c r="O28" i="8"/>
  <c r="K28" i="8"/>
  <c r="G28" i="8"/>
  <c r="C28" i="8"/>
  <c r="AG28" i="8"/>
  <c r="AB28" i="8"/>
  <c r="V28" i="8"/>
  <c r="Q28" i="8"/>
  <c r="L28" i="8"/>
  <c r="F28" i="8"/>
  <c r="AF28" i="8"/>
  <c r="Z28" i="8"/>
  <c r="U28" i="8"/>
  <c r="P28" i="8"/>
  <c r="J28" i="8"/>
  <c r="E28" i="8"/>
  <c r="H34" i="8"/>
  <c r="V34" i="8"/>
  <c r="L37" i="8"/>
  <c r="V25" i="7"/>
  <c r="C25" i="7"/>
  <c r="D28" i="7"/>
  <c r="X28" i="7"/>
  <c r="AD16" i="6"/>
  <c r="Y16" i="6"/>
  <c r="S16" i="6"/>
  <c r="N16" i="6"/>
  <c r="J16" i="6"/>
  <c r="F16" i="6"/>
  <c r="AC16" i="6"/>
  <c r="W16" i="6"/>
  <c r="R16" i="6"/>
  <c r="M16" i="6"/>
  <c r="I16" i="6"/>
  <c r="E16" i="6"/>
  <c r="AE19" i="6"/>
  <c r="Z19" i="6"/>
  <c r="T19" i="6"/>
  <c r="O19" i="6"/>
  <c r="J19" i="6"/>
  <c r="D19" i="6"/>
  <c r="AD19" i="6"/>
  <c r="X19" i="6"/>
  <c r="S19" i="6"/>
  <c r="N19" i="6"/>
  <c r="H19" i="6"/>
  <c r="C19" i="6"/>
  <c r="C25" i="5"/>
  <c r="G25" i="5"/>
  <c r="K25" i="5"/>
  <c r="O25" i="5"/>
  <c r="S25" i="5"/>
  <c r="W25" i="5"/>
  <c r="AA25" i="5"/>
  <c r="AE25" i="5"/>
  <c r="D25" i="5"/>
  <c r="H25" i="5"/>
  <c r="L25" i="5"/>
  <c r="P25" i="5"/>
  <c r="T25" i="5"/>
  <c r="X25" i="5"/>
  <c r="AB25" i="5"/>
  <c r="AG22" i="5"/>
  <c r="AC22" i="5"/>
  <c r="Y22" i="5"/>
  <c r="U22" i="5"/>
  <c r="Q22" i="5"/>
  <c r="M22" i="5"/>
  <c r="I22" i="5"/>
  <c r="E22" i="5"/>
  <c r="AF22" i="5"/>
  <c r="AB22" i="5"/>
  <c r="X22" i="5"/>
  <c r="T22" i="5"/>
  <c r="P22" i="5"/>
  <c r="L22" i="5"/>
  <c r="H22" i="5"/>
  <c r="D22" i="5"/>
  <c r="AG28" i="5"/>
  <c r="AC28" i="5"/>
  <c r="Y28" i="5"/>
  <c r="U28" i="5"/>
  <c r="Q28" i="5"/>
  <c r="M28" i="5"/>
  <c r="I28" i="5"/>
  <c r="E28" i="5"/>
  <c r="AF28" i="5"/>
  <c r="AB28" i="5"/>
  <c r="X28" i="5"/>
  <c r="T28" i="5"/>
  <c r="P28" i="5"/>
  <c r="L28" i="5"/>
  <c r="H28" i="5"/>
  <c r="D28" i="5"/>
  <c r="AD4" i="5"/>
  <c r="W4" i="5"/>
  <c r="Q4" i="5"/>
  <c r="I4" i="5"/>
  <c r="AC4" i="5"/>
  <c r="V4" i="5"/>
  <c r="N4" i="5"/>
  <c r="G4" i="5"/>
  <c r="AF10" i="7"/>
  <c r="AB10" i="7"/>
  <c r="X10" i="7"/>
  <c r="T10" i="7"/>
  <c r="P10" i="7"/>
  <c r="L10" i="7"/>
  <c r="H10" i="7"/>
  <c r="D10" i="7"/>
  <c r="AG13" i="7"/>
  <c r="AC13" i="7"/>
  <c r="Y13" i="7"/>
  <c r="U13" i="7"/>
  <c r="Q13" i="7"/>
  <c r="M13" i="7"/>
  <c r="I13" i="7"/>
  <c r="E13" i="7"/>
  <c r="AD31" i="6"/>
  <c r="Y31" i="6"/>
  <c r="S31" i="6"/>
  <c r="N31" i="6"/>
  <c r="I31" i="6"/>
  <c r="C31" i="6"/>
  <c r="AG4" i="6"/>
  <c r="V4" i="6"/>
  <c r="L4" i="6"/>
  <c r="G16" i="6"/>
  <c r="O16" i="6"/>
  <c r="Z16" i="6"/>
  <c r="F19" i="6"/>
  <c r="P19" i="6"/>
  <c r="AA19" i="6"/>
  <c r="Y25" i="5"/>
  <c r="Q25" i="5"/>
  <c r="I25" i="5"/>
  <c r="C22" i="5"/>
  <c r="K22" i="5"/>
  <c r="S22" i="5"/>
  <c r="AA22" i="5"/>
  <c r="C28" i="5"/>
  <c r="K28" i="5"/>
  <c r="S28" i="5"/>
  <c r="AA28" i="5"/>
  <c r="K4" i="5"/>
  <c r="Y4" i="5"/>
  <c r="AC31" i="8"/>
  <c r="X31" i="8"/>
  <c r="S31" i="8"/>
  <c r="M31" i="8"/>
  <c r="H31" i="8"/>
  <c r="C31" i="8"/>
  <c r="AG4" i="8"/>
  <c r="M4" i="8"/>
  <c r="C13" i="8"/>
  <c r="R13" i="8"/>
  <c r="AF7" i="7"/>
  <c r="AA7" i="7"/>
  <c r="V7" i="7"/>
  <c r="P7" i="7"/>
  <c r="K7" i="7"/>
  <c r="F7" i="7"/>
  <c r="G10" i="7"/>
  <c r="M10" i="7"/>
  <c r="R10" i="7"/>
  <c r="W10" i="7"/>
  <c r="AC10" i="7"/>
  <c r="C13" i="7"/>
  <c r="H13" i="7"/>
  <c r="N13" i="7"/>
  <c r="S13" i="7"/>
  <c r="X13" i="7"/>
  <c r="AD13" i="7"/>
  <c r="I16" i="7"/>
  <c r="AD19" i="7"/>
  <c r="V19" i="7"/>
  <c r="N19" i="7"/>
  <c r="F19" i="7"/>
  <c r="G31" i="6"/>
  <c r="O31" i="6"/>
  <c r="V31" i="6"/>
  <c r="AC31" i="6"/>
  <c r="M4" i="6"/>
  <c r="AB4" i="6"/>
  <c r="H16" i="6"/>
  <c r="Q16" i="6"/>
  <c r="AA16" i="6"/>
  <c r="G19" i="6"/>
  <c r="R19" i="6"/>
  <c r="AB19" i="6"/>
  <c r="AD25" i="5"/>
  <c r="V25" i="5"/>
  <c r="N25" i="5"/>
  <c r="F25" i="5"/>
  <c r="F22" i="5"/>
  <c r="N22" i="5"/>
  <c r="V22" i="5"/>
  <c r="AD22" i="5"/>
  <c r="F28" i="5"/>
  <c r="N28" i="5"/>
  <c r="V28" i="5"/>
  <c r="AD28" i="5"/>
  <c r="M4" i="5"/>
  <c r="AA4" i="5"/>
  <c r="AF13" i="8"/>
  <c r="W13" i="8"/>
  <c r="L13" i="8"/>
  <c r="AF22" i="7"/>
  <c r="Y22" i="7"/>
  <c r="R22" i="7"/>
  <c r="J22" i="7"/>
  <c r="D22" i="7"/>
  <c r="AG4" i="7"/>
  <c r="AB4" i="7"/>
  <c r="W4" i="7"/>
  <c r="R4" i="7"/>
  <c r="L4" i="7"/>
  <c r="G4" i="7"/>
  <c r="H7" i="7"/>
  <c r="O7" i="7"/>
  <c r="W7" i="7"/>
  <c r="AD7" i="7"/>
  <c r="C10" i="7"/>
  <c r="I10" i="7"/>
  <c r="N10" i="7"/>
  <c r="S10" i="7"/>
  <c r="Y10" i="7"/>
  <c r="AD10" i="7"/>
  <c r="D13" i="7"/>
  <c r="J13" i="7"/>
  <c r="O13" i="7"/>
  <c r="T13" i="7"/>
  <c r="Z13" i="7"/>
  <c r="AE13" i="7"/>
  <c r="Q16" i="7"/>
  <c r="I19" i="7"/>
  <c r="R19" i="7"/>
  <c r="AC19" i="7"/>
  <c r="J31" i="6"/>
  <c r="Q31" i="6"/>
  <c r="W31" i="6"/>
  <c r="AE31" i="6"/>
  <c r="AD37" i="6"/>
  <c r="X37" i="6"/>
  <c r="P37" i="6"/>
  <c r="H37" i="6"/>
  <c r="Q4" i="6"/>
  <c r="AC4" i="6"/>
  <c r="AC7" i="6"/>
  <c r="R7" i="6"/>
  <c r="H7" i="6"/>
  <c r="AB10" i="6"/>
  <c r="F10" i="6"/>
  <c r="C16" i="6"/>
  <c r="K16" i="6"/>
  <c r="U16" i="6"/>
  <c r="AE16" i="6"/>
  <c r="K19" i="6"/>
  <c r="V19" i="6"/>
  <c r="AF19" i="6"/>
  <c r="AC25" i="5"/>
  <c r="U25" i="5"/>
  <c r="M25" i="5"/>
  <c r="E25" i="5"/>
  <c r="G22" i="5"/>
  <c r="O22" i="5"/>
  <c r="W22" i="5"/>
  <c r="AE22" i="5"/>
  <c r="G28" i="5"/>
  <c r="O28" i="5"/>
  <c r="W28" i="5"/>
  <c r="AE28" i="5"/>
  <c r="C4" i="5"/>
  <c r="R4" i="5"/>
  <c r="AG4" i="5"/>
  <c r="AG19" i="5"/>
  <c r="AC19" i="5"/>
  <c r="Y19" i="5"/>
  <c r="U19" i="5"/>
  <c r="Q19" i="5"/>
  <c r="M19" i="5"/>
  <c r="D31" i="4"/>
  <c r="Q31" i="4"/>
  <c r="AD4" i="4"/>
  <c r="AC37" i="3"/>
  <c r="W37" i="3"/>
  <c r="R37" i="3"/>
  <c r="M37" i="3"/>
  <c r="G37" i="3"/>
  <c r="AE37" i="3"/>
  <c r="Z37" i="3"/>
  <c r="U37" i="3"/>
  <c r="O37" i="3"/>
  <c r="J37" i="3"/>
  <c r="E37" i="3"/>
  <c r="AD37" i="3"/>
  <c r="Y37" i="3"/>
  <c r="S37" i="3"/>
  <c r="N37" i="3"/>
  <c r="I37" i="3"/>
  <c r="C37" i="3"/>
  <c r="AD7" i="3"/>
  <c r="X7" i="3"/>
  <c r="S7" i="3"/>
  <c r="N7" i="3"/>
  <c r="H7" i="3"/>
  <c r="C7" i="3"/>
  <c r="AF7" i="3"/>
  <c r="AA7" i="3"/>
  <c r="V7" i="3"/>
  <c r="P7" i="3"/>
  <c r="K7" i="3"/>
  <c r="F7" i="3"/>
  <c r="Z7" i="3"/>
  <c r="T7" i="3"/>
  <c r="O7" i="3"/>
  <c r="J7" i="3"/>
  <c r="D7" i="3"/>
  <c r="AC31" i="4"/>
  <c r="X31" i="4"/>
  <c r="L31" i="4"/>
  <c r="Q37" i="3"/>
  <c r="G4" i="3"/>
  <c r="R7" i="3"/>
  <c r="F19" i="5"/>
  <c r="J19" i="5"/>
  <c r="O19" i="5"/>
  <c r="T19" i="5"/>
  <c r="Z19" i="5"/>
  <c r="AE19" i="5"/>
  <c r="AF22" i="4"/>
  <c r="Z22" i="4"/>
  <c r="U22" i="4"/>
  <c r="P22" i="4"/>
  <c r="J22" i="4"/>
  <c r="E22" i="4"/>
  <c r="I31" i="4"/>
  <c r="Y31" i="4"/>
  <c r="V37" i="3"/>
  <c r="AD4" i="3"/>
  <c r="X4" i="3"/>
  <c r="S4" i="3"/>
  <c r="N4" i="3"/>
  <c r="H4" i="3"/>
  <c r="C4" i="3"/>
  <c r="AF4" i="3"/>
  <c r="AA4" i="3"/>
  <c r="V4" i="3"/>
  <c r="P4" i="3"/>
  <c r="K4" i="3"/>
  <c r="F4" i="3"/>
  <c r="AE4" i="3"/>
  <c r="Z4" i="3"/>
  <c r="T4" i="3"/>
  <c r="O4" i="3"/>
  <c r="J4" i="3"/>
  <c r="D4" i="3"/>
  <c r="W7" i="3"/>
  <c r="F16" i="5"/>
  <c r="J16" i="5"/>
  <c r="N16" i="5"/>
  <c r="R16" i="5"/>
  <c r="V16" i="5"/>
  <c r="Z16" i="5"/>
  <c r="C19" i="5"/>
  <c r="G19" i="5"/>
  <c r="K19" i="5"/>
  <c r="P19" i="5"/>
  <c r="V19" i="5"/>
  <c r="AA19" i="5"/>
  <c r="AF19" i="5"/>
  <c r="C25" i="4"/>
  <c r="H25" i="4"/>
  <c r="N25" i="4"/>
  <c r="S25" i="4"/>
  <c r="X25" i="4"/>
  <c r="AD25" i="4"/>
  <c r="I22" i="4"/>
  <c r="Q22" i="4"/>
  <c r="X22" i="4"/>
  <c r="AD22" i="4"/>
  <c r="P31" i="4"/>
  <c r="AB31" i="4"/>
  <c r="AG34" i="4"/>
  <c r="U34" i="4"/>
  <c r="J34" i="4"/>
  <c r="F37" i="3"/>
  <c r="AA37" i="3"/>
  <c r="R4" i="3"/>
  <c r="G7" i="3"/>
  <c r="AB7" i="3"/>
  <c r="AD25" i="3"/>
  <c r="Y25" i="3"/>
  <c r="T25" i="3"/>
  <c r="N25" i="3"/>
  <c r="I25" i="3"/>
  <c r="D25" i="3"/>
  <c r="M28" i="3"/>
  <c r="X28" i="3"/>
  <c r="AF28" i="3"/>
  <c r="D10" i="3"/>
  <c r="H10" i="3"/>
  <c r="L10" i="3"/>
  <c r="P10" i="3"/>
  <c r="T10" i="3"/>
  <c r="X10" i="3"/>
  <c r="AB10" i="3"/>
  <c r="AF10" i="3"/>
  <c r="E13" i="3"/>
  <c r="I13" i="3"/>
  <c r="M13" i="3"/>
  <c r="Q13" i="3"/>
  <c r="U13" i="3"/>
  <c r="Y13" i="3"/>
  <c r="AC13" i="3"/>
  <c r="AG13" i="3"/>
  <c r="E16" i="3"/>
  <c r="K16" i="3"/>
  <c r="P16" i="3"/>
  <c r="U16" i="3"/>
  <c r="AA16" i="3"/>
  <c r="AF16" i="3"/>
  <c r="G16" i="3"/>
  <c r="L16" i="3"/>
  <c r="Q16" i="3"/>
  <c r="W16" i="3"/>
  <c r="AB16" i="3"/>
  <c r="AD16" i="3"/>
  <c r="G16" i="4"/>
  <c r="L16" i="4"/>
  <c r="Q16" i="4"/>
  <c r="W16" i="4"/>
  <c r="AB16" i="4"/>
  <c r="Z25" i="3"/>
  <c r="U25" i="3"/>
  <c r="P25" i="3"/>
  <c r="J25" i="3"/>
  <c r="M22" i="3"/>
  <c r="X22" i="3"/>
  <c r="L28" i="3"/>
  <c r="V28" i="3"/>
  <c r="L31" i="3"/>
  <c r="C10" i="3"/>
  <c r="G10" i="3"/>
  <c r="K10" i="3"/>
  <c r="O10" i="3"/>
  <c r="S10" i="3"/>
  <c r="W10" i="3"/>
  <c r="AA10" i="3"/>
  <c r="D13" i="3"/>
  <c r="H13" i="3"/>
  <c r="L13" i="3"/>
  <c r="P13" i="3"/>
  <c r="T13" i="3"/>
  <c r="X13" i="3"/>
  <c r="AB13" i="3"/>
  <c r="D16" i="3"/>
  <c r="I16" i="3"/>
  <c r="O16" i="3"/>
  <c r="T16" i="3"/>
  <c r="Y16" i="3"/>
  <c r="N33" i="9" l="1"/>
</calcChain>
</file>

<file path=xl/sharedStrings.xml><?xml version="1.0" encoding="utf-8"?>
<sst xmlns="http://schemas.openxmlformats.org/spreadsheetml/2006/main" count="10414" uniqueCount="121">
  <si>
    <t>Roadblock Employees</t>
  </si>
  <si>
    <t>Surname</t>
  </si>
  <si>
    <t>Given Names</t>
  </si>
  <si>
    <t>Initials</t>
  </si>
  <si>
    <t>Marampon</t>
  </si>
  <si>
    <t>Thelning</t>
  </si>
  <si>
    <t>Stone</t>
  </si>
  <si>
    <t>Years in Dropdown List</t>
  </si>
  <si>
    <t>January</t>
  </si>
  <si>
    <t>D</t>
  </si>
  <si>
    <t>A</t>
  </si>
  <si>
    <t>N</t>
  </si>
  <si>
    <t>Shift List Codes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</si>
  <si>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</si>
  <si>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</si>
  <si>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</si>
  <si>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</si>
  <si>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</si>
  <si>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</si>
  <si>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</si>
  <si>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</si>
  <si>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</si>
  <si>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</si>
  <si>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</si>
  <si>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Location:</t>
  </si>
  <si>
    <t>Shift Roster</t>
  </si>
  <si>
    <t>Kevin</t>
  </si>
  <si>
    <t>Ian</t>
  </si>
  <si>
    <t>Luciano</t>
  </si>
  <si>
    <t>TOTAL</t>
  </si>
  <si>
    <t>Emp1</t>
  </si>
  <si>
    <t>Emp2</t>
  </si>
  <si>
    <t>Emp3</t>
  </si>
  <si>
    <t>Emp4</t>
  </si>
  <si>
    <t>Emp5</t>
  </si>
  <si>
    <t>Emp6</t>
  </si>
  <si>
    <t>Emp7</t>
  </si>
  <si>
    <t>Emp8</t>
  </si>
  <si>
    <t>Emp9</t>
  </si>
  <si>
    <t>SL</t>
  </si>
  <si>
    <t>AL</t>
  </si>
  <si>
    <t>Leon</t>
  </si>
  <si>
    <t>King</t>
  </si>
  <si>
    <t>David</t>
  </si>
  <si>
    <t>Castle</t>
  </si>
  <si>
    <t>H</t>
  </si>
  <si>
    <t>SP</t>
  </si>
  <si>
    <t>Emp10</t>
  </si>
  <si>
    <t>Emp11</t>
  </si>
  <si>
    <t>Emp12</t>
  </si>
  <si>
    <t>Totals</t>
  </si>
  <si>
    <t>NA</t>
  </si>
  <si>
    <t>Note:   The years in the dropdown list are also hard coded in the ribbon xml.</t>
  </si>
  <si>
    <t>Oodlawirra Quarantine Station</t>
  </si>
  <si>
    <t>Sorensen</t>
  </si>
  <si>
    <t>Troy</t>
  </si>
  <si>
    <t>Fielding</t>
  </si>
  <si>
    <t>Robin</t>
  </si>
  <si>
    <t>X</t>
  </si>
  <si>
    <t>LEGEND:</t>
  </si>
  <si>
    <t>=</t>
  </si>
  <si>
    <t>Paid Day Off</t>
  </si>
  <si>
    <t>.</t>
  </si>
  <si>
    <t>Night Shift</t>
  </si>
  <si>
    <t>Day Shift</t>
  </si>
  <si>
    <t>Afternoon Shift</t>
  </si>
  <si>
    <t>Heat Policy</t>
  </si>
  <si>
    <t>Special</t>
  </si>
  <si>
    <t>Rostered Off</t>
  </si>
  <si>
    <t>Sick Leave</t>
  </si>
  <si>
    <t>Annual Leave</t>
  </si>
  <si>
    <t>PDO</t>
  </si>
  <si>
    <t>Initial Period Ending</t>
  </si>
  <si>
    <t>Periods Ending</t>
  </si>
  <si>
    <t>Emp13</t>
  </si>
  <si>
    <t>Emp14</t>
  </si>
  <si>
    <t>Emp15</t>
  </si>
  <si>
    <t>Emp16</t>
  </si>
  <si>
    <t>Emp17</t>
  </si>
  <si>
    <t>Emp18</t>
  </si>
  <si>
    <t>Emp19</t>
  </si>
  <si>
    <t>Emp20</t>
  </si>
  <si>
    <t>Emp21</t>
  </si>
  <si>
    <t>Emp22</t>
  </si>
  <si>
    <t>Emp23</t>
  </si>
  <si>
    <t>Emp24</t>
  </si>
  <si>
    <t>Emp25</t>
  </si>
  <si>
    <t>Emp26</t>
  </si>
  <si>
    <t>Emp27</t>
  </si>
  <si>
    <t>Emp28</t>
  </si>
  <si>
    <t>Public Holidays</t>
  </si>
  <si>
    <t>Simple</t>
  </si>
  <si>
    <t>New Years Day</t>
  </si>
  <si>
    <t>Australia Day</t>
  </si>
  <si>
    <t>Adelaide Cup</t>
  </si>
  <si>
    <t>Good Friday</t>
  </si>
  <si>
    <t>Easter Saturday</t>
  </si>
  <si>
    <t>Easter Monday</t>
  </si>
  <si>
    <t>Anzac Day</t>
  </si>
  <si>
    <t>Queens Birthday</t>
  </si>
  <si>
    <t>Labour Day</t>
  </si>
  <si>
    <t>Christmas Eve</t>
  </si>
  <si>
    <t>Christmas Day</t>
  </si>
  <si>
    <t>Boxing Day</t>
  </si>
  <si>
    <t>New Years Eve</t>
  </si>
  <si>
    <t>2020</t>
  </si>
  <si>
    <t>Charlie</t>
  </si>
  <si>
    <t>Horse</t>
  </si>
  <si>
    <t xml:space="preserve">Horse </t>
  </si>
  <si>
    <t>Eddy</t>
  </si>
  <si>
    <t>Smeegal</t>
  </si>
  <si>
    <t>John</t>
  </si>
  <si>
    <t>Edwin</t>
  </si>
  <si>
    <t>James</t>
  </si>
  <si>
    <t>Jimmy</t>
  </si>
  <si>
    <t>Jack</t>
  </si>
  <si>
    <t xml:space="preserve">Jacky </t>
  </si>
  <si>
    <t>Jacky</t>
  </si>
  <si>
    <t>Friedle</t>
  </si>
  <si>
    <t>Johnny</t>
  </si>
  <si>
    <t>Smart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</si>
</sst>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C09]dd\-mmm\-yy;@"/>
  </numFmts>
  <fonts count="30">
    <font>
      <sz val="10"/>
      <name val="Arial"/>
    </font>
    <font>
      <b/>
      <sz val="11"/>
      <color indexed="42"/>
      <name val="Arial"/>
      <family val="2"/>
    </font>
    <font>
      <b/>
      <sz val="11"/>
      <name val="Arial"/>
      <family val="2"/>
    </font>
    <font>
      <sz val="11"/>
      <color indexed="12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2"/>
      <color indexed="12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4"/>
      <color indexed="12"/>
      <name val="Times New Roman"/>
      <family val="1"/>
    </font>
    <font>
      <b/>
      <sz val="12"/>
      <name val="Benguiat Bk BT"/>
      <family val="1"/>
    </font>
    <font>
      <b/>
      <sz val="12"/>
      <color indexed="9"/>
      <name val="Benguiat Bk BT"/>
      <family val="1"/>
    </font>
    <font>
      <sz val="10"/>
      <color rgb="FF0000FF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Benguiat Bk BT"/>
      <family val="1"/>
    </font>
    <font>
      <b/>
      <sz val="14"/>
      <name val="Arial"/>
      <family val="2"/>
    </font>
    <font>
      <b/>
      <sz val="14"/>
      <color theme="3"/>
      <name val="Arial"/>
      <family val="2"/>
    </font>
    <font>
      <sz val="10"/>
      <color theme="3"/>
      <name val="Arial"/>
      <family val="2"/>
    </font>
    <font>
      <b/>
      <sz val="12"/>
      <color theme="3"/>
      <name val="Arial"/>
      <family val="2"/>
    </font>
    <font>
      <sz val="12"/>
      <color theme="3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rgb="FF0000FF"/>
      <name val="Arial"/>
      <family val="2"/>
    </font>
    <font>
      <sz val="10"/>
      <color rgb="FF00FFFF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7EFFF"/>
        <bgColor indexed="64"/>
      </patternFill>
    </fill>
    <fill>
      <patternFill patternType="solid">
        <fgColor rgb="FFFFFF00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12"/>
      </top>
      <bottom style="thin">
        <color indexed="1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4">
    <xf numFmtId="0" fontId="0" fillId="0" borderId="0" xfId="0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3" borderId="3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Fill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center"/>
    </xf>
    <xf numFmtId="0" fontId="0" fillId="0" borderId="0" xfId="0" applyProtection="1"/>
    <xf numFmtId="0" fontId="0" fillId="5" borderId="0" xfId="0" applyFill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10" xfId="0" applyBorder="1"/>
    <xf numFmtId="0" fontId="0" fillId="5" borderId="0" xfId="0" applyFill="1" applyAlignment="1">
      <alignment horizontal="center"/>
    </xf>
    <xf numFmtId="0" fontId="9" fillId="0" borderId="0" xfId="0" applyFont="1"/>
    <xf numFmtId="0" fontId="9" fillId="0" borderId="11" xfId="0" applyFont="1" applyBorder="1" applyAlignment="1">
      <alignment horizontal="center"/>
    </xf>
    <xf numFmtId="49" fontId="9" fillId="5" borderId="11" xfId="0" applyNumberFormat="1" applyFont="1" applyFill="1" applyBorder="1" applyAlignment="1">
      <alignment horizontal="center"/>
    </xf>
    <xf numFmtId="49" fontId="5" fillId="5" borderId="12" xfId="0" applyNumberFormat="1" applyFont="1" applyFill="1" applyBorder="1" applyAlignment="1">
      <alignment horizontal="center"/>
    </xf>
    <xf numFmtId="49" fontId="5" fillId="5" borderId="0" xfId="0" applyNumberFormat="1" applyFont="1" applyFill="1" applyBorder="1" applyAlignment="1">
      <alignment horizontal="center"/>
    </xf>
    <xf numFmtId="0" fontId="9" fillId="5" borderId="11" xfId="0" applyFont="1" applyFill="1" applyBorder="1" applyAlignment="1">
      <alignment horizontal="center"/>
    </xf>
    <xf numFmtId="0" fontId="9" fillId="5" borderId="0" xfId="0" applyFont="1" applyFill="1"/>
    <xf numFmtId="0" fontId="5" fillId="5" borderId="0" xfId="0" applyFont="1" applyFill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8" fillId="0" borderId="0" xfId="0" applyFont="1" applyFill="1" applyBorder="1"/>
    <xf numFmtId="0" fontId="0" fillId="5" borderId="0" xfId="0" applyFill="1" applyBorder="1"/>
    <xf numFmtId="0" fontId="0" fillId="4" borderId="14" xfId="0" applyFill="1" applyBorder="1"/>
    <xf numFmtId="0" fontId="0" fillId="0" borderId="15" xfId="0" applyBorder="1" applyAlignment="1">
      <alignment horizontal="center"/>
    </xf>
    <xf numFmtId="0" fontId="0" fillId="5" borderId="0" xfId="0" applyFill="1" applyAlignment="1">
      <alignment vertical="center"/>
    </xf>
    <xf numFmtId="0" fontId="11" fillId="5" borderId="0" xfId="0" applyFont="1" applyFill="1" applyAlignment="1">
      <alignment vertical="center"/>
    </xf>
    <xf numFmtId="0" fontId="11" fillId="5" borderId="0" xfId="0" applyFont="1" applyFill="1" applyAlignment="1">
      <alignment vertical="top"/>
    </xf>
    <xf numFmtId="0" fontId="7" fillId="0" borderId="16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49" fontId="7" fillId="0" borderId="17" xfId="0" applyNumberFormat="1" applyFont="1" applyBorder="1" applyAlignment="1">
      <alignment horizontal="center"/>
    </xf>
    <xf numFmtId="49" fontId="7" fillId="0" borderId="18" xfId="0" applyNumberFormat="1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0" fillId="0" borderId="0" xfId="0" applyBorder="1"/>
    <xf numFmtId="0" fontId="9" fillId="5" borderId="13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9" fillId="5" borderId="0" xfId="0" applyFont="1" applyFill="1" applyAlignment="1">
      <alignment horizontal="center"/>
    </xf>
    <xf numFmtId="0" fontId="7" fillId="0" borderId="16" xfId="0" applyNumberFormat="1" applyFont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</xf>
    <xf numFmtId="0" fontId="0" fillId="3" borderId="1" xfId="0" applyFill="1" applyBorder="1" applyAlignment="1">
      <alignment horizontal="center"/>
    </xf>
    <xf numFmtId="0" fontId="7" fillId="0" borderId="16" xfId="0" applyFont="1" applyBorder="1" applyAlignment="1" applyProtection="1">
      <alignment horizontal="center"/>
      <protection hidden="1"/>
    </xf>
    <xf numFmtId="0" fontId="7" fillId="0" borderId="16" xfId="0" applyNumberFormat="1" applyFont="1" applyBorder="1" applyAlignment="1" applyProtection="1">
      <alignment horizontal="center"/>
      <protection hidden="1"/>
    </xf>
    <xf numFmtId="49" fontId="7" fillId="0" borderId="17" xfId="0" applyNumberFormat="1" applyFont="1" applyBorder="1" applyAlignment="1" applyProtection="1">
      <alignment horizontal="center"/>
      <protection hidden="1"/>
    </xf>
    <xf numFmtId="49" fontId="7" fillId="0" borderId="18" xfId="0" applyNumberFormat="1" applyFont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0" borderId="0" xfId="0" applyProtection="1">
      <protection hidden="1"/>
    </xf>
    <xf numFmtId="0" fontId="0" fillId="5" borderId="0" xfId="0" applyFill="1" applyProtection="1">
      <protection locked="0"/>
    </xf>
    <xf numFmtId="49" fontId="3" fillId="5" borderId="3" xfId="0" applyNumberFormat="1" applyFont="1" applyFill="1" applyBorder="1" applyAlignment="1" applyProtection="1">
      <protection locked="0"/>
    </xf>
    <xf numFmtId="0" fontId="4" fillId="0" borderId="25" xfId="0" applyFont="1" applyBorder="1" applyAlignment="1" applyProtection="1">
      <alignment horizontal="center"/>
      <protection locked="0"/>
    </xf>
    <xf numFmtId="0" fontId="4" fillId="0" borderId="26" xfId="0" applyFont="1" applyBorder="1" applyAlignment="1" applyProtection="1">
      <alignment horizontal="center"/>
      <protection locked="0"/>
    </xf>
    <xf numFmtId="0" fontId="4" fillId="0" borderId="27" xfId="0" applyFont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 hidden="1"/>
    </xf>
    <xf numFmtId="0" fontId="3" fillId="3" borderId="2" xfId="0" applyFont="1" applyFill="1" applyBorder="1" applyAlignment="1" applyProtection="1">
      <protection hidden="1"/>
    </xf>
    <xf numFmtId="0" fontId="0" fillId="3" borderId="28" xfId="0" applyFill="1" applyBorder="1"/>
    <xf numFmtId="0" fontId="2" fillId="3" borderId="32" xfId="0" applyFont="1" applyFill="1" applyBorder="1" applyAlignment="1">
      <alignment horizontal="center"/>
    </xf>
    <xf numFmtId="0" fontId="9" fillId="8" borderId="1" xfId="0" applyFont="1" applyFill="1" applyBorder="1"/>
    <xf numFmtId="0" fontId="9" fillId="8" borderId="23" xfId="0" applyFont="1" applyFill="1" applyBorder="1"/>
    <xf numFmtId="0" fontId="0" fillId="8" borderId="3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9" borderId="0" xfId="0" applyFill="1"/>
    <xf numFmtId="0" fontId="4" fillId="9" borderId="0" xfId="0" applyFont="1" applyFill="1" applyBorder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  <protection hidden="1"/>
    </xf>
    <xf numFmtId="0" fontId="7" fillId="0" borderId="18" xfId="0" applyNumberFormat="1" applyFont="1" applyBorder="1" applyAlignment="1" applyProtection="1">
      <alignment horizontal="center"/>
      <protection hidden="1"/>
    </xf>
    <xf numFmtId="0" fontId="12" fillId="5" borderId="0" xfId="0" applyNumberFormat="1" applyFont="1" applyFill="1" applyProtection="1">
      <protection locked="0"/>
    </xf>
    <xf numFmtId="0" fontId="0" fillId="10" borderId="22" xfId="0" applyFill="1" applyBorder="1" applyAlignment="1" applyProtection="1">
      <alignment horizontal="right"/>
      <protection hidden="1"/>
    </xf>
    <xf numFmtId="0" fontId="0" fillId="11" borderId="22" xfId="0" applyFill="1" applyBorder="1" applyAlignment="1" applyProtection="1">
      <alignment horizontal="right"/>
      <protection hidden="1"/>
    </xf>
    <xf numFmtId="0" fontId="0" fillId="10" borderId="22" xfId="0" applyFill="1" applyBorder="1" applyProtection="1">
      <protection hidden="1"/>
    </xf>
    <xf numFmtId="0" fontId="0" fillId="11" borderId="22" xfId="0" applyFill="1" applyBorder="1" applyProtection="1">
      <protection hidden="1"/>
    </xf>
    <xf numFmtId="0" fontId="9" fillId="2" borderId="3" xfId="0" applyFont="1" applyFill="1" applyBorder="1" applyAlignment="1" applyProtection="1">
      <alignment horizontal="center"/>
      <protection locked="0"/>
    </xf>
    <xf numFmtId="0" fontId="4" fillId="0" borderId="3" xfId="0" applyFont="1" applyFill="1" applyBorder="1" applyAlignment="1">
      <alignment horizontal="center"/>
    </xf>
    <xf numFmtId="0" fontId="13" fillId="0" borderId="3" xfId="0" applyFont="1" applyFill="1" applyBorder="1" applyAlignment="1">
      <alignment horizontal="center"/>
    </xf>
    <xf numFmtId="0" fontId="0" fillId="0" borderId="3" xfId="0" applyBorder="1"/>
    <xf numFmtId="0" fontId="0" fillId="0" borderId="3" xfId="0" applyFill="1" applyBorder="1"/>
    <xf numFmtId="0" fontId="13" fillId="0" borderId="3" xfId="0" applyFont="1" applyFill="1" applyBorder="1"/>
    <xf numFmtId="0" fontId="7" fillId="2" borderId="3" xfId="0" applyFont="1" applyFill="1" applyBorder="1"/>
    <xf numFmtId="0" fontId="7" fillId="3" borderId="3" xfId="0" applyFont="1" applyFill="1" applyBorder="1"/>
    <xf numFmtId="0" fontId="7" fillId="8" borderId="3" xfId="0" applyFont="1" applyFill="1" applyBorder="1"/>
    <xf numFmtId="0" fontId="4" fillId="0" borderId="0" xfId="0" applyFont="1" applyFill="1" applyBorder="1" applyAlignment="1">
      <alignment horizontal="center"/>
    </xf>
    <xf numFmtId="0" fontId="3" fillId="3" borderId="33" xfId="0" applyFont="1" applyFill="1" applyBorder="1" applyAlignment="1" applyProtection="1">
      <protection hidden="1"/>
    </xf>
    <xf numFmtId="0" fontId="7" fillId="9" borderId="22" xfId="0" applyFont="1" applyFill="1" applyBorder="1" applyAlignment="1" applyProtection="1">
      <alignment horizontal="center"/>
      <protection hidden="1"/>
    </xf>
    <xf numFmtId="0" fontId="0" fillId="12" borderId="36" xfId="0" applyFill="1" applyBorder="1" applyProtection="1">
      <protection hidden="1"/>
    </xf>
    <xf numFmtId="0" fontId="9" fillId="12" borderId="36" xfId="0" applyFont="1" applyFill="1" applyBorder="1" applyProtection="1">
      <protection hidden="1"/>
    </xf>
    <xf numFmtId="0" fontId="7" fillId="9" borderId="38" xfId="0" applyFont="1" applyFill="1" applyBorder="1" applyAlignment="1" applyProtection="1">
      <alignment horizontal="center"/>
      <protection hidden="1"/>
    </xf>
    <xf numFmtId="0" fontId="10" fillId="5" borderId="0" xfId="0" applyFont="1" applyFill="1" applyBorder="1" applyAlignment="1">
      <alignment horizontal="center" vertical="center"/>
    </xf>
    <xf numFmtId="0" fontId="9" fillId="0" borderId="0" xfId="0" applyFont="1" applyBorder="1"/>
    <xf numFmtId="0" fontId="9" fillId="0" borderId="0" xfId="0" applyFont="1" applyBorder="1" applyAlignment="1">
      <alignment horizontal="center"/>
    </xf>
    <xf numFmtId="0" fontId="14" fillId="0" borderId="0" xfId="0" applyFont="1"/>
    <xf numFmtId="0" fontId="9" fillId="5" borderId="0" xfId="0" applyFont="1" applyFill="1" applyAlignment="1">
      <alignment vertical="center"/>
    </xf>
    <xf numFmtId="0" fontId="9" fillId="0" borderId="15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4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/>
    <xf numFmtId="49" fontId="7" fillId="5" borderId="12" xfId="0" applyNumberFormat="1" applyFont="1" applyFill="1" applyBorder="1" applyAlignment="1">
      <alignment horizontal="center"/>
    </xf>
    <xf numFmtId="49" fontId="7" fillId="5" borderId="0" xfId="0" applyNumberFormat="1" applyFont="1" applyFill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16" fillId="5" borderId="0" xfId="0" applyFont="1" applyFill="1" applyAlignment="1">
      <alignment vertical="center"/>
    </xf>
    <xf numFmtId="0" fontId="16" fillId="5" borderId="0" xfId="0" applyFont="1" applyFill="1" applyAlignment="1">
      <alignment vertical="top"/>
    </xf>
    <xf numFmtId="49" fontId="9" fillId="5" borderId="13" xfId="0" applyNumberFormat="1" applyFont="1" applyFill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49" fontId="14" fillId="5" borderId="12" xfId="0" applyNumberFormat="1" applyFont="1" applyFill="1" applyBorder="1" applyAlignment="1" applyProtection="1">
      <alignment horizontal="center"/>
    </xf>
    <xf numFmtId="0" fontId="17" fillId="5" borderId="0" xfId="0" applyFont="1" applyFill="1" applyAlignment="1">
      <alignment vertical="center"/>
    </xf>
    <xf numFmtId="0" fontId="18" fillId="5" borderId="0" xfId="0" applyFont="1" applyFill="1" applyAlignment="1">
      <alignment horizontal="center"/>
    </xf>
    <xf numFmtId="0" fontId="18" fillId="5" borderId="0" xfId="0" applyFont="1" applyFill="1"/>
    <xf numFmtId="0" fontId="19" fillId="5" borderId="0" xfId="0" applyFont="1" applyFill="1" applyAlignment="1">
      <alignment vertical="center"/>
    </xf>
    <xf numFmtId="0" fontId="18" fillId="5" borderId="0" xfId="0" applyFont="1" applyFill="1" applyAlignment="1">
      <alignment vertical="center"/>
    </xf>
    <xf numFmtId="0" fontId="19" fillId="5" borderId="0" xfId="0" applyFont="1" applyFill="1" applyAlignment="1">
      <alignment vertical="top"/>
    </xf>
    <xf numFmtId="0" fontId="20" fillId="5" borderId="0" xfId="0" applyFont="1" applyFill="1" applyAlignment="1">
      <alignment vertical="center"/>
    </xf>
    <xf numFmtId="0" fontId="20" fillId="5" borderId="0" xfId="0" applyFont="1" applyFill="1" applyAlignment="1">
      <alignment vertical="top"/>
    </xf>
    <xf numFmtId="0" fontId="0" fillId="5" borderId="0" xfId="0" applyFill="1" applyBorder="1" applyAlignment="1">
      <alignment horizontal="center"/>
    </xf>
    <xf numFmtId="0" fontId="11" fillId="5" borderId="0" xfId="0" applyFont="1" applyFill="1" applyBorder="1" applyAlignment="1">
      <alignment vertical="top"/>
    </xf>
    <xf numFmtId="0" fontId="20" fillId="5" borderId="0" xfId="0" applyFont="1" applyFill="1" applyBorder="1" applyAlignment="1">
      <alignment vertical="top"/>
    </xf>
    <xf numFmtId="0" fontId="0" fillId="0" borderId="0" xfId="0" applyBorder="1" applyAlignment="1">
      <alignment horizontal="center"/>
    </xf>
    <xf numFmtId="49" fontId="14" fillId="5" borderId="0" xfId="0" applyNumberFormat="1" applyFont="1" applyFill="1" applyBorder="1" applyAlignment="1" applyProtection="1">
      <alignment horizontal="center"/>
    </xf>
    <xf numFmtId="49" fontId="14" fillId="0" borderId="10" xfId="0" applyNumberFormat="1" applyFont="1" applyBorder="1" applyAlignment="1" applyProtection="1">
      <alignment horizontal="center"/>
      <protection hidden="1"/>
    </xf>
    <xf numFmtId="0" fontId="20" fillId="5" borderId="0" xfId="0" applyFont="1" applyFill="1"/>
    <xf numFmtId="0" fontId="20" fillId="5" borderId="0" xfId="0" applyFont="1" applyFill="1" applyProtection="1">
      <protection locked="0"/>
    </xf>
    <xf numFmtId="0" fontId="13" fillId="0" borderId="3" xfId="0" applyFont="1" applyFill="1" applyBorder="1" applyAlignment="1">
      <alignment horizontal="center" shrinkToFit="1"/>
    </xf>
    <xf numFmtId="0" fontId="4" fillId="0" borderId="3" xfId="0" applyFont="1" applyFill="1" applyBorder="1" applyAlignment="1">
      <alignment horizontal="center" shrinkToFit="1"/>
    </xf>
    <xf numFmtId="0" fontId="0" fillId="4" borderId="0" xfId="0" applyFill="1" applyBorder="1"/>
    <xf numFmtId="0" fontId="9" fillId="4" borderId="0" xfId="0" applyFont="1" applyFill="1" applyBorder="1"/>
    <xf numFmtId="0" fontId="7" fillId="4" borderId="0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7" fillId="4" borderId="41" xfId="0" applyFont="1" applyFill="1" applyBorder="1" applyAlignment="1">
      <alignment horizontal="center" vertical="center"/>
    </xf>
    <xf numFmtId="0" fontId="9" fillId="4" borderId="41" xfId="0" applyFont="1" applyFill="1" applyBorder="1" applyAlignment="1">
      <alignment horizontal="center" vertical="center"/>
    </xf>
    <xf numFmtId="0" fontId="9" fillId="4" borderId="41" xfId="0" applyFont="1" applyFill="1" applyBorder="1"/>
    <xf numFmtId="0" fontId="0" fillId="4" borderId="41" xfId="0" applyFill="1" applyBorder="1"/>
    <xf numFmtId="0" fontId="7" fillId="4" borderId="41" xfId="0" applyFont="1" applyFill="1" applyBorder="1" applyAlignment="1">
      <alignment horizontal="center"/>
    </xf>
    <xf numFmtId="0" fontId="0" fillId="4" borderId="42" xfId="0" applyFill="1" applyBorder="1"/>
    <xf numFmtId="0" fontId="0" fillId="4" borderId="35" xfId="0" applyFill="1" applyBorder="1"/>
    <xf numFmtId="0" fontId="7" fillId="4" borderId="37" xfId="0" applyFont="1" applyFill="1" applyBorder="1"/>
    <xf numFmtId="0" fontId="0" fillId="4" borderId="37" xfId="0" applyFill="1" applyBorder="1"/>
    <xf numFmtId="0" fontId="7" fillId="4" borderId="35" xfId="0" applyFont="1" applyFill="1" applyBorder="1" applyAlignment="1">
      <alignment horizontal="center" vertical="center"/>
    </xf>
    <xf numFmtId="0" fontId="0" fillId="4" borderId="41" xfId="0" applyFill="1" applyBorder="1" applyAlignment="1">
      <alignment horizontal="center" vertical="center"/>
    </xf>
    <xf numFmtId="0" fontId="7" fillId="4" borderId="41" xfId="0" applyFont="1" applyFill="1" applyBorder="1" applyAlignment="1">
      <alignment vertical="center"/>
    </xf>
    <xf numFmtId="0" fontId="7" fillId="0" borderId="25" xfId="0" applyFont="1" applyBorder="1" applyAlignment="1" applyProtection="1">
      <alignment horizontal="center" vertical="center"/>
      <protection locked="0"/>
    </xf>
    <xf numFmtId="0" fontId="7" fillId="0" borderId="26" xfId="0" applyFont="1" applyBorder="1" applyAlignment="1" applyProtection="1">
      <alignment horizontal="center" vertical="center"/>
      <protection locked="0"/>
    </xf>
    <xf numFmtId="0" fontId="7" fillId="0" borderId="27" xfId="0" applyFont="1" applyBorder="1" applyAlignment="1">
      <alignment horizontal="center" vertical="center"/>
    </xf>
    <xf numFmtId="164" fontId="7" fillId="0" borderId="43" xfId="0" applyNumberFormat="1" applyFont="1" applyBorder="1" applyAlignment="1" applyProtection="1">
      <alignment horizontal="center" vertical="center"/>
      <protection locked="0"/>
    </xf>
    <xf numFmtId="49" fontId="3" fillId="5" borderId="37" xfId="0" applyNumberFormat="1" applyFont="1" applyFill="1" applyBorder="1" applyAlignment="1" applyProtection="1">
      <protection locked="0"/>
    </xf>
    <xf numFmtId="49" fontId="3" fillId="5" borderId="34" xfId="0" applyNumberFormat="1" applyFont="1" applyFill="1" applyBorder="1" applyAlignment="1" applyProtection="1">
      <protection locked="0"/>
    </xf>
    <xf numFmtId="0" fontId="13" fillId="0" borderId="0" xfId="0" applyFont="1" applyFill="1" applyBorder="1" applyAlignment="1">
      <alignment horizontal="center" shrinkToFit="1"/>
    </xf>
    <xf numFmtId="0" fontId="7" fillId="0" borderId="0" xfId="0" applyFont="1" applyFill="1" applyBorder="1"/>
    <xf numFmtId="0" fontId="13" fillId="0" borderId="37" xfId="0" applyFont="1" applyFill="1" applyBorder="1" applyAlignment="1">
      <alignment horizontal="center" shrinkToFit="1"/>
    </xf>
    <xf numFmtId="0" fontId="7" fillId="3" borderId="37" xfId="0" applyFont="1" applyFill="1" applyBorder="1"/>
    <xf numFmtId="0" fontId="0" fillId="3" borderId="37" xfId="0" applyFill="1" applyBorder="1" applyAlignment="1" applyProtection="1">
      <alignment horizontal="center"/>
      <protection locked="0"/>
    </xf>
    <xf numFmtId="0" fontId="13" fillId="0" borderId="45" xfId="0" applyFont="1" applyFill="1" applyBorder="1" applyAlignment="1">
      <alignment horizontal="center" shrinkToFit="1"/>
    </xf>
    <xf numFmtId="0" fontId="7" fillId="3" borderId="45" xfId="0" applyFont="1" applyFill="1" applyBorder="1"/>
    <xf numFmtId="0" fontId="0" fillId="3" borderId="45" xfId="0" applyFill="1" applyBorder="1" applyAlignment="1" applyProtection="1">
      <alignment horizontal="center"/>
      <protection locked="0"/>
    </xf>
    <xf numFmtId="0" fontId="13" fillId="0" borderId="44" xfId="0" applyFont="1" applyFill="1" applyBorder="1" applyAlignment="1">
      <alignment horizontal="center" shrinkToFit="1"/>
    </xf>
    <xf numFmtId="0" fontId="7" fillId="0" borderId="44" xfId="0" applyFont="1" applyFill="1" applyBorder="1"/>
    <xf numFmtId="0" fontId="25" fillId="0" borderId="0" xfId="0" applyFont="1" applyAlignment="1" applyProtection="1">
      <alignment horizontal="center"/>
    </xf>
    <xf numFmtId="0" fontId="0" fillId="2" borderId="46" xfId="0" applyFill="1" applyBorder="1" applyAlignment="1" applyProtection="1">
      <alignment horizontal="center"/>
      <protection locked="0"/>
    </xf>
    <xf numFmtId="0" fontId="0" fillId="3" borderId="46" xfId="0" applyFill="1" applyBorder="1" applyAlignment="1" applyProtection="1">
      <alignment horizontal="center"/>
      <protection locked="0"/>
    </xf>
    <xf numFmtId="0" fontId="13" fillId="0" borderId="46" xfId="0" applyFont="1" applyFill="1" applyBorder="1" applyAlignment="1">
      <alignment horizontal="center" shrinkToFit="1"/>
    </xf>
    <xf numFmtId="0" fontId="7" fillId="3" borderId="46" xfId="0" applyFont="1" applyFill="1" applyBorder="1"/>
    <xf numFmtId="0" fontId="0" fillId="11" borderId="22" xfId="0" applyNumberFormat="1" applyFill="1" applyBorder="1" applyProtection="1">
      <protection hidden="1"/>
    </xf>
    <xf numFmtId="0" fontId="0" fillId="10" borderId="22" xfId="0" applyNumberFormat="1" applyFill="1" applyBorder="1" applyProtection="1">
      <protection hidden="1"/>
    </xf>
    <xf numFmtId="0" fontId="9" fillId="11" borderId="22" xfId="0" applyNumberFormat="1" applyFont="1" applyFill="1" applyBorder="1" applyProtection="1">
      <protection hidden="1"/>
    </xf>
    <xf numFmtId="0" fontId="9" fillId="10" borderId="22" xfId="0" applyNumberFormat="1" applyFont="1" applyFill="1" applyBorder="1" applyProtection="1">
      <protection hidden="1"/>
    </xf>
    <xf numFmtId="49" fontId="26" fillId="5" borderId="12" xfId="0" applyNumberFormat="1" applyFont="1" applyFill="1" applyBorder="1" applyAlignment="1" applyProtection="1">
      <alignment horizontal="center"/>
    </xf>
    <xf numFmtId="49" fontId="26" fillId="0" borderId="6" xfId="0" applyNumberFormat="1" applyFont="1" applyBorder="1" applyAlignment="1" applyProtection="1">
      <alignment horizontal="center"/>
      <protection hidden="1"/>
    </xf>
    <xf numFmtId="0" fontId="27" fillId="0" borderId="18" xfId="0" applyFont="1" applyBorder="1" applyAlignment="1">
      <alignment horizontal="center"/>
    </xf>
    <xf numFmtId="0" fontId="0" fillId="2" borderId="47" xfId="0" applyFill="1" applyBorder="1" applyAlignment="1" applyProtection="1">
      <alignment horizontal="center"/>
      <protection locked="0"/>
    </xf>
    <xf numFmtId="0" fontId="0" fillId="3" borderId="47" xfId="0" applyFill="1" applyBorder="1" applyAlignment="1" applyProtection="1">
      <alignment horizontal="center"/>
      <protection locked="0"/>
    </xf>
    <xf numFmtId="0" fontId="0" fillId="8" borderId="47" xfId="0" applyFill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28" fillId="13" borderId="3" xfId="0" applyFont="1" applyFill="1" applyBorder="1"/>
    <xf numFmtId="0" fontId="29" fillId="13" borderId="3" xfId="0" applyFont="1" applyFill="1" applyBorder="1" applyAlignment="1">
      <alignment horizontal="center"/>
    </xf>
    <xf numFmtId="0" fontId="13" fillId="13" borderId="3" xfId="0" applyFont="1" applyFill="1" applyBorder="1" applyAlignment="1">
      <alignment horizontal="center"/>
    </xf>
    <xf numFmtId="0" fontId="13" fillId="13" borderId="47" xfId="0" applyFont="1" applyFill="1" applyBorder="1" applyAlignment="1" applyProtection="1">
      <alignment horizontal="center"/>
      <protection hidden="1"/>
    </xf>
    <xf numFmtId="0" fontId="13" fillId="13" borderId="45" xfId="0" applyFont="1" applyFill="1" applyBorder="1" applyAlignment="1" applyProtection="1">
      <alignment horizontal="center"/>
    </xf>
    <xf numFmtId="0" fontId="29" fillId="14" borderId="3" xfId="0" applyFont="1" applyFill="1" applyBorder="1" applyAlignment="1">
      <alignment horizontal="center"/>
    </xf>
    <xf numFmtId="0" fontId="13" fillId="14" borderId="3" xfId="0" applyFont="1" applyFill="1" applyBorder="1" applyAlignment="1">
      <alignment horizontal="center"/>
    </xf>
    <xf numFmtId="0" fontId="9" fillId="0" borderId="52" xfId="0" applyFont="1" applyBorder="1" applyProtection="1">
      <protection locked="0"/>
    </xf>
    <xf numFmtId="0" fontId="9" fillId="0" borderId="1" xfId="0" applyFont="1" applyBorder="1" applyProtection="1">
      <protection locked="0"/>
    </xf>
    <xf numFmtId="0" fontId="9" fillId="0" borderId="23" xfId="0" applyFont="1" applyBorder="1" applyProtection="1">
      <protection locked="0"/>
    </xf>
    <xf numFmtId="164" fontId="13" fillId="0" borderId="43" xfId="0" applyNumberFormat="1" applyFont="1" applyBorder="1" applyAlignment="1">
      <alignment horizontal="center"/>
    </xf>
    <xf numFmtId="14" fontId="13" fillId="0" borderId="53" xfId="0" applyNumberFormat="1" applyFont="1" applyBorder="1" applyProtection="1">
      <protection locked="0"/>
    </xf>
    <xf numFmtId="14" fontId="13" fillId="0" borderId="2" xfId="0" applyNumberFormat="1" applyFont="1" applyBorder="1" applyProtection="1">
      <protection locked="0"/>
    </xf>
    <xf numFmtId="14" fontId="13" fillId="0" borderId="33" xfId="0" applyNumberFormat="1" applyFont="1" applyBorder="1" applyProtection="1">
      <protection locked="0"/>
    </xf>
    <xf numFmtId="0" fontId="6" fillId="5" borderId="0" xfId="0" applyFont="1" applyFill="1" applyBorder="1" applyAlignment="1">
      <alignment horizontal="center"/>
    </xf>
    <xf numFmtId="0" fontId="23" fillId="5" borderId="0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1" fillId="5" borderId="0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7" fillId="6" borderId="48" xfId="0" applyFont="1" applyFill="1" applyBorder="1" applyAlignment="1">
      <alignment horizontal="center" vertical="center" wrapText="1"/>
    </xf>
    <xf numFmtId="0" fontId="7" fillId="6" borderId="49" xfId="0" applyFont="1" applyFill="1" applyBorder="1" applyAlignment="1">
      <alignment horizontal="center" vertical="center" wrapText="1"/>
    </xf>
    <xf numFmtId="0" fontId="7" fillId="6" borderId="50" xfId="0" applyFont="1" applyFill="1" applyBorder="1" applyAlignment="1">
      <alignment horizontal="center" vertical="center" wrapText="1"/>
    </xf>
    <xf numFmtId="0" fontId="7" fillId="6" borderId="51" xfId="0" applyFont="1" applyFill="1" applyBorder="1" applyAlignment="1">
      <alignment horizontal="center" vertical="center" wrapText="1"/>
    </xf>
    <xf numFmtId="0" fontId="7" fillId="6" borderId="28" xfId="0" applyFont="1" applyFill="1" applyBorder="1" applyAlignment="1">
      <alignment horizontal="center" vertical="center" wrapText="1"/>
    </xf>
    <xf numFmtId="0" fontId="7" fillId="6" borderId="24" xfId="0" applyFont="1" applyFill="1" applyBorder="1" applyAlignment="1">
      <alignment horizontal="center" vertical="center" wrapText="1"/>
    </xf>
    <xf numFmtId="0" fontId="1" fillId="7" borderId="29" xfId="0" applyFont="1" applyFill="1" applyBorder="1" applyAlignment="1">
      <alignment horizontal="center"/>
    </xf>
    <xf numFmtId="0" fontId="0" fillId="0" borderId="30" xfId="0" applyBorder="1" applyAlignment="1"/>
    <xf numFmtId="0" fontId="0" fillId="0" borderId="31" xfId="0" applyBorder="1" applyAlignment="1"/>
    <xf numFmtId="0" fontId="7" fillId="6" borderId="43" xfId="0" applyFont="1" applyFill="1" applyBorder="1" applyAlignment="1">
      <alignment horizontal="center" vertical="center" wrapText="1"/>
    </xf>
    <xf numFmtId="0" fontId="7" fillId="9" borderId="22" xfId="0" applyFont="1" applyFill="1" applyBorder="1" applyAlignment="1" applyProtection="1">
      <alignment horizontal="center"/>
      <protection hidden="1"/>
    </xf>
    <xf numFmtId="0" fontId="0" fillId="9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0" fillId="0" borderId="44" xfId="0" applyFill="1" applyBorder="1" applyAlignment="1" applyProtection="1">
      <alignment horizontal="center"/>
      <protection hidden="1"/>
    </xf>
  </cellXfs>
  <cellStyles count="1">
    <cellStyle name="Normal" xfId="0" builtinId="0"/>
  </cellStyles>
  <dxfs count="1352"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auto="1"/>
      </font>
      <fill>
        <patternFill>
          <bgColor theme="8" tint="0.79998168889431442"/>
        </patternFill>
      </fill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</dxfs>
  <tableStyles count="0" defaultTableStyle="TableStyleMedium2" defaultPivotStyle="PivotStyleLight16"/>
  <colors>
    <mruColors>
      <color rgb="FF0000FF"/>
      <color rgb="FF0000CC"/>
      <color rgb="FF009900"/>
      <color rgb="FFFF3300"/>
      <color rgb="FFFF99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6.emf"/><Relationship Id="rId9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139211</xdr:colOff>
      <xdr:row>0</xdr:row>
      <xdr:rowOff>4638</xdr:rowOff>
    </xdr:from>
    <xdr:to>
      <xdr:col>33</xdr:col>
      <xdr:colOff>76419</xdr:colOff>
      <xdr:row>3</xdr:row>
      <xdr:rowOff>130593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192" y="4638"/>
          <a:ext cx="596631" cy="653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10</xdr:row>
          <xdr:rowOff>0</xdr:rowOff>
        </xdr:from>
        <xdr:to>
          <xdr:col>18</xdr:col>
          <xdr:colOff>7620</xdr:colOff>
          <xdr:row>11</xdr:row>
          <xdr:rowOff>53340</xdr:rowOff>
        </xdr:to>
        <xdr:sp macro="" textlink="">
          <xdr:nvSpPr>
            <xdr:cNvPr id="1026" name="optDa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</xdr:colOff>
          <xdr:row>10</xdr:row>
          <xdr:rowOff>0</xdr:rowOff>
        </xdr:from>
        <xdr:to>
          <xdr:col>26</xdr:col>
          <xdr:colOff>83820</xdr:colOff>
          <xdr:row>11</xdr:row>
          <xdr:rowOff>38100</xdr:rowOff>
        </xdr:to>
        <xdr:sp macro="" textlink="">
          <xdr:nvSpPr>
            <xdr:cNvPr id="1027" name="optAfterNo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10</xdr:row>
          <xdr:rowOff>0</xdr:rowOff>
        </xdr:from>
        <xdr:to>
          <xdr:col>12</xdr:col>
          <xdr:colOff>160020</xdr:colOff>
          <xdr:row>11</xdr:row>
          <xdr:rowOff>38100</xdr:rowOff>
        </xdr:to>
        <xdr:sp macro="" textlink="">
          <xdr:nvSpPr>
            <xdr:cNvPr id="1028" name="optNigh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10</xdr:row>
          <xdr:rowOff>0</xdr:rowOff>
        </xdr:from>
        <xdr:to>
          <xdr:col>7</xdr:col>
          <xdr:colOff>60960</xdr:colOff>
          <xdr:row>11</xdr:row>
          <xdr:rowOff>38100</xdr:rowOff>
        </xdr:to>
        <xdr:sp macro="" textlink="">
          <xdr:nvSpPr>
            <xdr:cNvPr id="1029" name="optRD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0</xdr:rowOff>
        </xdr:from>
        <xdr:to>
          <xdr:col>3</xdr:col>
          <xdr:colOff>60960</xdr:colOff>
          <xdr:row>11</xdr:row>
          <xdr:rowOff>45720</xdr:rowOff>
        </xdr:to>
        <xdr:sp macro="" textlink="">
          <xdr:nvSpPr>
            <xdr:cNvPr id="1030" name="chkUseAutoMark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10</xdr:row>
          <xdr:rowOff>0</xdr:rowOff>
        </xdr:from>
        <xdr:to>
          <xdr:col>7</xdr:col>
          <xdr:colOff>121920</xdr:colOff>
          <xdr:row>11</xdr:row>
          <xdr:rowOff>38100</xdr:rowOff>
        </xdr:to>
        <xdr:sp macro="" textlink="">
          <xdr:nvSpPr>
            <xdr:cNvPr id="1047" name="optClear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10</xdr:row>
          <xdr:rowOff>0</xdr:rowOff>
        </xdr:from>
        <xdr:to>
          <xdr:col>13</xdr:col>
          <xdr:colOff>220980</xdr:colOff>
          <xdr:row>11</xdr:row>
          <xdr:rowOff>38100</xdr:rowOff>
        </xdr:to>
        <xdr:sp macro="" textlink="">
          <xdr:nvSpPr>
            <xdr:cNvPr id="1095" name="optSickLeave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10</xdr:row>
          <xdr:rowOff>0</xdr:rowOff>
        </xdr:from>
        <xdr:to>
          <xdr:col>20</xdr:col>
          <xdr:colOff>129540</xdr:colOff>
          <xdr:row>11</xdr:row>
          <xdr:rowOff>38100</xdr:rowOff>
        </xdr:to>
        <xdr:sp macro="" textlink="">
          <xdr:nvSpPr>
            <xdr:cNvPr id="1104" name="optAnnualLeave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0</xdr:rowOff>
        </xdr:from>
        <xdr:to>
          <xdr:col>2</xdr:col>
          <xdr:colOff>800100</xdr:colOff>
          <xdr:row>11</xdr:row>
          <xdr:rowOff>99060</xdr:rowOff>
        </xdr:to>
        <xdr:sp macro="" textlink="">
          <xdr:nvSpPr>
            <xdr:cNvPr id="1105" name="cboYears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182880</xdr:colOff>
          <xdr:row>10</xdr:row>
          <xdr:rowOff>0</xdr:rowOff>
        </xdr:from>
        <xdr:to>
          <xdr:col>33</xdr:col>
          <xdr:colOff>53340</xdr:colOff>
          <xdr:row>11</xdr:row>
          <xdr:rowOff>30480</xdr:rowOff>
        </xdr:to>
        <xdr:sp macro="" textlink="">
          <xdr:nvSpPr>
            <xdr:cNvPr id="1110" name="optHeatPolicy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</xdr:colOff>
          <xdr:row>10</xdr:row>
          <xdr:rowOff>0</xdr:rowOff>
        </xdr:from>
        <xdr:to>
          <xdr:col>26</xdr:col>
          <xdr:colOff>83820</xdr:colOff>
          <xdr:row>11</xdr:row>
          <xdr:rowOff>38100</xdr:rowOff>
        </xdr:to>
        <xdr:sp macro="" textlink="">
          <xdr:nvSpPr>
            <xdr:cNvPr id="1111" name="optSpecial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182880</xdr:colOff>
          <xdr:row>10</xdr:row>
          <xdr:rowOff>0</xdr:rowOff>
        </xdr:from>
        <xdr:to>
          <xdr:col>33</xdr:col>
          <xdr:colOff>53340</xdr:colOff>
          <xdr:row>11</xdr:row>
          <xdr:rowOff>38100</xdr:rowOff>
        </xdr:to>
        <xdr:sp macro="" textlink="">
          <xdr:nvSpPr>
            <xdr:cNvPr id="1114" name="optNA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73268</xdr:colOff>
      <xdr:row>0</xdr:row>
      <xdr:rowOff>7328</xdr:rowOff>
    </xdr:from>
    <xdr:to>
      <xdr:col>10</xdr:col>
      <xdr:colOff>26684</xdr:colOff>
      <xdr:row>3</xdr:row>
      <xdr:rowOff>139211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68" y="7328"/>
          <a:ext cx="2818243" cy="6594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285749</xdr:colOff>
      <xdr:row>0</xdr:row>
      <xdr:rowOff>47625</xdr:rowOff>
    </xdr:from>
    <xdr:to>
      <xdr:col>4</xdr:col>
      <xdr:colOff>122792</xdr:colOff>
      <xdr:row>2</xdr:row>
      <xdr:rowOff>22911</xdr:rowOff>
    </xdr:to>
    <xdr:pic>
      <xdr:nvPicPr>
        <xdr:cNvPr id="3" name="Picture 2" descr="PIRSA_300_rgb_H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49" y="47625"/>
          <a:ext cx="2831703" cy="6325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4332</xdr:colOff>
      <xdr:row>1</xdr:row>
      <xdr:rowOff>91879</xdr:rowOff>
    </xdr:from>
    <xdr:to>
      <xdr:col>7</xdr:col>
      <xdr:colOff>126996</xdr:colOff>
      <xdr:row>2</xdr:row>
      <xdr:rowOff>261073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354" y="252034"/>
          <a:ext cx="2187819" cy="4810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35607</xdr:colOff>
      <xdr:row>1</xdr:row>
      <xdr:rowOff>89019</xdr:rowOff>
    </xdr:from>
    <xdr:to>
      <xdr:col>7</xdr:col>
      <xdr:colOff>158271</xdr:colOff>
      <xdr:row>2</xdr:row>
      <xdr:rowOff>258212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369" y="249253"/>
          <a:ext cx="2178995" cy="48075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119682</xdr:rowOff>
    </xdr:from>
    <xdr:to>
      <xdr:col>7</xdr:col>
      <xdr:colOff>156900</xdr:colOff>
      <xdr:row>2</xdr:row>
      <xdr:rowOff>287022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79916"/>
          <a:ext cx="2177954" cy="47890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107923</xdr:rowOff>
    </xdr:from>
    <xdr:to>
      <xdr:col>7</xdr:col>
      <xdr:colOff>156900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107923</xdr:rowOff>
    </xdr:from>
    <xdr:to>
      <xdr:col>7</xdr:col>
      <xdr:colOff>203936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Roster"/>
  <dimension ref="A1:AJ382"/>
  <sheetViews>
    <sheetView showGridLines="0" tabSelected="1" zoomScale="120" zoomScaleNormal="120" workbookViewId="0">
      <pane ySplit="10" topLeftCell="A261" activePane="bottomLeft" state="frozen"/>
      <selection pane="bottomLeft" activeCell="J92" sqref="J92"/>
    </sheetView>
  </sheetViews>
  <sheetFormatPr defaultRowHeight="13.2"/>
  <cols>
    <col min="1" max="1" width="1.88671875" customWidth="1"/>
    <col min="2" max="2" width="2.6640625" customWidth="1"/>
    <col min="3" max="3" width="15.33203125" customWidth="1"/>
    <col min="4" max="34" width="3.33203125" customWidth="1"/>
  </cols>
  <sheetData>
    <row r="1" spans="1:36" s="2" customFormat="1" ht="12" customHeight="1">
      <c r="A1" s="62"/>
      <c r="J1" s="208" t="str">
        <f>Location &amp;  " -  Roster Sheets"</f>
        <v>Oodlawirra Quarantine Station -  Roster Sheets</v>
      </c>
      <c r="K1" s="209"/>
      <c r="L1" s="209"/>
      <c r="M1" s="209"/>
      <c r="N1" s="209"/>
      <c r="O1" s="209"/>
      <c r="P1" s="209"/>
      <c r="Q1" s="209"/>
      <c r="R1" s="209"/>
      <c r="S1" s="209"/>
      <c r="T1" s="209"/>
      <c r="U1" s="209"/>
      <c r="V1" s="209"/>
      <c r="W1" s="209"/>
      <c r="X1" s="209"/>
      <c r="Y1" s="209"/>
      <c r="Z1" s="209"/>
      <c r="AA1" s="209"/>
      <c r="AB1" s="209"/>
      <c r="AC1" s="209"/>
      <c r="AD1" s="209"/>
      <c r="AE1" s="96"/>
      <c r="AF1" s="96"/>
      <c r="AG1" s="96"/>
      <c r="AH1" s="96"/>
    </row>
    <row r="2" spans="1:36" s="2" customFormat="1" ht="12" customHeight="1"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96"/>
      <c r="AF2" s="96"/>
      <c r="AG2" s="96"/>
      <c r="AH2" s="96"/>
    </row>
    <row r="3" spans="1:36" s="2" customFormat="1" ht="17.25" customHeight="1">
      <c r="B3" s="29"/>
      <c r="J3" s="206" t="str">
        <f>"Financial Year Commencing - 1st July, "&amp; CurYear-1</f>
        <v>Financial Year Commencing - 1st July, 2019</v>
      </c>
      <c r="K3" s="207"/>
      <c r="L3" s="207"/>
      <c r="M3" s="207"/>
      <c r="N3" s="207"/>
      <c r="O3" s="207"/>
      <c r="P3" s="207"/>
      <c r="Q3" s="207"/>
      <c r="R3" s="207"/>
      <c r="S3" s="207"/>
      <c r="T3" s="207"/>
      <c r="U3" s="207"/>
      <c r="V3" s="207"/>
      <c r="W3" s="207"/>
      <c r="X3" s="207"/>
      <c r="Y3" s="207"/>
      <c r="Z3" s="207"/>
      <c r="AA3" s="207"/>
      <c r="AB3" s="207"/>
      <c r="AC3" s="207"/>
      <c r="AD3" s="207"/>
      <c r="AE3" s="96"/>
      <c r="AF3" s="96"/>
      <c r="AG3" s="96"/>
      <c r="AH3" s="96"/>
    </row>
    <row r="4" spans="1:36" s="30" customFormat="1" ht="12" customHeight="1">
      <c r="B4" s="76" t="s">
        <v>105</v>
      </c>
      <c r="C4" s="205"/>
      <c r="D4" s="205"/>
      <c r="J4" s="96"/>
      <c r="K4" s="96"/>
      <c r="L4" s="96"/>
      <c r="M4" s="96"/>
      <c r="N4" s="96"/>
      <c r="O4" s="96"/>
      <c r="P4" s="96"/>
      <c r="Q4" s="96"/>
      <c r="R4" s="96"/>
      <c r="S4" s="96"/>
      <c r="T4" s="96"/>
      <c r="U4" s="96"/>
      <c r="V4" s="96"/>
      <c r="W4" s="96"/>
      <c r="X4" s="96"/>
      <c r="Y4" s="96"/>
      <c r="Z4" s="96"/>
      <c r="AA4" s="96"/>
      <c r="AB4" s="96"/>
      <c r="AC4" s="96"/>
      <c r="AD4" s="96"/>
      <c r="AE4" s="96"/>
      <c r="AF4" s="96"/>
      <c r="AG4" s="96"/>
      <c r="AH4" s="96"/>
    </row>
    <row r="5" spans="1:36" s="31" customFormat="1" ht="53.25" hidden="1" customHeight="1"/>
    <row r="6" spans="1:36" s="141" customFormat="1" ht="14.25" hidden="1" customHeight="1"/>
    <row r="7" spans="1:36" s="141" customFormat="1" ht="14.25" hidden="1" customHeight="1">
      <c r="C7" s="154" t="s">
        <v>59</v>
      </c>
      <c r="D7" s="156" t="s">
        <v>11</v>
      </c>
      <c r="E7" s="148" t="s">
        <v>60</v>
      </c>
      <c r="F7" s="149" t="s">
        <v>63</v>
      </c>
      <c r="G7" s="150"/>
      <c r="H7" s="150"/>
      <c r="I7" s="150"/>
      <c r="J7" s="152"/>
      <c r="K7" s="153"/>
      <c r="L7" s="147" t="s">
        <v>45</v>
      </c>
      <c r="M7" s="148" t="s">
        <v>60</v>
      </c>
      <c r="N7" s="149" t="s">
        <v>66</v>
      </c>
      <c r="O7" s="150"/>
      <c r="P7" s="150"/>
      <c r="Q7" s="152"/>
      <c r="R7" s="153"/>
      <c r="S7" s="147" t="s">
        <v>58</v>
      </c>
      <c r="T7" s="148" t="s">
        <v>60</v>
      </c>
      <c r="U7" s="149" t="s">
        <v>61</v>
      </c>
      <c r="V7" s="150"/>
      <c r="W7" s="150"/>
      <c r="X7" s="152"/>
      <c r="Y7" s="150"/>
      <c r="Z7" s="147" t="s">
        <v>40</v>
      </c>
      <c r="AA7" s="148" t="s">
        <v>60</v>
      </c>
      <c r="AB7" s="149" t="s">
        <v>70</v>
      </c>
      <c r="AC7" s="150"/>
      <c r="AD7" s="150"/>
      <c r="AE7" s="152"/>
    </row>
    <row r="8" spans="1:36" s="141" customFormat="1" ht="14.25" hidden="1" customHeight="1">
      <c r="C8" s="155"/>
      <c r="D8" s="156" t="s">
        <v>9</v>
      </c>
      <c r="E8" s="148" t="s">
        <v>60</v>
      </c>
      <c r="F8" s="149" t="s">
        <v>64</v>
      </c>
      <c r="G8" s="150"/>
      <c r="H8" s="150"/>
      <c r="I8" s="150"/>
      <c r="J8" s="152"/>
      <c r="K8" s="153"/>
      <c r="L8" s="151" t="s">
        <v>46</v>
      </c>
      <c r="M8" s="148" t="s">
        <v>60</v>
      </c>
      <c r="N8" s="149" t="s">
        <v>67</v>
      </c>
      <c r="O8" s="150"/>
      <c r="P8" s="150"/>
      <c r="Q8" s="152"/>
      <c r="R8" s="153"/>
      <c r="S8" s="147" t="s">
        <v>62</v>
      </c>
      <c r="T8" s="148" t="s">
        <v>60</v>
      </c>
      <c r="U8" s="149" t="s">
        <v>68</v>
      </c>
      <c r="V8" s="150"/>
      <c r="W8" s="150"/>
      <c r="X8" s="152"/>
      <c r="Y8" s="150"/>
      <c r="Z8" s="147" t="s">
        <v>39</v>
      </c>
      <c r="AA8" s="148" t="s">
        <v>60</v>
      </c>
      <c r="AB8" s="149" t="s">
        <v>69</v>
      </c>
      <c r="AC8" s="150"/>
      <c r="AD8" s="150"/>
      <c r="AE8" s="152"/>
    </row>
    <row r="9" spans="1:36" s="141" customFormat="1" ht="14.25" hidden="1" customHeight="1">
      <c r="C9" s="155"/>
      <c r="D9" s="156" t="s">
        <v>10</v>
      </c>
      <c r="E9" s="148" t="s">
        <v>60</v>
      </c>
      <c r="F9" s="149" t="s">
        <v>65</v>
      </c>
      <c r="G9" s="150"/>
      <c r="H9" s="150"/>
      <c r="I9" s="150"/>
      <c r="J9" s="152"/>
      <c r="K9" s="153"/>
      <c r="L9" s="151"/>
      <c r="M9" s="157"/>
      <c r="N9" s="150"/>
      <c r="O9" s="150"/>
      <c r="P9" s="150"/>
      <c r="Q9" s="152"/>
      <c r="R9" s="153"/>
      <c r="S9" s="158"/>
      <c r="T9" s="157"/>
      <c r="U9" s="150"/>
      <c r="V9" s="150"/>
      <c r="W9" s="150"/>
      <c r="X9" s="152"/>
      <c r="Y9" s="150"/>
      <c r="Z9" s="147"/>
      <c r="AA9" s="157"/>
      <c r="AB9" s="150"/>
      <c r="AC9" s="150"/>
      <c r="AD9" s="150"/>
      <c r="AE9" s="152"/>
      <c r="AI9" s="141" t="s">
        <v>62</v>
      </c>
    </row>
    <row r="10" spans="1:36" s="141" customFormat="1" ht="14.25" hidden="1" customHeight="1">
      <c r="D10" s="143"/>
      <c r="E10" s="146"/>
      <c r="K10" s="144"/>
      <c r="L10" s="145"/>
      <c r="M10" s="142"/>
    </row>
    <row r="11" spans="1:36" s="72" customFormat="1" ht="12" customHeight="1"/>
    <row r="12" spans="1:36" s="2" customFormat="1">
      <c r="B12"/>
      <c r="C12" s="190">
        <f>CurYear-1</f>
        <v>2019</v>
      </c>
      <c r="D12" s="5" t="str">
        <f t="shared" ref="D12:AH12" si="0">LEFT(TEXT(D13&amp;"-"&amp;$C13&amp;"-"&amp; CurYear-1,"ddd"),2)</f>
        <v>Mo</v>
      </c>
      <c r="E12" s="5" t="str">
        <f t="shared" si="0"/>
        <v>Tu</v>
      </c>
      <c r="F12" s="5" t="str">
        <f t="shared" si="0"/>
        <v>We</v>
      </c>
      <c r="G12" s="5" t="str">
        <f t="shared" si="0"/>
        <v>Th</v>
      </c>
      <c r="H12" s="5" t="str">
        <f t="shared" si="0"/>
        <v>Fr</v>
      </c>
      <c r="I12" s="5" t="str">
        <f t="shared" si="0"/>
        <v>Sa</v>
      </c>
      <c r="J12" s="5" t="str">
        <f t="shared" si="0"/>
        <v>Su</v>
      </c>
      <c r="K12" s="5" t="str">
        <f t="shared" si="0"/>
        <v>Mo</v>
      </c>
      <c r="L12" s="5" t="str">
        <f t="shared" si="0"/>
        <v>Tu</v>
      </c>
      <c r="M12" s="5" t="str">
        <f t="shared" si="0"/>
        <v>We</v>
      </c>
      <c r="N12" s="5" t="str">
        <f t="shared" si="0"/>
        <v>Th</v>
      </c>
      <c r="O12" s="5" t="str">
        <f t="shared" si="0"/>
        <v>Fr</v>
      </c>
      <c r="P12" s="5" t="str">
        <f t="shared" si="0"/>
        <v>Sa</v>
      </c>
      <c r="Q12" s="5" t="str">
        <f t="shared" si="0"/>
        <v>Su</v>
      </c>
      <c r="R12" s="5" t="str">
        <f t="shared" si="0"/>
        <v>Mo</v>
      </c>
      <c r="S12" s="5" t="str">
        <f t="shared" si="0"/>
        <v>Tu</v>
      </c>
      <c r="T12" s="5" t="str">
        <f t="shared" si="0"/>
        <v>We</v>
      </c>
      <c r="U12" s="5" t="str">
        <f t="shared" si="0"/>
        <v>Th</v>
      </c>
      <c r="V12" s="5" t="str">
        <f t="shared" si="0"/>
        <v>Fr</v>
      </c>
      <c r="W12" s="5" t="str">
        <f t="shared" si="0"/>
        <v>Sa</v>
      </c>
      <c r="X12" s="5" t="str">
        <f t="shared" si="0"/>
        <v>Su</v>
      </c>
      <c r="Y12" s="5" t="str">
        <f t="shared" si="0"/>
        <v>Mo</v>
      </c>
      <c r="Z12" s="5" t="str">
        <f t="shared" si="0"/>
        <v>Tu</v>
      </c>
      <c r="AA12" s="5" t="str">
        <f t="shared" si="0"/>
        <v>We</v>
      </c>
      <c r="AB12" s="5" t="str">
        <f t="shared" si="0"/>
        <v>Th</v>
      </c>
      <c r="AC12" s="5" t="str">
        <f t="shared" si="0"/>
        <v>Fr</v>
      </c>
      <c r="AD12" s="5" t="str">
        <f t="shared" si="0"/>
        <v>Sa</v>
      </c>
      <c r="AE12" s="5" t="str">
        <f t="shared" si="0"/>
        <v>Su</v>
      </c>
      <c r="AF12" s="5" t="str">
        <f t="shared" si="0"/>
        <v>Mo</v>
      </c>
      <c r="AG12" s="5" t="str">
        <f t="shared" si="0"/>
        <v>Tu</v>
      </c>
      <c r="AH12" s="5" t="str">
        <f t="shared" si="0"/>
        <v>We</v>
      </c>
      <c r="AJ12" s="2" t="s">
        <v>62</v>
      </c>
    </row>
    <row r="13" spans="1:36">
      <c r="B13" s="86"/>
      <c r="C13" s="191" t="s">
        <v>18</v>
      </c>
      <c r="D13" s="193">
        <v>1</v>
      </c>
      <c r="E13" s="193">
        <v>2</v>
      </c>
      <c r="F13" s="192">
        <v>3</v>
      </c>
      <c r="G13" s="193">
        <v>4</v>
      </c>
      <c r="H13" s="193">
        <v>5</v>
      </c>
      <c r="I13" s="193">
        <v>6</v>
      </c>
      <c r="J13" s="193">
        <v>7</v>
      </c>
      <c r="K13" s="193">
        <v>8</v>
      </c>
      <c r="L13" s="193">
        <v>9</v>
      </c>
      <c r="M13" s="193">
        <v>10</v>
      </c>
      <c r="N13" s="193">
        <v>11</v>
      </c>
      <c r="O13" s="193">
        <v>12</v>
      </c>
      <c r="P13" s="193">
        <v>13</v>
      </c>
      <c r="Q13" s="193">
        <v>14</v>
      </c>
      <c r="R13" s="193">
        <v>15</v>
      </c>
      <c r="S13" s="193">
        <v>16</v>
      </c>
      <c r="T13" s="192">
        <v>17</v>
      </c>
      <c r="U13" s="193">
        <v>18</v>
      </c>
      <c r="V13" s="193">
        <v>19</v>
      </c>
      <c r="W13" s="193">
        <v>20</v>
      </c>
      <c r="X13" s="193">
        <v>21</v>
      </c>
      <c r="Y13" s="193">
        <v>22</v>
      </c>
      <c r="Z13" s="193">
        <v>23</v>
      </c>
      <c r="AA13" s="193">
        <v>24</v>
      </c>
      <c r="AB13" s="193">
        <v>25</v>
      </c>
      <c r="AC13" s="193">
        <v>26</v>
      </c>
      <c r="AD13" s="193">
        <v>27</v>
      </c>
      <c r="AE13" s="193">
        <v>28</v>
      </c>
      <c r="AF13" s="193">
        <v>29</v>
      </c>
      <c r="AG13" s="193">
        <v>30</v>
      </c>
      <c r="AH13" s="192">
        <v>31</v>
      </c>
    </row>
    <row r="14" spans="1:36">
      <c r="B14" s="83">
        <v>1</v>
      </c>
      <c r="C14" s="87" t="str">
        <f>LEFT(EmpGName01)&amp;" " &amp; EmpSName01</f>
        <v>L Marampon</v>
      </c>
      <c r="D14" s="4" t="s">
        <v>62</v>
      </c>
      <c r="E14" s="4" t="s">
        <v>62</v>
      </c>
      <c r="F14" s="4" t="s">
        <v>62</v>
      </c>
      <c r="G14" s="4" t="s">
        <v>62</v>
      </c>
      <c r="H14" s="4" t="s">
        <v>62</v>
      </c>
      <c r="I14" s="4" t="s">
        <v>62</v>
      </c>
      <c r="J14" s="4" t="s">
        <v>62</v>
      </c>
      <c r="K14" s="4" t="s">
        <v>62</v>
      </c>
      <c r="L14" s="4" t="s">
        <v>62</v>
      </c>
      <c r="M14" s="4" t="s">
        <v>62</v>
      </c>
      <c r="N14" s="4" t="s">
        <v>62</v>
      </c>
      <c r="O14" s="4" t="s">
        <v>62</v>
      </c>
      <c r="P14" s="4" t="s">
        <v>62</v>
      </c>
      <c r="Q14" s="4" t="s">
        <v>62</v>
      </c>
      <c r="R14" s="4" t="s">
        <v>62</v>
      </c>
      <c r="S14" s="4" t="s">
        <v>62</v>
      </c>
      <c r="T14" s="4" t="s">
        <v>62</v>
      </c>
      <c r="U14" s="4" t="s">
        <v>62</v>
      </c>
      <c r="V14" s="4" t="s">
        <v>62</v>
      </c>
      <c r="W14" s="4" t="s">
        <v>62</v>
      </c>
      <c r="X14" s="4" t="s">
        <v>62</v>
      </c>
      <c r="Y14" s="4" t="s">
        <v>62</v>
      </c>
      <c r="Z14" s="4" t="s">
        <v>62</v>
      </c>
      <c r="AA14" s="4" t="s">
        <v>62</v>
      </c>
      <c r="AB14" s="4" t="s">
        <v>62</v>
      </c>
      <c r="AC14" s="4" t="s">
        <v>62</v>
      </c>
      <c r="AD14" s="4" t="s">
        <v>62</v>
      </c>
      <c r="AE14" s="4" t="s">
        <v>62</v>
      </c>
      <c r="AF14" s="4" t="s">
        <v>62</v>
      </c>
      <c r="AG14" s="4" t="s">
        <v>62</v>
      </c>
      <c r="AH14" s="4" t="s">
        <v>62</v>
      </c>
    </row>
    <row r="15" spans="1:36">
      <c r="B15" s="83">
        <v>2</v>
      </c>
      <c r="C15" s="88" t="str">
        <f>LEFT(EmpGName02)&amp;" " &amp;EmpSName02</f>
        <v>K Stone</v>
      </c>
      <c r="D15" s="3" t="s">
        <v>62</v>
      </c>
      <c r="E15" s="3" t="s">
        <v>62</v>
      </c>
      <c r="F15" s="3" t="s">
        <v>62</v>
      </c>
      <c r="G15" s="3" t="s">
        <v>62</v>
      </c>
      <c r="H15" s="3" t="s">
        <v>62</v>
      </c>
      <c r="I15" s="3" t="s">
        <v>62</v>
      </c>
      <c r="J15" s="3" t="s">
        <v>62</v>
      </c>
      <c r="K15" s="3" t="s">
        <v>62</v>
      </c>
      <c r="L15" s="3" t="s">
        <v>62</v>
      </c>
      <c r="M15" s="3" t="s">
        <v>62</v>
      </c>
      <c r="N15" s="3" t="s">
        <v>62</v>
      </c>
      <c r="O15" s="3" t="s">
        <v>62</v>
      </c>
      <c r="P15" s="3" t="s">
        <v>62</v>
      </c>
      <c r="Q15" s="3" t="s">
        <v>62</v>
      </c>
      <c r="R15" s="3" t="s">
        <v>62</v>
      </c>
      <c r="S15" s="3" t="s">
        <v>62</v>
      </c>
      <c r="T15" s="3" t="s">
        <v>62</v>
      </c>
      <c r="U15" s="3" t="s">
        <v>62</v>
      </c>
      <c r="V15" s="3" t="s">
        <v>62</v>
      </c>
      <c r="W15" s="3" t="s">
        <v>62</v>
      </c>
      <c r="X15" s="3" t="s">
        <v>62</v>
      </c>
      <c r="Y15" s="3" t="s">
        <v>62</v>
      </c>
      <c r="Z15" s="3" t="s">
        <v>62</v>
      </c>
      <c r="AA15" s="3" t="s">
        <v>62</v>
      </c>
      <c r="AB15" s="3" t="s">
        <v>62</v>
      </c>
      <c r="AC15" s="3" t="s">
        <v>62</v>
      </c>
      <c r="AD15" s="3" t="s">
        <v>62</v>
      </c>
      <c r="AE15" s="3" t="s">
        <v>62</v>
      </c>
      <c r="AF15" s="3" t="s">
        <v>62</v>
      </c>
      <c r="AG15" s="3" t="s">
        <v>62</v>
      </c>
      <c r="AH15" s="3" t="s">
        <v>62</v>
      </c>
    </row>
    <row r="16" spans="1:36">
      <c r="B16" s="83">
        <v>3</v>
      </c>
      <c r="C16" s="87" t="str">
        <f>LEFT(EmpGName03)&amp;" " &amp;EmpSName03</f>
        <v>I Thelning</v>
      </c>
      <c r="D16" s="4" t="s">
        <v>62</v>
      </c>
      <c r="E16" s="4" t="s">
        <v>62</v>
      </c>
      <c r="F16" s="4" t="s">
        <v>62</v>
      </c>
      <c r="G16" s="4" t="s">
        <v>62</v>
      </c>
      <c r="H16" s="4" t="s">
        <v>62</v>
      </c>
      <c r="I16" s="4" t="s">
        <v>62</v>
      </c>
      <c r="J16" s="4" t="s">
        <v>62</v>
      </c>
      <c r="K16" s="4" t="s">
        <v>62</v>
      </c>
      <c r="L16" s="4" t="s">
        <v>62</v>
      </c>
      <c r="M16" s="4" t="s">
        <v>62</v>
      </c>
      <c r="N16" s="4" t="s">
        <v>62</v>
      </c>
      <c r="O16" s="4" t="s">
        <v>62</v>
      </c>
      <c r="P16" s="4" t="s">
        <v>62</v>
      </c>
      <c r="Q16" s="4" t="s">
        <v>62</v>
      </c>
      <c r="R16" s="4" t="s">
        <v>62</v>
      </c>
      <c r="S16" s="4" t="s">
        <v>62</v>
      </c>
      <c r="T16" s="4" t="s">
        <v>62</v>
      </c>
      <c r="U16" s="4" t="s">
        <v>62</v>
      </c>
      <c r="V16" s="4" t="s">
        <v>62</v>
      </c>
      <c r="W16" s="4" t="s">
        <v>62</v>
      </c>
      <c r="X16" s="4" t="s">
        <v>62</v>
      </c>
      <c r="Y16" s="4" t="s">
        <v>62</v>
      </c>
      <c r="Z16" s="4" t="s">
        <v>62</v>
      </c>
      <c r="AA16" s="4" t="s">
        <v>62</v>
      </c>
      <c r="AB16" s="4" t="s">
        <v>62</v>
      </c>
      <c r="AC16" s="4" t="s">
        <v>62</v>
      </c>
      <c r="AD16" s="4" t="s">
        <v>62</v>
      </c>
      <c r="AE16" s="4" t="s">
        <v>62</v>
      </c>
      <c r="AF16" s="4" t="s">
        <v>62</v>
      </c>
      <c r="AG16" s="4" t="s">
        <v>62</v>
      </c>
      <c r="AH16" s="4" t="s">
        <v>62</v>
      </c>
    </row>
    <row r="17" spans="2:34">
      <c r="B17" s="83">
        <v>4</v>
      </c>
      <c r="C17" s="88" t="str">
        <f>LEFT(EmpGName04)&amp;" " &amp;EmpSName04</f>
        <v>L King</v>
      </c>
      <c r="D17" s="3" t="s">
        <v>62</v>
      </c>
      <c r="E17" s="3" t="s">
        <v>62</v>
      </c>
      <c r="F17" s="3" t="s">
        <v>62</v>
      </c>
      <c r="G17" s="3" t="s">
        <v>62</v>
      </c>
      <c r="H17" s="3" t="s">
        <v>62</v>
      </c>
      <c r="I17" s="3" t="s">
        <v>62</v>
      </c>
      <c r="J17" s="3" t="s">
        <v>62</v>
      </c>
      <c r="K17" s="3" t="s">
        <v>62</v>
      </c>
      <c r="L17" s="3" t="s">
        <v>62</v>
      </c>
      <c r="M17" s="3" t="s">
        <v>62</v>
      </c>
      <c r="N17" s="3" t="s">
        <v>62</v>
      </c>
      <c r="O17" s="3" t="s">
        <v>62</v>
      </c>
      <c r="P17" s="3" t="s">
        <v>62</v>
      </c>
      <c r="Q17" s="3" t="s">
        <v>62</v>
      </c>
      <c r="R17" s="3" t="s">
        <v>62</v>
      </c>
      <c r="S17" s="3" t="s">
        <v>62</v>
      </c>
      <c r="T17" s="3" t="s">
        <v>62</v>
      </c>
      <c r="U17" s="3" t="s">
        <v>62</v>
      </c>
      <c r="V17" s="3" t="s">
        <v>62</v>
      </c>
      <c r="W17" s="3" t="s">
        <v>62</v>
      </c>
      <c r="X17" s="3" t="s">
        <v>62</v>
      </c>
      <c r="Y17" s="3" t="s">
        <v>62</v>
      </c>
      <c r="Z17" s="3" t="s">
        <v>62</v>
      </c>
      <c r="AA17" s="3" t="s">
        <v>62</v>
      </c>
      <c r="AB17" s="3" t="s">
        <v>62</v>
      </c>
      <c r="AC17" s="3" t="s">
        <v>62</v>
      </c>
      <c r="AD17" s="3" t="s">
        <v>62</v>
      </c>
      <c r="AE17" s="3" t="s">
        <v>62</v>
      </c>
      <c r="AF17" s="3" t="s">
        <v>62</v>
      </c>
      <c r="AG17" s="3" t="s">
        <v>62</v>
      </c>
      <c r="AH17" s="3" t="s">
        <v>62</v>
      </c>
    </row>
    <row r="18" spans="2:34">
      <c r="B18" s="83">
        <v>5</v>
      </c>
      <c r="C18" s="87" t="str">
        <f>LEFT(EmpGName05)&amp;" " &amp;EmpSName05</f>
        <v>D Castle</v>
      </c>
      <c r="D18" s="4" t="s">
        <v>62</v>
      </c>
      <c r="E18" s="4" t="s">
        <v>62</v>
      </c>
      <c r="F18" s="4" t="s">
        <v>62</v>
      </c>
      <c r="G18" s="4" t="s">
        <v>62</v>
      </c>
      <c r="H18" s="4" t="s">
        <v>62</v>
      </c>
      <c r="I18" s="4" t="s">
        <v>62</v>
      </c>
      <c r="J18" s="4" t="s">
        <v>62</v>
      </c>
      <c r="K18" s="4" t="s">
        <v>62</v>
      </c>
      <c r="L18" s="4" t="s">
        <v>62</v>
      </c>
      <c r="M18" s="4" t="s">
        <v>62</v>
      </c>
      <c r="N18" s="4" t="s">
        <v>62</v>
      </c>
      <c r="O18" s="4" t="s">
        <v>62</v>
      </c>
      <c r="P18" s="4" t="s">
        <v>62</v>
      </c>
      <c r="Q18" s="4" t="s">
        <v>62</v>
      </c>
      <c r="R18" s="4" t="s">
        <v>62</v>
      </c>
      <c r="S18" s="4" t="s">
        <v>62</v>
      </c>
      <c r="T18" s="4" t="s">
        <v>62</v>
      </c>
      <c r="U18" s="4" t="s">
        <v>62</v>
      </c>
      <c r="V18" s="4" t="s">
        <v>62</v>
      </c>
      <c r="W18" s="4" t="s">
        <v>62</v>
      </c>
      <c r="X18" s="4" t="s">
        <v>62</v>
      </c>
      <c r="Y18" s="4" t="s">
        <v>62</v>
      </c>
      <c r="Z18" s="4" t="s">
        <v>62</v>
      </c>
      <c r="AA18" s="4" t="s">
        <v>62</v>
      </c>
      <c r="AB18" s="4" t="s">
        <v>62</v>
      </c>
      <c r="AC18" s="4" t="s">
        <v>62</v>
      </c>
      <c r="AD18" s="4" t="s">
        <v>62</v>
      </c>
      <c r="AE18" s="4" t="s">
        <v>62</v>
      </c>
      <c r="AF18" s="4" t="s">
        <v>62</v>
      </c>
      <c r="AG18" s="4" t="s">
        <v>62</v>
      </c>
      <c r="AH18" s="4" t="s">
        <v>62</v>
      </c>
    </row>
    <row r="19" spans="2:34">
      <c r="B19" s="83">
        <v>6</v>
      </c>
      <c r="C19" s="88" t="str">
        <f>LEFT(EmpGName06)&amp;" " &amp;EmpSName06</f>
        <v>R Fielding</v>
      </c>
      <c r="D19" s="3" t="s">
        <v>62</v>
      </c>
      <c r="E19" s="3" t="s">
        <v>62</v>
      </c>
      <c r="F19" s="3" t="s">
        <v>62</v>
      </c>
      <c r="G19" s="3" t="s">
        <v>62</v>
      </c>
      <c r="H19" s="3" t="s">
        <v>62</v>
      </c>
      <c r="I19" s="3" t="s">
        <v>62</v>
      </c>
      <c r="J19" s="3" t="s">
        <v>62</v>
      </c>
      <c r="K19" s="3" t="s">
        <v>62</v>
      </c>
      <c r="L19" s="3" t="s">
        <v>62</v>
      </c>
      <c r="M19" s="3" t="s">
        <v>62</v>
      </c>
      <c r="N19" s="3" t="s">
        <v>62</v>
      </c>
      <c r="O19" s="3" t="s">
        <v>62</v>
      </c>
      <c r="P19" s="3" t="s">
        <v>62</v>
      </c>
      <c r="Q19" s="3" t="s">
        <v>62</v>
      </c>
      <c r="R19" s="3" t="s">
        <v>62</v>
      </c>
      <c r="S19" s="3" t="s">
        <v>62</v>
      </c>
      <c r="T19" s="3" t="s">
        <v>62</v>
      </c>
      <c r="U19" s="3" t="s">
        <v>62</v>
      </c>
      <c r="V19" s="3" t="s">
        <v>62</v>
      </c>
      <c r="W19" s="3" t="s">
        <v>62</v>
      </c>
      <c r="X19" s="3" t="s">
        <v>62</v>
      </c>
      <c r="Y19" s="3" t="s">
        <v>62</v>
      </c>
      <c r="Z19" s="3" t="s">
        <v>62</v>
      </c>
      <c r="AA19" s="3" t="s">
        <v>62</v>
      </c>
      <c r="AB19" s="3" t="s">
        <v>62</v>
      </c>
      <c r="AC19" s="3" t="s">
        <v>62</v>
      </c>
      <c r="AD19" s="3" t="s">
        <v>62</v>
      </c>
      <c r="AE19" s="3" t="s">
        <v>62</v>
      </c>
      <c r="AF19" s="3" t="s">
        <v>62</v>
      </c>
      <c r="AG19" s="3" t="s">
        <v>62</v>
      </c>
      <c r="AH19" s="3" t="s">
        <v>62</v>
      </c>
    </row>
    <row r="20" spans="2:34">
      <c r="B20" s="83">
        <v>7</v>
      </c>
      <c r="C20" s="87" t="str">
        <f>LEFT(EmpGName07)&amp;" " &amp;EmpSName07</f>
        <v>T Sorensen</v>
      </c>
      <c r="D20" s="4" t="s">
        <v>62</v>
      </c>
      <c r="E20" s="4" t="s">
        <v>62</v>
      </c>
      <c r="F20" s="4" t="s">
        <v>62</v>
      </c>
      <c r="G20" s="4" t="s">
        <v>62</v>
      </c>
      <c r="H20" s="4" t="s">
        <v>62</v>
      </c>
      <c r="I20" s="4" t="s">
        <v>62</v>
      </c>
      <c r="J20" s="4" t="s">
        <v>62</v>
      </c>
      <c r="K20" s="4" t="s">
        <v>62</v>
      </c>
      <c r="L20" s="4" t="s">
        <v>62</v>
      </c>
      <c r="M20" s="4" t="s">
        <v>62</v>
      </c>
      <c r="N20" s="4" t="s">
        <v>62</v>
      </c>
      <c r="O20" s="4" t="s">
        <v>62</v>
      </c>
      <c r="P20" s="4" t="s">
        <v>62</v>
      </c>
      <c r="Q20" s="4" t="s">
        <v>62</v>
      </c>
      <c r="R20" s="4" t="s">
        <v>62</v>
      </c>
      <c r="S20" s="4" t="s">
        <v>62</v>
      </c>
      <c r="T20" s="4" t="s">
        <v>62</v>
      </c>
      <c r="U20" s="4" t="s">
        <v>62</v>
      </c>
      <c r="V20" s="4" t="s">
        <v>62</v>
      </c>
      <c r="W20" s="4" t="s">
        <v>62</v>
      </c>
      <c r="X20" s="4" t="s">
        <v>62</v>
      </c>
      <c r="Y20" s="4" t="s">
        <v>62</v>
      </c>
      <c r="Z20" s="4" t="s">
        <v>62</v>
      </c>
      <c r="AA20" s="4" t="s">
        <v>62</v>
      </c>
      <c r="AB20" s="4" t="s">
        <v>62</v>
      </c>
      <c r="AC20" s="4" t="s">
        <v>62</v>
      </c>
      <c r="AD20" s="4" t="s">
        <v>62</v>
      </c>
      <c r="AE20" s="4" t="s">
        <v>62</v>
      </c>
      <c r="AF20" s="4" t="s">
        <v>62</v>
      </c>
      <c r="AG20" s="4" t="s">
        <v>62</v>
      </c>
      <c r="AH20" s="4" t="s">
        <v>62</v>
      </c>
    </row>
    <row r="21" spans="2:34">
      <c r="B21" s="83">
        <v>8</v>
      </c>
      <c r="C21" s="88" t="str">
        <f>LEFT(EmpGName08)&amp;" " &amp;EmpSName08</f>
        <v>C Horse</v>
      </c>
      <c r="D21" s="3" t="s">
        <v>62</v>
      </c>
      <c r="E21" s="3" t="s">
        <v>62</v>
      </c>
      <c r="F21" s="3" t="s">
        <v>62</v>
      </c>
      <c r="G21" s="3" t="s">
        <v>62</v>
      </c>
      <c r="H21" s="3" t="s">
        <v>62</v>
      </c>
      <c r="I21" s="3" t="s">
        <v>62</v>
      </c>
      <c r="J21" s="3" t="s">
        <v>62</v>
      </c>
      <c r="K21" s="3" t="s">
        <v>62</v>
      </c>
      <c r="L21" s="3" t="s">
        <v>62</v>
      </c>
      <c r="M21" s="3" t="s">
        <v>62</v>
      </c>
      <c r="N21" s="3" t="s">
        <v>62</v>
      </c>
      <c r="O21" s="3" t="s">
        <v>62</v>
      </c>
      <c r="P21" s="3" t="s">
        <v>62</v>
      </c>
      <c r="Q21" s="3" t="s">
        <v>62</v>
      </c>
      <c r="R21" s="3" t="s">
        <v>62</v>
      </c>
      <c r="S21" s="3" t="s">
        <v>62</v>
      </c>
      <c r="T21" s="3" t="s">
        <v>62</v>
      </c>
      <c r="U21" s="3" t="s">
        <v>62</v>
      </c>
      <c r="V21" s="3" t="s">
        <v>62</v>
      </c>
      <c r="W21" s="3" t="s">
        <v>62</v>
      </c>
      <c r="X21" s="3" t="s">
        <v>62</v>
      </c>
      <c r="Y21" s="3" t="s">
        <v>62</v>
      </c>
      <c r="Z21" s="3" t="s">
        <v>62</v>
      </c>
      <c r="AA21" s="3" t="s">
        <v>62</v>
      </c>
      <c r="AB21" s="3" t="s">
        <v>62</v>
      </c>
      <c r="AC21" s="3" t="s">
        <v>62</v>
      </c>
      <c r="AD21" s="3" t="s">
        <v>62</v>
      </c>
      <c r="AE21" s="3" t="s">
        <v>62</v>
      </c>
      <c r="AF21" s="3" t="s">
        <v>62</v>
      </c>
      <c r="AG21" s="3" t="s">
        <v>62</v>
      </c>
      <c r="AH21" s="3" t="s">
        <v>62</v>
      </c>
    </row>
    <row r="22" spans="2:34">
      <c r="B22" s="83">
        <v>9</v>
      </c>
      <c r="C22" s="87" t="str">
        <f>LEFT(EmpGName09)&amp;" " &amp;EmpSName09</f>
        <v xml:space="preserve">E Horse </v>
      </c>
      <c r="D22" s="4" t="s">
        <v>62</v>
      </c>
      <c r="E22" s="4" t="s">
        <v>62</v>
      </c>
      <c r="F22" s="4" t="s">
        <v>62</v>
      </c>
      <c r="G22" s="4" t="s">
        <v>62</v>
      </c>
      <c r="H22" s="4" t="s">
        <v>62</v>
      </c>
      <c r="I22" s="4" t="s">
        <v>62</v>
      </c>
      <c r="J22" s="4" t="s">
        <v>62</v>
      </c>
      <c r="K22" s="4" t="s">
        <v>62</v>
      </c>
      <c r="L22" s="4" t="s">
        <v>62</v>
      </c>
      <c r="M22" s="4" t="s">
        <v>62</v>
      </c>
      <c r="N22" s="4" t="s">
        <v>62</v>
      </c>
      <c r="O22" s="4" t="s">
        <v>62</v>
      </c>
      <c r="P22" s="4" t="s">
        <v>62</v>
      </c>
      <c r="Q22" s="4" t="s">
        <v>62</v>
      </c>
      <c r="R22" s="4" t="s">
        <v>62</v>
      </c>
      <c r="S22" s="4" t="s">
        <v>62</v>
      </c>
      <c r="T22" s="4" t="s">
        <v>62</v>
      </c>
      <c r="U22" s="4" t="s">
        <v>62</v>
      </c>
      <c r="V22" s="4" t="s">
        <v>62</v>
      </c>
      <c r="W22" s="4" t="s">
        <v>62</v>
      </c>
      <c r="X22" s="4" t="s">
        <v>62</v>
      </c>
      <c r="Y22" s="4" t="s">
        <v>62</v>
      </c>
      <c r="Z22" s="4" t="s">
        <v>62</v>
      </c>
      <c r="AA22" s="4" t="s">
        <v>62</v>
      </c>
      <c r="AB22" s="4" t="s">
        <v>62</v>
      </c>
      <c r="AC22" s="4" t="s">
        <v>62</v>
      </c>
      <c r="AD22" s="4" t="s">
        <v>62</v>
      </c>
      <c r="AE22" s="4" t="s">
        <v>62</v>
      </c>
      <c r="AF22" s="4" t="s">
        <v>62</v>
      </c>
      <c r="AG22" s="4" t="s">
        <v>62</v>
      </c>
      <c r="AH22" s="4" t="s">
        <v>62</v>
      </c>
    </row>
    <row r="23" spans="2:34">
      <c r="B23" s="139">
        <v>10</v>
      </c>
      <c r="C23" s="88" t="str">
        <f>LEFT(EmpGName10)&amp;" " &amp;EmpSName10</f>
        <v>J Smeegal</v>
      </c>
      <c r="D23" s="3" t="s">
        <v>62</v>
      </c>
      <c r="E23" s="3" t="s">
        <v>62</v>
      </c>
      <c r="F23" s="3" t="s">
        <v>62</v>
      </c>
      <c r="G23" s="3" t="s">
        <v>62</v>
      </c>
      <c r="H23" s="3" t="s">
        <v>62</v>
      </c>
      <c r="I23" s="3" t="s">
        <v>62</v>
      </c>
      <c r="J23" s="3" t="s">
        <v>62</v>
      </c>
      <c r="K23" s="3" t="s">
        <v>62</v>
      </c>
      <c r="L23" s="3" t="s">
        <v>62</v>
      </c>
      <c r="M23" s="3" t="s">
        <v>62</v>
      </c>
      <c r="N23" s="3" t="s">
        <v>62</v>
      </c>
      <c r="O23" s="3" t="s">
        <v>62</v>
      </c>
      <c r="P23" s="3" t="s">
        <v>62</v>
      </c>
      <c r="Q23" s="3" t="s">
        <v>62</v>
      </c>
      <c r="R23" s="3" t="s">
        <v>62</v>
      </c>
      <c r="S23" s="3" t="s">
        <v>62</v>
      </c>
      <c r="T23" s="3" t="s">
        <v>62</v>
      </c>
      <c r="U23" s="3" t="s">
        <v>62</v>
      </c>
      <c r="V23" s="3" t="s">
        <v>62</v>
      </c>
      <c r="W23" s="3" t="s">
        <v>62</v>
      </c>
      <c r="X23" s="3" t="s">
        <v>62</v>
      </c>
      <c r="Y23" s="3" t="s">
        <v>62</v>
      </c>
      <c r="Z23" s="3" t="s">
        <v>62</v>
      </c>
      <c r="AA23" s="3" t="s">
        <v>62</v>
      </c>
      <c r="AB23" s="3" t="s">
        <v>62</v>
      </c>
      <c r="AC23" s="3" t="s">
        <v>62</v>
      </c>
      <c r="AD23" s="3" t="s">
        <v>62</v>
      </c>
      <c r="AE23" s="3" t="s">
        <v>62</v>
      </c>
      <c r="AF23" s="3" t="s">
        <v>62</v>
      </c>
      <c r="AG23" s="3" t="s">
        <v>62</v>
      </c>
      <c r="AH23" s="3" t="s">
        <v>62</v>
      </c>
    </row>
    <row r="24" spans="2:34">
      <c r="B24" s="139">
        <v>11</v>
      </c>
      <c r="C24" s="87" t="str">
        <f>LEFT(EmpGName11)&amp;" " &amp;EmpSName11</f>
        <v>E Smeegal</v>
      </c>
      <c r="D24" s="4" t="s">
        <v>62</v>
      </c>
      <c r="E24" s="4" t="s">
        <v>62</v>
      </c>
      <c r="F24" s="4" t="s">
        <v>62</v>
      </c>
      <c r="G24" s="4" t="s">
        <v>62</v>
      </c>
      <c r="H24" s="4" t="s">
        <v>62</v>
      </c>
      <c r="I24" s="4" t="s">
        <v>62</v>
      </c>
      <c r="J24" s="4" t="s">
        <v>62</v>
      </c>
      <c r="K24" s="4" t="s">
        <v>62</v>
      </c>
      <c r="L24" s="4" t="s">
        <v>62</v>
      </c>
      <c r="M24" s="4" t="s">
        <v>62</v>
      </c>
      <c r="N24" s="4" t="s">
        <v>62</v>
      </c>
      <c r="O24" s="4" t="s">
        <v>62</v>
      </c>
      <c r="P24" s="4" t="s">
        <v>62</v>
      </c>
      <c r="Q24" s="4" t="s">
        <v>62</v>
      </c>
      <c r="R24" s="4" t="s">
        <v>62</v>
      </c>
      <c r="S24" s="4" t="s">
        <v>62</v>
      </c>
      <c r="T24" s="4" t="s">
        <v>62</v>
      </c>
      <c r="U24" s="4" t="s">
        <v>62</v>
      </c>
      <c r="V24" s="4" t="s">
        <v>62</v>
      </c>
      <c r="W24" s="4" t="s">
        <v>62</v>
      </c>
      <c r="X24" s="4" t="s">
        <v>62</v>
      </c>
      <c r="Y24" s="4" t="s">
        <v>62</v>
      </c>
      <c r="Z24" s="4" t="s">
        <v>62</v>
      </c>
      <c r="AA24" s="4" t="s">
        <v>62</v>
      </c>
      <c r="AB24" s="4" t="s">
        <v>62</v>
      </c>
      <c r="AC24" s="4" t="s">
        <v>62</v>
      </c>
      <c r="AD24" s="4" t="s">
        <v>62</v>
      </c>
      <c r="AE24" s="4" t="s">
        <v>62</v>
      </c>
      <c r="AF24" s="4" t="s">
        <v>62</v>
      </c>
      <c r="AG24" s="4" t="s">
        <v>62</v>
      </c>
      <c r="AH24" s="4" t="s">
        <v>62</v>
      </c>
    </row>
    <row r="25" spans="2:34">
      <c r="B25" s="139">
        <v>12</v>
      </c>
      <c r="C25" s="88" t="str">
        <f>LEFT(EmpGName12)&amp;" " &amp;EmpSName12</f>
        <v>J James</v>
      </c>
      <c r="D25" s="3" t="s">
        <v>62</v>
      </c>
      <c r="E25" s="3" t="s">
        <v>62</v>
      </c>
      <c r="F25" s="3" t="s">
        <v>62</v>
      </c>
      <c r="G25" s="3" t="s">
        <v>62</v>
      </c>
      <c r="H25" s="3" t="s">
        <v>62</v>
      </c>
      <c r="I25" s="3" t="s">
        <v>62</v>
      </c>
      <c r="J25" s="3" t="s">
        <v>62</v>
      </c>
      <c r="K25" s="3" t="s">
        <v>62</v>
      </c>
      <c r="L25" s="3" t="s">
        <v>62</v>
      </c>
      <c r="M25" s="3" t="s">
        <v>62</v>
      </c>
      <c r="N25" s="3" t="s">
        <v>62</v>
      </c>
      <c r="O25" s="3" t="s">
        <v>62</v>
      </c>
      <c r="P25" s="3" t="s">
        <v>62</v>
      </c>
      <c r="Q25" s="3" t="s">
        <v>62</v>
      </c>
      <c r="R25" s="3" t="s">
        <v>62</v>
      </c>
      <c r="S25" s="3" t="s">
        <v>62</v>
      </c>
      <c r="T25" s="3" t="s">
        <v>62</v>
      </c>
      <c r="U25" s="3" t="s">
        <v>62</v>
      </c>
      <c r="V25" s="3" t="s">
        <v>62</v>
      </c>
      <c r="W25" s="3" t="s">
        <v>62</v>
      </c>
      <c r="X25" s="3" t="s">
        <v>62</v>
      </c>
      <c r="Y25" s="3" t="s">
        <v>62</v>
      </c>
      <c r="Z25" s="3" t="s">
        <v>62</v>
      </c>
      <c r="AA25" s="3" t="s">
        <v>62</v>
      </c>
      <c r="AB25" s="3" t="s">
        <v>62</v>
      </c>
      <c r="AC25" s="3" t="s">
        <v>62</v>
      </c>
      <c r="AD25" s="3" t="s">
        <v>62</v>
      </c>
      <c r="AE25" s="3" t="s">
        <v>62</v>
      </c>
      <c r="AF25" s="3" t="s">
        <v>62</v>
      </c>
      <c r="AG25" s="3" t="s">
        <v>62</v>
      </c>
      <c r="AH25" s="3" t="s">
        <v>62</v>
      </c>
    </row>
    <row r="26" spans="2:34">
      <c r="B26" s="139">
        <v>13</v>
      </c>
      <c r="C26" s="87" t="str">
        <f>LEFT(EmpGName13)&amp;" " &amp;EmpSName13</f>
        <v>J Jack</v>
      </c>
      <c r="D26" s="4" t="s">
        <v>62</v>
      </c>
      <c r="E26" s="4" t="s">
        <v>62</v>
      </c>
      <c r="F26" s="4" t="s">
        <v>62</v>
      </c>
      <c r="G26" s="4" t="s">
        <v>62</v>
      </c>
      <c r="H26" s="4" t="s">
        <v>62</v>
      </c>
      <c r="I26" s="4" t="s">
        <v>62</v>
      </c>
      <c r="J26" s="4" t="s">
        <v>62</v>
      </c>
      <c r="K26" s="4" t="s">
        <v>62</v>
      </c>
      <c r="L26" s="4" t="s">
        <v>62</v>
      </c>
      <c r="M26" s="4" t="s">
        <v>62</v>
      </c>
      <c r="N26" s="4" t="s">
        <v>62</v>
      </c>
      <c r="O26" s="4" t="s">
        <v>62</v>
      </c>
      <c r="P26" s="4" t="s">
        <v>62</v>
      </c>
      <c r="Q26" s="4" t="s">
        <v>62</v>
      </c>
      <c r="R26" s="4" t="s">
        <v>62</v>
      </c>
      <c r="S26" s="4" t="s">
        <v>62</v>
      </c>
      <c r="T26" s="4" t="s">
        <v>62</v>
      </c>
      <c r="U26" s="4" t="s">
        <v>62</v>
      </c>
      <c r="V26" s="4" t="s">
        <v>62</v>
      </c>
      <c r="W26" s="4" t="s">
        <v>62</v>
      </c>
      <c r="X26" s="4" t="s">
        <v>62</v>
      </c>
      <c r="Y26" s="4" t="s">
        <v>62</v>
      </c>
      <c r="Z26" s="4" t="s">
        <v>62</v>
      </c>
      <c r="AA26" s="4" t="s">
        <v>62</v>
      </c>
      <c r="AB26" s="4" t="s">
        <v>62</v>
      </c>
      <c r="AC26" s="4" t="s">
        <v>62</v>
      </c>
      <c r="AD26" s="4" t="s">
        <v>62</v>
      </c>
      <c r="AE26" s="4" t="s">
        <v>62</v>
      </c>
      <c r="AF26" s="4" t="s">
        <v>62</v>
      </c>
      <c r="AG26" s="4" t="s">
        <v>62</v>
      </c>
      <c r="AH26" s="4" t="s">
        <v>62</v>
      </c>
    </row>
    <row r="27" spans="2:34">
      <c r="B27" s="139">
        <v>14</v>
      </c>
      <c r="C27" s="88" t="str">
        <f>LEFT(EmpGName14)&amp;" " &amp;EmpSName14</f>
        <v xml:space="preserve">J Jacky </v>
      </c>
      <c r="D27" s="3" t="s">
        <v>62</v>
      </c>
      <c r="E27" s="3" t="s">
        <v>62</v>
      </c>
      <c r="F27" s="3" t="s">
        <v>62</v>
      </c>
      <c r="G27" s="3" t="s">
        <v>62</v>
      </c>
      <c r="H27" s="3" t="s">
        <v>62</v>
      </c>
      <c r="I27" s="3" t="s">
        <v>62</v>
      </c>
      <c r="J27" s="3" t="s">
        <v>62</v>
      </c>
      <c r="K27" s="3" t="s">
        <v>62</v>
      </c>
      <c r="L27" s="3" t="s">
        <v>62</v>
      </c>
      <c r="M27" s="3" t="s">
        <v>62</v>
      </c>
      <c r="N27" s="3" t="s">
        <v>62</v>
      </c>
      <c r="O27" s="3" t="s">
        <v>62</v>
      </c>
      <c r="P27" s="3" t="s">
        <v>62</v>
      </c>
      <c r="Q27" s="3" t="s">
        <v>62</v>
      </c>
      <c r="R27" s="3" t="s">
        <v>62</v>
      </c>
      <c r="S27" s="3" t="s">
        <v>62</v>
      </c>
      <c r="T27" s="3" t="s">
        <v>62</v>
      </c>
      <c r="U27" s="3" t="s">
        <v>62</v>
      </c>
      <c r="V27" s="3" t="s">
        <v>62</v>
      </c>
      <c r="W27" s="3" t="s">
        <v>62</v>
      </c>
      <c r="X27" s="3" t="s">
        <v>62</v>
      </c>
      <c r="Y27" s="3" t="s">
        <v>62</v>
      </c>
      <c r="Z27" s="3" t="s">
        <v>62</v>
      </c>
      <c r="AA27" s="3" t="s">
        <v>62</v>
      </c>
      <c r="AB27" s="3" t="s">
        <v>62</v>
      </c>
      <c r="AC27" s="3" t="s">
        <v>62</v>
      </c>
      <c r="AD27" s="3" t="s">
        <v>62</v>
      </c>
      <c r="AE27" s="3" t="s">
        <v>62</v>
      </c>
      <c r="AF27" s="3" t="s">
        <v>62</v>
      </c>
      <c r="AG27" s="3" t="s">
        <v>62</v>
      </c>
      <c r="AH27" s="3" t="s">
        <v>62</v>
      </c>
    </row>
    <row r="28" spans="2:34">
      <c r="B28" s="139">
        <v>15</v>
      </c>
      <c r="C28" s="87" t="str">
        <f>LEFT(EmpGName15)&amp;" " &amp;EmpSName15</f>
        <v>J Friedle</v>
      </c>
      <c r="D28" s="4" t="s">
        <v>62</v>
      </c>
      <c r="E28" s="4" t="s">
        <v>62</v>
      </c>
      <c r="F28" s="4" t="s">
        <v>62</v>
      </c>
      <c r="G28" s="4" t="s">
        <v>62</v>
      </c>
      <c r="H28" s="4" t="s">
        <v>62</v>
      </c>
      <c r="I28" s="4" t="s">
        <v>62</v>
      </c>
      <c r="J28" s="4" t="s">
        <v>62</v>
      </c>
      <c r="K28" s="4" t="s">
        <v>62</v>
      </c>
      <c r="L28" s="4" t="s">
        <v>62</v>
      </c>
      <c r="M28" s="4" t="s">
        <v>62</v>
      </c>
      <c r="N28" s="4" t="s">
        <v>62</v>
      </c>
      <c r="O28" s="4" t="s">
        <v>62</v>
      </c>
      <c r="P28" s="4" t="s">
        <v>62</v>
      </c>
      <c r="Q28" s="4" t="s">
        <v>62</v>
      </c>
      <c r="R28" s="4" t="s">
        <v>62</v>
      </c>
      <c r="S28" s="4" t="s">
        <v>62</v>
      </c>
      <c r="T28" s="4" t="s">
        <v>62</v>
      </c>
      <c r="U28" s="4" t="s">
        <v>62</v>
      </c>
      <c r="V28" s="4" t="s">
        <v>62</v>
      </c>
      <c r="W28" s="4" t="s">
        <v>62</v>
      </c>
      <c r="X28" s="4" t="s">
        <v>62</v>
      </c>
      <c r="Y28" s="4" t="s">
        <v>62</v>
      </c>
      <c r="Z28" s="4" t="s">
        <v>62</v>
      </c>
      <c r="AA28" s="4" t="s">
        <v>62</v>
      </c>
      <c r="AB28" s="4" t="s">
        <v>62</v>
      </c>
      <c r="AC28" s="4" t="s">
        <v>62</v>
      </c>
      <c r="AD28" s="4" t="s">
        <v>62</v>
      </c>
      <c r="AE28" s="4" t="s">
        <v>62</v>
      </c>
      <c r="AF28" s="4" t="s">
        <v>62</v>
      </c>
      <c r="AG28" s="4" t="s">
        <v>62</v>
      </c>
      <c r="AH28" s="4" t="s">
        <v>62</v>
      </c>
    </row>
    <row r="29" spans="2:34">
      <c r="B29" s="139">
        <v>16</v>
      </c>
      <c r="C29" s="88" t="str">
        <f>LEFT(EmpGName16)&amp;" " &amp;EmpSName16</f>
        <v>J Friedle</v>
      </c>
      <c r="D29" s="3" t="s">
        <v>62</v>
      </c>
      <c r="E29" s="3" t="s">
        <v>62</v>
      </c>
      <c r="F29" s="3" t="s">
        <v>62</v>
      </c>
      <c r="G29" s="3" t="s">
        <v>62</v>
      </c>
      <c r="H29" s="3" t="s">
        <v>62</v>
      </c>
      <c r="I29" s="3" t="s">
        <v>62</v>
      </c>
      <c r="J29" s="3" t="s">
        <v>62</v>
      </c>
      <c r="K29" s="3" t="s">
        <v>62</v>
      </c>
      <c r="L29" s="3" t="s">
        <v>62</v>
      </c>
      <c r="M29" s="3" t="s">
        <v>62</v>
      </c>
      <c r="N29" s="3" t="s">
        <v>62</v>
      </c>
      <c r="O29" s="3" t="s">
        <v>62</v>
      </c>
      <c r="P29" s="3" t="s">
        <v>62</v>
      </c>
      <c r="Q29" s="3" t="s">
        <v>62</v>
      </c>
      <c r="R29" s="3" t="s">
        <v>62</v>
      </c>
      <c r="S29" s="3" t="s">
        <v>62</v>
      </c>
      <c r="T29" s="3" t="s">
        <v>62</v>
      </c>
      <c r="U29" s="3" t="s">
        <v>62</v>
      </c>
      <c r="V29" s="3" t="s">
        <v>62</v>
      </c>
      <c r="W29" s="3" t="s">
        <v>62</v>
      </c>
      <c r="X29" s="3" t="s">
        <v>62</v>
      </c>
      <c r="Y29" s="3" t="s">
        <v>62</v>
      </c>
      <c r="Z29" s="3" t="s">
        <v>62</v>
      </c>
      <c r="AA29" s="3" t="s">
        <v>62</v>
      </c>
      <c r="AB29" s="3" t="s">
        <v>62</v>
      </c>
      <c r="AC29" s="3" t="s">
        <v>62</v>
      </c>
      <c r="AD29" s="3" t="s">
        <v>62</v>
      </c>
      <c r="AE29" s="3" t="s">
        <v>62</v>
      </c>
      <c r="AF29" s="3" t="s">
        <v>62</v>
      </c>
      <c r="AG29" s="3" t="s">
        <v>62</v>
      </c>
      <c r="AH29" s="3" t="s">
        <v>62</v>
      </c>
    </row>
    <row r="30" spans="2:34">
      <c r="B30" s="139">
        <v>17</v>
      </c>
      <c r="C30" s="87" t="str">
        <f>LEFT(EmpGName17)&amp;" " &amp;EmpSName17</f>
        <v>J Smart</v>
      </c>
      <c r="D30" s="4" t="s">
        <v>62</v>
      </c>
      <c r="E30" s="4" t="s">
        <v>62</v>
      </c>
      <c r="F30" s="4" t="s">
        <v>62</v>
      </c>
      <c r="G30" s="4" t="s">
        <v>62</v>
      </c>
      <c r="H30" s="4" t="s">
        <v>62</v>
      </c>
      <c r="I30" s="4" t="s">
        <v>62</v>
      </c>
      <c r="J30" s="4" t="s">
        <v>62</v>
      </c>
      <c r="K30" s="4" t="s">
        <v>62</v>
      </c>
      <c r="L30" s="4" t="s">
        <v>62</v>
      </c>
      <c r="M30" s="4" t="s">
        <v>62</v>
      </c>
      <c r="N30" s="4" t="s">
        <v>62</v>
      </c>
      <c r="O30" s="4" t="s">
        <v>62</v>
      </c>
      <c r="P30" s="4" t="s">
        <v>62</v>
      </c>
      <c r="Q30" s="4" t="s">
        <v>62</v>
      </c>
      <c r="R30" s="4" t="s">
        <v>62</v>
      </c>
      <c r="S30" s="4" t="s">
        <v>62</v>
      </c>
      <c r="T30" s="4" t="s">
        <v>62</v>
      </c>
      <c r="U30" s="4" t="s">
        <v>62</v>
      </c>
      <c r="V30" s="4" t="s">
        <v>62</v>
      </c>
      <c r="W30" s="4" t="s">
        <v>62</v>
      </c>
      <c r="X30" s="4" t="s">
        <v>62</v>
      </c>
      <c r="Y30" s="4" t="s">
        <v>62</v>
      </c>
      <c r="Z30" s="4" t="s">
        <v>62</v>
      </c>
      <c r="AA30" s="4" t="s">
        <v>62</v>
      </c>
      <c r="AB30" s="4" t="s">
        <v>62</v>
      </c>
      <c r="AC30" s="4" t="s">
        <v>62</v>
      </c>
      <c r="AD30" s="4" t="s">
        <v>62</v>
      </c>
      <c r="AE30" s="4" t="s">
        <v>62</v>
      </c>
      <c r="AF30" s="4" t="s">
        <v>62</v>
      </c>
      <c r="AG30" s="4" t="s">
        <v>62</v>
      </c>
      <c r="AH30" s="4" t="s">
        <v>62</v>
      </c>
    </row>
    <row r="31" spans="2:34">
      <c r="B31" s="139">
        <v>18</v>
      </c>
      <c r="C31" s="88" t="str">
        <f>LEFT(EmpGName18)&amp;" " &amp;EmpSName18</f>
        <v>E Smart</v>
      </c>
      <c r="D31" s="3" t="s">
        <v>62</v>
      </c>
      <c r="E31" s="3" t="s">
        <v>62</v>
      </c>
      <c r="F31" s="3" t="s">
        <v>62</v>
      </c>
      <c r="G31" s="3" t="s">
        <v>62</v>
      </c>
      <c r="H31" s="3" t="s">
        <v>62</v>
      </c>
      <c r="I31" s="3" t="s">
        <v>62</v>
      </c>
      <c r="J31" s="3" t="s">
        <v>62</v>
      </c>
      <c r="K31" s="3" t="s">
        <v>62</v>
      </c>
      <c r="L31" s="3" t="s">
        <v>62</v>
      </c>
      <c r="M31" s="3" t="s">
        <v>62</v>
      </c>
      <c r="N31" s="3" t="s">
        <v>62</v>
      </c>
      <c r="O31" s="3" t="s">
        <v>62</v>
      </c>
      <c r="P31" s="3" t="s">
        <v>62</v>
      </c>
      <c r="Q31" s="3" t="s">
        <v>62</v>
      </c>
      <c r="R31" s="3" t="s">
        <v>62</v>
      </c>
      <c r="S31" s="3" t="s">
        <v>62</v>
      </c>
      <c r="T31" s="3" t="s">
        <v>62</v>
      </c>
      <c r="U31" s="3" t="s">
        <v>62</v>
      </c>
      <c r="V31" s="3" t="s">
        <v>62</v>
      </c>
      <c r="W31" s="3" t="s">
        <v>62</v>
      </c>
      <c r="X31" s="3" t="s">
        <v>62</v>
      </c>
      <c r="Y31" s="3" t="s">
        <v>62</v>
      </c>
      <c r="Z31" s="3" t="s">
        <v>62</v>
      </c>
      <c r="AA31" s="3" t="s">
        <v>62</v>
      </c>
      <c r="AB31" s="3" t="s">
        <v>62</v>
      </c>
      <c r="AC31" s="3" t="s">
        <v>62</v>
      </c>
      <c r="AD31" s="3" t="s">
        <v>62</v>
      </c>
      <c r="AE31" s="3" t="s">
        <v>62</v>
      </c>
      <c r="AF31" s="3" t="s">
        <v>62</v>
      </c>
      <c r="AG31" s="3" t="s">
        <v>62</v>
      </c>
      <c r="AH31" s="3" t="s">
        <v>62</v>
      </c>
    </row>
    <row r="32" spans="2:34" hidden="1">
      <c r="B32" s="139">
        <v>19</v>
      </c>
      <c r="C32" s="87" t="str">
        <f>LEFT(EmpGName19)&amp;" " &amp;EmpSName19</f>
        <v xml:space="preserve"> </v>
      </c>
      <c r="D32" s="4" t="s">
        <v>62</v>
      </c>
      <c r="E32" s="4" t="s">
        <v>62</v>
      </c>
      <c r="F32" s="4" t="s">
        <v>62</v>
      </c>
      <c r="G32" s="4" t="s">
        <v>62</v>
      </c>
      <c r="H32" s="4" t="s">
        <v>62</v>
      </c>
      <c r="I32" s="4" t="s">
        <v>62</v>
      </c>
      <c r="J32" s="4" t="s">
        <v>62</v>
      </c>
      <c r="K32" s="4" t="s">
        <v>62</v>
      </c>
      <c r="L32" s="4" t="s">
        <v>62</v>
      </c>
      <c r="M32" s="4" t="s">
        <v>62</v>
      </c>
      <c r="N32" s="4" t="s">
        <v>62</v>
      </c>
      <c r="O32" s="4" t="s">
        <v>62</v>
      </c>
      <c r="P32" s="4" t="s">
        <v>62</v>
      </c>
      <c r="Q32" s="4" t="s">
        <v>62</v>
      </c>
      <c r="R32" s="4" t="s">
        <v>62</v>
      </c>
      <c r="S32" s="4" t="s">
        <v>62</v>
      </c>
      <c r="T32" s="4" t="s">
        <v>62</v>
      </c>
      <c r="U32" s="4" t="s">
        <v>62</v>
      </c>
      <c r="V32" s="4" t="s">
        <v>62</v>
      </c>
      <c r="W32" s="4" t="s">
        <v>62</v>
      </c>
      <c r="X32" s="4" t="s">
        <v>62</v>
      </c>
      <c r="Y32" s="4" t="s">
        <v>62</v>
      </c>
      <c r="Z32" s="4" t="s">
        <v>62</v>
      </c>
      <c r="AA32" s="4" t="s">
        <v>62</v>
      </c>
      <c r="AB32" s="4" t="s">
        <v>62</v>
      </c>
      <c r="AC32" s="4" t="s">
        <v>62</v>
      </c>
      <c r="AD32" s="4" t="s">
        <v>62</v>
      </c>
      <c r="AE32" s="4" t="s">
        <v>62</v>
      </c>
      <c r="AF32" s="4" t="s">
        <v>62</v>
      </c>
      <c r="AG32" s="4" t="s">
        <v>62</v>
      </c>
      <c r="AH32" s="4" t="s">
        <v>62</v>
      </c>
    </row>
    <row r="33" spans="2:34" hidden="1">
      <c r="B33" s="139">
        <v>20</v>
      </c>
      <c r="C33" s="88" t="str">
        <f>LEFT(EmpGName20)&amp;" " &amp;EmpSName20</f>
        <v xml:space="preserve"> </v>
      </c>
      <c r="D33" s="3" t="s">
        <v>62</v>
      </c>
      <c r="E33" s="3" t="s">
        <v>62</v>
      </c>
      <c r="F33" s="3" t="s">
        <v>62</v>
      </c>
      <c r="G33" s="3" t="s">
        <v>62</v>
      </c>
      <c r="H33" s="3" t="s">
        <v>62</v>
      </c>
      <c r="I33" s="3" t="s">
        <v>62</v>
      </c>
      <c r="J33" s="3" t="s">
        <v>62</v>
      </c>
      <c r="K33" s="3" t="s">
        <v>62</v>
      </c>
      <c r="L33" s="3" t="s">
        <v>62</v>
      </c>
      <c r="M33" s="3" t="s">
        <v>62</v>
      </c>
      <c r="N33" s="3" t="s">
        <v>62</v>
      </c>
      <c r="O33" s="3" t="s">
        <v>62</v>
      </c>
      <c r="P33" s="3" t="s">
        <v>62</v>
      </c>
      <c r="Q33" s="3" t="s">
        <v>62</v>
      </c>
      <c r="R33" s="3" t="s">
        <v>62</v>
      </c>
      <c r="S33" s="3" t="s">
        <v>62</v>
      </c>
      <c r="T33" s="3" t="s">
        <v>62</v>
      </c>
      <c r="U33" s="3" t="s">
        <v>62</v>
      </c>
      <c r="V33" s="3" t="s">
        <v>62</v>
      </c>
      <c r="W33" s="3" t="s">
        <v>62</v>
      </c>
      <c r="X33" s="3" t="s">
        <v>62</v>
      </c>
      <c r="Y33" s="3" t="s">
        <v>62</v>
      </c>
      <c r="Z33" s="3" t="s">
        <v>62</v>
      </c>
      <c r="AA33" s="3" t="s">
        <v>62</v>
      </c>
      <c r="AB33" s="3" t="s">
        <v>62</v>
      </c>
      <c r="AC33" s="3" t="s">
        <v>62</v>
      </c>
      <c r="AD33" s="3" t="s">
        <v>62</v>
      </c>
      <c r="AE33" s="3" t="s">
        <v>62</v>
      </c>
      <c r="AF33" s="3" t="s">
        <v>62</v>
      </c>
      <c r="AG33" s="3" t="s">
        <v>62</v>
      </c>
      <c r="AH33" s="3" t="s">
        <v>62</v>
      </c>
    </row>
    <row r="34" spans="2:34" hidden="1">
      <c r="B34" s="139">
        <v>21</v>
      </c>
      <c r="C34" s="87" t="str">
        <f>LEFT(EmpGName21)&amp;" " &amp;EmpSName21</f>
        <v xml:space="preserve"> </v>
      </c>
      <c r="D34" s="4" t="s">
        <v>62</v>
      </c>
      <c r="E34" s="4" t="s">
        <v>62</v>
      </c>
      <c r="F34" s="4" t="s">
        <v>62</v>
      </c>
      <c r="G34" s="4" t="s">
        <v>62</v>
      </c>
      <c r="H34" s="4" t="s">
        <v>62</v>
      </c>
      <c r="I34" s="4" t="s">
        <v>62</v>
      </c>
      <c r="J34" s="4" t="s">
        <v>62</v>
      </c>
      <c r="K34" s="4" t="s">
        <v>62</v>
      </c>
      <c r="L34" s="4" t="s">
        <v>62</v>
      </c>
      <c r="M34" s="4" t="s">
        <v>62</v>
      </c>
      <c r="N34" s="4" t="s">
        <v>62</v>
      </c>
      <c r="O34" s="4" t="s">
        <v>62</v>
      </c>
      <c r="P34" s="4" t="s">
        <v>62</v>
      </c>
      <c r="Q34" s="4" t="s">
        <v>62</v>
      </c>
      <c r="R34" s="4" t="s">
        <v>62</v>
      </c>
      <c r="S34" s="4" t="s">
        <v>62</v>
      </c>
      <c r="T34" s="4" t="s">
        <v>62</v>
      </c>
      <c r="U34" s="4" t="s">
        <v>62</v>
      </c>
      <c r="V34" s="4" t="s">
        <v>62</v>
      </c>
      <c r="W34" s="4" t="s">
        <v>62</v>
      </c>
      <c r="X34" s="4" t="s">
        <v>62</v>
      </c>
      <c r="Y34" s="4" t="s">
        <v>62</v>
      </c>
      <c r="Z34" s="4" t="s">
        <v>62</v>
      </c>
      <c r="AA34" s="4" t="s">
        <v>62</v>
      </c>
      <c r="AB34" s="4" t="s">
        <v>62</v>
      </c>
      <c r="AC34" s="4" t="s">
        <v>62</v>
      </c>
      <c r="AD34" s="4" t="s">
        <v>62</v>
      </c>
      <c r="AE34" s="4" t="s">
        <v>62</v>
      </c>
      <c r="AF34" s="4" t="s">
        <v>62</v>
      </c>
      <c r="AG34" s="4" t="s">
        <v>62</v>
      </c>
      <c r="AH34" s="4" t="s">
        <v>62</v>
      </c>
    </row>
    <row r="35" spans="2:34" hidden="1">
      <c r="B35" s="139">
        <v>22</v>
      </c>
      <c r="C35" s="88" t="str">
        <f>LEFT(EmpGName22)&amp;" " &amp;EmpSName22</f>
        <v xml:space="preserve"> </v>
      </c>
      <c r="D35" s="3" t="s">
        <v>62</v>
      </c>
      <c r="E35" s="3" t="s">
        <v>62</v>
      </c>
      <c r="F35" s="3" t="s">
        <v>62</v>
      </c>
      <c r="G35" s="3" t="s">
        <v>62</v>
      </c>
      <c r="H35" s="3" t="s">
        <v>62</v>
      </c>
      <c r="I35" s="3" t="s">
        <v>62</v>
      </c>
      <c r="J35" s="3" t="s">
        <v>62</v>
      </c>
      <c r="K35" s="3" t="s">
        <v>62</v>
      </c>
      <c r="L35" s="3" t="s">
        <v>62</v>
      </c>
      <c r="M35" s="3" t="s">
        <v>62</v>
      </c>
      <c r="N35" s="3" t="s">
        <v>62</v>
      </c>
      <c r="O35" s="3" t="s">
        <v>62</v>
      </c>
      <c r="P35" s="3" t="s">
        <v>62</v>
      </c>
      <c r="Q35" s="3" t="s">
        <v>62</v>
      </c>
      <c r="R35" s="3" t="s">
        <v>62</v>
      </c>
      <c r="S35" s="3" t="s">
        <v>62</v>
      </c>
      <c r="T35" s="3" t="s">
        <v>62</v>
      </c>
      <c r="U35" s="3" t="s">
        <v>62</v>
      </c>
      <c r="V35" s="3" t="s">
        <v>62</v>
      </c>
      <c r="W35" s="3" t="s">
        <v>62</v>
      </c>
      <c r="X35" s="3" t="s">
        <v>62</v>
      </c>
      <c r="Y35" s="3" t="s">
        <v>62</v>
      </c>
      <c r="Z35" s="3" t="s">
        <v>62</v>
      </c>
      <c r="AA35" s="3" t="s">
        <v>62</v>
      </c>
      <c r="AB35" s="3" t="s">
        <v>62</v>
      </c>
      <c r="AC35" s="3" t="s">
        <v>62</v>
      </c>
      <c r="AD35" s="3" t="s">
        <v>62</v>
      </c>
      <c r="AE35" s="3" t="s">
        <v>62</v>
      </c>
      <c r="AF35" s="3" t="s">
        <v>62</v>
      </c>
      <c r="AG35" s="3" t="s">
        <v>62</v>
      </c>
      <c r="AH35" s="3" t="s">
        <v>62</v>
      </c>
    </row>
    <row r="36" spans="2:34" hidden="1">
      <c r="B36" s="139">
        <v>23</v>
      </c>
      <c r="C36" s="87" t="str">
        <f>LEFT(EmpGName23)&amp;" " &amp;EmpSName23</f>
        <v xml:space="preserve"> </v>
      </c>
      <c r="D36" s="4" t="s">
        <v>62</v>
      </c>
      <c r="E36" s="4" t="s">
        <v>62</v>
      </c>
      <c r="F36" s="4" t="s">
        <v>62</v>
      </c>
      <c r="G36" s="4" t="s">
        <v>62</v>
      </c>
      <c r="H36" s="4" t="s">
        <v>62</v>
      </c>
      <c r="I36" s="4" t="s">
        <v>62</v>
      </c>
      <c r="J36" s="4" t="s">
        <v>62</v>
      </c>
      <c r="K36" s="4" t="s">
        <v>62</v>
      </c>
      <c r="L36" s="4" t="s">
        <v>62</v>
      </c>
      <c r="M36" s="4" t="s">
        <v>62</v>
      </c>
      <c r="N36" s="4" t="s">
        <v>62</v>
      </c>
      <c r="O36" s="4" t="s">
        <v>62</v>
      </c>
      <c r="P36" s="4" t="s">
        <v>62</v>
      </c>
      <c r="Q36" s="4" t="s">
        <v>62</v>
      </c>
      <c r="R36" s="4" t="s">
        <v>62</v>
      </c>
      <c r="S36" s="4" t="s">
        <v>62</v>
      </c>
      <c r="T36" s="4" t="s">
        <v>62</v>
      </c>
      <c r="U36" s="4" t="s">
        <v>62</v>
      </c>
      <c r="V36" s="4" t="s">
        <v>62</v>
      </c>
      <c r="W36" s="4" t="s">
        <v>62</v>
      </c>
      <c r="X36" s="4" t="s">
        <v>62</v>
      </c>
      <c r="Y36" s="4" t="s">
        <v>62</v>
      </c>
      <c r="Z36" s="4" t="s">
        <v>62</v>
      </c>
      <c r="AA36" s="4" t="s">
        <v>62</v>
      </c>
      <c r="AB36" s="4" t="s">
        <v>62</v>
      </c>
      <c r="AC36" s="4" t="s">
        <v>62</v>
      </c>
      <c r="AD36" s="4" t="s">
        <v>62</v>
      </c>
      <c r="AE36" s="4" t="s">
        <v>62</v>
      </c>
      <c r="AF36" s="4" t="s">
        <v>62</v>
      </c>
      <c r="AG36" s="4" t="s">
        <v>62</v>
      </c>
      <c r="AH36" s="4" t="s">
        <v>62</v>
      </c>
    </row>
    <row r="37" spans="2:34" hidden="1">
      <c r="B37" s="139">
        <v>24</v>
      </c>
      <c r="C37" s="88" t="str">
        <f>LEFT(EmpGName24)&amp;" " &amp;EmpSName24</f>
        <v xml:space="preserve"> </v>
      </c>
      <c r="D37" s="3" t="s">
        <v>62</v>
      </c>
      <c r="E37" s="3" t="s">
        <v>62</v>
      </c>
      <c r="F37" s="3" t="s">
        <v>62</v>
      </c>
      <c r="G37" s="3" t="s">
        <v>62</v>
      </c>
      <c r="H37" s="3" t="s">
        <v>62</v>
      </c>
      <c r="I37" s="3" t="s">
        <v>62</v>
      </c>
      <c r="J37" s="3" t="s">
        <v>62</v>
      </c>
      <c r="K37" s="3" t="s">
        <v>62</v>
      </c>
      <c r="L37" s="3" t="s">
        <v>62</v>
      </c>
      <c r="M37" s="3" t="s">
        <v>62</v>
      </c>
      <c r="N37" s="3" t="s">
        <v>62</v>
      </c>
      <c r="O37" s="3" t="s">
        <v>62</v>
      </c>
      <c r="P37" s="3" t="s">
        <v>62</v>
      </c>
      <c r="Q37" s="3" t="s">
        <v>62</v>
      </c>
      <c r="R37" s="3" t="s">
        <v>62</v>
      </c>
      <c r="S37" s="3" t="s">
        <v>62</v>
      </c>
      <c r="T37" s="3" t="s">
        <v>62</v>
      </c>
      <c r="U37" s="3" t="s">
        <v>62</v>
      </c>
      <c r="V37" s="3" t="s">
        <v>62</v>
      </c>
      <c r="W37" s="3" t="s">
        <v>62</v>
      </c>
      <c r="X37" s="3" t="s">
        <v>62</v>
      </c>
      <c r="Y37" s="3" t="s">
        <v>62</v>
      </c>
      <c r="Z37" s="3" t="s">
        <v>62</v>
      </c>
      <c r="AA37" s="3" t="s">
        <v>62</v>
      </c>
      <c r="AB37" s="3" t="s">
        <v>62</v>
      </c>
      <c r="AC37" s="3" t="s">
        <v>62</v>
      </c>
      <c r="AD37" s="3" t="s">
        <v>62</v>
      </c>
      <c r="AE37" s="3" t="s">
        <v>62</v>
      </c>
      <c r="AF37" s="3" t="s">
        <v>62</v>
      </c>
      <c r="AG37" s="3" t="s">
        <v>62</v>
      </c>
      <c r="AH37" s="3" t="s">
        <v>62</v>
      </c>
    </row>
    <row r="38" spans="2:34" hidden="1">
      <c r="B38" s="139">
        <v>25</v>
      </c>
      <c r="C38" s="87" t="str">
        <f>LEFT(EmpGName25)&amp;" " &amp;EmpSName25</f>
        <v xml:space="preserve"> </v>
      </c>
      <c r="D38" s="4" t="s">
        <v>62</v>
      </c>
      <c r="E38" s="4" t="s">
        <v>62</v>
      </c>
      <c r="F38" s="4" t="s">
        <v>62</v>
      </c>
      <c r="G38" s="4" t="s">
        <v>62</v>
      </c>
      <c r="H38" s="4" t="s">
        <v>62</v>
      </c>
      <c r="I38" s="4" t="s">
        <v>62</v>
      </c>
      <c r="J38" s="4" t="s">
        <v>62</v>
      </c>
      <c r="K38" s="4" t="s">
        <v>62</v>
      </c>
      <c r="L38" s="4" t="s">
        <v>62</v>
      </c>
      <c r="M38" s="4" t="s">
        <v>62</v>
      </c>
      <c r="N38" s="4" t="s">
        <v>62</v>
      </c>
      <c r="O38" s="4" t="s">
        <v>62</v>
      </c>
      <c r="P38" s="4" t="s">
        <v>62</v>
      </c>
      <c r="Q38" s="4" t="s">
        <v>62</v>
      </c>
      <c r="R38" s="4" t="s">
        <v>62</v>
      </c>
      <c r="S38" s="4" t="s">
        <v>62</v>
      </c>
      <c r="T38" s="4" t="s">
        <v>62</v>
      </c>
      <c r="U38" s="4" t="s">
        <v>62</v>
      </c>
      <c r="V38" s="4" t="s">
        <v>62</v>
      </c>
      <c r="W38" s="4" t="s">
        <v>62</v>
      </c>
      <c r="X38" s="4" t="s">
        <v>62</v>
      </c>
      <c r="Y38" s="4" t="s">
        <v>62</v>
      </c>
      <c r="Z38" s="4" t="s">
        <v>62</v>
      </c>
      <c r="AA38" s="4" t="s">
        <v>62</v>
      </c>
      <c r="AB38" s="4" t="s">
        <v>62</v>
      </c>
      <c r="AC38" s="4" t="s">
        <v>62</v>
      </c>
      <c r="AD38" s="4" t="s">
        <v>62</v>
      </c>
      <c r="AE38" s="4" t="s">
        <v>62</v>
      </c>
      <c r="AF38" s="4" t="s">
        <v>62</v>
      </c>
      <c r="AG38" s="4" t="s">
        <v>62</v>
      </c>
      <c r="AH38" s="4" t="s">
        <v>62</v>
      </c>
    </row>
    <row r="39" spans="2:34" hidden="1">
      <c r="B39" s="139">
        <v>26</v>
      </c>
      <c r="C39" s="88" t="str">
        <f>LEFT(EmpGName26)&amp;" " &amp;EmpSName26</f>
        <v xml:space="preserve"> </v>
      </c>
      <c r="D39" s="3" t="s">
        <v>62</v>
      </c>
      <c r="E39" s="3" t="s">
        <v>62</v>
      </c>
      <c r="F39" s="3" t="s">
        <v>62</v>
      </c>
      <c r="G39" s="3" t="s">
        <v>62</v>
      </c>
      <c r="H39" s="3" t="s">
        <v>62</v>
      </c>
      <c r="I39" s="3" t="s">
        <v>62</v>
      </c>
      <c r="J39" s="3" t="s">
        <v>62</v>
      </c>
      <c r="K39" s="3" t="s">
        <v>62</v>
      </c>
      <c r="L39" s="3" t="s">
        <v>62</v>
      </c>
      <c r="M39" s="3" t="s">
        <v>62</v>
      </c>
      <c r="N39" s="3" t="s">
        <v>62</v>
      </c>
      <c r="O39" s="3" t="s">
        <v>62</v>
      </c>
      <c r="P39" s="3" t="s">
        <v>62</v>
      </c>
      <c r="Q39" s="3" t="s">
        <v>62</v>
      </c>
      <c r="R39" s="3" t="s">
        <v>62</v>
      </c>
      <c r="S39" s="3" t="s">
        <v>62</v>
      </c>
      <c r="T39" s="3" t="s">
        <v>62</v>
      </c>
      <c r="U39" s="3" t="s">
        <v>62</v>
      </c>
      <c r="V39" s="3" t="s">
        <v>62</v>
      </c>
      <c r="W39" s="3" t="s">
        <v>62</v>
      </c>
      <c r="X39" s="3" t="s">
        <v>62</v>
      </c>
      <c r="Y39" s="3" t="s">
        <v>62</v>
      </c>
      <c r="Z39" s="3" t="s">
        <v>62</v>
      </c>
      <c r="AA39" s="3" t="s">
        <v>62</v>
      </c>
      <c r="AB39" s="3" t="s">
        <v>62</v>
      </c>
      <c r="AC39" s="3" t="s">
        <v>62</v>
      </c>
      <c r="AD39" s="3" t="s">
        <v>62</v>
      </c>
      <c r="AE39" s="3" t="s">
        <v>62</v>
      </c>
      <c r="AF39" s="3" t="s">
        <v>62</v>
      </c>
      <c r="AG39" s="3" t="s">
        <v>62</v>
      </c>
      <c r="AH39" s="3" t="s">
        <v>62</v>
      </c>
    </row>
    <row r="40" spans="2:34" hidden="1">
      <c r="B40" s="139">
        <v>27</v>
      </c>
      <c r="C40" s="87" t="str">
        <f>LEFT(EmpGName27)&amp;" " &amp;EmpSName27</f>
        <v xml:space="preserve"> </v>
      </c>
      <c r="D40" s="4" t="s">
        <v>62</v>
      </c>
      <c r="E40" s="4" t="s">
        <v>62</v>
      </c>
      <c r="F40" s="4" t="s">
        <v>62</v>
      </c>
      <c r="G40" s="4" t="s">
        <v>62</v>
      </c>
      <c r="H40" s="4" t="s">
        <v>62</v>
      </c>
      <c r="I40" s="4" t="s">
        <v>62</v>
      </c>
      <c r="J40" s="4" t="s">
        <v>62</v>
      </c>
      <c r="K40" s="4" t="s">
        <v>62</v>
      </c>
      <c r="L40" s="4" t="s">
        <v>62</v>
      </c>
      <c r="M40" s="4" t="s">
        <v>62</v>
      </c>
      <c r="N40" s="4" t="s">
        <v>62</v>
      </c>
      <c r="O40" s="4" t="s">
        <v>62</v>
      </c>
      <c r="P40" s="4" t="s">
        <v>62</v>
      </c>
      <c r="Q40" s="4" t="s">
        <v>62</v>
      </c>
      <c r="R40" s="4" t="s">
        <v>62</v>
      </c>
      <c r="S40" s="4" t="s">
        <v>62</v>
      </c>
      <c r="T40" s="4" t="s">
        <v>62</v>
      </c>
      <c r="U40" s="4" t="s">
        <v>62</v>
      </c>
      <c r="V40" s="4" t="s">
        <v>62</v>
      </c>
      <c r="W40" s="4" t="s">
        <v>62</v>
      </c>
      <c r="X40" s="4" t="s">
        <v>62</v>
      </c>
      <c r="Y40" s="4" t="s">
        <v>62</v>
      </c>
      <c r="Z40" s="4" t="s">
        <v>62</v>
      </c>
      <c r="AA40" s="4" t="s">
        <v>62</v>
      </c>
      <c r="AB40" s="4" t="s">
        <v>62</v>
      </c>
      <c r="AC40" s="4" t="s">
        <v>62</v>
      </c>
      <c r="AD40" s="4" t="s">
        <v>62</v>
      </c>
      <c r="AE40" s="4" t="s">
        <v>62</v>
      </c>
      <c r="AF40" s="4" t="s">
        <v>62</v>
      </c>
      <c r="AG40" s="4" t="s">
        <v>62</v>
      </c>
      <c r="AH40" s="4" t="s">
        <v>62</v>
      </c>
    </row>
    <row r="41" spans="2:34" hidden="1">
      <c r="B41" s="139">
        <v>28</v>
      </c>
      <c r="C41" s="88" t="str">
        <f>LEFT(EmpGName28)&amp;" " &amp;EmpSName28</f>
        <v xml:space="preserve"> </v>
      </c>
      <c r="D41" s="3" t="s">
        <v>62</v>
      </c>
      <c r="E41" s="3" t="s">
        <v>62</v>
      </c>
      <c r="F41" s="3" t="s">
        <v>62</v>
      </c>
      <c r="G41" s="3" t="s">
        <v>62</v>
      </c>
      <c r="H41" s="3" t="s">
        <v>62</v>
      </c>
      <c r="I41" s="3" t="s">
        <v>62</v>
      </c>
      <c r="J41" s="3" t="s">
        <v>62</v>
      </c>
      <c r="K41" s="3" t="s">
        <v>62</v>
      </c>
      <c r="L41" s="3" t="s">
        <v>62</v>
      </c>
      <c r="M41" s="3" t="s">
        <v>62</v>
      </c>
      <c r="N41" s="3" t="s">
        <v>62</v>
      </c>
      <c r="O41" s="3" t="s">
        <v>62</v>
      </c>
      <c r="P41" s="3" t="s">
        <v>62</v>
      </c>
      <c r="Q41" s="3" t="s">
        <v>62</v>
      </c>
      <c r="R41" s="3" t="s">
        <v>62</v>
      </c>
      <c r="S41" s="3" t="s">
        <v>62</v>
      </c>
      <c r="T41" s="3" t="s">
        <v>62</v>
      </c>
      <c r="U41" s="3" t="s">
        <v>62</v>
      </c>
      <c r="V41" s="3" t="s">
        <v>62</v>
      </c>
      <c r="W41" s="3" t="s">
        <v>62</v>
      </c>
      <c r="X41" s="3" t="s">
        <v>62</v>
      </c>
      <c r="Y41" s="3" t="s">
        <v>62</v>
      </c>
      <c r="Z41" s="3" t="s">
        <v>62</v>
      </c>
      <c r="AA41" s="3" t="s">
        <v>62</v>
      </c>
      <c r="AB41" s="3" t="s">
        <v>62</v>
      </c>
      <c r="AC41" s="3" t="s">
        <v>62</v>
      </c>
      <c r="AD41" s="3" t="s">
        <v>62</v>
      </c>
      <c r="AE41" s="3" t="s">
        <v>62</v>
      </c>
      <c r="AF41" s="3" t="s">
        <v>62</v>
      </c>
      <c r="AG41" s="3" t="s">
        <v>62</v>
      </c>
      <c r="AH41" s="3" t="s">
        <v>62</v>
      </c>
    </row>
    <row r="43" spans="2:34" s="6" customFormat="1">
      <c r="B43"/>
      <c r="C43" s="190">
        <f>CurYear-1</f>
        <v>2019</v>
      </c>
      <c r="D43" s="5" t="str">
        <f t="shared" ref="D43:AH43" si="1">LEFT(TEXT(D44&amp;"-"&amp;$C44&amp;"-"&amp; CurYear-1,"ddd"),2)</f>
        <v>Th</v>
      </c>
      <c r="E43" s="5" t="str">
        <f t="shared" si="1"/>
        <v>Fr</v>
      </c>
      <c r="F43" s="5" t="str">
        <f t="shared" si="1"/>
        <v>Sa</v>
      </c>
      <c r="G43" s="5" t="str">
        <f t="shared" si="1"/>
        <v>Su</v>
      </c>
      <c r="H43" s="5" t="str">
        <f t="shared" si="1"/>
        <v>Mo</v>
      </c>
      <c r="I43" s="5" t="str">
        <f t="shared" si="1"/>
        <v>Tu</v>
      </c>
      <c r="J43" s="5" t="str">
        <f t="shared" si="1"/>
        <v>We</v>
      </c>
      <c r="K43" s="5" t="str">
        <f t="shared" si="1"/>
        <v>Th</v>
      </c>
      <c r="L43" s="5" t="str">
        <f t="shared" si="1"/>
        <v>Fr</v>
      </c>
      <c r="M43" s="5" t="str">
        <f t="shared" si="1"/>
        <v>Sa</v>
      </c>
      <c r="N43" s="5" t="str">
        <f t="shared" si="1"/>
        <v>Su</v>
      </c>
      <c r="O43" s="5" t="str">
        <f t="shared" si="1"/>
        <v>Mo</v>
      </c>
      <c r="P43" s="5" t="str">
        <f t="shared" si="1"/>
        <v>Tu</v>
      </c>
      <c r="Q43" s="5" t="str">
        <f t="shared" si="1"/>
        <v>We</v>
      </c>
      <c r="R43" s="5" t="str">
        <f t="shared" si="1"/>
        <v>Th</v>
      </c>
      <c r="S43" s="5" t="str">
        <f t="shared" si="1"/>
        <v>Fr</v>
      </c>
      <c r="T43" s="5" t="str">
        <f t="shared" si="1"/>
        <v>Sa</v>
      </c>
      <c r="U43" s="5" t="str">
        <f t="shared" si="1"/>
        <v>Su</v>
      </c>
      <c r="V43" s="5" t="str">
        <f t="shared" si="1"/>
        <v>Mo</v>
      </c>
      <c r="W43" s="5" t="str">
        <f t="shared" si="1"/>
        <v>Tu</v>
      </c>
      <c r="X43" s="5" t="str">
        <f t="shared" si="1"/>
        <v>We</v>
      </c>
      <c r="Y43" s="5" t="str">
        <f t="shared" si="1"/>
        <v>Th</v>
      </c>
      <c r="Z43" s="5" t="str">
        <f t="shared" si="1"/>
        <v>Fr</v>
      </c>
      <c r="AA43" s="5" t="str">
        <f t="shared" si="1"/>
        <v>Sa</v>
      </c>
      <c r="AB43" s="5" t="str">
        <f t="shared" si="1"/>
        <v>Su</v>
      </c>
      <c r="AC43" s="5" t="str">
        <f t="shared" si="1"/>
        <v>Mo</v>
      </c>
      <c r="AD43" s="5" t="str">
        <f t="shared" si="1"/>
        <v>Tu</v>
      </c>
      <c r="AE43" s="5" t="str">
        <f t="shared" si="1"/>
        <v>We</v>
      </c>
      <c r="AF43" s="5" t="str">
        <f t="shared" si="1"/>
        <v>Th</v>
      </c>
      <c r="AG43" s="5" t="str">
        <f t="shared" si="1"/>
        <v>Fr</v>
      </c>
      <c r="AH43" s="5" t="str">
        <f t="shared" si="1"/>
        <v>Sa</v>
      </c>
    </row>
    <row r="44" spans="2:34">
      <c r="B44" s="86"/>
      <c r="C44" s="191" t="s">
        <v>19</v>
      </c>
      <c r="D44" s="193">
        <v>1</v>
      </c>
      <c r="E44" s="193">
        <v>2</v>
      </c>
      <c r="F44" s="193">
        <v>3</v>
      </c>
      <c r="G44" s="193">
        <v>4</v>
      </c>
      <c r="H44" s="193">
        <v>5</v>
      </c>
      <c r="I44" s="193">
        <v>6</v>
      </c>
      <c r="J44" s="193">
        <v>7</v>
      </c>
      <c r="K44" s="193">
        <v>8</v>
      </c>
      <c r="L44" s="193">
        <v>9</v>
      </c>
      <c r="M44" s="193">
        <v>10</v>
      </c>
      <c r="N44" s="193">
        <v>11</v>
      </c>
      <c r="O44" s="193">
        <v>12</v>
      </c>
      <c r="P44" s="193">
        <v>13</v>
      </c>
      <c r="Q44" s="192">
        <v>14</v>
      </c>
      <c r="R44" s="193">
        <v>15</v>
      </c>
      <c r="S44" s="193">
        <v>16</v>
      </c>
      <c r="T44" s="193">
        <v>17</v>
      </c>
      <c r="U44" s="193">
        <v>18</v>
      </c>
      <c r="V44" s="193">
        <v>19</v>
      </c>
      <c r="W44" s="193">
        <v>20</v>
      </c>
      <c r="X44" s="193">
        <v>21</v>
      </c>
      <c r="Y44" s="193">
        <v>22</v>
      </c>
      <c r="Z44" s="193">
        <v>23</v>
      </c>
      <c r="AA44" s="193">
        <v>24</v>
      </c>
      <c r="AB44" s="193">
        <v>25</v>
      </c>
      <c r="AC44" s="193">
        <v>26</v>
      </c>
      <c r="AD44" s="193">
        <v>27</v>
      </c>
      <c r="AE44" s="192">
        <v>28</v>
      </c>
      <c r="AF44" s="193">
        <v>29</v>
      </c>
      <c r="AG44" s="193">
        <v>30</v>
      </c>
      <c r="AH44" s="193">
        <v>31</v>
      </c>
    </row>
    <row r="45" spans="2:34">
      <c r="B45" s="83">
        <v>1</v>
      </c>
      <c r="C45" s="87" t="str">
        <f>LEFT(EmpGName01)&amp;" " &amp; EmpSName01</f>
        <v>L Marampon</v>
      </c>
      <c r="D45" s="4" t="s">
        <v>62</v>
      </c>
      <c r="E45" s="4" t="s">
        <v>62</v>
      </c>
      <c r="F45" s="4" t="s">
        <v>62</v>
      </c>
      <c r="G45" s="4" t="s">
        <v>62</v>
      </c>
      <c r="H45" s="4" t="s">
        <v>62</v>
      </c>
      <c r="I45" s="4" t="s">
        <v>62</v>
      </c>
      <c r="J45" s="4" t="s">
        <v>62</v>
      </c>
      <c r="K45" s="4" t="s">
        <v>62</v>
      </c>
      <c r="L45" s="4" t="s">
        <v>62</v>
      </c>
      <c r="M45" s="4" t="s">
        <v>62</v>
      </c>
      <c r="N45" s="4" t="s">
        <v>62</v>
      </c>
      <c r="O45" s="4" t="s">
        <v>62</v>
      </c>
      <c r="P45" s="4" t="s">
        <v>62</v>
      </c>
      <c r="Q45" s="4" t="s">
        <v>62</v>
      </c>
      <c r="R45" s="4" t="s">
        <v>62</v>
      </c>
      <c r="S45" s="4" t="s">
        <v>62</v>
      </c>
      <c r="T45" s="4" t="s">
        <v>62</v>
      </c>
      <c r="U45" s="4" t="s">
        <v>62</v>
      </c>
      <c r="V45" s="4" t="s">
        <v>62</v>
      </c>
      <c r="W45" s="4" t="s">
        <v>62</v>
      </c>
      <c r="X45" s="4" t="s">
        <v>62</v>
      </c>
      <c r="Y45" s="4" t="s">
        <v>62</v>
      </c>
      <c r="Z45" s="4" t="s">
        <v>62</v>
      </c>
      <c r="AA45" s="4" t="s">
        <v>62</v>
      </c>
      <c r="AB45" s="4" t="s">
        <v>62</v>
      </c>
      <c r="AC45" s="4" t="s">
        <v>62</v>
      </c>
      <c r="AD45" s="4" t="s">
        <v>62</v>
      </c>
      <c r="AE45" s="4" t="s">
        <v>62</v>
      </c>
      <c r="AF45" s="4" t="s">
        <v>62</v>
      </c>
      <c r="AG45" s="4" t="s">
        <v>62</v>
      </c>
      <c r="AH45" s="4" t="s">
        <v>62</v>
      </c>
    </row>
    <row r="46" spans="2:34">
      <c r="B46" s="83">
        <v>2</v>
      </c>
      <c r="C46" s="88" t="str">
        <f>LEFT(EmpGName02)&amp;" " &amp;EmpSName02</f>
        <v>K Stone</v>
      </c>
      <c r="D46" s="3" t="s">
        <v>62</v>
      </c>
      <c r="E46" s="3" t="s">
        <v>62</v>
      </c>
      <c r="F46" s="3" t="s">
        <v>62</v>
      </c>
      <c r="G46" s="3" t="s">
        <v>62</v>
      </c>
      <c r="H46" s="3" t="s">
        <v>62</v>
      </c>
      <c r="I46" s="3" t="s">
        <v>62</v>
      </c>
      <c r="J46" s="3" t="s">
        <v>62</v>
      </c>
      <c r="K46" s="3" t="s">
        <v>62</v>
      </c>
      <c r="L46" s="3" t="s">
        <v>62</v>
      </c>
      <c r="M46" s="3" t="s">
        <v>62</v>
      </c>
      <c r="N46" s="3" t="s">
        <v>62</v>
      </c>
      <c r="O46" s="3" t="s">
        <v>62</v>
      </c>
      <c r="P46" s="3" t="s">
        <v>62</v>
      </c>
      <c r="Q46" s="3" t="s">
        <v>62</v>
      </c>
      <c r="R46" s="3" t="s">
        <v>62</v>
      </c>
      <c r="S46" s="3" t="s">
        <v>62</v>
      </c>
      <c r="T46" s="3" t="s">
        <v>62</v>
      </c>
      <c r="U46" s="3" t="s">
        <v>62</v>
      </c>
      <c r="V46" s="3" t="s">
        <v>62</v>
      </c>
      <c r="W46" s="3" t="s">
        <v>62</v>
      </c>
      <c r="X46" s="3" t="s">
        <v>62</v>
      </c>
      <c r="Y46" s="3" t="s">
        <v>62</v>
      </c>
      <c r="Z46" s="3" t="s">
        <v>62</v>
      </c>
      <c r="AA46" s="3" t="s">
        <v>62</v>
      </c>
      <c r="AB46" s="3" t="s">
        <v>62</v>
      </c>
      <c r="AC46" s="3" t="s">
        <v>62</v>
      </c>
      <c r="AD46" s="3" t="s">
        <v>62</v>
      </c>
      <c r="AE46" s="3" t="s">
        <v>62</v>
      </c>
      <c r="AF46" s="3" t="s">
        <v>62</v>
      </c>
      <c r="AG46" s="3" t="s">
        <v>62</v>
      </c>
      <c r="AH46" s="3" t="s">
        <v>62</v>
      </c>
    </row>
    <row r="47" spans="2:34">
      <c r="B47" s="83">
        <v>3</v>
      </c>
      <c r="C47" s="87" t="str">
        <f>LEFT(EmpGName03)&amp;" " &amp;EmpSName03</f>
        <v>I Thelning</v>
      </c>
      <c r="D47" s="4" t="s">
        <v>62</v>
      </c>
      <c r="E47" s="4" t="s">
        <v>62</v>
      </c>
      <c r="F47" s="4" t="s">
        <v>62</v>
      </c>
      <c r="G47" s="4" t="s">
        <v>62</v>
      </c>
      <c r="H47" s="4" t="s">
        <v>62</v>
      </c>
      <c r="I47" s="4" t="s">
        <v>62</v>
      </c>
      <c r="J47" s="4" t="s">
        <v>62</v>
      </c>
      <c r="K47" s="4" t="s">
        <v>62</v>
      </c>
      <c r="L47" s="4" t="s">
        <v>62</v>
      </c>
      <c r="M47" s="4" t="s">
        <v>62</v>
      </c>
      <c r="N47" s="4" t="s">
        <v>62</v>
      </c>
      <c r="O47" s="4" t="s">
        <v>62</v>
      </c>
      <c r="P47" s="4" t="s">
        <v>62</v>
      </c>
      <c r="Q47" s="4" t="s">
        <v>62</v>
      </c>
      <c r="R47" s="4" t="s">
        <v>62</v>
      </c>
      <c r="S47" s="4" t="s">
        <v>62</v>
      </c>
      <c r="T47" s="4" t="s">
        <v>62</v>
      </c>
      <c r="U47" s="4" t="s">
        <v>62</v>
      </c>
      <c r="V47" s="4" t="s">
        <v>62</v>
      </c>
      <c r="W47" s="4" t="s">
        <v>62</v>
      </c>
      <c r="X47" s="4" t="s">
        <v>62</v>
      </c>
      <c r="Y47" s="4" t="s">
        <v>62</v>
      </c>
      <c r="Z47" s="4" t="s">
        <v>62</v>
      </c>
      <c r="AA47" s="4" t="s">
        <v>62</v>
      </c>
      <c r="AB47" s="4" t="s">
        <v>62</v>
      </c>
      <c r="AC47" s="4" t="s">
        <v>62</v>
      </c>
      <c r="AD47" s="4" t="s">
        <v>62</v>
      </c>
      <c r="AE47" s="4" t="s">
        <v>62</v>
      </c>
      <c r="AF47" s="4" t="s">
        <v>62</v>
      </c>
      <c r="AG47" s="4" t="s">
        <v>62</v>
      </c>
      <c r="AH47" s="4" t="s">
        <v>62</v>
      </c>
    </row>
    <row r="48" spans="2:34">
      <c r="B48" s="83">
        <v>4</v>
      </c>
      <c r="C48" s="88" t="str">
        <f>LEFT(EmpGName04)&amp;" " &amp;EmpSName04</f>
        <v>L King</v>
      </c>
      <c r="D48" s="3" t="s">
        <v>62</v>
      </c>
      <c r="E48" s="3" t="s">
        <v>62</v>
      </c>
      <c r="F48" s="3" t="s">
        <v>62</v>
      </c>
      <c r="G48" s="3" t="s">
        <v>62</v>
      </c>
      <c r="H48" s="3" t="s">
        <v>62</v>
      </c>
      <c r="I48" s="3" t="s">
        <v>62</v>
      </c>
      <c r="J48" s="3" t="s">
        <v>62</v>
      </c>
      <c r="K48" s="3" t="s">
        <v>62</v>
      </c>
      <c r="L48" s="3" t="s">
        <v>62</v>
      </c>
      <c r="M48" s="3" t="s">
        <v>62</v>
      </c>
      <c r="N48" s="3" t="s">
        <v>62</v>
      </c>
      <c r="O48" s="3" t="s">
        <v>62</v>
      </c>
      <c r="P48" s="3" t="s">
        <v>62</v>
      </c>
      <c r="Q48" s="3" t="s">
        <v>62</v>
      </c>
      <c r="R48" s="3" t="s">
        <v>62</v>
      </c>
      <c r="S48" s="3" t="s">
        <v>62</v>
      </c>
      <c r="T48" s="3" t="s">
        <v>62</v>
      </c>
      <c r="U48" s="3" t="s">
        <v>62</v>
      </c>
      <c r="V48" s="3" t="s">
        <v>62</v>
      </c>
      <c r="W48" s="3" t="s">
        <v>62</v>
      </c>
      <c r="X48" s="3" t="s">
        <v>62</v>
      </c>
      <c r="Y48" s="3" t="s">
        <v>62</v>
      </c>
      <c r="Z48" s="3" t="s">
        <v>62</v>
      </c>
      <c r="AA48" s="3" t="s">
        <v>62</v>
      </c>
      <c r="AB48" s="3" t="s">
        <v>62</v>
      </c>
      <c r="AC48" s="3" t="s">
        <v>62</v>
      </c>
      <c r="AD48" s="3" t="s">
        <v>62</v>
      </c>
      <c r="AE48" s="3" t="s">
        <v>62</v>
      </c>
      <c r="AF48" s="3" t="s">
        <v>62</v>
      </c>
      <c r="AG48" s="3" t="s">
        <v>62</v>
      </c>
      <c r="AH48" s="3" t="s">
        <v>62</v>
      </c>
    </row>
    <row r="49" spans="2:34">
      <c r="B49" s="83">
        <v>5</v>
      </c>
      <c r="C49" s="87" t="str">
        <f>LEFT(EmpGName05)&amp;" " &amp;EmpSName05</f>
        <v>D Castle</v>
      </c>
      <c r="D49" s="4" t="s">
        <v>62</v>
      </c>
      <c r="E49" s="4" t="s">
        <v>62</v>
      </c>
      <c r="F49" s="4" t="s">
        <v>62</v>
      </c>
      <c r="G49" s="4" t="s">
        <v>62</v>
      </c>
      <c r="H49" s="4" t="s">
        <v>62</v>
      </c>
      <c r="I49" s="4" t="s">
        <v>62</v>
      </c>
      <c r="J49" s="4" t="s">
        <v>62</v>
      </c>
      <c r="K49" s="4" t="s">
        <v>62</v>
      </c>
      <c r="L49" s="4" t="s">
        <v>62</v>
      </c>
      <c r="M49" s="4" t="s">
        <v>62</v>
      </c>
      <c r="N49" s="4" t="s">
        <v>62</v>
      </c>
      <c r="O49" s="4" t="s">
        <v>62</v>
      </c>
      <c r="P49" s="4" t="s">
        <v>62</v>
      </c>
      <c r="Q49" s="4" t="s">
        <v>62</v>
      </c>
      <c r="R49" s="4" t="s">
        <v>62</v>
      </c>
      <c r="S49" s="4" t="s">
        <v>62</v>
      </c>
      <c r="T49" s="4" t="s">
        <v>62</v>
      </c>
      <c r="U49" s="4" t="s">
        <v>62</v>
      </c>
      <c r="V49" s="4" t="s">
        <v>62</v>
      </c>
      <c r="W49" s="4" t="s">
        <v>62</v>
      </c>
      <c r="X49" s="4" t="s">
        <v>62</v>
      </c>
      <c r="Y49" s="4" t="s">
        <v>62</v>
      </c>
      <c r="Z49" s="4" t="s">
        <v>62</v>
      </c>
      <c r="AA49" s="4" t="s">
        <v>62</v>
      </c>
      <c r="AB49" s="4" t="s">
        <v>62</v>
      </c>
      <c r="AC49" s="4" t="s">
        <v>62</v>
      </c>
      <c r="AD49" s="4" t="s">
        <v>62</v>
      </c>
      <c r="AE49" s="4" t="s">
        <v>62</v>
      </c>
      <c r="AF49" s="4" t="s">
        <v>62</v>
      </c>
      <c r="AG49" s="4" t="s">
        <v>62</v>
      </c>
      <c r="AH49" s="4" t="s">
        <v>62</v>
      </c>
    </row>
    <row r="50" spans="2:34">
      <c r="B50" s="83">
        <v>6</v>
      </c>
      <c r="C50" s="88" t="str">
        <f>LEFT(EmpGName06)&amp;" " &amp;EmpSName06</f>
        <v>R Fielding</v>
      </c>
      <c r="D50" s="3" t="s">
        <v>62</v>
      </c>
      <c r="E50" s="3" t="s">
        <v>62</v>
      </c>
      <c r="F50" s="3" t="s">
        <v>62</v>
      </c>
      <c r="G50" s="3" t="s">
        <v>62</v>
      </c>
      <c r="H50" s="3" t="s">
        <v>62</v>
      </c>
      <c r="I50" s="3" t="s">
        <v>62</v>
      </c>
      <c r="J50" s="3" t="s">
        <v>62</v>
      </c>
      <c r="K50" s="3" t="s">
        <v>62</v>
      </c>
      <c r="L50" s="3" t="s">
        <v>62</v>
      </c>
      <c r="M50" s="3" t="s">
        <v>62</v>
      </c>
      <c r="N50" s="3" t="s">
        <v>62</v>
      </c>
      <c r="O50" s="3" t="s">
        <v>62</v>
      </c>
      <c r="P50" s="3" t="s">
        <v>62</v>
      </c>
      <c r="Q50" s="3" t="s">
        <v>62</v>
      </c>
      <c r="R50" s="3" t="s">
        <v>62</v>
      </c>
      <c r="S50" s="3" t="s">
        <v>62</v>
      </c>
      <c r="T50" s="3" t="s">
        <v>62</v>
      </c>
      <c r="U50" s="3" t="s">
        <v>62</v>
      </c>
      <c r="V50" s="3" t="s">
        <v>62</v>
      </c>
      <c r="W50" s="3" t="s">
        <v>62</v>
      </c>
      <c r="X50" s="3" t="s">
        <v>62</v>
      </c>
      <c r="Y50" s="3" t="s">
        <v>62</v>
      </c>
      <c r="Z50" s="3" t="s">
        <v>62</v>
      </c>
      <c r="AA50" s="3" t="s">
        <v>62</v>
      </c>
      <c r="AB50" s="3" t="s">
        <v>62</v>
      </c>
      <c r="AC50" s="3" t="s">
        <v>62</v>
      </c>
      <c r="AD50" s="3" t="s">
        <v>62</v>
      </c>
      <c r="AE50" s="3" t="s">
        <v>62</v>
      </c>
      <c r="AF50" s="3" t="s">
        <v>62</v>
      </c>
      <c r="AG50" s="3" t="s">
        <v>62</v>
      </c>
      <c r="AH50" s="3" t="s">
        <v>62</v>
      </c>
    </row>
    <row r="51" spans="2:34">
      <c r="B51" s="83">
        <v>7</v>
      </c>
      <c r="C51" s="87" t="str">
        <f>LEFT(EmpGName07)&amp;" " &amp;EmpSName07</f>
        <v>T Sorensen</v>
      </c>
      <c r="D51" s="4" t="s">
        <v>62</v>
      </c>
      <c r="E51" s="4" t="s">
        <v>62</v>
      </c>
      <c r="F51" s="4" t="s">
        <v>62</v>
      </c>
      <c r="G51" s="4" t="s">
        <v>62</v>
      </c>
      <c r="H51" s="4" t="s">
        <v>62</v>
      </c>
      <c r="I51" s="4" t="s">
        <v>62</v>
      </c>
      <c r="J51" s="4" t="s">
        <v>62</v>
      </c>
      <c r="K51" s="4" t="s">
        <v>62</v>
      </c>
      <c r="L51" s="4" t="s">
        <v>62</v>
      </c>
      <c r="M51" s="4" t="s">
        <v>62</v>
      </c>
      <c r="N51" s="4" t="s">
        <v>62</v>
      </c>
      <c r="O51" s="4" t="s">
        <v>62</v>
      </c>
      <c r="P51" s="4" t="s">
        <v>62</v>
      </c>
      <c r="Q51" s="4" t="s">
        <v>62</v>
      </c>
      <c r="R51" s="4" t="s">
        <v>62</v>
      </c>
      <c r="S51" s="4" t="s">
        <v>62</v>
      </c>
      <c r="T51" s="4" t="s">
        <v>62</v>
      </c>
      <c r="U51" s="4" t="s">
        <v>62</v>
      </c>
      <c r="V51" s="4" t="s">
        <v>62</v>
      </c>
      <c r="W51" s="4" t="s">
        <v>62</v>
      </c>
      <c r="X51" s="4" t="s">
        <v>62</v>
      </c>
      <c r="Y51" s="4" t="s">
        <v>62</v>
      </c>
      <c r="Z51" s="4" t="s">
        <v>62</v>
      </c>
      <c r="AA51" s="4" t="s">
        <v>62</v>
      </c>
      <c r="AB51" s="4" t="s">
        <v>62</v>
      </c>
      <c r="AC51" s="4" t="s">
        <v>62</v>
      </c>
      <c r="AD51" s="4" t="s">
        <v>62</v>
      </c>
      <c r="AE51" s="4" t="s">
        <v>62</v>
      </c>
      <c r="AF51" s="4" t="s">
        <v>62</v>
      </c>
      <c r="AG51" s="4" t="s">
        <v>62</v>
      </c>
      <c r="AH51" s="4" t="s">
        <v>62</v>
      </c>
    </row>
    <row r="52" spans="2:34">
      <c r="B52" s="83">
        <v>8</v>
      </c>
      <c r="C52" s="88" t="str">
        <f>LEFT(EmpGName08)&amp;" " &amp;EmpSName08</f>
        <v>C Horse</v>
      </c>
      <c r="D52" s="3" t="s">
        <v>62</v>
      </c>
      <c r="E52" s="3" t="s">
        <v>62</v>
      </c>
      <c r="F52" s="3" t="s">
        <v>62</v>
      </c>
      <c r="G52" s="3" t="s">
        <v>62</v>
      </c>
      <c r="H52" s="3" t="s">
        <v>62</v>
      </c>
      <c r="I52" s="3" t="s">
        <v>62</v>
      </c>
      <c r="J52" s="3" t="s">
        <v>62</v>
      </c>
      <c r="K52" s="3" t="s">
        <v>62</v>
      </c>
      <c r="L52" s="3" t="s">
        <v>62</v>
      </c>
      <c r="M52" s="3" t="s">
        <v>62</v>
      </c>
      <c r="N52" s="3" t="s">
        <v>62</v>
      </c>
      <c r="O52" s="3" t="s">
        <v>62</v>
      </c>
      <c r="P52" s="3" t="s">
        <v>62</v>
      </c>
      <c r="Q52" s="3" t="s">
        <v>62</v>
      </c>
      <c r="R52" s="3" t="s">
        <v>62</v>
      </c>
      <c r="S52" s="3" t="s">
        <v>62</v>
      </c>
      <c r="T52" s="3" t="s">
        <v>62</v>
      </c>
      <c r="U52" s="3" t="s">
        <v>62</v>
      </c>
      <c r="V52" s="3" t="s">
        <v>62</v>
      </c>
      <c r="W52" s="3" t="s">
        <v>62</v>
      </c>
      <c r="X52" s="3" t="s">
        <v>62</v>
      </c>
      <c r="Y52" s="3" t="s">
        <v>62</v>
      </c>
      <c r="Z52" s="3" t="s">
        <v>62</v>
      </c>
      <c r="AA52" s="3" t="s">
        <v>62</v>
      </c>
      <c r="AB52" s="3" t="s">
        <v>62</v>
      </c>
      <c r="AC52" s="3" t="s">
        <v>62</v>
      </c>
      <c r="AD52" s="3" t="s">
        <v>62</v>
      </c>
      <c r="AE52" s="3" t="s">
        <v>62</v>
      </c>
      <c r="AF52" s="3" t="s">
        <v>62</v>
      </c>
      <c r="AG52" s="3" t="s">
        <v>62</v>
      </c>
      <c r="AH52" s="3" t="s">
        <v>62</v>
      </c>
    </row>
    <row r="53" spans="2:34">
      <c r="B53" s="83">
        <v>9</v>
      </c>
      <c r="C53" s="87" t="str">
        <f>LEFT(EmpGName09)&amp;" " &amp;EmpSName09</f>
        <v xml:space="preserve">E Horse </v>
      </c>
      <c r="D53" s="4" t="s">
        <v>62</v>
      </c>
      <c r="E53" s="4" t="s">
        <v>62</v>
      </c>
      <c r="F53" s="4" t="s">
        <v>62</v>
      </c>
      <c r="G53" s="4" t="s">
        <v>62</v>
      </c>
      <c r="H53" s="4" t="s">
        <v>62</v>
      </c>
      <c r="I53" s="4" t="s">
        <v>62</v>
      </c>
      <c r="J53" s="4" t="s">
        <v>62</v>
      </c>
      <c r="K53" s="4" t="s">
        <v>62</v>
      </c>
      <c r="L53" s="4" t="s">
        <v>62</v>
      </c>
      <c r="M53" s="4" t="s">
        <v>62</v>
      </c>
      <c r="N53" s="4" t="s">
        <v>62</v>
      </c>
      <c r="O53" s="4" t="s">
        <v>62</v>
      </c>
      <c r="P53" s="4" t="s">
        <v>62</v>
      </c>
      <c r="Q53" s="4" t="s">
        <v>62</v>
      </c>
      <c r="R53" s="4" t="s">
        <v>62</v>
      </c>
      <c r="S53" s="4" t="s">
        <v>62</v>
      </c>
      <c r="T53" s="4" t="s">
        <v>62</v>
      </c>
      <c r="U53" s="4" t="s">
        <v>62</v>
      </c>
      <c r="V53" s="4" t="s">
        <v>62</v>
      </c>
      <c r="W53" s="4" t="s">
        <v>62</v>
      </c>
      <c r="X53" s="4" t="s">
        <v>62</v>
      </c>
      <c r="Y53" s="4" t="s">
        <v>62</v>
      </c>
      <c r="Z53" s="4" t="s">
        <v>62</v>
      </c>
      <c r="AA53" s="4" t="s">
        <v>62</v>
      </c>
      <c r="AB53" s="4" t="s">
        <v>62</v>
      </c>
      <c r="AC53" s="4" t="s">
        <v>62</v>
      </c>
      <c r="AD53" s="4" t="s">
        <v>62</v>
      </c>
      <c r="AE53" s="4" t="s">
        <v>62</v>
      </c>
      <c r="AF53" s="4" t="s">
        <v>62</v>
      </c>
      <c r="AG53" s="4" t="s">
        <v>62</v>
      </c>
      <c r="AH53" s="4" t="s">
        <v>62</v>
      </c>
    </row>
    <row r="54" spans="2:34">
      <c r="B54" s="139">
        <v>10</v>
      </c>
      <c r="C54" s="88" t="str">
        <f>LEFT(EmpGName10)&amp;" " &amp;EmpSName10</f>
        <v>J Smeegal</v>
      </c>
      <c r="D54" s="3" t="s">
        <v>62</v>
      </c>
      <c r="E54" s="3" t="s">
        <v>62</v>
      </c>
      <c r="F54" s="3" t="s">
        <v>62</v>
      </c>
      <c r="G54" s="3" t="s">
        <v>62</v>
      </c>
      <c r="H54" s="3" t="s">
        <v>62</v>
      </c>
      <c r="I54" s="3" t="s">
        <v>62</v>
      </c>
      <c r="J54" s="3" t="s">
        <v>62</v>
      </c>
      <c r="K54" s="3" t="s">
        <v>62</v>
      </c>
      <c r="L54" s="3" t="s">
        <v>62</v>
      </c>
      <c r="M54" s="3" t="s">
        <v>62</v>
      </c>
      <c r="N54" s="3" t="s">
        <v>62</v>
      </c>
      <c r="O54" s="3" t="s">
        <v>62</v>
      </c>
      <c r="P54" s="3" t="s">
        <v>62</v>
      </c>
      <c r="Q54" s="3" t="s">
        <v>62</v>
      </c>
      <c r="R54" s="3" t="s">
        <v>62</v>
      </c>
      <c r="S54" s="3" t="s">
        <v>62</v>
      </c>
      <c r="T54" s="3" t="s">
        <v>62</v>
      </c>
      <c r="U54" s="3" t="s">
        <v>62</v>
      </c>
      <c r="V54" s="3" t="s">
        <v>62</v>
      </c>
      <c r="W54" s="3" t="s">
        <v>62</v>
      </c>
      <c r="X54" s="3" t="s">
        <v>62</v>
      </c>
      <c r="Y54" s="3" t="s">
        <v>62</v>
      </c>
      <c r="Z54" s="3" t="s">
        <v>62</v>
      </c>
      <c r="AA54" s="3" t="s">
        <v>62</v>
      </c>
      <c r="AB54" s="3" t="s">
        <v>62</v>
      </c>
      <c r="AC54" s="3" t="s">
        <v>62</v>
      </c>
      <c r="AD54" s="3" t="s">
        <v>62</v>
      </c>
      <c r="AE54" s="3" t="s">
        <v>62</v>
      </c>
      <c r="AF54" s="3" t="s">
        <v>62</v>
      </c>
      <c r="AG54" s="3" t="s">
        <v>62</v>
      </c>
      <c r="AH54" s="3" t="s">
        <v>62</v>
      </c>
    </row>
    <row r="55" spans="2:34">
      <c r="B55" s="139">
        <v>11</v>
      </c>
      <c r="C55" s="87" t="str">
        <f>LEFT(EmpGName11)&amp;" " &amp;EmpSName11</f>
        <v>E Smeegal</v>
      </c>
      <c r="D55" s="4" t="s">
        <v>62</v>
      </c>
      <c r="E55" s="4" t="s">
        <v>62</v>
      </c>
      <c r="F55" s="4" t="s">
        <v>62</v>
      </c>
      <c r="G55" s="4" t="s">
        <v>62</v>
      </c>
      <c r="H55" s="4" t="s">
        <v>62</v>
      </c>
      <c r="I55" s="4" t="s">
        <v>62</v>
      </c>
      <c r="J55" s="4" t="s">
        <v>62</v>
      </c>
      <c r="K55" s="4" t="s">
        <v>62</v>
      </c>
      <c r="L55" s="4" t="s">
        <v>62</v>
      </c>
      <c r="M55" s="4" t="s">
        <v>62</v>
      </c>
      <c r="N55" s="4" t="s">
        <v>62</v>
      </c>
      <c r="O55" s="4" t="s">
        <v>62</v>
      </c>
      <c r="P55" s="4" t="s">
        <v>62</v>
      </c>
      <c r="Q55" s="4" t="s">
        <v>62</v>
      </c>
      <c r="R55" s="4" t="s">
        <v>62</v>
      </c>
      <c r="S55" s="4" t="s">
        <v>62</v>
      </c>
      <c r="T55" s="4" t="s">
        <v>62</v>
      </c>
      <c r="U55" s="4" t="s">
        <v>62</v>
      </c>
      <c r="V55" s="4" t="s">
        <v>62</v>
      </c>
      <c r="W55" s="4" t="s">
        <v>62</v>
      </c>
      <c r="X55" s="4" t="s">
        <v>62</v>
      </c>
      <c r="Y55" s="4" t="s">
        <v>62</v>
      </c>
      <c r="Z55" s="4" t="s">
        <v>62</v>
      </c>
      <c r="AA55" s="4" t="s">
        <v>62</v>
      </c>
      <c r="AB55" s="4" t="s">
        <v>62</v>
      </c>
      <c r="AC55" s="4" t="s">
        <v>62</v>
      </c>
      <c r="AD55" s="4" t="s">
        <v>62</v>
      </c>
      <c r="AE55" s="4" t="s">
        <v>62</v>
      </c>
      <c r="AF55" s="4" t="s">
        <v>62</v>
      </c>
      <c r="AG55" s="4" t="s">
        <v>62</v>
      </c>
      <c r="AH55" s="4" t="s">
        <v>62</v>
      </c>
    </row>
    <row r="56" spans="2:34">
      <c r="B56" s="139">
        <v>12</v>
      </c>
      <c r="C56" s="88" t="str">
        <f>LEFT(EmpGName12)&amp;" " &amp;EmpSName12</f>
        <v>J James</v>
      </c>
      <c r="D56" s="3" t="s">
        <v>62</v>
      </c>
      <c r="E56" s="3" t="s">
        <v>62</v>
      </c>
      <c r="F56" s="3" t="s">
        <v>62</v>
      </c>
      <c r="G56" s="3" t="s">
        <v>62</v>
      </c>
      <c r="H56" s="3" t="s">
        <v>62</v>
      </c>
      <c r="I56" s="3" t="s">
        <v>62</v>
      </c>
      <c r="J56" s="3" t="s">
        <v>62</v>
      </c>
      <c r="K56" s="3" t="s">
        <v>62</v>
      </c>
      <c r="L56" s="3" t="s">
        <v>62</v>
      </c>
      <c r="M56" s="3" t="s">
        <v>62</v>
      </c>
      <c r="N56" s="3" t="s">
        <v>62</v>
      </c>
      <c r="O56" s="3" t="s">
        <v>62</v>
      </c>
      <c r="P56" s="3" t="s">
        <v>62</v>
      </c>
      <c r="Q56" s="3" t="s">
        <v>62</v>
      </c>
      <c r="R56" s="3" t="s">
        <v>62</v>
      </c>
      <c r="S56" s="3" t="s">
        <v>62</v>
      </c>
      <c r="T56" s="3" t="s">
        <v>62</v>
      </c>
      <c r="U56" s="3" t="s">
        <v>62</v>
      </c>
      <c r="V56" s="3" t="s">
        <v>62</v>
      </c>
      <c r="W56" s="3" t="s">
        <v>62</v>
      </c>
      <c r="X56" s="3" t="s">
        <v>62</v>
      </c>
      <c r="Y56" s="3" t="s">
        <v>62</v>
      </c>
      <c r="Z56" s="3" t="s">
        <v>62</v>
      </c>
      <c r="AA56" s="3" t="s">
        <v>62</v>
      </c>
      <c r="AB56" s="3" t="s">
        <v>62</v>
      </c>
      <c r="AC56" s="3" t="s">
        <v>62</v>
      </c>
      <c r="AD56" s="3" t="s">
        <v>62</v>
      </c>
      <c r="AE56" s="3" t="s">
        <v>62</v>
      </c>
      <c r="AF56" s="3" t="s">
        <v>62</v>
      </c>
      <c r="AG56" s="3" t="s">
        <v>62</v>
      </c>
      <c r="AH56" s="3" t="s">
        <v>62</v>
      </c>
    </row>
    <row r="57" spans="2:34">
      <c r="B57" s="139">
        <v>13</v>
      </c>
      <c r="C57" s="87" t="str">
        <f>LEFT(EmpGName13)&amp;" " &amp;EmpSName13</f>
        <v>J Jack</v>
      </c>
      <c r="D57" s="4" t="s">
        <v>62</v>
      </c>
      <c r="E57" s="4" t="s">
        <v>62</v>
      </c>
      <c r="F57" s="4" t="s">
        <v>62</v>
      </c>
      <c r="G57" s="4" t="s">
        <v>62</v>
      </c>
      <c r="H57" s="4" t="s">
        <v>62</v>
      </c>
      <c r="I57" s="4" t="s">
        <v>62</v>
      </c>
      <c r="J57" s="4" t="s">
        <v>62</v>
      </c>
      <c r="K57" s="4" t="s">
        <v>62</v>
      </c>
      <c r="L57" s="4" t="s">
        <v>62</v>
      </c>
      <c r="M57" s="4" t="s">
        <v>62</v>
      </c>
      <c r="N57" s="4" t="s">
        <v>62</v>
      </c>
      <c r="O57" s="4" t="s">
        <v>62</v>
      </c>
      <c r="P57" s="4" t="s">
        <v>62</v>
      </c>
      <c r="Q57" s="4" t="s">
        <v>62</v>
      </c>
      <c r="R57" s="4" t="s">
        <v>62</v>
      </c>
      <c r="S57" s="4" t="s">
        <v>62</v>
      </c>
      <c r="T57" s="4" t="s">
        <v>62</v>
      </c>
      <c r="U57" s="4" t="s">
        <v>62</v>
      </c>
      <c r="V57" s="4" t="s">
        <v>62</v>
      </c>
      <c r="W57" s="4" t="s">
        <v>62</v>
      </c>
      <c r="X57" s="4" t="s">
        <v>62</v>
      </c>
      <c r="Y57" s="4" t="s">
        <v>62</v>
      </c>
      <c r="Z57" s="4" t="s">
        <v>62</v>
      </c>
      <c r="AA57" s="4" t="s">
        <v>62</v>
      </c>
      <c r="AB57" s="4" t="s">
        <v>62</v>
      </c>
      <c r="AC57" s="4" t="s">
        <v>62</v>
      </c>
      <c r="AD57" s="4" t="s">
        <v>62</v>
      </c>
      <c r="AE57" s="4" t="s">
        <v>62</v>
      </c>
      <c r="AF57" s="4" t="s">
        <v>62</v>
      </c>
      <c r="AG57" s="4" t="s">
        <v>62</v>
      </c>
      <c r="AH57" s="4" t="s">
        <v>62</v>
      </c>
    </row>
    <row r="58" spans="2:34" s="9" customFormat="1">
      <c r="B58" s="139">
        <v>14</v>
      </c>
      <c r="C58" s="88" t="str">
        <f>LEFT(EmpGName14)&amp;" " &amp;EmpSName14</f>
        <v xml:space="preserve">J Jacky </v>
      </c>
      <c r="D58" s="3" t="s">
        <v>62</v>
      </c>
      <c r="E58" s="3" t="s">
        <v>62</v>
      </c>
      <c r="F58" s="3" t="s">
        <v>62</v>
      </c>
      <c r="G58" s="3" t="s">
        <v>62</v>
      </c>
      <c r="H58" s="3" t="s">
        <v>62</v>
      </c>
      <c r="I58" s="3" t="s">
        <v>62</v>
      </c>
      <c r="J58" s="3" t="s">
        <v>62</v>
      </c>
      <c r="K58" s="3" t="s">
        <v>62</v>
      </c>
      <c r="L58" s="3" t="s">
        <v>62</v>
      </c>
      <c r="M58" s="3" t="s">
        <v>62</v>
      </c>
      <c r="N58" s="3" t="s">
        <v>62</v>
      </c>
      <c r="O58" s="3" t="s">
        <v>62</v>
      </c>
      <c r="P58" s="3" t="s">
        <v>62</v>
      </c>
      <c r="Q58" s="3" t="s">
        <v>62</v>
      </c>
      <c r="R58" s="3" t="s">
        <v>62</v>
      </c>
      <c r="S58" s="3" t="s">
        <v>62</v>
      </c>
      <c r="T58" s="3" t="s">
        <v>62</v>
      </c>
      <c r="U58" s="3" t="s">
        <v>62</v>
      </c>
      <c r="V58" s="3" t="s">
        <v>62</v>
      </c>
      <c r="W58" s="3" t="s">
        <v>62</v>
      </c>
      <c r="X58" s="3" t="s">
        <v>62</v>
      </c>
      <c r="Y58" s="3" t="s">
        <v>62</v>
      </c>
      <c r="Z58" s="3" t="s">
        <v>62</v>
      </c>
      <c r="AA58" s="3" t="s">
        <v>62</v>
      </c>
      <c r="AB58" s="3" t="s">
        <v>62</v>
      </c>
      <c r="AC58" s="3" t="s">
        <v>62</v>
      </c>
      <c r="AD58" s="3" t="s">
        <v>62</v>
      </c>
      <c r="AE58" s="3" t="s">
        <v>62</v>
      </c>
      <c r="AF58" s="3" t="s">
        <v>62</v>
      </c>
      <c r="AG58" s="3" t="s">
        <v>62</v>
      </c>
      <c r="AH58" s="3" t="s">
        <v>62</v>
      </c>
    </row>
    <row r="59" spans="2:34">
      <c r="B59" s="139">
        <v>15</v>
      </c>
      <c r="C59" s="87" t="str">
        <f>LEFT(EmpGName15)&amp;" " &amp;EmpSName15</f>
        <v>J Friedle</v>
      </c>
      <c r="D59" s="4" t="s">
        <v>62</v>
      </c>
      <c r="E59" s="4" t="s">
        <v>62</v>
      </c>
      <c r="F59" s="4" t="s">
        <v>62</v>
      </c>
      <c r="G59" s="4" t="s">
        <v>62</v>
      </c>
      <c r="H59" s="4" t="s">
        <v>62</v>
      </c>
      <c r="I59" s="4" t="s">
        <v>62</v>
      </c>
      <c r="J59" s="4" t="s">
        <v>62</v>
      </c>
      <c r="K59" s="4" t="s">
        <v>62</v>
      </c>
      <c r="L59" s="4" t="s">
        <v>62</v>
      </c>
      <c r="M59" s="4" t="s">
        <v>62</v>
      </c>
      <c r="N59" s="4" t="s">
        <v>62</v>
      </c>
      <c r="O59" s="4" t="s">
        <v>62</v>
      </c>
      <c r="P59" s="4" t="s">
        <v>62</v>
      </c>
      <c r="Q59" s="4" t="s">
        <v>62</v>
      </c>
      <c r="R59" s="4" t="s">
        <v>62</v>
      </c>
      <c r="S59" s="4" t="s">
        <v>62</v>
      </c>
      <c r="T59" s="4" t="s">
        <v>62</v>
      </c>
      <c r="U59" s="4" t="s">
        <v>62</v>
      </c>
      <c r="V59" s="4" t="s">
        <v>62</v>
      </c>
      <c r="W59" s="4" t="s">
        <v>62</v>
      </c>
      <c r="X59" s="4" t="s">
        <v>62</v>
      </c>
      <c r="Y59" s="4" t="s">
        <v>62</v>
      </c>
      <c r="Z59" s="4" t="s">
        <v>62</v>
      </c>
      <c r="AA59" s="4" t="s">
        <v>62</v>
      </c>
      <c r="AB59" s="4" t="s">
        <v>62</v>
      </c>
      <c r="AC59" s="4" t="s">
        <v>62</v>
      </c>
      <c r="AD59" s="4" t="s">
        <v>62</v>
      </c>
      <c r="AE59" s="4" t="s">
        <v>62</v>
      </c>
      <c r="AF59" s="4" t="s">
        <v>62</v>
      </c>
      <c r="AG59" s="4" t="s">
        <v>62</v>
      </c>
      <c r="AH59" s="4" t="s">
        <v>62</v>
      </c>
    </row>
    <row r="60" spans="2:34">
      <c r="B60" s="139">
        <v>16</v>
      </c>
      <c r="C60" s="88" t="str">
        <f>LEFT(EmpGName16)&amp;" " &amp;EmpSName16</f>
        <v>J Friedle</v>
      </c>
      <c r="D60" s="3" t="s">
        <v>62</v>
      </c>
      <c r="E60" s="3" t="s">
        <v>62</v>
      </c>
      <c r="F60" s="3" t="s">
        <v>62</v>
      </c>
      <c r="G60" s="3" t="s">
        <v>62</v>
      </c>
      <c r="H60" s="3" t="s">
        <v>62</v>
      </c>
      <c r="I60" s="3" t="s">
        <v>62</v>
      </c>
      <c r="J60" s="3" t="s">
        <v>62</v>
      </c>
      <c r="K60" s="3" t="s">
        <v>62</v>
      </c>
      <c r="L60" s="3" t="s">
        <v>62</v>
      </c>
      <c r="M60" s="3" t="s">
        <v>62</v>
      </c>
      <c r="N60" s="3" t="s">
        <v>62</v>
      </c>
      <c r="O60" s="3" t="s">
        <v>62</v>
      </c>
      <c r="P60" s="3" t="s">
        <v>62</v>
      </c>
      <c r="Q60" s="3" t="s">
        <v>62</v>
      </c>
      <c r="R60" s="3" t="s">
        <v>62</v>
      </c>
      <c r="S60" s="3" t="s">
        <v>62</v>
      </c>
      <c r="T60" s="3" t="s">
        <v>62</v>
      </c>
      <c r="U60" s="3" t="s">
        <v>62</v>
      </c>
      <c r="V60" s="3" t="s">
        <v>62</v>
      </c>
      <c r="W60" s="3" t="s">
        <v>62</v>
      </c>
      <c r="X60" s="3" t="s">
        <v>62</v>
      </c>
      <c r="Y60" s="3" t="s">
        <v>62</v>
      </c>
      <c r="Z60" s="3" t="s">
        <v>62</v>
      </c>
      <c r="AA60" s="3" t="s">
        <v>62</v>
      </c>
      <c r="AB60" s="3" t="s">
        <v>62</v>
      </c>
      <c r="AC60" s="3" t="s">
        <v>62</v>
      </c>
      <c r="AD60" s="3" t="s">
        <v>62</v>
      </c>
      <c r="AE60" s="3" t="s">
        <v>62</v>
      </c>
      <c r="AF60" s="3" t="s">
        <v>62</v>
      </c>
      <c r="AG60" s="3" t="s">
        <v>62</v>
      </c>
      <c r="AH60" s="3" t="s">
        <v>62</v>
      </c>
    </row>
    <row r="61" spans="2:34">
      <c r="B61" s="139">
        <v>17</v>
      </c>
      <c r="C61" s="87" t="str">
        <f>LEFT(EmpGName17)&amp;" " &amp;EmpSName17</f>
        <v>J Smart</v>
      </c>
      <c r="D61" s="4" t="s">
        <v>62</v>
      </c>
      <c r="E61" s="4" t="s">
        <v>62</v>
      </c>
      <c r="F61" s="4" t="s">
        <v>62</v>
      </c>
      <c r="G61" s="4" t="s">
        <v>62</v>
      </c>
      <c r="H61" s="4" t="s">
        <v>62</v>
      </c>
      <c r="I61" s="4" t="s">
        <v>62</v>
      </c>
      <c r="J61" s="4" t="s">
        <v>62</v>
      </c>
      <c r="K61" s="4" t="s">
        <v>62</v>
      </c>
      <c r="L61" s="4" t="s">
        <v>62</v>
      </c>
      <c r="M61" s="4" t="s">
        <v>62</v>
      </c>
      <c r="N61" s="4" t="s">
        <v>62</v>
      </c>
      <c r="O61" s="4" t="s">
        <v>62</v>
      </c>
      <c r="P61" s="4" t="s">
        <v>62</v>
      </c>
      <c r="Q61" s="4" t="s">
        <v>62</v>
      </c>
      <c r="R61" s="4" t="s">
        <v>62</v>
      </c>
      <c r="S61" s="4" t="s">
        <v>62</v>
      </c>
      <c r="T61" s="4" t="s">
        <v>62</v>
      </c>
      <c r="U61" s="4" t="s">
        <v>62</v>
      </c>
      <c r="V61" s="4" t="s">
        <v>62</v>
      </c>
      <c r="W61" s="4" t="s">
        <v>62</v>
      </c>
      <c r="X61" s="4" t="s">
        <v>62</v>
      </c>
      <c r="Y61" s="4" t="s">
        <v>62</v>
      </c>
      <c r="Z61" s="4" t="s">
        <v>62</v>
      </c>
      <c r="AA61" s="4" t="s">
        <v>62</v>
      </c>
      <c r="AB61" s="4" t="s">
        <v>62</v>
      </c>
      <c r="AC61" s="4" t="s">
        <v>62</v>
      </c>
      <c r="AD61" s="4" t="s">
        <v>62</v>
      </c>
      <c r="AE61" s="4" t="s">
        <v>62</v>
      </c>
      <c r="AF61" s="4" t="s">
        <v>62</v>
      </c>
      <c r="AG61" s="4" t="s">
        <v>62</v>
      </c>
      <c r="AH61" s="4" t="s">
        <v>62</v>
      </c>
    </row>
    <row r="62" spans="2:34">
      <c r="B62" s="139">
        <v>18</v>
      </c>
      <c r="C62" s="88" t="str">
        <f>LEFT(EmpGName18)&amp;" " &amp;EmpSName18</f>
        <v>E Smart</v>
      </c>
      <c r="D62" s="3" t="s">
        <v>62</v>
      </c>
      <c r="E62" s="3" t="s">
        <v>62</v>
      </c>
      <c r="F62" s="3" t="s">
        <v>62</v>
      </c>
      <c r="G62" s="3" t="s">
        <v>62</v>
      </c>
      <c r="H62" s="3" t="s">
        <v>62</v>
      </c>
      <c r="I62" s="3" t="s">
        <v>62</v>
      </c>
      <c r="J62" s="3" t="s">
        <v>62</v>
      </c>
      <c r="K62" s="3" t="s">
        <v>62</v>
      </c>
      <c r="L62" s="3" t="s">
        <v>62</v>
      </c>
      <c r="M62" s="3" t="s">
        <v>62</v>
      </c>
      <c r="N62" s="3" t="s">
        <v>62</v>
      </c>
      <c r="O62" s="3" t="s">
        <v>62</v>
      </c>
      <c r="P62" s="3" t="s">
        <v>62</v>
      </c>
      <c r="Q62" s="3" t="s">
        <v>62</v>
      </c>
      <c r="R62" s="3" t="s">
        <v>62</v>
      </c>
      <c r="S62" s="3" t="s">
        <v>62</v>
      </c>
      <c r="T62" s="3" t="s">
        <v>62</v>
      </c>
      <c r="U62" s="3" t="s">
        <v>62</v>
      </c>
      <c r="V62" s="3" t="s">
        <v>62</v>
      </c>
      <c r="W62" s="3" t="s">
        <v>62</v>
      </c>
      <c r="X62" s="3" t="s">
        <v>62</v>
      </c>
      <c r="Y62" s="3" t="s">
        <v>62</v>
      </c>
      <c r="Z62" s="3" t="s">
        <v>62</v>
      </c>
      <c r="AA62" s="3" t="s">
        <v>62</v>
      </c>
      <c r="AB62" s="3" t="s">
        <v>62</v>
      </c>
      <c r="AC62" s="3" t="s">
        <v>62</v>
      </c>
      <c r="AD62" s="3" t="s">
        <v>62</v>
      </c>
      <c r="AE62" s="3" t="s">
        <v>62</v>
      </c>
      <c r="AF62" s="3" t="s">
        <v>62</v>
      </c>
      <c r="AG62" s="3" t="s">
        <v>62</v>
      </c>
      <c r="AH62" s="3" t="s">
        <v>62</v>
      </c>
    </row>
    <row r="63" spans="2:34" hidden="1">
      <c r="B63" s="139">
        <v>19</v>
      </c>
      <c r="C63" s="87" t="str">
        <f>LEFT(EmpGName19)&amp;" " &amp;EmpSName19</f>
        <v xml:space="preserve"> </v>
      </c>
      <c r="D63" s="4" t="s">
        <v>62</v>
      </c>
      <c r="E63" s="4" t="s">
        <v>62</v>
      </c>
      <c r="F63" s="4" t="s">
        <v>62</v>
      </c>
      <c r="G63" s="4" t="s">
        <v>62</v>
      </c>
      <c r="H63" s="4" t="s">
        <v>62</v>
      </c>
      <c r="I63" s="4" t="s">
        <v>62</v>
      </c>
      <c r="J63" s="4" t="s">
        <v>62</v>
      </c>
      <c r="K63" s="4" t="s">
        <v>62</v>
      </c>
      <c r="L63" s="4" t="s">
        <v>62</v>
      </c>
      <c r="M63" s="4" t="s">
        <v>62</v>
      </c>
      <c r="N63" s="4" t="s">
        <v>62</v>
      </c>
      <c r="O63" s="4" t="s">
        <v>62</v>
      </c>
      <c r="P63" s="4" t="s">
        <v>62</v>
      </c>
      <c r="Q63" s="4" t="s">
        <v>62</v>
      </c>
      <c r="R63" s="4" t="s">
        <v>62</v>
      </c>
      <c r="S63" s="4" t="s">
        <v>62</v>
      </c>
      <c r="T63" s="4" t="s">
        <v>62</v>
      </c>
      <c r="U63" s="4" t="s">
        <v>62</v>
      </c>
      <c r="V63" s="4" t="s">
        <v>62</v>
      </c>
      <c r="W63" s="4" t="s">
        <v>62</v>
      </c>
      <c r="X63" s="4" t="s">
        <v>62</v>
      </c>
      <c r="Y63" s="4" t="s">
        <v>62</v>
      </c>
      <c r="Z63" s="4" t="s">
        <v>62</v>
      </c>
      <c r="AA63" s="4" t="s">
        <v>62</v>
      </c>
      <c r="AB63" s="4" t="s">
        <v>62</v>
      </c>
      <c r="AC63" s="4" t="s">
        <v>62</v>
      </c>
      <c r="AD63" s="4" t="s">
        <v>62</v>
      </c>
      <c r="AE63" s="4" t="s">
        <v>62</v>
      </c>
      <c r="AF63" s="4" t="s">
        <v>62</v>
      </c>
      <c r="AG63" s="4" t="s">
        <v>62</v>
      </c>
      <c r="AH63" s="4" t="s">
        <v>62</v>
      </c>
    </row>
    <row r="64" spans="2:34" hidden="1">
      <c r="B64" s="139">
        <v>20</v>
      </c>
      <c r="C64" s="88" t="str">
        <f>LEFT(EmpGName20)&amp;" " &amp;EmpSName20</f>
        <v xml:space="preserve"> </v>
      </c>
      <c r="D64" s="3" t="s">
        <v>62</v>
      </c>
      <c r="E64" s="3" t="s">
        <v>62</v>
      </c>
      <c r="F64" s="3" t="s">
        <v>62</v>
      </c>
      <c r="G64" s="3" t="s">
        <v>62</v>
      </c>
      <c r="H64" s="3" t="s">
        <v>62</v>
      </c>
      <c r="I64" s="3" t="s">
        <v>62</v>
      </c>
      <c r="J64" s="3" t="s">
        <v>62</v>
      </c>
      <c r="K64" s="3" t="s">
        <v>62</v>
      </c>
      <c r="L64" s="3" t="s">
        <v>62</v>
      </c>
      <c r="M64" s="3" t="s">
        <v>62</v>
      </c>
      <c r="N64" s="3" t="s">
        <v>62</v>
      </c>
      <c r="O64" s="3" t="s">
        <v>62</v>
      </c>
      <c r="P64" s="3" t="s">
        <v>62</v>
      </c>
      <c r="Q64" s="3" t="s">
        <v>62</v>
      </c>
      <c r="R64" s="3" t="s">
        <v>62</v>
      </c>
      <c r="S64" s="3" t="s">
        <v>62</v>
      </c>
      <c r="T64" s="3" t="s">
        <v>62</v>
      </c>
      <c r="U64" s="3" t="s">
        <v>62</v>
      </c>
      <c r="V64" s="3" t="s">
        <v>62</v>
      </c>
      <c r="W64" s="3" t="s">
        <v>62</v>
      </c>
      <c r="X64" s="3" t="s">
        <v>62</v>
      </c>
      <c r="Y64" s="3" t="s">
        <v>62</v>
      </c>
      <c r="Z64" s="3" t="s">
        <v>62</v>
      </c>
      <c r="AA64" s="3" t="s">
        <v>62</v>
      </c>
      <c r="AB64" s="3" t="s">
        <v>62</v>
      </c>
      <c r="AC64" s="3" t="s">
        <v>62</v>
      </c>
      <c r="AD64" s="3" t="s">
        <v>62</v>
      </c>
      <c r="AE64" s="3" t="s">
        <v>62</v>
      </c>
      <c r="AF64" s="3" t="s">
        <v>62</v>
      </c>
      <c r="AG64" s="3" t="s">
        <v>62</v>
      </c>
      <c r="AH64" s="3" t="s">
        <v>62</v>
      </c>
    </row>
    <row r="65" spans="2:34" hidden="1">
      <c r="B65" s="139">
        <v>21</v>
      </c>
      <c r="C65" s="87" t="str">
        <f>LEFT(EmpGName21)&amp;" " &amp;EmpSName21</f>
        <v xml:space="preserve"> </v>
      </c>
      <c r="D65" s="4" t="s">
        <v>62</v>
      </c>
      <c r="E65" s="4" t="s">
        <v>62</v>
      </c>
      <c r="F65" s="4" t="s">
        <v>62</v>
      </c>
      <c r="G65" s="4" t="s">
        <v>62</v>
      </c>
      <c r="H65" s="4" t="s">
        <v>62</v>
      </c>
      <c r="I65" s="4" t="s">
        <v>62</v>
      </c>
      <c r="J65" s="4" t="s">
        <v>62</v>
      </c>
      <c r="K65" s="4" t="s">
        <v>62</v>
      </c>
      <c r="L65" s="4" t="s">
        <v>62</v>
      </c>
      <c r="M65" s="4" t="s">
        <v>62</v>
      </c>
      <c r="N65" s="4" t="s">
        <v>62</v>
      </c>
      <c r="O65" s="4" t="s">
        <v>62</v>
      </c>
      <c r="P65" s="4" t="s">
        <v>62</v>
      </c>
      <c r="Q65" s="4" t="s">
        <v>62</v>
      </c>
      <c r="R65" s="4" t="s">
        <v>62</v>
      </c>
      <c r="S65" s="4" t="s">
        <v>62</v>
      </c>
      <c r="T65" s="4" t="s">
        <v>62</v>
      </c>
      <c r="U65" s="4" t="s">
        <v>62</v>
      </c>
      <c r="V65" s="4" t="s">
        <v>62</v>
      </c>
      <c r="W65" s="4" t="s">
        <v>62</v>
      </c>
      <c r="X65" s="4" t="s">
        <v>62</v>
      </c>
      <c r="Y65" s="4" t="s">
        <v>62</v>
      </c>
      <c r="Z65" s="4" t="s">
        <v>62</v>
      </c>
      <c r="AA65" s="4" t="s">
        <v>62</v>
      </c>
      <c r="AB65" s="4" t="s">
        <v>62</v>
      </c>
      <c r="AC65" s="4" t="s">
        <v>62</v>
      </c>
      <c r="AD65" s="4" t="s">
        <v>62</v>
      </c>
      <c r="AE65" s="4" t="s">
        <v>62</v>
      </c>
      <c r="AF65" s="4" t="s">
        <v>62</v>
      </c>
      <c r="AG65" s="4" t="s">
        <v>62</v>
      </c>
      <c r="AH65" s="4" t="s">
        <v>62</v>
      </c>
    </row>
    <row r="66" spans="2:34" hidden="1">
      <c r="B66" s="139">
        <v>22</v>
      </c>
      <c r="C66" s="88" t="str">
        <f>LEFT(EmpGName22)&amp;" " &amp;EmpSName22</f>
        <v xml:space="preserve"> </v>
      </c>
      <c r="D66" s="3" t="s">
        <v>62</v>
      </c>
      <c r="E66" s="3" t="s">
        <v>62</v>
      </c>
      <c r="F66" s="3" t="s">
        <v>62</v>
      </c>
      <c r="G66" s="3" t="s">
        <v>62</v>
      </c>
      <c r="H66" s="3" t="s">
        <v>62</v>
      </c>
      <c r="I66" s="3" t="s">
        <v>62</v>
      </c>
      <c r="J66" s="3" t="s">
        <v>62</v>
      </c>
      <c r="K66" s="3" t="s">
        <v>62</v>
      </c>
      <c r="L66" s="3" t="s">
        <v>62</v>
      </c>
      <c r="M66" s="3" t="s">
        <v>62</v>
      </c>
      <c r="N66" s="3" t="s">
        <v>62</v>
      </c>
      <c r="O66" s="3" t="s">
        <v>62</v>
      </c>
      <c r="P66" s="3" t="s">
        <v>62</v>
      </c>
      <c r="Q66" s="3" t="s">
        <v>62</v>
      </c>
      <c r="R66" s="3" t="s">
        <v>62</v>
      </c>
      <c r="S66" s="3" t="s">
        <v>62</v>
      </c>
      <c r="T66" s="3" t="s">
        <v>62</v>
      </c>
      <c r="U66" s="3" t="s">
        <v>62</v>
      </c>
      <c r="V66" s="3" t="s">
        <v>62</v>
      </c>
      <c r="W66" s="3" t="s">
        <v>62</v>
      </c>
      <c r="X66" s="3" t="s">
        <v>62</v>
      </c>
      <c r="Y66" s="3" t="s">
        <v>62</v>
      </c>
      <c r="Z66" s="3" t="s">
        <v>62</v>
      </c>
      <c r="AA66" s="3" t="s">
        <v>62</v>
      </c>
      <c r="AB66" s="3" t="s">
        <v>62</v>
      </c>
      <c r="AC66" s="3" t="s">
        <v>62</v>
      </c>
      <c r="AD66" s="3" t="s">
        <v>62</v>
      </c>
      <c r="AE66" s="3" t="s">
        <v>62</v>
      </c>
      <c r="AF66" s="3" t="s">
        <v>62</v>
      </c>
      <c r="AG66" s="3" t="s">
        <v>62</v>
      </c>
      <c r="AH66" s="3" t="s">
        <v>62</v>
      </c>
    </row>
    <row r="67" spans="2:34" hidden="1">
      <c r="B67" s="139">
        <v>23</v>
      </c>
      <c r="C67" s="87" t="str">
        <f>LEFT(EmpGName23)&amp;" " &amp;EmpSName23</f>
        <v xml:space="preserve"> </v>
      </c>
      <c r="D67" s="4" t="s">
        <v>62</v>
      </c>
      <c r="E67" s="4" t="s">
        <v>62</v>
      </c>
      <c r="F67" s="4" t="s">
        <v>62</v>
      </c>
      <c r="G67" s="4" t="s">
        <v>62</v>
      </c>
      <c r="H67" s="4" t="s">
        <v>62</v>
      </c>
      <c r="I67" s="4" t="s">
        <v>62</v>
      </c>
      <c r="J67" s="4" t="s">
        <v>62</v>
      </c>
      <c r="K67" s="4" t="s">
        <v>62</v>
      </c>
      <c r="L67" s="4" t="s">
        <v>62</v>
      </c>
      <c r="M67" s="4" t="s">
        <v>62</v>
      </c>
      <c r="N67" s="4" t="s">
        <v>62</v>
      </c>
      <c r="O67" s="4" t="s">
        <v>62</v>
      </c>
      <c r="P67" s="4" t="s">
        <v>62</v>
      </c>
      <c r="Q67" s="4" t="s">
        <v>62</v>
      </c>
      <c r="R67" s="4" t="s">
        <v>62</v>
      </c>
      <c r="S67" s="4" t="s">
        <v>62</v>
      </c>
      <c r="T67" s="4" t="s">
        <v>62</v>
      </c>
      <c r="U67" s="4" t="s">
        <v>62</v>
      </c>
      <c r="V67" s="4" t="s">
        <v>62</v>
      </c>
      <c r="W67" s="4" t="s">
        <v>62</v>
      </c>
      <c r="X67" s="4" t="s">
        <v>62</v>
      </c>
      <c r="Y67" s="4" t="s">
        <v>62</v>
      </c>
      <c r="Z67" s="4" t="s">
        <v>62</v>
      </c>
      <c r="AA67" s="4" t="s">
        <v>62</v>
      </c>
      <c r="AB67" s="4" t="s">
        <v>62</v>
      </c>
      <c r="AC67" s="4" t="s">
        <v>62</v>
      </c>
      <c r="AD67" s="4" t="s">
        <v>62</v>
      </c>
      <c r="AE67" s="4" t="s">
        <v>62</v>
      </c>
      <c r="AF67" s="4" t="s">
        <v>62</v>
      </c>
      <c r="AG67" s="4" t="s">
        <v>62</v>
      </c>
      <c r="AH67" s="4" t="s">
        <v>62</v>
      </c>
    </row>
    <row r="68" spans="2:34" hidden="1">
      <c r="B68" s="139">
        <v>24</v>
      </c>
      <c r="C68" s="88" t="str">
        <f>LEFT(EmpGName24)&amp;" " &amp;EmpSName24</f>
        <v xml:space="preserve"> </v>
      </c>
      <c r="D68" s="3" t="s">
        <v>62</v>
      </c>
      <c r="E68" s="3" t="s">
        <v>62</v>
      </c>
      <c r="F68" s="3" t="s">
        <v>62</v>
      </c>
      <c r="G68" s="3" t="s">
        <v>62</v>
      </c>
      <c r="H68" s="3" t="s">
        <v>62</v>
      </c>
      <c r="I68" s="3" t="s">
        <v>62</v>
      </c>
      <c r="J68" s="3" t="s">
        <v>62</v>
      </c>
      <c r="K68" s="3" t="s">
        <v>62</v>
      </c>
      <c r="L68" s="3" t="s">
        <v>62</v>
      </c>
      <c r="M68" s="3" t="s">
        <v>62</v>
      </c>
      <c r="N68" s="3" t="s">
        <v>62</v>
      </c>
      <c r="O68" s="3" t="s">
        <v>62</v>
      </c>
      <c r="P68" s="3" t="s">
        <v>62</v>
      </c>
      <c r="Q68" s="3" t="s">
        <v>62</v>
      </c>
      <c r="R68" s="3" t="s">
        <v>62</v>
      </c>
      <c r="S68" s="3" t="s">
        <v>62</v>
      </c>
      <c r="T68" s="3" t="s">
        <v>62</v>
      </c>
      <c r="U68" s="3" t="s">
        <v>62</v>
      </c>
      <c r="V68" s="3" t="s">
        <v>62</v>
      </c>
      <c r="W68" s="3" t="s">
        <v>62</v>
      </c>
      <c r="X68" s="3" t="s">
        <v>62</v>
      </c>
      <c r="Y68" s="3" t="s">
        <v>62</v>
      </c>
      <c r="Z68" s="3" t="s">
        <v>62</v>
      </c>
      <c r="AA68" s="3" t="s">
        <v>62</v>
      </c>
      <c r="AB68" s="3" t="s">
        <v>62</v>
      </c>
      <c r="AC68" s="3" t="s">
        <v>62</v>
      </c>
      <c r="AD68" s="3" t="s">
        <v>62</v>
      </c>
      <c r="AE68" s="3" t="s">
        <v>62</v>
      </c>
      <c r="AF68" s="3" t="s">
        <v>62</v>
      </c>
      <c r="AG68" s="3" t="s">
        <v>62</v>
      </c>
      <c r="AH68" s="3" t="s">
        <v>62</v>
      </c>
    </row>
    <row r="69" spans="2:34" hidden="1">
      <c r="B69" s="139">
        <v>25</v>
      </c>
      <c r="C69" s="87" t="str">
        <f>LEFT(EmpGName25)&amp;" " &amp;EmpSName25</f>
        <v xml:space="preserve"> </v>
      </c>
      <c r="D69" s="4" t="s">
        <v>62</v>
      </c>
      <c r="E69" s="4" t="s">
        <v>62</v>
      </c>
      <c r="F69" s="4" t="s">
        <v>62</v>
      </c>
      <c r="G69" s="4" t="s">
        <v>62</v>
      </c>
      <c r="H69" s="4" t="s">
        <v>62</v>
      </c>
      <c r="I69" s="4" t="s">
        <v>62</v>
      </c>
      <c r="J69" s="4" t="s">
        <v>62</v>
      </c>
      <c r="K69" s="4" t="s">
        <v>62</v>
      </c>
      <c r="L69" s="4" t="s">
        <v>62</v>
      </c>
      <c r="M69" s="4" t="s">
        <v>62</v>
      </c>
      <c r="N69" s="4" t="s">
        <v>62</v>
      </c>
      <c r="O69" s="4" t="s">
        <v>62</v>
      </c>
      <c r="P69" s="4" t="s">
        <v>62</v>
      </c>
      <c r="Q69" s="4" t="s">
        <v>62</v>
      </c>
      <c r="R69" s="4" t="s">
        <v>62</v>
      </c>
      <c r="S69" s="4" t="s">
        <v>62</v>
      </c>
      <c r="T69" s="4" t="s">
        <v>62</v>
      </c>
      <c r="U69" s="4" t="s">
        <v>62</v>
      </c>
      <c r="V69" s="4" t="s">
        <v>62</v>
      </c>
      <c r="W69" s="4" t="s">
        <v>62</v>
      </c>
      <c r="X69" s="4" t="s">
        <v>62</v>
      </c>
      <c r="Y69" s="4" t="s">
        <v>62</v>
      </c>
      <c r="Z69" s="4" t="s">
        <v>62</v>
      </c>
      <c r="AA69" s="4" t="s">
        <v>62</v>
      </c>
      <c r="AB69" s="4" t="s">
        <v>62</v>
      </c>
      <c r="AC69" s="4" t="s">
        <v>62</v>
      </c>
      <c r="AD69" s="4" t="s">
        <v>62</v>
      </c>
      <c r="AE69" s="4" t="s">
        <v>62</v>
      </c>
      <c r="AF69" s="4" t="s">
        <v>62</v>
      </c>
      <c r="AG69" s="4" t="s">
        <v>62</v>
      </c>
      <c r="AH69" s="4" t="s">
        <v>62</v>
      </c>
    </row>
    <row r="70" spans="2:34" s="70" customFormat="1" hidden="1">
      <c r="B70" s="139">
        <v>26</v>
      </c>
      <c r="C70" s="88" t="str">
        <f>LEFT(EmpGName26)&amp;" " &amp;EmpSName26</f>
        <v xml:space="preserve"> </v>
      </c>
      <c r="D70" s="3" t="s">
        <v>62</v>
      </c>
      <c r="E70" s="3" t="s">
        <v>62</v>
      </c>
      <c r="F70" s="3" t="s">
        <v>62</v>
      </c>
      <c r="G70" s="3" t="s">
        <v>62</v>
      </c>
      <c r="H70" s="3" t="s">
        <v>62</v>
      </c>
      <c r="I70" s="3" t="s">
        <v>62</v>
      </c>
      <c r="J70" s="3" t="s">
        <v>62</v>
      </c>
      <c r="K70" s="3" t="s">
        <v>62</v>
      </c>
      <c r="L70" s="3" t="s">
        <v>62</v>
      </c>
      <c r="M70" s="3" t="s">
        <v>62</v>
      </c>
      <c r="N70" s="3" t="s">
        <v>62</v>
      </c>
      <c r="O70" s="3" t="s">
        <v>62</v>
      </c>
      <c r="P70" s="3" t="s">
        <v>62</v>
      </c>
      <c r="Q70" s="3" t="s">
        <v>62</v>
      </c>
      <c r="R70" s="3" t="s">
        <v>62</v>
      </c>
      <c r="S70" s="3" t="s">
        <v>62</v>
      </c>
      <c r="T70" s="3" t="s">
        <v>62</v>
      </c>
      <c r="U70" s="3" t="s">
        <v>62</v>
      </c>
      <c r="V70" s="3" t="s">
        <v>62</v>
      </c>
      <c r="W70" s="3" t="s">
        <v>62</v>
      </c>
      <c r="X70" s="3" t="s">
        <v>62</v>
      </c>
      <c r="Y70" s="3" t="s">
        <v>62</v>
      </c>
      <c r="Z70" s="3" t="s">
        <v>62</v>
      </c>
      <c r="AA70" s="3" t="s">
        <v>62</v>
      </c>
      <c r="AB70" s="3" t="s">
        <v>62</v>
      </c>
      <c r="AC70" s="3" t="s">
        <v>62</v>
      </c>
      <c r="AD70" s="3" t="s">
        <v>62</v>
      </c>
      <c r="AE70" s="3" t="s">
        <v>62</v>
      </c>
      <c r="AF70" s="3" t="s">
        <v>62</v>
      </c>
      <c r="AG70" s="3" t="s">
        <v>62</v>
      </c>
      <c r="AH70" s="3" t="s">
        <v>62</v>
      </c>
    </row>
    <row r="71" spans="2:34" hidden="1">
      <c r="B71" s="139">
        <v>27</v>
      </c>
      <c r="C71" s="87" t="str">
        <f>LEFT(EmpGName27)&amp;" " &amp;EmpSName27</f>
        <v xml:space="preserve"> </v>
      </c>
      <c r="D71" s="4" t="s">
        <v>62</v>
      </c>
      <c r="E71" s="4" t="s">
        <v>62</v>
      </c>
      <c r="F71" s="4" t="s">
        <v>62</v>
      </c>
      <c r="G71" s="4" t="s">
        <v>62</v>
      </c>
      <c r="H71" s="4" t="s">
        <v>62</v>
      </c>
      <c r="I71" s="4" t="s">
        <v>62</v>
      </c>
      <c r="J71" s="4" t="s">
        <v>62</v>
      </c>
      <c r="K71" s="4" t="s">
        <v>62</v>
      </c>
      <c r="L71" s="4" t="s">
        <v>62</v>
      </c>
      <c r="M71" s="4" t="s">
        <v>62</v>
      </c>
      <c r="N71" s="4" t="s">
        <v>62</v>
      </c>
      <c r="O71" s="4" t="s">
        <v>62</v>
      </c>
      <c r="P71" s="4" t="s">
        <v>62</v>
      </c>
      <c r="Q71" s="4" t="s">
        <v>62</v>
      </c>
      <c r="R71" s="4" t="s">
        <v>62</v>
      </c>
      <c r="S71" s="4" t="s">
        <v>62</v>
      </c>
      <c r="T71" s="4" t="s">
        <v>62</v>
      </c>
      <c r="U71" s="4" t="s">
        <v>62</v>
      </c>
      <c r="V71" s="4" t="s">
        <v>62</v>
      </c>
      <c r="W71" s="4" t="s">
        <v>62</v>
      </c>
      <c r="X71" s="4" t="s">
        <v>62</v>
      </c>
      <c r="Y71" s="4" t="s">
        <v>62</v>
      </c>
      <c r="Z71" s="4" t="s">
        <v>62</v>
      </c>
      <c r="AA71" s="4" t="s">
        <v>62</v>
      </c>
      <c r="AB71" s="4" t="s">
        <v>62</v>
      </c>
      <c r="AC71" s="4" t="s">
        <v>62</v>
      </c>
      <c r="AD71" s="4" t="s">
        <v>62</v>
      </c>
      <c r="AE71" s="4" t="s">
        <v>62</v>
      </c>
      <c r="AF71" s="4" t="s">
        <v>62</v>
      </c>
      <c r="AG71" s="4" t="s">
        <v>62</v>
      </c>
      <c r="AH71" s="4" t="s">
        <v>62</v>
      </c>
    </row>
    <row r="72" spans="2:34" hidden="1">
      <c r="B72" s="139">
        <v>28</v>
      </c>
      <c r="C72" s="88" t="str">
        <f>LEFT(EmpGName28)&amp;" " &amp;EmpSName28</f>
        <v xml:space="preserve"> </v>
      </c>
      <c r="D72" s="3" t="s">
        <v>62</v>
      </c>
      <c r="E72" s="3" t="s">
        <v>62</v>
      </c>
      <c r="F72" s="3" t="s">
        <v>62</v>
      </c>
      <c r="G72" s="3" t="s">
        <v>62</v>
      </c>
      <c r="H72" s="3" t="s">
        <v>62</v>
      </c>
      <c r="I72" s="3" t="s">
        <v>62</v>
      </c>
      <c r="J72" s="3" t="s">
        <v>62</v>
      </c>
      <c r="K72" s="3" t="s">
        <v>62</v>
      </c>
      <c r="L72" s="3" t="s">
        <v>62</v>
      </c>
      <c r="M72" s="3" t="s">
        <v>62</v>
      </c>
      <c r="N72" s="3" t="s">
        <v>62</v>
      </c>
      <c r="O72" s="3" t="s">
        <v>62</v>
      </c>
      <c r="P72" s="3" t="s">
        <v>62</v>
      </c>
      <c r="Q72" s="3" t="s">
        <v>62</v>
      </c>
      <c r="R72" s="3" t="s">
        <v>62</v>
      </c>
      <c r="S72" s="3" t="s">
        <v>62</v>
      </c>
      <c r="T72" s="3" t="s">
        <v>62</v>
      </c>
      <c r="U72" s="3" t="s">
        <v>62</v>
      </c>
      <c r="V72" s="3" t="s">
        <v>62</v>
      </c>
      <c r="W72" s="3" t="s">
        <v>62</v>
      </c>
      <c r="X72" s="3" t="s">
        <v>62</v>
      </c>
      <c r="Y72" s="3" t="s">
        <v>62</v>
      </c>
      <c r="Z72" s="3" t="s">
        <v>62</v>
      </c>
      <c r="AA72" s="3" t="s">
        <v>62</v>
      </c>
      <c r="AB72" s="3" t="s">
        <v>62</v>
      </c>
      <c r="AC72" s="3" t="s">
        <v>62</v>
      </c>
      <c r="AD72" s="3" t="s">
        <v>62</v>
      </c>
      <c r="AE72" s="3" t="s">
        <v>62</v>
      </c>
      <c r="AF72" s="3" t="s">
        <v>62</v>
      </c>
      <c r="AG72" s="3" t="s">
        <v>62</v>
      </c>
      <c r="AH72" s="3" t="s">
        <v>62</v>
      </c>
    </row>
    <row r="74" spans="2:34">
      <c r="C74" s="190">
        <f>CurYear-1</f>
        <v>2019</v>
      </c>
      <c r="D74" s="5" t="str">
        <f t="shared" ref="D74:AG74" si="2">LEFT(TEXT(D75&amp;"-"&amp;$C75&amp;"-"&amp; CurYear-1,"ddd"),2)</f>
        <v>Su</v>
      </c>
      <c r="E74" s="5" t="str">
        <f t="shared" si="2"/>
        <v>Mo</v>
      </c>
      <c r="F74" s="5" t="str">
        <f t="shared" si="2"/>
        <v>Tu</v>
      </c>
      <c r="G74" s="5" t="str">
        <f t="shared" si="2"/>
        <v>We</v>
      </c>
      <c r="H74" s="5" t="str">
        <f t="shared" si="2"/>
        <v>Th</v>
      </c>
      <c r="I74" s="5" t="str">
        <f t="shared" si="2"/>
        <v>Fr</v>
      </c>
      <c r="J74" s="5" t="str">
        <f t="shared" si="2"/>
        <v>Sa</v>
      </c>
      <c r="K74" s="5" t="str">
        <f t="shared" si="2"/>
        <v>Su</v>
      </c>
      <c r="L74" s="5" t="str">
        <f t="shared" si="2"/>
        <v>Mo</v>
      </c>
      <c r="M74" s="5" t="str">
        <f t="shared" si="2"/>
        <v>Tu</v>
      </c>
      <c r="N74" s="5" t="str">
        <f t="shared" si="2"/>
        <v>We</v>
      </c>
      <c r="O74" s="5" t="str">
        <f t="shared" si="2"/>
        <v>Th</v>
      </c>
      <c r="P74" s="5" t="str">
        <f t="shared" si="2"/>
        <v>Fr</v>
      </c>
      <c r="Q74" s="5" t="str">
        <f t="shared" si="2"/>
        <v>Sa</v>
      </c>
      <c r="R74" s="5" t="str">
        <f t="shared" si="2"/>
        <v>Su</v>
      </c>
      <c r="S74" s="5" t="str">
        <f t="shared" si="2"/>
        <v>Mo</v>
      </c>
      <c r="T74" s="5" t="str">
        <f t="shared" si="2"/>
        <v>Tu</v>
      </c>
      <c r="U74" s="5" t="str">
        <f t="shared" si="2"/>
        <v>We</v>
      </c>
      <c r="V74" s="5" t="str">
        <f t="shared" si="2"/>
        <v>Th</v>
      </c>
      <c r="W74" s="5" t="str">
        <f t="shared" si="2"/>
        <v>Fr</v>
      </c>
      <c r="X74" s="5" t="str">
        <f t="shared" si="2"/>
        <v>Sa</v>
      </c>
      <c r="Y74" s="5" t="str">
        <f t="shared" si="2"/>
        <v>Su</v>
      </c>
      <c r="Z74" s="5" t="str">
        <f t="shared" si="2"/>
        <v>Mo</v>
      </c>
      <c r="AA74" s="5" t="str">
        <f t="shared" si="2"/>
        <v>Tu</v>
      </c>
      <c r="AB74" s="5" t="str">
        <f t="shared" si="2"/>
        <v>We</v>
      </c>
      <c r="AC74" s="5" t="str">
        <f t="shared" si="2"/>
        <v>Th</v>
      </c>
      <c r="AD74" s="5" t="str">
        <f t="shared" si="2"/>
        <v>Fr</v>
      </c>
      <c r="AE74" s="5" t="str">
        <f t="shared" si="2"/>
        <v>Sa</v>
      </c>
      <c r="AF74" s="5" t="str">
        <f t="shared" si="2"/>
        <v>Su</v>
      </c>
      <c r="AG74" s="5" t="str">
        <f t="shared" si="2"/>
        <v>Mo</v>
      </c>
      <c r="AH74" s="5"/>
    </row>
    <row r="75" spans="2:34">
      <c r="B75" s="86"/>
      <c r="C75" s="191" t="s">
        <v>20</v>
      </c>
      <c r="D75" s="193">
        <v>1</v>
      </c>
      <c r="E75" s="193">
        <v>2</v>
      </c>
      <c r="F75" s="193">
        <v>3</v>
      </c>
      <c r="G75" s="193">
        <v>4</v>
      </c>
      <c r="H75" s="193">
        <v>5</v>
      </c>
      <c r="I75" s="193">
        <v>6</v>
      </c>
      <c r="J75" s="193">
        <v>7</v>
      </c>
      <c r="K75" s="193">
        <v>8</v>
      </c>
      <c r="L75" s="193">
        <v>9</v>
      </c>
      <c r="M75" s="193">
        <v>10</v>
      </c>
      <c r="N75" s="192">
        <v>11</v>
      </c>
      <c r="O75" s="193">
        <v>12</v>
      </c>
      <c r="P75" s="193">
        <v>13</v>
      </c>
      <c r="Q75" s="193">
        <v>14</v>
      </c>
      <c r="R75" s="193">
        <v>15</v>
      </c>
      <c r="S75" s="193">
        <v>16</v>
      </c>
      <c r="T75" s="193">
        <v>17</v>
      </c>
      <c r="U75" s="193">
        <v>18</v>
      </c>
      <c r="V75" s="193">
        <v>19</v>
      </c>
      <c r="W75" s="193">
        <v>20</v>
      </c>
      <c r="X75" s="193">
        <v>21</v>
      </c>
      <c r="Y75" s="193">
        <v>22</v>
      </c>
      <c r="Z75" s="193">
        <v>23</v>
      </c>
      <c r="AA75" s="193">
        <v>24</v>
      </c>
      <c r="AB75" s="192">
        <v>25</v>
      </c>
      <c r="AC75" s="193">
        <v>26</v>
      </c>
      <c r="AD75" s="193">
        <v>27</v>
      </c>
      <c r="AE75" s="193">
        <v>28</v>
      </c>
      <c r="AF75" s="193">
        <v>29</v>
      </c>
      <c r="AG75" s="193">
        <v>30</v>
      </c>
    </row>
    <row r="76" spans="2:34">
      <c r="B76" s="83">
        <v>1</v>
      </c>
      <c r="C76" s="87" t="str">
        <f>LEFT(EmpGName01)&amp;" " &amp; EmpSName01</f>
        <v>L Marampon</v>
      </c>
      <c r="D76" s="4" t="s">
        <v>62</v>
      </c>
      <c r="E76" s="4" t="s">
        <v>62</v>
      </c>
      <c r="F76" s="4" t="s">
        <v>62</v>
      </c>
      <c r="G76" s="4" t="s">
        <v>62</v>
      </c>
      <c r="H76" s="4" t="s">
        <v>62</v>
      </c>
      <c r="I76" s="4" t="s">
        <v>62</v>
      </c>
      <c r="J76" s="4" t="s">
        <v>62</v>
      </c>
      <c r="K76" s="4" t="s">
        <v>62</v>
      </c>
      <c r="L76" s="4" t="s">
        <v>62</v>
      </c>
      <c r="M76" s="4" t="s">
        <v>62</v>
      </c>
      <c r="N76" s="4" t="s">
        <v>62</v>
      </c>
      <c r="O76" s="4" t="s">
        <v>62</v>
      </c>
      <c r="P76" s="4" t="s">
        <v>62</v>
      </c>
      <c r="Q76" s="4" t="s">
        <v>62</v>
      </c>
      <c r="R76" s="4" t="s">
        <v>62</v>
      </c>
      <c r="S76" s="4" t="s">
        <v>62</v>
      </c>
      <c r="T76" s="4" t="s">
        <v>62</v>
      </c>
      <c r="U76" s="4" t="s">
        <v>62</v>
      </c>
      <c r="V76" s="4" t="s">
        <v>62</v>
      </c>
      <c r="W76" s="4" t="s">
        <v>62</v>
      </c>
      <c r="X76" s="4" t="s">
        <v>62</v>
      </c>
      <c r="Y76" s="4" t="s">
        <v>62</v>
      </c>
      <c r="Z76" s="4" t="s">
        <v>62</v>
      </c>
      <c r="AA76" s="4" t="s">
        <v>62</v>
      </c>
      <c r="AB76" s="4" t="s">
        <v>62</v>
      </c>
      <c r="AC76" s="4" t="s">
        <v>62</v>
      </c>
      <c r="AD76" s="4" t="s">
        <v>62</v>
      </c>
      <c r="AE76" s="4" t="s">
        <v>62</v>
      </c>
      <c r="AF76" s="4" t="s">
        <v>62</v>
      </c>
      <c r="AG76" s="4" t="s">
        <v>62</v>
      </c>
    </row>
    <row r="77" spans="2:34">
      <c r="B77" s="83">
        <v>2</v>
      </c>
      <c r="C77" s="88" t="str">
        <f>LEFT(EmpGName02)&amp;" " &amp;EmpSName02</f>
        <v>K Stone</v>
      </c>
      <c r="D77" s="3" t="s">
        <v>62</v>
      </c>
      <c r="E77" s="3" t="s">
        <v>62</v>
      </c>
      <c r="F77" s="3" t="s">
        <v>62</v>
      </c>
      <c r="G77" s="3" t="s">
        <v>62</v>
      </c>
      <c r="H77" s="3" t="s">
        <v>62</v>
      </c>
      <c r="I77" s="3" t="s">
        <v>62</v>
      </c>
      <c r="J77" s="3" t="s">
        <v>62</v>
      </c>
      <c r="K77" s="3" t="s">
        <v>62</v>
      </c>
      <c r="L77" s="3" t="s">
        <v>62</v>
      </c>
      <c r="M77" s="3" t="s">
        <v>62</v>
      </c>
      <c r="N77" s="3" t="s">
        <v>62</v>
      </c>
      <c r="O77" s="3" t="s">
        <v>62</v>
      </c>
      <c r="P77" s="3" t="s">
        <v>62</v>
      </c>
      <c r="Q77" s="3" t="s">
        <v>62</v>
      </c>
      <c r="R77" s="3" t="s">
        <v>62</v>
      </c>
      <c r="S77" s="3" t="s">
        <v>62</v>
      </c>
      <c r="T77" s="3" t="s">
        <v>62</v>
      </c>
      <c r="U77" s="3" t="s">
        <v>62</v>
      </c>
      <c r="V77" s="3" t="s">
        <v>62</v>
      </c>
      <c r="W77" s="3" t="s">
        <v>62</v>
      </c>
      <c r="X77" s="3" t="s">
        <v>62</v>
      </c>
      <c r="Y77" s="3" t="s">
        <v>62</v>
      </c>
      <c r="Z77" s="3" t="s">
        <v>62</v>
      </c>
      <c r="AA77" s="3" t="s">
        <v>62</v>
      </c>
      <c r="AB77" s="3" t="s">
        <v>62</v>
      </c>
      <c r="AC77" s="3" t="s">
        <v>62</v>
      </c>
      <c r="AD77" s="3" t="s">
        <v>62</v>
      </c>
      <c r="AE77" s="3" t="s">
        <v>62</v>
      </c>
      <c r="AF77" s="3" t="s">
        <v>62</v>
      </c>
      <c r="AG77" s="3" t="s">
        <v>62</v>
      </c>
    </row>
    <row r="78" spans="2:34">
      <c r="B78" s="83">
        <v>3</v>
      </c>
      <c r="C78" s="87" t="str">
        <f>LEFT(EmpGName03)&amp;" " &amp;EmpSName03</f>
        <v>I Thelning</v>
      </c>
      <c r="D78" s="4" t="s">
        <v>62</v>
      </c>
      <c r="E78" s="4" t="s">
        <v>62</v>
      </c>
      <c r="F78" s="4" t="s">
        <v>62</v>
      </c>
      <c r="G78" s="4" t="s">
        <v>62</v>
      </c>
      <c r="H78" s="4" t="s">
        <v>62</v>
      </c>
      <c r="I78" s="4" t="s">
        <v>62</v>
      </c>
      <c r="J78" s="4" t="s">
        <v>62</v>
      </c>
      <c r="K78" s="4" t="s">
        <v>62</v>
      </c>
      <c r="L78" s="4" t="s">
        <v>62</v>
      </c>
      <c r="M78" s="4" t="s">
        <v>62</v>
      </c>
      <c r="N78" s="4" t="s">
        <v>62</v>
      </c>
      <c r="O78" s="4" t="s">
        <v>62</v>
      </c>
      <c r="P78" s="4" t="s">
        <v>62</v>
      </c>
      <c r="Q78" s="4" t="s">
        <v>62</v>
      </c>
      <c r="R78" s="4" t="s">
        <v>62</v>
      </c>
      <c r="S78" s="4" t="s">
        <v>62</v>
      </c>
      <c r="T78" s="4" t="s">
        <v>62</v>
      </c>
      <c r="U78" s="4" t="s">
        <v>62</v>
      </c>
      <c r="V78" s="4" t="s">
        <v>62</v>
      </c>
      <c r="W78" s="4" t="s">
        <v>62</v>
      </c>
      <c r="X78" s="4" t="s">
        <v>62</v>
      </c>
      <c r="Y78" s="4" t="s">
        <v>62</v>
      </c>
      <c r="Z78" s="4" t="s">
        <v>62</v>
      </c>
      <c r="AA78" s="4" t="s">
        <v>62</v>
      </c>
      <c r="AB78" s="4" t="s">
        <v>62</v>
      </c>
      <c r="AC78" s="4" t="s">
        <v>62</v>
      </c>
      <c r="AD78" s="4" t="s">
        <v>62</v>
      </c>
      <c r="AE78" s="4" t="s">
        <v>62</v>
      </c>
      <c r="AF78" s="4" t="s">
        <v>62</v>
      </c>
      <c r="AG78" s="4" t="s">
        <v>62</v>
      </c>
    </row>
    <row r="79" spans="2:34">
      <c r="B79" s="83">
        <v>4</v>
      </c>
      <c r="C79" s="88" t="str">
        <f>LEFT(EmpGName04)&amp;" " &amp;EmpSName04</f>
        <v>L King</v>
      </c>
      <c r="D79" s="3" t="s">
        <v>62</v>
      </c>
      <c r="E79" s="3" t="s">
        <v>62</v>
      </c>
      <c r="F79" s="3" t="s">
        <v>62</v>
      </c>
      <c r="G79" s="3" t="s">
        <v>62</v>
      </c>
      <c r="H79" s="3" t="s">
        <v>62</v>
      </c>
      <c r="I79" s="3" t="s">
        <v>62</v>
      </c>
      <c r="J79" s="3" t="s">
        <v>62</v>
      </c>
      <c r="K79" s="3" t="s">
        <v>62</v>
      </c>
      <c r="L79" s="3" t="s">
        <v>62</v>
      </c>
      <c r="M79" s="3" t="s">
        <v>62</v>
      </c>
      <c r="N79" s="3" t="s">
        <v>62</v>
      </c>
      <c r="O79" s="3" t="s">
        <v>62</v>
      </c>
      <c r="P79" s="3" t="s">
        <v>62</v>
      </c>
      <c r="Q79" s="3" t="s">
        <v>62</v>
      </c>
      <c r="R79" s="3" t="s">
        <v>62</v>
      </c>
      <c r="S79" s="3" t="s">
        <v>62</v>
      </c>
      <c r="T79" s="3" t="s">
        <v>62</v>
      </c>
      <c r="U79" s="3" t="s">
        <v>62</v>
      </c>
      <c r="V79" s="3" t="s">
        <v>62</v>
      </c>
      <c r="W79" s="3" t="s">
        <v>62</v>
      </c>
      <c r="X79" s="3" t="s">
        <v>62</v>
      </c>
      <c r="Y79" s="3" t="s">
        <v>62</v>
      </c>
      <c r="Z79" s="3" t="s">
        <v>62</v>
      </c>
      <c r="AA79" s="3" t="s">
        <v>62</v>
      </c>
      <c r="AB79" s="3" t="s">
        <v>62</v>
      </c>
      <c r="AC79" s="3" t="s">
        <v>62</v>
      </c>
      <c r="AD79" s="3" t="s">
        <v>62</v>
      </c>
      <c r="AE79" s="3" t="s">
        <v>62</v>
      </c>
      <c r="AF79" s="3" t="s">
        <v>62</v>
      </c>
      <c r="AG79" s="3" t="s">
        <v>62</v>
      </c>
    </row>
    <row r="80" spans="2:34">
      <c r="B80" s="83">
        <v>5</v>
      </c>
      <c r="C80" s="87" t="str">
        <f>LEFT(EmpGName05)&amp;" " &amp;EmpSName05</f>
        <v>D Castle</v>
      </c>
      <c r="D80" s="4" t="s">
        <v>62</v>
      </c>
      <c r="E80" s="4" t="s">
        <v>62</v>
      </c>
      <c r="F80" s="4" t="s">
        <v>62</v>
      </c>
      <c r="G80" s="4" t="s">
        <v>62</v>
      </c>
      <c r="H80" s="4" t="s">
        <v>62</v>
      </c>
      <c r="I80" s="4" t="s">
        <v>62</v>
      </c>
      <c r="J80" s="4" t="s">
        <v>62</v>
      </c>
      <c r="K80" s="4" t="s">
        <v>62</v>
      </c>
      <c r="L80" s="4" t="s">
        <v>62</v>
      </c>
      <c r="M80" s="4" t="s">
        <v>62</v>
      </c>
      <c r="N80" s="4" t="s">
        <v>62</v>
      </c>
      <c r="O80" s="4" t="s">
        <v>62</v>
      </c>
      <c r="P80" s="4" t="s">
        <v>62</v>
      </c>
      <c r="Q80" s="4" t="s">
        <v>62</v>
      </c>
      <c r="R80" s="4" t="s">
        <v>62</v>
      </c>
      <c r="S80" s="4" t="s">
        <v>62</v>
      </c>
      <c r="T80" s="4" t="s">
        <v>62</v>
      </c>
      <c r="U80" s="4" t="s">
        <v>62</v>
      </c>
      <c r="V80" s="4" t="s">
        <v>62</v>
      </c>
      <c r="W80" s="4" t="s">
        <v>62</v>
      </c>
      <c r="X80" s="4" t="s">
        <v>62</v>
      </c>
      <c r="Y80" s="4" t="s">
        <v>62</v>
      </c>
      <c r="Z80" s="4" t="s">
        <v>62</v>
      </c>
      <c r="AA80" s="4" t="s">
        <v>62</v>
      </c>
      <c r="AB80" s="4" t="s">
        <v>62</v>
      </c>
      <c r="AC80" s="4" t="s">
        <v>62</v>
      </c>
      <c r="AD80" s="4" t="s">
        <v>62</v>
      </c>
      <c r="AE80" s="4" t="s">
        <v>62</v>
      </c>
      <c r="AF80" s="4" t="s">
        <v>62</v>
      </c>
      <c r="AG80" s="4" t="s">
        <v>62</v>
      </c>
    </row>
    <row r="81" spans="2:34">
      <c r="B81" s="83">
        <v>6</v>
      </c>
      <c r="C81" s="88" t="str">
        <f>LEFT(EmpGName06)&amp;" " &amp;EmpSName06</f>
        <v>R Fielding</v>
      </c>
      <c r="D81" s="3" t="s">
        <v>62</v>
      </c>
      <c r="E81" s="3" t="s">
        <v>62</v>
      </c>
      <c r="F81" s="3" t="s">
        <v>62</v>
      </c>
      <c r="G81" s="3" t="s">
        <v>62</v>
      </c>
      <c r="H81" s="3" t="s">
        <v>62</v>
      </c>
      <c r="I81" s="3" t="s">
        <v>62</v>
      </c>
      <c r="J81" s="3" t="s">
        <v>62</v>
      </c>
      <c r="K81" s="3" t="s">
        <v>62</v>
      </c>
      <c r="L81" s="3" t="s">
        <v>62</v>
      </c>
      <c r="M81" s="3" t="s">
        <v>62</v>
      </c>
      <c r="N81" s="3" t="s">
        <v>62</v>
      </c>
      <c r="O81" s="3" t="s">
        <v>62</v>
      </c>
      <c r="P81" s="3" t="s">
        <v>62</v>
      </c>
      <c r="Q81" s="3" t="s">
        <v>62</v>
      </c>
      <c r="R81" s="3" t="s">
        <v>62</v>
      </c>
      <c r="S81" s="3" t="s">
        <v>62</v>
      </c>
      <c r="T81" s="3" t="s">
        <v>62</v>
      </c>
      <c r="U81" s="3" t="s">
        <v>62</v>
      </c>
      <c r="V81" s="3" t="s">
        <v>62</v>
      </c>
      <c r="W81" s="3" t="s">
        <v>62</v>
      </c>
      <c r="X81" s="3" t="s">
        <v>62</v>
      </c>
      <c r="Y81" s="3" t="s">
        <v>62</v>
      </c>
      <c r="Z81" s="3" t="s">
        <v>62</v>
      </c>
      <c r="AA81" s="3" t="s">
        <v>62</v>
      </c>
      <c r="AB81" s="3" t="s">
        <v>62</v>
      </c>
      <c r="AC81" s="3" t="s">
        <v>62</v>
      </c>
      <c r="AD81" s="3" t="s">
        <v>62</v>
      </c>
      <c r="AE81" s="3" t="s">
        <v>62</v>
      </c>
      <c r="AF81" s="3" t="s">
        <v>62</v>
      </c>
      <c r="AG81" s="3" t="s">
        <v>62</v>
      </c>
    </row>
    <row r="82" spans="2:34">
      <c r="B82" s="83">
        <v>7</v>
      </c>
      <c r="C82" s="87" t="str">
        <f>LEFT(EmpGName07)&amp;" " &amp;EmpSName07</f>
        <v>T Sorensen</v>
      </c>
      <c r="D82" s="4" t="s">
        <v>62</v>
      </c>
      <c r="E82" s="4" t="s">
        <v>62</v>
      </c>
      <c r="F82" s="4" t="s">
        <v>62</v>
      </c>
      <c r="G82" s="4" t="s">
        <v>62</v>
      </c>
      <c r="H82" s="4" t="s">
        <v>62</v>
      </c>
      <c r="I82" s="4" t="s">
        <v>62</v>
      </c>
      <c r="J82" s="4" t="s">
        <v>62</v>
      </c>
      <c r="K82" s="4" t="s">
        <v>62</v>
      </c>
      <c r="L82" s="4" t="s">
        <v>62</v>
      </c>
      <c r="M82" s="4" t="s">
        <v>62</v>
      </c>
      <c r="N82" s="4" t="s">
        <v>62</v>
      </c>
      <c r="O82" s="4" t="s">
        <v>62</v>
      </c>
      <c r="P82" s="4" t="s">
        <v>62</v>
      </c>
      <c r="Q82" s="4" t="s">
        <v>62</v>
      </c>
      <c r="R82" s="4" t="s">
        <v>62</v>
      </c>
      <c r="S82" s="4" t="s">
        <v>62</v>
      </c>
      <c r="T82" s="4" t="s">
        <v>62</v>
      </c>
      <c r="U82" s="4" t="s">
        <v>62</v>
      </c>
      <c r="V82" s="4" t="s">
        <v>62</v>
      </c>
      <c r="W82" s="4" t="s">
        <v>62</v>
      </c>
      <c r="X82" s="4" t="s">
        <v>62</v>
      </c>
      <c r="Y82" s="4" t="s">
        <v>62</v>
      </c>
      <c r="Z82" s="4" t="s">
        <v>62</v>
      </c>
      <c r="AA82" s="4" t="s">
        <v>62</v>
      </c>
      <c r="AB82" s="4" t="s">
        <v>62</v>
      </c>
      <c r="AC82" s="4" t="s">
        <v>62</v>
      </c>
      <c r="AD82" s="4" t="s">
        <v>62</v>
      </c>
      <c r="AE82" s="4" t="s">
        <v>62</v>
      </c>
      <c r="AF82" s="4" t="s">
        <v>62</v>
      </c>
      <c r="AG82" s="4" t="s">
        <v>62</v>
      </c>
    </row>
    <row r="83" spans="2:34">
      <c r="B83" s="83">
        <v>8</v>
      </c>
      <c r="C83" s="88" t="str">
        <f>LEFT(EmpGName08)&amp;" " &amp;EmpSName08</f>
        <v>C Horse</v>
      </c>
      <c r="D83" s="3" t="s">
        <v>62</v>
      </c>
      <c r="E83" s="3" t="s">
        <v>62</v>
      </c>
      <c r="F83" s="3" t="s">
        <v>62</v>
      </c>
      <c r="G83" s="3" t="s">
        <v>62</v>
      </c>
      <c r="H83" s="3" t="s">
        <v>62</v>
      </c>
      <c r="I83" s="3" t="s">
        <v>62</v>
      </c>
      <c r="J83" s="3" t="s">
        <v>62</v>
      </c>
      <c r="K83" s="3" t="s">
        <v>62</v>
      </c>
      <c r="L83" s="3" t="s">
        <v>62</v>
      </c>
      <c r="M83" s="3" t="s">
        <v>62</v>
      </c>
      <c r="N83" s="3" t="s">
        <v>62</v>
      </c>
      <c r="O83" s="3" t="s">
        <v>62</v>
      </c>
      <c r="P83" s="3" t="s">
        <v>62</v>
      </c>
      <c r="Q83" s="3" t="s">
        <v>62</v>
      </c>
      <c r="R83" s="3" t="s">
        <v>62</v>
      </c>
      <c r="S83" s="3" t="s">
        <v>62</v>
      </c>
      <c r="T83" s="3" t="s">
        <v>62</v>
      </c>
      <c r="U83" s="3" t="s">
        <v>62</v>
      </c>
      <c r="V83" s="3" t="s">
        <v>62</v>
      </c>
      <c r="W83" s="3" t="s">
        <v>62</v>
      </c>
      <c r="X83" s="3" t="s">
        <v>62</v>
      </c>
      <c r="Y83" s="3" t="s">
        <v>62</v>
      </c>
      <c r="Z83" s="3" t="s">
        <v>62</v>
      </c>
      <c r="AA83" s="3" t="s">
        <v>62</v>
      </c>
      <c r="AB83" s="3" t="s">
        <v>62</v>
      </c>
      <c r="AC83" s="3" t="s">
        <v>62</v>
      </c>
      <c r="AD83" s="3" t="s">
        <v>62</v>
      </c>
      <c r="AE83" s="3" t="s">
        <v>62</v>
      </c>
      <c r="AF83" s="3" t="s">
        <v>62</v>
      </c>
      <c r="AG83" s="3" t="s">
        <v>62</v>
      </c>
    </row>
    <row r="84" spans="2:34">
      <c r="B84" s="83">
        <v>9</v>
      </c>
      <c r="C84" s="87" t="str">
        <f>LEFT(EmpGName09)&amp;" " &amp;EmpSName09</f>
        <v xml:space="preserve">E Horse </v>
      </c>
      <c r="D84" s="4" t="s">
        <v>62</v>
      </c>
      <c r="E84" s="4" t="s">
        <v>62</v>
      </c>
      <c r="F84" s="4" t="s">
        <v>62</v>
      </c>
      <c r="G84" s="4" t="s">
        <v>62</v>
      </c>
      <c r="H84" s="4" t="s">
        <v>62</v>
      </c>
      <c r="I84" s="4" t="s">
        <v>62</v>
      </c>
      <c r="J84" s="4" t="s">
        <v>62</v>
      </c>
      <c r="K84" s="4" t="s">
        <v>62</v>
      </c>
      <c r="L84" s="4" t="s">
        <v>62</v>
      </c>
      <c r="M84" s="4" t="s">
        <v>62</v>
      </c>
      <c r="N84" s="4" t="s">
        <v>62</v>
      </c>
      <c r="O84" s="4" t="s">
        <v>62</v>
      </c>
      <c r="P84" s="4" t="s">
        <v>62</v>
      </c>
      <c r="Q84" s="4" t="s">
        <v>62</v>
      </c>
      <c r="R84" s="4" t="s">
        <v>62</v>
      </c>
      <c r="S84" s="4" t="s">
        <v>62</v>
      </c>
      <c r="T84" s="4" t="s">
        <v>62</v>
      </c>
      <c r="U84" s="4" t="s">
        <v>62</v>
      </c>
      <c r="V84" s="4" t="s">
        <v>62</v>
      </c>
      <c r="W84" s="4" t="s">
        <v>62</v>
      </c>
      <c r="X84" s="4" t="s">
        <v>62</v>
      </c>
      <c r="Y84" s="4" t="s">
        <v>62</v>
      </c>
      <c r="Z84" s="4" t="s">
        <v>62</v>
      </c>
      <c r="AA84" s="4" t="s">
        <v>62</v>
      </c>
      <c r="AB84" s="4" t="s">
        <v>62</v>
      </c>
      <c r="AC84" s="4" t="s">
        <v>62</v>
      </c>
      <c r="AD84" s="4" t="s">
        <v>62</v>
      </c>
      <c r="AE84" s="4" t="s">
        <v>62</v>
      </c>
      <c r="AF84" s="4" t="s">
        <v>62</v>
      </c>
      <c r="AG84" s="4" t="s">
        <v>62</v>
      </c>
    </row>
    <row r="85" spans="2:34" s="70" customFormat="1">
      <c r="B85" s="139">
        <v>10</v>
      </c>
      <c r="C85" s="88" t="str">
        <f>LEFT(EmpGName10)&amp;" " &amp;EmpSName10</f>
        <v>J Smeegal</v>
      </c>
      <c r="D85" s="3" t="s">
        <v>62</v>
      </c>
      <c r="E85" s="3" t="s">
        <v>62</v>
      </c>
      <c r="F85" s="3" t="s">
        <v>62</v>
      </c>
      <c r="G85" s="3" t="s">
        <v>62</v>
      </c>
      <c r="H85" s="3" t="s">
        <v>62</v>
      </c>
      <c r="I85" s="3" t="s">
        <v>62</v>
      </c>
      <c r="J85" s="3" t="s">
        <v>62</v>
      </c>
      <c r="K85" s="3" t="s">
        <v>62</v>
      </c>
      <c r="L85" s="3" t="s">
        <v>62</v>
      </c>
      <c r="M85" s="3" t="s">
        <v>62</v>
      </c>
      <c r="N85" s="3" t="s">
        <v>62</v>
      </c>
      <c r="O85" s="3" t="s">
        <v>62</v>
      </c>
      <c r="P85" s="3" t="s">
        <v>62</v>
      </c>
      <c r="Q85" s="3" t="s">
        <v>62</v>
      </c>
      <c r="R85" s="3" t="s">
        <v>62</v>
      </c>
      <c r="S85" s="3" t="s">
        <v>62</v>
      </c>
      <c r="T85" s="3" t="s">
        <v>62</v>
      </c>
      <c r="U85" s="3" t="s">
        <v>62</v>
      </c>
      <c r="V85" s="3" t="s">
        <v>62</v>
      </c>
      <c r="W85" s="3" t="s">
        <v>62</v>
      </c>
      <c r="X85" s="3" t="s">
        <v>62</v>
      </c>
      <c r="Y85" s="3" t="s">
        <v>62</v>
      </c>
      <c r="Z85" s="3" t="s">
        <v>62</v>
      </c>
      <c r="AA85" s="3" t="s">
        <v>62</v>
      </c>
      <c r="AB85" s="3" t="s">
        <v>62</v>
      </c>
      <c r="AC85" s="3" t="s">
        <v>62</v>
      </c>
      <c r="AD85" s="3" t="s">
        <v>62</v>
      </c>
      <c r="AE85" s="3" t="s">
        <v>62</v>
      </c>
      <c r="AF85" s="3" t="s">
        <v>62</v>
      </c>
      <c r="AG85" s="3" t="s">
        <v>62</v>
      </c>
      <c r="AH85"/>
    </row>
    <row r="86" spans="2:34" s="70" customFormat="1">
      <c r="B86" s="139">
        <v>11</v>
      </c>
      <c r="C86" s="87" t="str">
        <f>LEFT(EmpGName11)&amp;" " &amp;EmpSName11</f>
        <v>E Smeegal</v>
      </c>
      <c r="D86" s="4" t="s">
        <v>62</v>
      </c>
      <c r="E86" s="4" t="s">
        <v>62</v>
      </c>
      <c r="F86" s="4" t="s">
        <v>62</v>
      </c>
      <c r="G86" s="4" t="s">
        <v>62</v>
      </c>
      <c r="H86" s="4" t="s">
        <v>62</v>
      </c>
      <c r="I86" s="4" t="s">
        <v>62</v>
      </c>
      <c r="J86" s="4" t="s">
        <v>62</v>
      </c>
      <c r="K86" s="4" t="s">
        <v>62</v>
      </c>
      <c r="L86" s="4" t="s">
        <v>62</v>
      </c>
      <c r="M86" s="4" t="s">
        <v>62</v>
      </c>
      <c r="N86" s="4" t="s">
        <v>62</v>
      </c>
      <c r="O86" s="4" t="s">
        <v>62</v>
      </c>
      <c r="P86" s="4" t="s">
        <v>62</v>
      </c>
      <c r="Q86" s="4" t="s">
        <v>62</v>
      </c>
      <c r="R86" s="4" t="s">
        <v>62</v>
      </c>
      <c r="S86" s="4" t="s">
        <v>62</v>
      </c>
      <c r="T86" s="4" t="s">
        <v>62</v>
      </c>
      <c r="U86" s="4" t="s">
        <v>62</v>
      </c>
      <c r="V86" s="4" t="s">
        <v>62</v>
      </c>
      <c r="W86" s="4" t="s">
        <v>62</v>
      </c>
      <c r="X86" s="4" t="s">
        <v>62</v>
      </c>
      <c r="Y86" s="4" t="s">
        <v>62</v>
      </c>
      <c r="Z86" s="4" t="s">
        <v>62</v>
      </c>
      <c r="AA86" s="4" t="s">
        <v>62</v>
      </c>
      <c r="AB86" s="4" t="s">
        <v>62</v>
      </c>
      <c r="AC86" s="4" t="s">
        <v>62</v>
      </c>
      <c r="AD86" s="4" t="s">
        <v>62</v>
      </c>
      <c r="AE86" s="4" t="s">
        <v>62</v>
      </c>
      <c r="AF86" s="4" t="s">
        <v>62</v>
      </c>
      <c r="AG86" s="4" t="s">
        <v>62</v>
      </c>
      <c r="AH86"/>
    </row>
    <row r="87" spans="2:34" s="70" customFormat="1">
      <c r="B87" s="139">
        <v>12</v>
      </c>
      <c r="C87" s="88" t="str">
        <f>LEFT(EmpGName12)&amp;" " &amp;EmpSName12</f>
        <v>J James</v>
      </c>
      <c r="D87" s="3" t="s">
        <v>62</v>
      </c>
      <c r="E87" s="3" t="s">
        <v>62</v>
      </c>
      <c r="F87" s="3" t="s">
        <v>62</v>
      </c>
      <c r="G87" s="3" t="s">
        <v>62</v>
      </c>
      <c r="H87" s="3" t="s">
        <v>62</v>
      </c>
      <c r="I87" s="3" t="s">
        <v>62</v>
      </c>
      <c r="J87" s="3" t="s">
        <v>62</v>
      </c>
      <c r="K87" s="3" t="s">
        <v>62</v>
      </c>
      <c r="L87" s="3" t="s">
        <v>62</v>
      </c>
      <c r="M87" s="3" t="s">
        <v>62</v>
      </c>
      <c r="N87" s="3" t="s">
        <v>62</v>
      </c>
      <c r="O87" s="3" t="s">
        <v>62</v>
      </c>
      <c r="P87" s="3" t="s">
        <v>62</v>
      </c>
      <c r="Q87" s="3" t="s">
        <v>62</v>
      </c>
      <c r="R87" s="3" t="s">
        <v>62</v>
      </c>
      <c r="S87" s="3" t="s">
        <v>62</v>
      </c>
      <c r="T87" s="3" t="s">
        <v>62</v>
      </c>
      <c r="U87" s="3" t="s">
        <v>62</v>
      </c>
      <c r="V87" s="3" t="s">
        <v>62</v>
      </c>
      <c r="W87" s="3" t="s">
        <v>62</v>
      </c>
      <c r="X87" s="3" t="s">
        <v>62</v>
      </c>
      <c r="Y87" s="3" t="s">
        <v>62</v>
      </c>
      <c r="Z87" s="3" t="s">
        <v>62</v>
      </c>
      <c r="AA87" s="3" t="s">
        <v>62</v>
      </c>
      <c r="AB87" s="3" t="s">
        <v>62</v>
      </c>
      <c r="AC87" s="3" t="s">
        <v>62</v>
      </c>
      <c r="AD87" s="3" t="s">
        <v>62</v>
      </c>
      <c r="AE87" s="3" t="s">
        <v>62</v>
      </c>
      <c r="AF87" s="3" t="s">
        <v>62</v>
      </c>
      <c r="AG87" s="3" t="s">
        <v>62</v>
      </c>
      <c r="AH87"/>
    </row>
    <row r="88" spans="2:34" s="70" customFormat="1">
      <c r="B88" s="139">
        <v>13</v>
      </c>
      <c r="C88" s="87" t="str">
        <f>LEFT(EmpGName13)&amp;" " &amp;EmpSName13</f>
        <v>J Jack</v>
      </c>
      <c r="D88" s="4" t="s">
        <v>62</v>
      </c>
      <c r="E88" s="4" t="s">
        <v>62</v>
      </c>
      <c r="F88" s="4" t="s">
        <v>62</v>
      </c>
      <c r="G88" s="4" t="s">
        <v>62</v>
      </c>
      <c r="H88" s="4" t="s">
        <v>62</v>
      </c>
      <c r="I88" s="4" t="s">
        <v>62</v>
      </c>
      <c r="J88" s="4" t="s">
        <v>62</v>
      </c>
      <c r="K88" s="4" t="s">
        <v>62</v>
      </c>
      <c r="L88" s="4" t="s">
        <v>62</v>
      </c>
      <c r="M88" s="4" t="s">
        <v>62</v>
      </c>
      <c r="N88" s="4" t="s">
        <v>62</v>
      </c>
      <c r="O88" s="4" t="s">
        <v>62</v>
      </c>
      <c r="P88" s="4" t="s">
        <v>62</v>
      </c>
      <c r="Q88" s="4" t="s">
        <v>62</v>
      </c>
      <c r="R88" s="4" t="s">
        <v>62</v>
      </c>
      <c r="S88" s="4" t="s">
        <v>62</v>
      </c>
      <c r="T88" s="4" t="s">
        <v>62</v>
      </c>
      <c r="U88" s="4" t="s">
        <v>62</v>
      </c>
      <c r="V88" s="4" t="s">
        <v>62</v>
      </c>
      <c r="W88" s="4" t="s">
        <v>62</v>
      </c>
      <c r="X88" s="4" t="s">
        <v>62</v>
      </c>
      <c r="Y88" s="4" t="s">
        <v>62</v>
      </c>
      <c r="Z88" s="4" t="s">
        <v>62</v>
      </c>
      <c r="AA88" s="4" t="s">
        <v>62</v>
      </c>
      <c r="AB88" s="4" t="s">
        <v>62</v>
      </c>
      <c r="AC88" s="4" t="s">
        <v>62</v>
      </c>
      <c r="AD88" s="4" t="s">
        <v>62</v>
      </c>
      <c r="AE88" s="4" t="s">
        <v>62</v>
      </c>
      <c r="AF88" s="4" t="s">
        <v>62</v>
      </c>
      <c r="AG88" s="4" t="s">
        <v>62</v>
      </c>
      <c r="AH88"/>
    </row>
    <row r="89" spans="2:34" s="70" customFormat="1">
      <c r="B89" s="139">
        <v>14</v>
      </c>
      <c r="C89" s="88" t="str">
        <f>LEFT(EmpGName14)&amp;" " &amp;EmpSName14</f>
        <v xml:space="preserve">J Jacky </v>
      </c>
      <c r="D89" s="3" t="s">
        <v>62</v>
      </c>
      <c r="E89" s="3" t="s">
        <v>62</v>
      </c>
      <c r="F89" s="3" t="s">
        <v>62</v>
      </c>
      <c r="G89" s="3" t="s">
        <v>62</v>
      </c>
      <c r="H89" s="3" t="s">
        <v>62</v>
      </c>
      <c r="I89" s="3" t="s">
        <v>62</v>
      </c>
      <c r="J89" s="3" t="s">
        <v>62</v>
      </c>
      <c r="K89" s="3" t="s">
        <v>62</v>
      </c>
      <c r="L89" s="3" t="s">
        <v>62</v>
      </c>
      <c r="M89" s="3" t="s">
        <v>62</v>
      </c>
      <c r="N89" s="3" t="s">
        <v>62</v>
      </c>
      <c r="O89" s="3" t="s">
        <v>62</v>
      </c>
      <c r="P89" s="3" t="s">
        <v>62</v>
      </c>
      <c r="Q89" s="3" t="s">
        <v>62</v>
      </c>
      <c r="R89" s="3" t="s">
        <v>62</v>
      </c>
      <c r="S89" s="3" t="s">
        <v>62</v>
      </c>
      <c r="T89" s="3" t="s">
        <v>62</v>
      </c>
      <c r="U89" s="3" t="s">
        <v>62</v>
      </c>
      <c r="V89" s="3" t="s">
        <v>62</v>
      </c>
      <c r="W89" s="3" t="s">
        <v>62</v>
      </c>
      <c r="X89" s="3" t="s">
        <v>62</v>
      </c>
      <c r="Y89" s="3" t="s">
        <v>62</v>
      </c>
      <c r="Z89" s="3" t="s">
        <v>62</v>
      </c>
      <c r="AA89" s="3" t="s">
        <v>62</v>
      </c>
      <c r="AB89" s="3" t="s">
        <v>62</v>
      </c>
      <c r="AC89" s="3" t="s">
        <v>62</v>
      </c>
      <c r="AD89" s="3" t="s">
        <v>62</v>
      </c>
      <c r="AE89" s="3" t="s">
        <v>62</v>
      </c>
      <c r="AF89" s="3" t="s">
        <v>62</v>
      </c>
      <c r="AG89" s="3" t="s">
        <v>62</v>
      </c>
      <c r="AH89"/>
    </row>
    <row r="90" spans="2:34" s="70" customFormat="1">
      <c r="B90" s="139">
        <v>15</v>
      </c>
      <c r="C90" s="87" t="str">
        <f>LEFT(EmpGName15)&amp;" " &amp;EmpSName15</f>
        <v>J Friedle</v>
      </c>
      <c r="D90" s="4" t="s">
        <v>62</v>
      </c>
      <c r="E90" s="4" t="s">
        <v>62</v>
      </c>
      <c r="F90" s="4" t="s">
        <v>62</v>
      </c>
      <c r="G90" s="4" t="s">
        <v>62</v>
      </c>
      <c r="H90" s="4" t="s">
        <v>62</v>
      </c>
      <c r="I90" s="4" t="s">
        <v>62</v>
      </c>
      <c r="J90" s="4" t="s">
        <v>62</v>
      </c>
      <c r="K90" s="4" t="s">
        <v>62</v>
      </c>
      <c r="L90" s="4" t="s">
        <v>62</v>
      </c>
      <c r="M90" s="4" t="s">
        <v>62</v>
      </c>
      <c r="N90" s="4" t="s">
        <v>62</v>
      </c>
      <c r="O90" s="4" t="s">
        <v>62</v>
      </c>
      <c r="P90" s="4" t="s">
        <v>62</v>
      </c>
      <c r="Q90" s="4" t="s">
        <v>62</v>
      </c>
      <c r="R90" s="4" t="s">
        <v>62</v>
      </c>
      <c r="S90" s="4" t="s">
        <v>62</v>
      </c>
      <c r="T90" s="4" t="s">
        <v>62</v>
      </c>
      <c r="U90" s="4" t="s">
        <v>62</v>
      </c>
      <c r="V90" s="4" t="s">
        <v>62</v>
      </c>
      <c r="W90" s="4" t="s">
        <v>62</v>
      </c>
      <c r="X90" s="4" t="s">
        <v>62</v>
      </c>
      <c r="Y90" s="4" t="s">
        <v>62</v>
      </c>
      <c r="Z90" s="4" t="s">
        <v>62</v>
      </c>
      <c r="AA90" s="4" t="s">
        <v>62</v>
      </c>
      <c r="AB90" s="4" t="s">
        <v>62</v>
      </c>
      <c r="AC90" s="4" t="s">
        <v>62</v>
      </c>
      <c r="AD90" s="4" t="s">
        <v>62</v>
      </c>
      <c r="AE90" s="4" t="s">
        <v>62</v>
      </c>
      <c r="AF90" s="4" t="s">
        <v>62</v>
      </c>
      <c r="AG90" s="4" t="s">
        <v>62</v>
      </c>
      <c r="AH90"/>
    </row>
    <row r="91" spans="2:34" s="70" customFormat="1">
      <c r="B91" s="139">
        <v>16</v>
      </c>
      <c r="C91" s="88" t="str">
        <f>LEFT(EmpGName16)&amp;" " &amp;EmpSName16</f>
        <v>J Friedle</v>
      </c>
      <c r="D91" s="3" t="s">
        <v>62</v>
      </c>
      <c r="E91" s="3" t="s">
        <v>62</v>
      </c>
      <c r="F91" s="3" t="s">
        <v>62</v>
      </c>
      <c r="G91" s="3" t="s">
        <v>62</v>
      </c>
      <c r="H91" s="3" t="s">
        <v>62</v>
      </c>
      <c r="I91" s="3" t="s">
        <v>62</v>
      </c>
      <c r="J91" s="3" t="s">
        <v>62</v>
      </c>
      <c r="K91" s="3" t="s">
        <v>62</v>
      </c>
      <c r="L91" s="3" t="s">
        <v>62</v>
      </c>
      <c r="M91" s="3" t="s">
        <v>62</v>
      </c>
      <c r="N91" s="3" t="s">
        <v>62</v>
      </c>
      <c r="O91" s="3" t="s">
        <v>62</v>
      </c>
      <c r="P91" s="3" t="s">
        <v>62</v>
      </c>
      <c r="Q91" s="3" t="s">
        <v>62</v>
      </c>
      <c r="R91" s="3" t="s">
        <v>62</v>
      </c>
      <c r="S91" s="3" t="s">
        <v>62</v>
      </c>
      <c r="T91" s="3" t="s">
        <v>62</v>
      </c>
      <c r="U91" s="3" t="s">
        <v>62</v>
      </c>
      <c r="V91" s="3" t="s">
        <v>62</v>
      </c>
      <c r="W91" s="3" t="s">
        <v>62</v>
      </c>
      <c r="X91" s="3" t="s">
        <v>62</v>
      </c>
      <c r="Y91" s="3" t="s">
        <v>62</v>
      </c>
      <c r="Z91" s="3" t="s">
        <v>62</v>
      </c>
      <c r="AA91" s="3" t="s">
        <v>62</v>
      </c>
      <c r="AB91" s="3" t="s">
        <v>62</v>
      </c>
      <c r="AC91" s="3" t="s">
        <v>62</v>
      </c>
      <c r="AD91" s="3" t="s">
        <v>62</v>
      </c>
      <c r="AE91" s="3" t="s">
        <v>62</v>
      </c>
      <c r="AF91" s="3" t="s">
        <v>62</v>
      </c>
      <c r="AG91" s="3" t="s">
        <v>62</v>
      </c>
      <c r="AH91"/>
    </row>
    <row r="92" spans="2:34" s="70" customFormat="1">
      <c r="B92" s="139">
        <v>17</v>
      </c>
      <c r="C92" s="87" t="str">
        <f>LEFT(EmpGName17)&amp;" " &amp;EmpSName17</f>
        <v>J Smart</v>
      </c>
      <c r="D92" s="4" t="s">
        <v>62</v>
      </c>
      <c r="E92" s="4" t="s">
        <v>62</v>
      </c>
      <c r="F92" s="4" t="s">
        <v>62</v>
      </c>
      <c r="G92" s="4" t="s">
        <v>62</v>
      </c>
      <c r="H92" s="4" t="s">
        <v>62</v>
      </c>
      <c r="I92" s="4" t="s">
        <v>62</v>
      </c>
      <c r="J92" s="4" t="s">
        <v>62</v>
      </c>
      <c r="K92" s="4" t="s">
        <v>62</v>
      </c>
      <c r="L92" s="4" t="s">
        <v>62</v>
      </c>
      <c r="M92" s="4" t="s">
        <v>62</v>
      </c>
      <c r="N92" s="4" t="s">
        <v>62</v>
      </c>
      <c r="O92" s="4" t="s">
        <v>62</v>
      </c>
      <c r="P92" s="4" t="s">
        <v>62</v>
      </c>
      <c r="Q92" s="4" t="s">
        <v>62</v>
      </c>
      <c r="R92" s="4" t="s">
        <v>62</v>
      </c>
      <c r="S92" s="4" t="s">
        <v>62</v>
      </c>
      <c r="T92" s="4" t="s">
        <v>62</v>
      </c>
      <c r="U92" s="4" t="s">
        <v>62</v>
      </c>
      <c r="V92" s="4" t="s">
        <v>62</v>
      </c>
      <c r="W92" s="4" t="s">
        <v>62</v>
      </c>
      <c r="X92" s="4" t="s">
        <v>62</v>
      </c>
      <c r="Y92" s="4" t="s">
        <v>62</v>
      </c>
      <c r="Z92" s="4" t="s">
        <v>62</v>
      </c>
      <c r="AA92" s="4" t="s">
        <v>62</v>
      </c>
      <c r="AB92" s="4" t="s">
        <v>62</v>
      </c>
      <c r="AC92" s="4" t="s">
        <v>62</v>
      </c>
      <c r="AD92" s="4" t="s">
        <v>62</v>
      </c>
      <c r="AE92" s="4" t="s">
        <v>62</v>
      </c>
      <c r="AF92" s="4" t="s">
        <v>62</v>
      </c>
      <c r="AG92" s="4" t="s">
        <v>62</v>
      </c>
      <c r="AH92"/>
    </row>
    <row r="93" spans="2:34" s="70" customFormat="1">
      <c r="B93" s="139">
        <v>18</v>
      </c>
      <c r="C93" s="88" t="str">
        <f>LEFT(EmpGName18)&amp;" " &amp;EmpSName18</f>
        <v>E Smart</v>
      </c>
      <c r="D93" s="3" t="s">
        <v>62</v>
      </c>
      <c r="E93" s="3" t="s">
        <v>62</v>
      </c>
      <c r="F93" s="3" t="s">
        <v>62</v>
      </c>
      <c r="G93" s="3" t="s">
        <v>62</v>
      </c>
      <c r="H93" s="3" t="s">
        <v>62</v>
      </c>
      <c r="I93" s="3" t="s">
        <v>62</v>
      </c>
      <c r="J93" s="3" t="s">
        <v>62</v>
      </c>
      <c r="K93" s="3" t="s">
        <v>62</v>
      </c>
      <c r="L93" s="3" t="s">
        <v>62</v>
      </c>
      <c r="M93" s="3" t="s">
        <v>62</v>
      </c>
      <c r="N93" s="3" t="s">
        <v>62</v>
      </c>
      <c r="O93" s="3" t="s">
        <v>62</v>
      </c>
      <c r="P93" s="3" t="s">
        <v>62</v>
      </c>
      <c r="Q93" s="3" t="s">
        <v>62</v>
      </c>
      <c r="R93" s="3" t="s">
        <v>62</v>
      </c>
      <c r="S93" s="3" t="s">
        <v>62</v>
      </c>
      <c r="T93" s="3" t="s">
        <v>62</v>
      </c>
      <c r="U93" s="3" t="s">
        <v>62</v>
      </c>
      <c r="V93" s="3" t="s">
        <v>62</v>
      </c>
      <c r="W93" s="3" t="s">
        <v>62</v>
      </c>
      <c r="X93" s="3" t="s">
        <v>62</v>
      </c>
      <c r="Y93" s="3" t="s">
        <v>62</v>
      </c>
      <c r="Z93" s="3" t="s">
        <v>62</v>
      </c>
      <c r="AA93" s="3" t="s">
        <v>62</v>
      </c>
      <c r="AB93" s="3" t="s">
        <v>62</v>
      </c>
      <c r="AC93" s="3" t="s">
        <v>62</v>
      </c>
      <c r="AD93" s="3" t="s">
        <v>62</v>
      </c>
      <c r="AE93" s="3" t="s">
        <v>62</v>
      </c>
      <c r="AF93" s="3" t="s">
        <v>62</v>
      </c>
      <c r="AG93" s="3" t="s">
        <v>62</v>
      </c>
      <c r="AH93"/>
    </row>
    <row r="94" spans="2:34" s="70" customFormat="1" hidden="1">
      <c r="B94" s="139">
        <v>19</v>
      </c>
      <c r="C94" s="87" t="str">
        <f>LEFT(EmpGName19)&amp;" " &amp;EmpSName19</f>
        <v xml:space="preserve"> </v>
      </c>
      <c r="D94" s="4" t="s">
        <v>62</v>
      </c>
      <c r="E94" s="4" t="s">
        <v>62</v>
      </c>
      <c r="F94" s="4" t="s">
        <v>62</v>
      </c>
      <c r="G94" s="4" t="s">
        <v>62</v>
      </c>
      <c r="H94" s="4" t="s">
        <v>62</v>
      </c>
      <c r="I94" s="4" t="s">
        <v>62</v>
      </c>
      <c r="J94" s="4" t="s">
        <v>62</v>
      </c>
      <c r="K94" s="4" t="s">
        <v>62</v>
      </c>
      <c r="L94" s="4" t="s">
        <v>62</v>
      </c>
      <c r="M94" s="4" t="s">
        <v>62</v>
      </c>
      <c r="N94" s="4" t="s">
        <v>62</v>
      </c>
      <c r="O94" s="4" t="s">
        <v>62</v>
      </c>
      <c r="P94" s="4" t="s">
        <v>62</v>
      </c>
      <c r="Q94" s="4" t="s">
        <v>62</v>
      </c>
      <c r="R94" s="4" t="s">
        <v>62</v>
      </c>
      <c r="S94" s="4" t="s">
        <v>62</v>
      </c>
      <c r="T94" s="4" t="s">
        <v>62</v>
      </c>
      <c r="U94" s="4" t="s">
        <v>62</v>
      </c>
      <c r="V94" s="4" t="s">
        <v>62</v>
      </c>
      <c r="W94" s="4" t="s">
        <v>62</v>
      </c>
      <c r="X94" s="4" t="s">
        <v>62</v>
      </c>
      <c r="Y94" s="4" t="s">
        <v>62</v>
      </c>
      <c r="Z94" s="4" t="s">
        <v>62</v>
      </c>
      <c r="AA94" s="4" t="s">
        <v>62</v>
      </c>
      <c r="AB94" s="4" t="s">
        <v>62</v>
      </c>
      <c r="AC94" s="4" t="s">
        <v>62</v>
      </c>
      <c r="AD94" s="4" t="s">
        <v>62</v>
      </c>
      <c r="AE94" s="4" t="s">
        <v>62</v>
      </c>
      <c r="AF94" s="4" t="s">
        <v>62</v>
      </c>
      <c r="AG94" s="4" t="s">
        <v>62</v>
      </c>
      <c r="AH94"/>
    </row>
    <row r="95" spans="2:34" s="70" customFormat="1" hidden="1">
      <c r="B95" s="139">
        <v>20</v>
      </c>
      <c r="C95" s="88" t="str">
        <f>LEFT(EmpGName20)&amp;" " &amp;EmpSName20</f>
        <v xml:space="preserve"> </v>
      </c>
      <c r="D95" s="3" t="s">
        <v>62</v>
      </c>
      <c r="E95" s="3" t="s">
        <v>62</v>
      </c>
      <c r="F95" s="3" t="s">
        <v>62</v>
      </c>
      <c r="G95" s="3" t="s">
        <v>62</v>
      </c>
      <c r="H95" s="3" t="s">
        <v>62</v>
      </c>
      <c r="I95" s="3" t="s">
        <v>62</v>
      </c>
      <c r="J95" s="3" t="s">
        <v>62</v>
      </c>
      <c r="K95" s="3" t="s">
        <v>62</v>
      </c>
      <c r="L95" s="3" t="s">
        <v>62</v>
      </c>
      <c r="M95" s="3" t="s">
        <v>62</v>
      </c>
      <c r="N95" s="3" t="s">
        <v>62</v>
      </c>
      <c r="O95" s="3" t="s">
        <v>62</v>
      </c>
      <c r="P95" s="3" t="s">
        <v>62</v>
      </c>
      <c r="Q95" s="3" t="s">
        <v>62</v>
      </c>
      <c r="R95" s="3" t="s">
        <v>62</v>
      </c>
      <c r="S95" s="3" t="s">
        <v>62</v>
      </c>
      <c r="T95" s="3" t="s">
        <v>62</v>
      </c>
      <c r="U95" s="3" t="s">
        <v>62</v>
      </c>
      <c r="V95" s="3" t="s">
        <v>62</v>
      </c>
      <c r="W95" s="3" t="s">
        <v>62</v>
      </c>
      <c r="X95" s="3" t="s">
        <v>62</v>
      </c>
      <c r="Y95" s="3" t="s">
        <v>62</v>
      </c>
      <c r="Z95" s="3" t="s">
        <v>62</v>
      </c>
      <c r="AA95" s="3" t="s">
        <v>62</v>
      </c>
      <c r="AB95" s="3" t="s">
        <v>62</v>
      </c>
      <c r="AC95" s="3" t="s">
        <v>62</v>
      </c>
      <c r="AD95" s="3" t="s">
        <v>62</v>
      </c>
      <c r="AE95" s="3" t="s">
        <v>62</v>
      </c>
      <c r="AF95" s="3" t="s">
        <v>62</v>
      </c>
      <c r="AG95" s="3" t="s">
        <v>62</v>
      </c>
      <c r="AH95"/>
    </row>
    <row r="96" spans="2:34" s="70" customFormat="1" hidden="1">
      <c r="B96" s="139">
        <v>21</v>
      </c>
      <c r="C96" s="87" t="str">
        <f>LEFT(EmpGName21)&amp;" " &amp;EmpSName21</f>
        <v xml:space="preserve"> </v>
      </c>
      <c r="D96" s="4" t="s">
        <v>62</v>
      </c>
      <c r="E96" s="4" t="s">
        <v>62</v>
      </c>
      <c r="F96" s="4" t="s">
        <v>62</v>
      </c>
      <c r="G96" s="4" t="s">
        <v>62</v>
      </c>
      <c r="H96" s="4" t="s">
        <v>62</v>
      </c>
      <c r="I96" s="4" t="s">
        <v>62</v>
      </c>
      <c r="J96" s="4" t="s">
        <v>62</v>
      </c>
      <c r="K96" s="4" t="s">
        <v>62</v>
      </c>
      <c r="L96" s="4" t="s">
        <v>62</v>
      </c>
      <c r="M96" s="4" t="s">
        <v>62</v>
      </c>
      <c r="N96" s="4" t="s">
        <v>62</v>
      </c>
      <c r="O96" s="4" t="s">
        <v>62</v>
      </c>
      <c r="P96" s="4" t="s">
        <v>62</v>
      </c>
      <c r="Q96" s="4" t="s">
        <v>62</v>
      </c>
      <c r="R96" s="4" t="s">
        <v>62</v>
      </c>
      <c r="S96" s="4" t="s">
        <v>62</v>
      </c>
      <c r="T96" s="4" t="s">
        <v>62</v>
      </c>
      <c r="U96" s="4" t="s">
        <v>62</v>
      </c>
      <c r="V96" s="4" t="s">
        <v>62</v>
      </c>
      <c r="W96" s="4" t="s">
        <v>62</v>
      </c>
      <c r="X96" s="4" t="s">
        <v>62</v>
      </c>
      <c r="Y96" s="4" t="s">
        <v>62</v>
      </c>
      <c r="Z96" s="4" t="s">
        <v>62</v>
      </c>
      <c r="AA96" s="4" t="s">
        <v>62</v>
      </c>
      <c r="AB96" s="4" t="s">
        <v>62</v>
      </c>
      <c r="AC96" s="4" t="s">
        <v>62</v>
      </c>
      <c r="AD96" s="4" t="s">
        <v>62</v>
      </c>
      <c r="AE96" s="4" t="s">
        <v>62</v>
      </c>
      <c r="AF96" s="4" t="s">
        <v>62</v>
      </c>
      <c r="AG96" s="4" t="s">
        <v>62</v>
      </c>
      <c r="AH96"/>
    </row>
    <row r="97" spans="2:34" s="70" customFormat="1" hidden="1">
      <c r="B97" s="139">
        <v>22</v>
      </c>
      <c r="C97" s="88" t="str">
        <f>LEFT(EmpGName22)&amp;" " &amp;EmpSName22</f>
        <v xml:space="preserve"> </v>
      </c>
      <c r="D97" s="3" t="s">
        <v>62</v>
      </c>
      <c r="E97" s="3" t="s">
        <v>62</v>
      </c>
      <c r="F97" s="3" t="s">
        <v>62</v>
      </c>
      <c r="G97" s="3" t="s">
        <v>62</v>
      </c>
      <c r="H97" s="3" t="s">
        <v>62</v>
      </c>
      <c r="I97" s="3" t="s">
        <v>62</v>
      </c>
      <c r="J97" s="3" t="s">
        <v>62</v>
      </c>
      <c r="K97" s="3" t="s">
        <v>62</v>
      </c>
      <c r="L97" s="3" t="s">
        <v>62</v>
      </c>
      <c r="M97" s="3" t="s">
        <v>62</v>
      </c>
      <c r="N97" s="3" t="s">
        <v>62</v>
      </c>
      <c r="O97" s="3" t="s">
        <v>62</v>
      </c>
      <c r="P97" s="3" t="s">
        <v>62</v>
      </c>
      <c r="Q97" s="3" t="s">
        <v>62</v>
      </c>
      <c r="R97" s="3" t="s">
        <v>62</v>
      </c>
      <c r="S97" s="3" t="s">
        <v>62</v>
      </c>
      <c r="T97" s="3" t="s">
        <v>62</v>
      </c>
      <c r="U97" s="3" t="s">
        <v>62</v>
      </c>
      <c r="V97" s="3" t="s">
        <v>62</v>
      </c>
      <c r="W97" s="3" t="s">
        <v>62</v>
      </c>
      <c r="X97" s="3" t="s">
        <v>62</v>
      </c>
      <c r="Y97" s="3" t="s">
        <v>62</v>
      </c>
      <c r="Z97" s="3" t="s">
        <v>62</v>
      </c>
      <c r="AA97" s="3" t="s">
        <v>62</v>
      </c>
      <c r="AB97" s="3" t="s">
        <v>62</v>
      </c>
      <c r="AC97" s="3" t="s">
        <v>62</v>
      </c>
      <c r="AD97" s="3" t="s">
        <v>62</v>
      </c>
      <c r="AE97" s="3" t="s">
        <v>62</v>
      </c>
      <c r="AF97" s="3" t="s">
        <v>62</v>
      </c>
      <c r="AG97" s="3" t="s">
        <v>62</v>
      </c>
      <c r="AH97"/>
    </row>
    <row r="98" spans="2:34" s="70" customFormat="1" hidden="1">
      <c r="B98" s="139">
        <v>23</v>
      </c>
      <c r="C98" s="87" t="str">
        <f>LEFT(EmpGName23)&amp;" " &amp;EmpSName23</f>
        <v xml:space="preserve"> </v>
      </c>
      <c r="D98" s="4" t="s">
        <v>62</v>
      </c>
      <c r="E98" s="4" t="s">
        <v>62</v>
      </c>
      <c r="F98" s="4" t="s">
        <v>62</v>
      </c>
      <c r="G98" s="4" t="s">
        <v>62</v>
      </c>
      <c r="H98" s="4" t="s">
        <v>62</v>
      </c>
      <c r="I98" s="4" t="s">
        <v>62</v>
      </c>
      <c r="J98" s="4" t="s">
        <v>62</v>
      </c>
      <c r="K98" s="4" t="s">
        <v>62</v>
      </c>
      <c r="L98" s="4" t="s">
        <v>62</v>
      </c>
      <c r="M98" s="4" t="s">
        <v>62</v>
      </c>
      <c r="N98" s="4" t="s">
        <v>62</v>
      </c>
      <c r="O98" s="4" t="s">
        <v>62</v>
      </c>
      <c r="P98" s="4" t="s">
        <v>62</v>
      </c>
      <c r="Q98" s="4" t="s">
        <v>62</v>
      </c>
      <c r="R98" s="4" t="s">
        <v>62</v>
      </c>
      <c r="S98" s="4" t="s">
        <v>62</v>
      </c>
      <c r="T98" s="4" t="s">
        <v>62</v>
      </c>
      <c r="U98" s="4" t="s">
        <v>62</v>
      </c>
      <c r="V98" s="4" t="s">
        <v>62</v>
      </c>
      <c r="W98" s="4" t="s">
        <v>62</v>
      </c>
      <c r="X98" s="4" t="s">
        <v>62</v>
      </c>
      <c r="Y98" s="4" t="s">
        <v>62</v>
      </c>
      <c r="Z98" s="4" t="s">
        <v>62</v>
      </c>
      <c r="AA98" s="4" t="s">
        <v>62</v>
      </c>
      <c r="AB98" s="4" t="s">
        <v>62</v>
      </c>
      <c r="AC98" s="4" t="s">
        <v>62</v>
      </c>
      <c r="AD98" s="4" t="s">
        <v>62</v>
      </c>
      <c r="AE98" s="4" t="s">
        <v>62</v>
      </c>
      <c r="AF98" s="4" t="s">
        <v>62</v>
      </c>
      <c r="AG98" s="4" t="s">
        <v>62</v>
      </c>
      <c r="AH98"/>
    </row>
    <row r="99" spans="2:34" s="70" customFormat="1" hidden="1">
      <c r="B99" s="139">
        <v>24</v>
      </c>
      <c r="C99" s="88" t="str">
        <f>LEFT(EmpGName24)&amp;" " &amp;EmpSName24</f>
        <v xml:space="preserve"> </v>
      </c>
      <c r="D99" s="3" t="s">
        <v>62</v>
      </c>
      <c r="E99" s="3" t="s">
        <v>62</v>
      </c>
      <c r="F99" s="3" t="s">
        <v>62</v>
      </c>
      <c r="G99" s="3" t="s">
        <v>62</v>
      </c>
      <c r="H99" s="3" t="s">
        <v>62</v>
      </c>
      <c r="I99" s="3" t="s">
        <v>62</v>
      </c>
      <c r="J99" s="3" t="s">
        <v>62</v>
      </c>
      <c r="K99" s="3" t="s">
        <v>62</v>
      </c>
      <c r="L99" s="3" t="s">
        <v>62</v>
      </c>
      <c r="M99" s="3" t="s">
        <v>62</v>
      </c>
      <c r="N99" s="3" t="s">
        <v>62</v>
      </c>
      <c r="O99" s="3" t="s">
        <v>62</v>
      </c>
      <c r="P99" s="3" t="s">
        <v>62</v>
      </c>
      <c r="Q99" s="3" t="s">
        <v>62</v>
      </c>
      <c r="R99" s="3" t="s">
        <v>62</v>
      </c>
      <c r="S99" s="3" t="s">
        <v>62</v>
      </c>
      <c r="T99" s="3" t="s">
        <v>62</v>
      </c>
      <c r="U99" s="3" t="s">
        <v>62</v>
      </c>
      <c r="V99" s="3" t="s">
        <v>62</v>
      </c>
      <c r="W99" s="3" t="s">
        <v>62</v>
      </c>
      <c r="X99" s="3" t="s">
        <v>62</v>
      </c>
      <c r="Y99" s="3" t="s">
        <v>62</v>
      </c>
      <c r="Z99" s="3" t="s">
        <v>62</v>
      </c>
      <c r="AA99" s="3" t="s">
        <v>62</v>
      </c>
      <c r="AB99" s="3" t="s">
        <v>62</v>
      </c>
      <c r="AC99" s="3" t="s">
        <v>62</v>
      </c>
      <c r="AD99" s="3" t="s">
        <v>62</v>
      </c>
      <c r="AE99" s="3" t="s">
        <v>62</v>
      </c>
      <c r="AF99" s="3" t="s">
        <v>62</v>
      </c>
      <c r="AG99" s="3" t="s">
        <v>62</v>
      </c>
      <c r="AH99"/>
    </row>
    <row r="100" spans="2:34" s="70" customFormat="1" hidden="1">
      <c r="B100" s="139">
        <v>25</v>
      </c>
      <c r="C100" s="87" t="str">
        <f>LEFT(EmpGName25)&amp;" " &amp;EmpSName25</f>
        <v xml:space="preserve"> </v>
      </c>
      <c r="D100" s="4" t="s">
        <v>62</v>
      </c>
      <c r="E100" s="4" t="s">
        <v>62</v>
      </c>
      <c r="F100" s="4" t="s">
        <v>62</v>
      </c>
      <c r="G100" s="4" t="s">
        <v>62</v>
      </c>
      <c r="H100" s="4" t="s">
        <v>62</v>
      </c>
      <c r="I100" s="4" t="s">
        <v>62</v>
      </c>
      <c r="J100" s="4" t="s">
        <v>62</v>
      </c>
      <c r="K100" s="4" t="s">
        <v>62</v>
      </c>
      <c r="L100" s="4" t="s">
        <v>62</v>
      </c>
      <c r="M100" s="4" t="s">
        <v>62</v>
      </c>
      <c r="N100" s="4" t="s">
        <v>62</v>
      </c>
      <c r="O100" s="4" t="s">
        <v>62</v>
      </c>
      <c r="P100" s="4" t="s">
        <v>62</v>
      </c>
      <c r="Q100" s="4" t="s">
        <v>62</v>
      </c>
      <c r="R100" s="4" t="s">
        <v>62</v>
      </c>
      <c r="S100" s="4" t="s">
        <v>62</v>
      </c>
      <c r="T100" s="4" t="s">
        <v>62</v>
      </c>
      <c r="U100" s="4" t="s">
        <v>62</v>
      </c>
      <c r="V100" s="4" t="s">
        <v>62</v>
      </c>
      <c r="W100" s="4" t="s">
        <v>62</v>
      </c>
      <c r="X100" s="4" t="s">
        <v>62</v>
      </c>
      <c r="Y100" s="4" t="s">
        <v>62</v>
      </c>
      <c r="Z100" s="4" t="s">
        <v>62</v>
      </c>
      <c r="AA100" s="4" t="s">
        <v>62</v>
      </c>
      <c r="AB100" s="4" t="s">
        <v>62</v>
      </c>
      <c r="AC100" s="4" t="s">
        <v>62</v>
      </c>
      <c r="AD100" s="4" t="s">
        <v>62</v>
      </c>
      <c r="AE100" s="4" t="s">
        <v>62</v>
      </c>
      <c r="AF100" s="4" t="s">
        <v>62</v>
      </c>
      <c r="AG100" s="4" t="s">
        <v>62</v>
      </c>
      <c r="AH100"/>
    </row>
    <row r="101" spans="2:34" s="70" customFormat="1" hidden="1">
      <c r="B101" s="139">
        <v>26</v>
      </c>
      <c r="C101" s="88" t="str">
        <f>LEFT(EmpGName26)&amp;" " &amp;EmpSName26</f>
        <v xml:space="preserve"> </v>
      </c>
      <c r="D101" s="3" t="s">
        <v>62</v>
      </c>
      <c r="E101" s="3" t="s">
        <v>62</v>
      </c>
      <c r="F101" s="3" t="s">
        <v>62</v>
      </c>
      <c r="G101" s="3" t="s">
        <v>62</v>
      </c>
      <c r="H101" s="3" t="s">
        <v>62</v>
      </c>
      <c r="I101" s="3" t="s">
        <v>62</v>
      </c>
      <c r="J101" s="3" t="s">
        <v>62</v>
      </c>
      <c r="K101" s="3" t="s">
        <v>62</v>
      </c>
      <c r="L101" s="3" t="s">
        <v>62</v>
      </c>
      <c r="M101" s="3" t="s">
        <v>62</v>
      </c>
      <c r="N101" s="3" t="s">
        <v>62</v>
      </c>
      <c r="O101" s="3" t="s">
        <v>62</v>
      </c>
      <c r="P101" s="3" t="s">
        <v>62</v>
      </c>
      <c r="Q101" s="3" t="s">
        <v>62</v>
      </c>
      <c r="R101" s="3" t="s">
        <v>62</v>
      </c>
      <c r="S101" s="3" t="s">
        <v>62</v>
      </c>
      <c r="T101" s="3" t="s">
        <v>62</v>
      </c>
      <c r="U101" s="3" t="s">
        <v>62</v>
      </c>
      <c r="V101" s="3" t="s">
        <v>62</v>
      </c>
      <c r="W101" s="3" t="s">
        <v>62</v>
      </c>
      <c r="X101" s="3" t="s">
        <v>62</v>
      </c>
      <c r="Y101" s="3" t="s">
        <v>62</v>
      </c>
      <c r="Z101" s="3" t="s">
        <v>62</v>
      </c>
      <c r="AA101" s="3" t="s">
        <v>62</v>
      </c>
      <c r="AB101" s="3" t="s">
        <v>62</v>
      </c>
      <c r="AC101" s="3" t="s">
        <v>62</v>
      </c>
      <c r="AD101" s="3" t="s">
        <v>62</v>
      </c>
      <c r="AE101" s="3" t="s">
        <v>62</v>
      </c>
      <c r="AF101" s="3" t="s">
        <v>62</v>
      </c>
      <c r="AG101" s="3" t="s">
        <v>62</v>
      </c>
      <c r="AH101"/>
    </row>
    <row r="102" spans="2:34" s="70" customFormat="1" hidden="1">
      <c r="B102" s="139">
        <v>27</v>
      </c>
      <c r="C102" s="87" t="str">
        <f>LEFT(EmpGName27)&amp;" " &amp;EmpSName27</f>
        <v xml:space="preserve"> </v>
      </c>
      <c r="D102" s="4" t="s">
        <v>62</v>
      </c>
      <c r="E102" s="4" t="s">
        <v>62</v>
      </c>
      <c r="F102" s="4" t="s">
        <v>62</v>
      </c>
      <c r="G102" s="4" t="s">
        <v>62</v>
      </c>
      <c r="H102" s="4" t="s">
        <v>62</v>
      </c>
      <c r="I102" s="4" t="s">
        <v>62</v>
      </c>
      <c r="J102" s="4" t="s">
        <v>62</v>
      </c>
      <c r="K102" s="4" t="s">
        <v>62</v>
      </c>
      <c r="L102" s="4" t="s">
        <v>62</v>
      </c>
      <c r="M102" s="4" t="s">
        <v>62</v>
      </c>
      <c r="N102" s="4" t="s">
        <v>62</v>
      </c>
      <c r="O102" s="4" t="s">
        <v>62</v>
      </c>
      <c r="P102" s="4" t="s">
        <v>62</v>
      </c>
      <c r="Q102" s="4" t="s">
        <v>62</v>
      </c>
      <c r="R102" s="4" t="s">
        <v>62</v>
      </c>
      <c r="S102" s="4" t="s">
        <v>62</v>
      </c>
      <c r="T102" s="4" t="s">
        <v>62</v>
      </c>
      <c r="U102" s="4" t="s">
        <v>62</v>
      </c>
      <c r="V102" s="4" t="s">
        <v>62</v>
      </c>
      <c r="W102" s="4" t="s">
        <v>62</v>
      </c>
      <c r="X102" s="4" t="s">
        <v>62</v>
      </c>
      <c r="Y102" s="4" t="s">
        <v>62</v>
      </c>
      <c r="Z102" s="4" t="s">
        <v>62</v>
      </c>
      <c r="AA102" s="4" t="s">
        <v>62</v>
      </c>
      <c r="AB102" s="4" t="s">
        <v>62</v>
      </c>
      <c r="AC102" s="4" t="s">
        <v>62</v>
      </c>
      <c r="AD102" s="4" t="s">
        <v>62</v>
      </c>
      <c r="AE102" s="4" t="s">
        <v>62</v>
      </c>
      <c r="AF102" s="4" t="s">
        <v>62</v>
      </c>
      <c r="AG102" s="4" t="s">
        <v>62</v>
      </c>
      <c r="AH102"/>
    </row>
    <row r="103" spans="2:34" hidden="1">
      <c r="B103" s="167">
        <v>28</v>
      </c>
      <c r="C103" s="168" t="str">
        <f>LEFT(EmpGName28)&amp;" " &amp;EmpSName28</f>
        <v xml:space="preserve"> </v>
      </c>
      <c r="D103" s="169" t="s">
        <v>62</v>
      </c>
      <c r="E103" s="169" t="s">
        <v>62</v>
      </c>
      <c r="F103" s="169" t="s">
        <v>62</v>
      </c>
      <c r="G103" s="169" t="s">
        <v>62</v>
      </c>
      <c r="H103" s="169" t="s">
        <v>62</v>
      </c>
      <c r="I103" s="169" t="s">
        <v>62</v>
      </c>
      <c r="J103" s="169" t="s">
        <v>62</v>
      </c>
      <c r="K103" s="169" t="s">
        <v>62</v>
      </c>
      <c r="L103" s="169" t="s">
        <v>62</v>
      </c>
      <c r="M103" s="169" t="s">
        <v>62</v>
      </c>
      <c r="N103" s="169" t="s">
        <v>62</v>
      </c>
      <c r="O103" s="169" t="s">
        <v>62</v>
      </c>
      <c r="P103" s="169" t="s">
        <v>62</v>
      </c>
      <c r="Q103" s="169" t="s">
        <v>62</v>
      </c>
      <c r="R103" s="169" t="s">
        <v>62</v>
      </c>
      <c r="S103" s="169" t="s">
        <v>62</v>
      </c>
      <c r="T103" s="169" t="s">
        <v>62</v>
      </c>
      <c r="U103" s="169" t="s">
        <v>62</v>
      </c>
      <c r="V103" s="169" t="s">
        <v>62</v>
      </c>
      <c r="W103" s="169" t="s">
        <v>62</v>
      </c>
      <c r="X103" s="169" t="s">
        <v>62</v>
      </c>
      <c r="Y103" s="169" t="s">
        <v>62</v>
      </c>
      <c r="Z103" s="169" t="s">
        <v>62</v>
      </c>
      <c r="AA103" s="169" t="s">
        <v>62</v>
      </c>
      <c r="AB103" s="169" t="s">
        <v>62</v>
      </c>
      <c r="AC103" s="169" t="s">
        <v>62</v>
      </c>
      <c r="AD103" s="169" t="s">
        <v>62</v>
      </c>
      <c r="AE103" s="169" t="s">
        <v>62</v>
      </c>
      <c r="AF103" s="169" t="s">
        <v>62</v>
      </c>
      <c r="AG103" s="169" t="s">
        <v>62</v>
      </c>
    </row>
    <row r="104" spans="2:34" s="2" customFormat="1">
      <c r="B104" s="165"/>
      <c r="C104" s="166"/>
      <c r="D104" s="222"/>
      <c r="E104" s="222"/>
      <c r="F104" s="222"/>
      <c r="G104" s="222"/>
      <c r="H104" s="222"/>
      <c r="I104" s="222"/>
      <c r="J104" s="222"/>
      <c r="K104" s="222"/>
      <c r="L104" s="222"/>
      <c r="M104" s="222"/>
      <c r="N104" s="222"/>
      <c r="O104" s="222"/>
      <c r="P104" s="222"/>
      <c r="Q104" s="222"/>
      <c r="R104" s="222"/>
      <c r="S104" s="222"/>
      <c r="T104" s="222"/>
      <c r="U104" s="222"/>
      <c r="V104" s="222"/>
      <c r="W104" s="222"/>
      <c r="X104" s="222"/>
      <c r="Y104" s="222"/>
      <c r="Z104" s="222"/>
      <c r="AA104" s="222"/>
      <c r="AB104" s="222"/>
      <c r="AC104" s="222"/>
      <c r="AD104" s="222"/>
      <c r="AE104" s="222"/>
      <c r="AF104" s="222"/>
      <c r="AG104" s="222"/>
    </row>
    <row r="105" spans="2:34">
      <c r="C105" s="190">
        <f>CurYear-1</f>
        <v>2019</v>
      </c>
      <c r="D105" s="5" t="str">
        <f t="shared" ref="D105:AG105" si="3">LEFT(TEXT(D106&amp;"-"&amp;$C106&amp;"-"&amp; CurYear-1,"ddd"),2)</f>
        <v>Tu</v>
      </c>
      <c r="E105" s="5" t="str">
        <f t="shared" si="3"/>
        <v>We</v>
      </c>
      <c r="F105" s="5" t="str">
        <f t="shared" si="3"/>
        <v>Th</v>
      </c>
      <c r="G105" s="5" t="str">
        <f t="shared" si="3"/>
        <v>Fr</v>
      </c>
      <c r="H105" s="5" t="str">
        <f t="shared" si="3"/>
        <v>Sa</v>
      </c>
      <c r="I105" s="5" t="str">
        <f t="shared" si="3"/>
        <v>Su</v>
      </c>
      <c r="J105" s="5" t="str">
        <f t="shared" si="3"/>
        <v>Mo</v>
      </c>
      <c r="K105" s="5" t="str">
        <f t="shared" si="3"/>
        <v>Tu</v>
      </c>
      <c r="L105" s="5" t="str">
        <f t="shared" si="3"/>
        <v>We</v>
      </c>
      <c r="M105" s="5" t="str">
        <f t="shared" si="3"/>
        <v>Th</v>
      </c>
      <c r="N105" s="5" t="str">
        <f t="shared" si="3"/>
        <v>Fr</v>
      </c>
      <c r="O105" s="5" t="str">
        <f t="shared" si="3"/>
        <v>Sa</v>
      </c>
      <c r="P105" s="5" t="str">
        <f t="shared" si="3"/>
        <v>Su</v>
      </c>
      <c r="Q105" s="5" t="str">
        <f t="shared" si="3"/>
        <v>Mo</v>
      </c>
      <c r="R105" s="5" t="str">
        <f t="shared" si="3"/>
        <v>Tu</v>
      </c>
      <c r="S105" s="5" t="str">
        <f t="shared" si="3"/>
        <v>We</v>
      </c>
      <c r="T105" s="5" t="str">
        <f t="shared" si="3"/>
        <v>Th</v>
      </c>
      <c r="U105" s="5" t="str">
        <f t="shared" si="3"/>
        <v>Fr</v>
      </c>
      <c r="V105" s="5" t="str">
        <f t="shared" si="3"/>
        <v>Sa</v>
      </c>
      <c r="W105" s="5" t="str">
        <f t="shared" si="3"/>
        <v>Su</v>
      </c>
      <c r="X105" s="5" t="str">
        <f t="shared" si="3"/>
        <v>Mo</v>
      </c>
      <c r="Y105" s="5" t="str">
        <f t="shared" si="3"/>
        <v>Tu</v>
      </c>
      <c r="Z105" s="5" t="str">
        <f t="shared" si="3"/>
        <v>We</v>
      </c>
      <c r="AA105" s="5" t="str">
        <f t="shared" si="3"/>
        <v>Th</v>
      </c>
      <c r="AB105" s="5" t="str">
        <f t="shared" si="3"/>
        <v>Fr</v>
      </c>
      <c r="AC105" s="5" t="str">
        <f t="shared" si="3"/>
        <v>Sa</v>
      </c>
      <c r="AD105" s="5" t="str">
        <f t="shared" si="3"/>
        <v>Su</v>
      </c>
      <c r="AE105" s="5" t="str">
        <f t="shared" si="3"/>
        <v>Mo</v>
      </c>
      <c r="AF105" s="5" t="str">
        <f t="shared" si="3"/>
        <v>Tu</v>
      </c>
      <c r="AG105" s="5" t="str">
        <f t="shared" si="3"/>
        <v>We</v>
      </c>
      <c r="AH105" s="5" t="str">
        <f>LEFT(TEXT(AH106&amp;"-"&amp;$C106&amp;"-"&amp; CurYear-1,"ddd"),2)</f>
        <v>Th</v>
      </c>
    </row>
    <row r="106" spans="2:34">
      <c r="B106" s="86"/>
      <c r="C106" s="191" t="s">
        <v>21</v>
      </c>
      <c r="D106" s="193">
        <v>1</v>
      </c>
      <c r="E106" s="193">
        <v>2</v>
      </c>
      <c r="F106" s="193">
        <v>3</v>
      </c>
      <c r="G106" s="193">
        <v>4</v>
      </c>
      <c r="H106" s="193">
        <v>5</v>
      </c>
      <c r="I106" s="193">
        <v>6</v>
      </c>
      <c r="J106" s="197">
        <v>7</v>
      </c>
      <c r="K106" s="193">
        <v>8</v>
      </c>
      <c r="L106" s="192">
        <v>9</v>
      </c>
      <c r="M106" s="193">
        <v>10</v>
      </c>
      <c r="N106" s="193">
        <v>11</v>
      </c>
      <c r="O106" s="193">
        <v>12</v>
      </c>
      <c r="P106" s="193">
        <v>13</v>
      </c>
      <c r="Q106" s="193">
        <v>14</v>
      </c>
      <c r="R106" s="193">
        <v>15</v>
      </c>
      <c r="S106" s="193">
        <v>16</v>
      </c>
      <c r="T106" s="193">
        <v>17</v>
      </c>
      <c r="U106" s="193">
        <v>18</v>
      </c>
      <c r="V106" s="193">
        <v>19</v>
      </c>
      <c r="W106" s="193">
        <v>20</v>
      </c>
      <c r="X106" s="193">
        <v>21</v>
      </c>
      <c r="Y106" s="193">
        <v>22</v>
      </c>
      <c r="Z106" s="192">
        <v>23</v>
      </c>
      <c r="AA106" s="193">
        <v>24</v>
      </c>
      <c r="AB106" s="193">
        <v>25</v>
      </c>
      <c r="AC106" s="193">
        <v>26</v>
      </c>
      <c r="AD106" s="193">
        <v>27</v>
      </c>
      <c r="AE106" s="193">
        <v>28</v>
      </c>
      <c r="AF106" s="193">
        <v>29</v>
      </c>
      <c r="AG106" s="193">
        <v>30</v>
      </c>
      <c r="AH106" s="193">
        <v>31</v>
      </c>
    </row>
    <row r="107" spans="2:34">
      <c r="B107" s="83">
        <v>1</v>
      </c>
      <c r="C107" s="87" t="str">
        <f>LEFT(EmpGName01)&amp;" " &amp; EmpSName01</f>
        <v>L Marampon</v>
      </c>
      <c r="D107" s="4" t="s">
        <v>62</v>
      </c>
      <c r="E107" s="4" t="s">
        <v>62</v>
      </c>
      <c r="F107" s="4" t="s">
        <v>62</v>
      </c>
      <c r="G107" s="4" t="s">
        <v>62</v>
      </c>
      <c r="H107" s="4" t="s">
        <v>62</v>
      </c>
      <c r="I107" s="4" t="s">
        <v>62</v>
      </c>
      <c r="J107" s="4" t="s">
        <v>62</v>
      </c>
      <c r="K107" s="4" t="s">
        <v>62</v>
      </c>
      <c r="L107" s="4" t="s">
        <v>62</v>
      </c>
      <c r="M107" s="4" t="s">
        <v>62</v>
      </c>
      <c r="N107" s="4" t="s">
        <v>62</v>
      </c>
      <c r="O107" s="4" t="s">
        <v>62</v>
      </c>
      <c r="P107" s="4" t="s">
        <v>62</v>
      </c>
      <c r="Q107" s="4" t="s">
        <v>62</v>
      </c>
      <c r="R107" s="4" t="s">
        <v>62</v>
      </c>
      <c r="S107" s="4" t="s">
        <v>62</v>
      </c>
      <c r="T107" s="4" t="s">
        <v>62</v>
      </c>
      <c r="U107" s="4" t="s">
        <v>62</v>
      </c>
      <c r="V107" s="4" t="s">
        <v>62</v>
      </c>
      <c r="W107" s="4" t="s">
        <v>62</v>
      </c>
      <c r="X107" s="4" t="s">
        <v>62</v>
      </c>
      <c r="Y107" s="4" t="s">
        <v>62</v>
      </c>
      <c r="Z107" s="4" t="s">
        <v>62</v>
      </c>
      <c r="AA107" s="4" t="s">
        <v>62</v>
      </c>
      <c r="AB107" s="4" t="s">
        <v>62</v>
      </c>
      <c r="AC107" s="4" t="s">
        <v>62</v>
      </c>
      <c r="AD107" s="4" t="s">
        <v>62</v>
      </c>
      <c r="AE107" s="4" t="s">
        <v>62</v>
      </c>
      <c r="AF107" s="4" t="s">
        <v>62</v>
      </c>
      <c r="AG107" s="4" t="s">
        <v>62</v>
      </c>
      <c r="AH107" s="4" t="s">
        <v>62</v>
      </c>
    </row>
    <row r="108" spans="2:34">
      <c r="B108" s="83">
        <v>2</v>
      </c>
      <c r="C108" s="88" t="str">
        <f>LEFT(EmpGName02)&amp;" " &amp;EmpSName02</f>
        <v>K Stone</v>
      </c>
      <c r="D108" s="3" t="s">
        <v>62</v>
      </c>
      <c r="E108" s="3" t="s">
        <v>62</v>
      </c>
      <c r="F108" s="3" t="s">
        <v>62</v>
      </c>
      <c r="G108" s="3" t="s">
        <v>62</v>
      </c>
      <c r="H108" s="3" t="s">
        <v>62</v>
      </c>
      <c r="I108" s="3" t="s">
        <v>62</v>
      </c>
      <c r="J108" s="3" t="s">
        <v>62</v>
      </c>
      <c r="K108" s="3" t="s">
        <v>62</v>
      </c>
      <c r="L108" s="3" t="s">
        <v>62</v>
      </c>
      <c r="M108" s="3" t="s">
        <v>62</v>
      </c>
      <c r="N108" s="3" t="s">
        <v>62</v>
      </c>
      <c r="O108" s="3" t="s">
        <v>62</v>
      </c>
      <c r="P108" s="3" t="s">
        <v>62</v>
      </c>
      <c r="Q108" s="3" t="s">
        <v>62</v>
      </c>
      <c r="R108" s="3" t="s">
        <v>62</v>
      </c>
      <c r="S108" s="3" t="s">
        <v>62</v>
      </c>
      <c r="T108" s="3" t="s">
        <v>62</v>
      </c>
      <c r="U108" s="3" t="s">
        <v>62</v>
      </c>
      <c r="V108" s="3" t="s">
        <v>62</v>
      </c>
      <c r="W108" s="3" t="s">
        <v>62</v>
      </c>
      <c r="X108" s="3" t="s">
        <v>62</v>
      </c>
      <c r="Y108" s="3" t="s">
        <v>62</v>
      </c>
      <c r="Z108" s="3" t="s">
        <v>62</v>
      </c>
      <c r="AA108" s="3" t="s">
        <v>62</v>
      </c>
      <c r="AB108" s="3" t="s">
        <v>62</v>
      </c>
      <c r="AC108" s="3" t="s">
        <v>62</v>
      </c>
      <c r="AD108" s="3" t="s">
        <v>62</v>
      </c>
      <c r="AE108" s="3" t="s">
        <v>62</v>
      </c>
      <c r="AF108" s="3" t="s">
        <v>62</v>
      </c>
      <c r="AG108" s="3" t="s">
        <v>62</v>
      </c>
      <c r="AH108" s="3" t="s">
        <v>62</v>
      </c>
    </row>
    <row r="109" spans="2:34">
      <c r="B109" s="83">
        <v>3</v>
      </c>
      <c r="C109" s="87" t="str">
        <f>LEFT(EmpGName03)&amp;" " &amp;EmpSName03</f>
        <v>I Thelning</v>
      </c>
      <c r="D109" s="4" t="s">
        <v>62</v>
      </c>
      <c r="E109" s="4" t="s">
        <v>62</v>
      </c>
      <c r="F109" s="4" t="s">
        <v>62</v>
      </c>
      <c r="G109" s="4" t="s">
        <v>62</v>
      </c>
      <c r="H109" s="4" t="s">
        <v>62</v>
      </c>
      <c r="I109" s="4" t="s">
        <v>62</v>
      </c>
      <c r="J109" s="4" t="s">
        <v>62</v>
      </c>
      <c r="K109" s="4" t="s">
        <v>62</v>
      </c>
      <c r="L109" s="4" t="s">
        <v>62</v>
      </c>
      <c r="M109" s="4" t="s">
        <v>62</v>
      </c>
      <c r="N109" s="4" t="s">
        <v>62</v>
      </c>
      <c r="O109" s="4" t="s">
        <v>62</v>
      </c>
      <c r="P109" s="4" t="s">
        <v>62</v>
      </c>
      <c r="Q109" s="4" t="s">
        <v>62</v>
      </c>
      <c r="R109" s="4" t="s">
        <v>62</v>
      </c>
      <c r="S109" s="4" t="s">
        <v>62</v>
      </c>
      <c r="T109" s="4" t="s">
        <v>62</v>
      </c>
      <c r="U109" s="4" t="s">
        <v>62</v>
      </c>
      <c r="V109" s="4" t="s">
        <v>62</v>
      </c>
      <c r="W109" s="4" t="s">
        <v>62</v>
      </c>
      <c r="X109" s="4" t="s">
        <v>62</v>
      </c>
      <c r="Y109" s="4" t="s">
        <v>62</v>
      </c>
      <c r="Z109" s="4" t="s">
        <v>62</v>
      </c>
      <c r="AA109" s="4" t="s">
        <v>62</v>
      </c>
      <c r="AB109" s="4" t="s">
        <v>62</v>
      </c>
      <c r="AC109" s="4" t="s">
        <v>62</v>
      </c>
      <c r="AD109" s="4" t="s">
        <v>62</v>
      </c>
      <c r="AE109" s="4" t="s">
        <v>62</v>
      </c>
      <c r="AF109" s="4" t="s">
        <v>62</v>
      </c>
      <c r="AG109" s="4" t="s">
        <v>62</v>
      </c>
      <c r="AH109" s="4" t="s">
        <v>62</v>
      </c>
    </row>
    <row r="110" spans="2:34">
      <c r="B110" s="83">
        <v>4</v>
      </c>
      <c r="C110" s="88" t="str">
        <f>LEFT(EmpGName04)&amp;" " &amp;EmpSName04</f>
        <v>L King</v>
      </c>
      <c r="D110" s="3" t="s">
        <v>62</v>
      </c>
      <c r="E110" s="3" t="s">
        <v>62</v>
      </c>
      <c r="F110" s="3" t="s">
        <v>62</v>
      </c>
      <c r="G110" s="3" t="s">
        <v>62</v>
      </c>
      <c r="H110" s="3" t="s">
        <v>62</v>
      </c>
      <c r="I110" s="3" t="s">
        <v>62</v>
      </c>
      <c r="J110" s="3" t="s">
        <v>62</v>
      </c>
      <c r="K110" s="3" t="s">
        <v>62</v>
      </c>
      <c r="L110" s="3" t="s">
        <v>62</v>
      </c>
      <c r="M110" s="3" t="s">
        <v>62</v>
      </c>
      <c r="N110" s="3" t="s">
        <v>62</v>
      </c>
      <c r="O110" s="3" t="s">
        <v>62</v>
      </c>
      <c r="P110" s="3" t="s">
        <v>62</v>
      </c>
      <c r="Q110" s="3" t="s">
        <v>62</v>
      </c>
      <c r="R110" s="3" t="s">
        <v>62</v>
      </c>
      <c r="S110" s="3" t="s">
        <v>62</v>
      </c>
      <c r="T110" s="3" t="s">
        <v>62</v>
      </c>
      <c r="U110" s="3" t="s">
        <v>62</v>
      </c>
      <c r="V110" s="3" t="s">
        <v>62</v>
      </c>
      <c r="W110" s="3" t="s">
        <v>62</v>
      </c>
      <c r="X110" s="3" t="s">
        <v>62</v>
      </c>
      <c r="Y110" s="3" t="s">
        <v>62</v>
      </c>
      <c r="Z110" s="3" t="s">
        <v>62</v>
      </c>
      <c r="AA110" s="3" t="s">
        <v>62</v>
      </c>
      <c r="AB110" s="3" t="s">
        <v>62</v>
      </c>
      <c r="AC110" s="3" t="s">
        <v>62</v>
      </c>
      <c r="AD110" s="3" t="s">
        <v>62</v>
      </c>
      <c r="AE110" s="3" t="s">
        <v>62</v>
      </c>
      <c r="AF110" s="3" t="s">
        <v>62</v>
      </c>
      <c r="AG110" s="3" t="s">
        <v>62</v>
      </c>
      <c r="AH110" s="3" t="s">
        <v>62</v>
      </c>
    </row>
    <row r="111" spans="2:34">
      <c r="B111" s="83">
        <v>5</v>
      </c>
      <c r="C111" s="87" t="str">
        <f>LEFT(EmpGName05)&amp;" " &amp;EmpSName05</f>
        <v>D Castle</v>
      </c>
      <c r="D111" s="4" t="s">
        <v>62</v>
      </c>
      <c r="E111" s="4" t="s">
        <v>62</v>
      </c>
      <c r="F111" s="4" t="s">
        <v>62</v>
      </c>
      <c r="G111" s="4" t="s">
        <v>62</v>
      </c>
      <c r="H111" s="4" t="s">
        <v>62</v>
      </c>
      <c r="I111" s="4" t="s">
        <v>62</v>
      </c>
      <c r="J111" s="4" t="s">
        <v>62</v>
      </c>
      <c r="K111" s="4" t="s">
        <v>62</v>
      </c>
      <c r="L111" s="4" t="s">
        <v>62</v>
      </c>
      <c r="M111" s="4" t="s">
        <v>62</v>
      </c>
      <c r="N111" s="4" t="s">
        <v>62</v>
      </c>
      <c r="O111" s="4" t="s">
        <v>62</v>
      </c>
      <c r="P111" s="4" t="s">
        <v>62</v>
      </c>
      <c r="Q111" s="4" t="s">
        <v>62</v>
      </c>
      <c r="R111" s="4" t="s">
        <v>62</v>
      </c>
      <c r="S111" s="4" t="s">
        <v>62</v>
      </c>
      <c r="T111" s="4" t="s">
        <v>62</v>
      </c>
      <c r="U111" s="4" t="s">
        <v>62</v>
      </c>
      <c r="V111" s="4" t="s">
        <v>62</v>
      </c>
      <c r="W111" s="4" t="s">
        <v>62</v>
      </c>
      <c r="X111" s="4" t="s">
        <v>62</v>
      </c>
      <c r="Y111" s="4" t="s">
        <v>62</v>
      </c>
      <c r="Z111" s="4" t="s">
        <v>62</v>
      </c>
      <c r="AA111" s="4" t="s">
        <v>62</v>
      </c>
      <c r="AB111" s="4" t="s">
        <v>62</v>
      </c>
      <c r="AC111" s="4" t="s">
        <v>62</v>
      </c>
      <c r="AD111" s="4" t="s">
        <v>62</v>
      </c>
      <c r="AE111" s="4" t="s">
        <v>62</v>
      </c>
      <c r="AF111" s="4" t="s">
        <v>62</v>
      </c>
      <c r="AG111" s="4" t="s">
        <v>62</v>
      </c>
      <c r="AH111" s="4" t="s">
        <v>62</v>
      </c>
    </row>
    <row r="112" spans="2:34">
      <c r="B112" s="83">
        <v>6</v>
      </c>
      <c r="C112" s="88" t="str">
        <f>LEFT(EmpGName06)&amp;" " &amp;EmpSName06</f>
        <v>R Fielding</v>
      </c>
      <c r="D112" s="3" t="s">
        <v>62</v>
      </c>
      <c r="E112" s="3" t="s">
        <v>62</v>
      </c>
      <c r="F112" s="3" t="s">
        <v>62</v>
      </c>
      <c r="G112" s="3" t="s">
        <v>62</v>
      </c>
      <c r="H112" s="3" t="s">
        <v>62</v>
      </c>
      <c r="I112" s="3" t="s">
        <v>62</v>
      </c>
      <c r="J112" s="3" t="s">
        <v>62</v>
      </c>
      <c r="K112" s="3" t="s">
        <v>62</v>
      </c>
      <c r="L112" s="3" t="s">
        <v>62</v>
      </c>
      <c r="M112" s="3" t="s">
        <v>62</v>
      </c>
      <c r="N112" s="3" t="s">
        <v>62</v>
      </c>
      <c r="O112" s="3" t="s">
        <v>62</v>
      </c>
      <c r="P112" s="3" t="s">
        <v>62</v>
      </c>
      <c r="Q112" s="3" t="s">
        <v>62</v>
      </c>
      <c r="R112" s="3" t="s">
        <v>62</v>
      </c>
      <c r="S112" s="3" t="s">
        <v>62</v>
      </c>
      <c r="T112" s="3" t="s">
        <v>62</v>
      </c>
      <c r="U112" s="3" t="s">
        <v>62</v>
      </c>
      <c r="V112" s="3" t="s">
        <v>62</v>
      </c>
      <c r="W112" s="3" t="s">
        <v>62</v>
      </c>
      <c r="X112" s="3" t="s">
        <v>62</v>
      </c>
      <c r="Y112" s="3" t="s">
        <v>62</v>
      </c>
      <c r="Z112" s="3" t="s">
        <v>62</v>
      </c>
      <c r="AA112" s="3" t="s">
        <v>62</v>
      </c>
      <c r="AB112" s="3" t="s">
        <v>62</v>
      </c>
      <c r="AC112" s="3" t="s">
        <v>62</v>
      </c>
      <c r="AD112" s="3" t="s">
        <v>62</v>
      </c>
      <c r="AE112" s="3" t="s">
        <v>62</v>
      </c>
      <c r="AF112" s="3" t="s">
        <v>62</v>
      </c>
      <c r="AG112" s="3" t="s">
        <v>62</v>
      </c>
      <c r="AH112" s="3" t="s">
        <v>62</v>
      </c>
    </row>
    <row r="113" spans="2:34">
      <c r="B113" s="83">
        <v>7</v>
      </c>
      <c r="C113" s="87" t="str">
        <f>LEFT(EmpGName07)&amp;" " &amp;EmpSName07</f>
        <v>T Sorensen</v>
      </c>
      <c r="D113" s="4" t="s">
        <v>62</v>
      </c>
      <c r="E113" s="4" t="s">
        <v>62</v>
      </c>
      <c r="F113" s="4" t="s">
        <v>62</v>
      </c>
      <c r="G113" s="4" t="s">
        <v>62</v>
      </c>
      <c r="H113" s="4" t="s">
        <v>62</v>
      </c>
      <c r="I113" s="4" t="s">
        <v>62</v>
      </c>
      <c r="J113" s="4" t="s">
        <v>62</v>
      </c>
      <c r="K113" s="4" t="s">
        <v>62</v>
      </c>
      <c r="L113" s="4" t="s">
        <v>62</v>
      </c>
      <c r="M113" s="4" t="s">
        <v>62</v>
      </c>
      <c r="N113" s="4" t="s">
        <v>62</v>
      </c>
      <c r="O113" s="4" t="s">
        <v>62</v>
      </c>
      <c r="P113" s="4" t="s">
        <v>62</v>
      </c>
      <c r="Q113" s="4" t="s">
        <v>62</v>
      </c>
      <c r="R113" s="4" t="s">
        <v>62</v>
      </c>
      <c r="S113" s="4" t="s">
        <v>62</v>
      </c>
      <c r="T113" s="4" t="s">
        <v>62</v>
      </c>
      <c r="U113" s="4" t="s">
        <v>62</v>
      </c>
      <c r="V113" s="4" t="s">
        <v>62</v>
      </c>
      <c r="W113" s="4" t="s">
        <v>62</v>
      </c>
      <c r="X113" s="4" t="s">
        <v>62</v>
      </c>
      <c r="Y113" s="4" t="s">
        <v>62</v>
      </c>
      <c r="Z113" s="4" t="s">
        <v>62</v>
      </c>
      <c r="AA113" s="4" t="s">
        <v>62</v>
      </c>
      <c r="AB113" s="4" t="s">
        <v>62</v>
      </c>
      <c r="AC113" s="4" t="s">
        <v>62</v>
      </c>
      <c r="AD113" s="4" t="s">
        <v>62</v>
      </c>
      <c r="AE113" s="4" t="s">
        <v>62</v>
      </c>
      <c r="AF113" s="4" t="s">
        <v>62</v>
      </c>
      <c r="AG113" s="4" t="s">
        <v>62</v>
      </c>
      <c r="AH113" s="4" t="s">
        <v>62</v>
      </c>
    </row>
    <row r="114" spans="2:34">
      <c r="B114" s="83">
        <v>8</v>
      </c>
      <c r="C114" s="88" t="str">
        <f>LEFT(EmpGName08)&amp;" " &amp;EmpSName08</f>
        <v>C Horse</v>
      </c>
      <c r="D114" s="3" t="s">
        <v>62</v>
      </c>
      <c r="E114" s="3" t="s">
        <v>62</v>
      </c>
      <c r="F114" s="3" t="s">
        <v>62</v>
      </c>
      <c r="G114" s="3" t="s">
        <v>62</v>
      </c>
      <c r="H114" s="3" t="s">
        <v>62</v>
      </c>
      <c r="I114" s="3" t="s">
        <v>62</v>
      </c>
      <c r="J114" s="3" t="s">
        <v>62</v>
      </c>
      <c r="K114" s="3" t="s">
        <v>62</v>
      </c>
      <c r="L114" s="3" t="s">
        <v>62</v>
      </c>
      <c r="M114" s="3" t="s">
        <v>62</v>
      </c>
      <c r="N114" s="3" t="s">
        <v>62</v>
      </c>
      <c r="O114" s="3" t="s">
        <v>62</v>
      </c>
      <c r="P114" s="3" t="s">
        <v>62</v>
      </c>
      <c r="Q114" s="3" t="s">
        <v>62</v>
      </c>
      <c r="R114" s="3" t="s">
        <v>62</v>
      </c>
      <c r="S114" s="3" t="s">
        <v>62</v>
      </c>
      <c r="T114" s="3" t="s">
        <v>62</v>
      </c>
      <c r="U114" s="3" t="s">
        <v>62</v>
      </c>
      <c r="V114" s="3" t="s">
        <v>62</v>
      </c>
      <c r="W114" s="3" t="s">
        <v>62</v>
      </c>
      <c r="X114" s="3" t="s">
        <v>62</v>
      </c>
      <c r="Y114" s="3" t="s">
        <v>62</v>
      </c>
      <c r="Z114" s="3" t="s">
        <v>62</v>
      </c>
      <c r="AA114" s="3" t="s">
        <v>62</v>
      </c>
      <c r="AB114" s="3" t="s">
        <v>62</v>
      </c>
      <c r="AC114" s="3" t="s">
        <v>62</v>
      </c>
      <c r="AD114" s="3" t="s">
        <v>62</v>
      </c>
      <c r="AE114" s="3" t="s">
        <v>62</v>
      </c>
      <c r="AF114" s="3" t="s">
        <v>62</v>
      </c>
      <c r="AG114" s="3" t="s">
        <v>62</v>
      </c>
      <c r="AH114" s="3" t="s">
        <v>62</v>
      </c>
    </row>
    <row r="115" spans="2:34">
      <c r="B115" s="83">
        <v>9</v>
      </c>
      <c r="C115" s="87" t="str">
        <f>LEFT(EmpGName09)&amp;" " &amp;EmpSName09</f>
        <v xml:space="preserve">E Horse </v>
      </c>
      <c r="D115" s="4" t="s">
        <v>62</v>
      </c>
      <c r="E115" s="4" t="s">
        <v>62</v>
      </c>
      <c r="F115" s="4" t="s">
        <v>62</v>
      </c>
      <c r="G115" s="4" t="s">
        <v>62</v>
      </c>
      <c r="H115" s="4" t="s">
        <v>62</v>
      </c>
      <c r="I115" s="4" t="s">
        <v>62</v>
      </c>
      <c r="J115" s="4" t="s">
        <v>62</v>
      </c>
      <c r="K115" s="4" t="s">
        <v>62</v>
      </c>
      <c r="L115" s="4" t="s">
        <v>62</v>
      </c>
      <c r="M115" s="4" t="s">
        <v>62</v>
      </c>
      <c r="N115" s="4" t="s">
        <v>62</v>
      </c>
      <c r="O115" s="4" t="s">
        <v>62</v>
      </c>
      <c r="P115" s="4" t="s">
        <v>62</v>
      </c>
      <c r="Q115" s="4" t="s">
        <v>62</v>
      </c>
      <c r="R115" s="4" t="s">
        <v>62</v>
      </c>
      <c r="S115" s="4" t="s">
        <v>62</v>
      </c>
      <c r="T115" s="4" t="s">
        <v>62</v>
      </c>
      <c r="U115" s="4" t="s">
        <v>62</v>
      </c>
      <c r="V115" s="4" t="s">
        <v>62</v>
      </c>
      <c r="W115" s="4" t="s">
        <v>62</v>
      </c>
      <c r="X115" s="4" t="s">
        <v>62</v>
      </c>
      <c r="Y115" s="4" t="s">
        <v>62</v>
      </c>
      <c r="Z115" s="4" t="s">
        <v>62</v>
      </c>
      <c r="AA115" s="4" t="s">
        <v>62</v>
      </c>
      <c r="AB115" s="4" t="s">
        <v>62</v>
      </c>
      <c r="AC115" s="4" t="s">
        <v>62</v>
      </c>
      <c r="AD115" s="4" t="s">
        <v>62</v>
      </c>
      <c r="AE115" s="4" t="s">
        <v>62</v>
      </c>
      <c r="AF115" s="4" t="s">
        <v>62</v>
      </c>
      <c r="AG115" s="4" t="s">
        <v>62</v>
      </c>
      <c r="AH115" s="4" t="s">
        <v>62</v>
      </c>
    </row>
    <row r="116" spans="2:34" s="70" customFormat="1">
      <c r="B116" s="139">
        <v>10</v>
      </c>
      <c r="C116" s="88" t="str">
        <f>LEFT(EmpGName10)&amp;" " &amp;EmpSName10</f>
        <v>J Smeegal</v>
      </c>
      <c r="D116" s="3" t="s">
        <v>62</v>
      </c>
      <c r="E116" s="3" t="s">
        <v>62</v>
      </c>
      <c r="F116" s="3" t="s">
        <v>62</v>
      </c>
      <c r="G116" s="3" t="s">
        <v>62</v>
      </c>
      <c r="H116" s="3" t="s">
        <v>62</v>
      </c>
      <c r="I116" s="3" t="s">
        <v>62</v>
      </c>
      <c r="J116" s="3" t="s">
        <v>62</v>
      </c>
      <c r="K116" s="3" t="s">
        <v>62</v>
      </c>
      <c r="L116" s="3" t="s">
        <v>62</v>
      </c>
      <c r="M116" s="3" t="s">
        <v>62</v>
      </c>
      <c r="N116" s="3" t="s">
        <v>62</v>
      </c>
      <c r="O116" s="3" t="s">
        <v>62</v>
      </c>
      <c r="P116" s="3" t="s">
        <v>62</v>
      </c>
      <c r="Q116" s="3" t="s">
        <v>62</v>
      </c>
      <c r="R116" s="3" t="s">
        <v>62</v>
      </c>
      <c r="S116" s="3" t="s">
        <v>62</v>
      </c>
      <c r="T116" s="3" t="s">
        <v>62</v>
      </c>
      <c r="U116" s="3" t="s">
        <v>62</v>
      </c>
      <c r="V116" s="3" t="s">
        <v>62</v>
      </c>
      <c r="W116" s="3" t="s">
        <v>62</v>
      </c>
      <c r="X116" s="3" t="s">
        <v>62</v>
      </c>
      <c r="Y116" s="3" t="s">
        <v>62</v>
      </c>
      <c r="Z116" s="3" t="s">
        <v>62</v>
      </c>
      <c r="AA116" s="3" t="s">
        <v>62</v>
      </c>
      <c r="AB116" s="3" t="s">
        <v>62</v>
      </c>
      <c r="AC116" s="3" t="s">
        <v>62</v>
      </c>
      <c r="AD116" s="3" t="s">
        <v>62</v>
      </c>
      <c r="AE116" s="3" t="s">
        <v>62</v>
      </c>
      <c r="AF116" s="3" t="s">
        <v>62</v>
      </c>
      <c r="AG116" s="3" t="s">
        <v>62</v>
      </c>
      <c r="AH116" s="3" t="s">
        <v>62</v>
      </c>
    </row>
    <row r="117" spans="2:34" s="70" customFormat="1">
      <c r="B117" s="139">
        <v>11</v>
      </c>
      <c r="C117" s="87" t="str">
        <f>LEFT(EmpGName11)&amp;" " &amp;EmpSName11</f>
        <v>E Smeegal</v>
      </c>
      <c r="D117" s="4" t="s">
        <v>62</v>
      </c>
      <c r="E117" s="4" t="s">
        <v>62</v>
      </c>
      <c r="F117" s="4" t="s">
        <v>62</v>
      </c>
      <c r="G117" s="4" t="s">
        <v>62</v>
      </c>
      <c r="H117" s="4" t="s">
        <v>62</v>
      </c>
      <c r="I117" s="4" t="s">
        <v>62</v>
      </c>
      <c r="J117" s="4" t="s">
        <v>62</v>
      </c>
      <c r="K117" s="4" t="s">
        <v>62</v>
      </c>
      <c r="L117" s="4" t="s">
        <v>62</v>
      </c>
      <c r="M117" s="4" t="s">
        <v>62</v>
      </c>
      <c r="N117" s="4" t="s">
        <v>62</v>
      </c>
      <c r="O117" s="4" t="s">
        <v>62</v>
      </c>
      <c r="P117" s="4" t="s">
        <v>62</v>
      </c>
      <c r="Q117" s="4" t="s">
        <v>62</v>
      </c>
      <c r="R117" s="4" t="s">
        <v>62</v>
      </c>
      <c r="S117" s="4" t="s">
        <v>62</v>
      </c>
      <c r="T117" s="4" t="s">
        <v>62</v>
      </c>
      <c r="U117" s="4" t="s">
        <v>62</v>
      </c>
      <c r="V117" s="4" t="s">
        <v>62</v>
      </c>
      <c r="W117" s="4" t="s">
        <v>62</v>
      </c>
      <c r="X117" s="4" t="s">
        <v>62</v>
      </c>
      <c r="Y117" s="4" t="s">
        <v>62</v>
      </c>
      <c r="Z117" s="4" t="s">
        <v>62</v>
      </c>
      <c r="AA117" s="4" t="s">
        <v>62</v>
      </c>
      <c r="AB117" s="4" t="s">
        <v>62</v>
      </c>
      <c r="AC117" s="4" t="s">
        <v>62</v>
      </c>
      <c r="AD117" s="4" t="s">
        <v>62</v>
      </c>
      <c r="AE117" s="4" t="s">
        <v>62</v>
      </c>
      <c r="AF117" s="4" t="s">
        <v>62</v>
      </c>
      <c r="AG117" s="4" t="s">
        <v>62</v>
      </c>
      <c r="AH117" s="4" t="s">
        <v>62</v>
      </c>
    </row>
    <row r="118" spans="2:34" s="70" customFormat="1">
      <c r="B118" s="139">
        <v>12</v>
      </c>
      <c r="C118" s="88" t="str">
        <f>LEFT(EmpGName12)&amp;" " &amp;EmpSName12</f>
        <v>J James</v>
      </c>
      <c r="D118" s="3" t="s">
        <v>62</v>
      </c>
      <c r="E118" s="3" t="s">
        <v>62</v>
      </c>
      <c r="F118" s="3" t="s">
        <v>62</v>
      </c>
      <c r="G118" s="3" t="s">
        <v>62</v>
      </c>
      <c r="H118" s="3" t="s">
        <v>62</v>
      </c>
      <c r="I118" s="3" t="s">
        <v>62</v>
      </c>
      <c r="J118" s="3" t="s">
        <v>62</v>
      </c>
      <c r="K118" s="3" t="s">
        <v>62</v>
      </c>
      <c r="L118" s="3" t="s">
        <v>62</v>
      </c>
      <c r="M118" s="3" t="s">
        <v>62</v>
      </c>
      <c r="N118" s="3" t="s">
        <v>62</v>
      </c>
      <c r="O118" s="3" t="s">
        <v>62</v>
      </c>
      <c r="P118" s="3" t="s">
        <v>62</v>
      </c>
      <c r="Q118" s="3" t="s">
        <v>62</v>
      </c>
      <c r="R118" s="3" t="s">
        <v>62</v>
      </c>
      <c r="S118" s="3" t="s">
        <v>62</v>
      </c>
      <c r="T118" s="3" t="s">
        <v>62</v>
      </c>
      <c r="U118" s="3" t="s">
        <v>62</v>
      </c>
      <c r="V118" s="3" t="s">
        <v>62</v>
      </c>
      <c r="W118" s="3" t="s">
        <v>62</v>
      </c>
      <c r="X118" s="3" t="s">
        <v>62</v>
      </c>
      <c r="Y118" s="3" t="s">
        <v>62</v>
      </c>
      <c r="Z118" s="3" t="s">
        <v>62</v>
      </c>
      <c r="AA118" s="3" t="s">
        <v>62</v>
      </c>
      <c r="AB118" s="3" t="s">
        <v>62</v>
      </c>
      <c r="AC118" s="3" t="s">
        <v>62</v>
      </c>
      <c r="AD118" s="3" t="s">
        <v>62</v>
      </c>
      <c r="AE118" s="3" t="s">
        <v>62</v>
      </c>
      <c r="AF118" s="3" t="s">
        <v>62</v>
      </c>
      <c r="AG118" s="3" t="s">
        <v>62</v>
      </c>
      <c r="AH118" s="3" t="s">
        <v>62</v>
      </c>
    </row>
    <row r="119" spans="2:34">
      <c r="B119" s="139">
        <v>13</v>
      </c>
      <c r="C119" s="87" t="str">
        <f>LEFT(EmpGName13)&amp;" " &amp;EmpSName13</f>
        <v>J Jack</v>
      </c>
      <c r="D119" s="4" t="s">
        <v>62</v>
      </c>
      <c r="E119" s="4" t="s">
        <v>62</v>
      </c>
      <c r="F119" s="4" t="s">
        <v>62</v>
      </c>
      <c r="G119" s="4" t="s">
        <v>62</v>
      </c>
      <c r="H119" s="4" t="s">
        <v>62</v>
      </c>
      <c r="I119" s="4" t="s">
        <v>62</v>
      </c>
      <c r="J119" s="4" t="s">
        <v>62</v>
      </c>
      <c r="K119" s="4" t="s">
        <v>62</v>
      </c>
      <c r="L119" s="4" t="s">
        <v>62</v>
      </c>
      <c r="M119" s="4" t="s">
        <v>62</v>
      </c>
      <c r="N119" s="4" t="s">
        <v>62</v>
      </c>
      <c r="O119" s="4" t="s">
        <v>62</v>
      </c>
      <c r="P119" s="4" t="s">
        <v>62</v>
      </c>
      <c r="Q119" s="4" t="s">
        <v>62</v>
      </c>
      <c r="R119" s="4" t="s">
        <v>62</v>
      </c>
      <c r="S119" s="4" t="s">
        <v>62</v>
      </c>
      <c r="T119" s="4" t="s">
        <v>62</v>
      </c>
      <c r="U119" s="4" t="s">
        <v>62</v>
      </c>
      <c r="V119" s="4" t="s">
        <v>62</v>
      </c>
      <c r="W119" s="4" t="s">
        <v>62</v>
      </c>
      <c r="X119" s="4" t="s">
        <v>62</v>
      </c>
      <c r="Y119" s="4" t="s">
        <v>62</v>
      </c>
      <c r="Z119" s="4" t="s">
        <v>62</v>
      </c>
      <c r="AA119" s="4" t="s">
        <v>62</v>
      </c>
      <c r="AB119" s="4" t="s">
        <v>62</v>
      </c>
      <c r="AC119" s="4" t="s">
        <v>62</v>
      </c>
      <c r="AD119" s="4" t="s">
        <v>62</v>
      </c>
      <c r="AE119" s="4" t="s">
        <v>62</v>
      </c>
      <c r="AF119" s="4" t="s">
        <v>62</v>
      </c>
      <c r="AG119" s="4" t="s">
        <v>62</v>
      </c>
      <c r="AH119" s="4" t="s">
        <v>62</v>
      </c>
    </row>
    <row r="120" spans="2:34">
      <c r="B120" s="139">
        <v>14</v>
      </c>
      <c r="C120" s="88" t="str">
        <f>LEFT(EmpGName14)&amp;" " &amp;EmpSName14</f>
        <v xml:space="preserve">J Jacky </v>
      </c>
      <c r="D120" s="3" t="s">
        <v>62</v>
      </c>
      <c r="E120" s="3" t="s">
        <v>62</v>
      </c>
      <c r="F120" s="3" t="s">
        <v>62</v>
      </c>
      <c r="G120" s="3" t="s">
        <v>62</v>
      </c>
      <c r="H120" s="3" t="s">
        <v>62</v>
      </c>
      <c r="I120" s="3" t="s">
        <v>62</v>
      </c>
      <c r="J120" s="3" t="s">
        <v>62</v>
      </c>
      <c r="K120" s="3" t="s">
        <v>62</v>
      </c>
      <c r="L120" s="3" t="s">
        <v>62</v>
      </c>
      <c r="M120" s="3" t="s">
        <v>62</v>
      </c>
      <c r="N120" s="3" t="s">
        <v>62</v>
      </c>
      <c r="O120" s="3" t="s">
        <v>62</v>
      </c>
      <c r="P120" s="3" t="s">
        <v>62</v>
      </c>
      <c r="Q120" s="3" t="s">
        <v>62</v>
      </c>
      <c r="R120" s="3" t="s">
        <v>62</v>
      </c>
      <c r="S120" s="3" t="s">
        <v>62</v>
      </c>
      <c r="T120" s="3" t="s">
        <v>62</v>
      </c>
      <c r="U120" s="3" t="s">
        <v>62</v>
      </c>
      <c r="V120" s="3" t="s">
        <v>62</v>
      </c>
      <c r="W120" s="3" t="s">
        <v>62</v>
      </c>
      <c r="X120" s="3" t="s">
        <v>62</v>
      </c>
      <c r="Y120" s="3" t="s">
        <v>62</v>
      </c>
      <c r="Z120" s="3" t="s">
        <v>62</v>
      </c>
      <c r="AA120" s="3" t="s">
        <v>62</v>
      </c>
      <c r="AB120" s="3" t="s">
        <v>62</v>
      </c>
      <c r="AC120" s="3" t="s">
        <v>62</v>
      </c>
      <c r="AD120" s="3" t="s">
        <v>62</v>
      </c>
      <c r="AE120" s="3" t="s">
        <v>62</v>
      </c>
      <c r="AF120" s="3" t="s">
        <v>62</v>
      </c>
      <c r="AG120" s="3" t="s">
        <v>62</v>
      </c>
      <c r="AH120" s="3" t="s">
        <v>62</v>
      </c>
    </row>
    <row r="121" spans="2:34">
      <c r="B121" s="139">
        <v>15</v>
      </c>
      <c r="C121" s="87" t="str">
        <f>LEFT(EmpGName15)&amp;" " &amp;EmpSName15</f>
        <v>J Friedle</v>
      </c>
      <c r="D121" s="4" t="s">
        <v>62</v>
      </c>
      <c r="E121" s="4" t="s">
        <v>62</v>
      </c>
      <c r="F121" s="4" t="s">
        <v>62</v>
      </c>
      <c r="G121" s="4" t="s">
        <v>62</v>
      </c>
      <c r="H121" s="4" t="s">
        <v>62</v>
      </c>
      <c r="I121" s="4" t="s">
        <v>62</v>
      </c>
      <c r="J121" s="4" t="s">
        <v>62</v>
      </c>
      <c r="K121" s="4" t="s">
        <v>62</v>
      </c>
      <c r="L121" s="4" t="s">
        <v>62</v>
      </c>
      <c r="M121" s="4" t="s">
        <v>62</v>
      </c>
      <c r="N121" s="4" t="s">
        <v>62</v>
      </c>
      <c r="O121" s="4" t="s">
        <v>62</v>
      </c>
      <c r="P121" s="4" t="s">
        <v>62</v>
      </c>
      <c r="Q121" s="4" t="s">
        <v>62</v>
      </c>
      <c r="R121" s="4" t="s">
        <v>62</v>
      </c>
      <c r="S121" s="4" t="s">
        <v>62</v>
      </c>
      <c r="T121" s="4" t="s">
        <v>62</v>
      </c>
      <c r="U121" s="4" t="s">
        <v>62</v>
      </c>
      <c r="V121" s="4" t="s">
        <v>62</v>
      </c>
      <c r="W121" s="4" t="s">
        <v>62</v>
      </c>
      <c r="X121" s="4" t="s">
        <v>62</v>
      </c>
      <c r="Y121" s="4" t="s">
        <v>62</v>
      </c>
      <c r="Z121" s="4" t="s">
        <v>62</v>
      </c>
      <c r="AA121" s="4" t="s">
        <v>62</v>
      </c>
      <c r="AB121" s="4" t="s">
        <v>62</v>
      </c>
      <c r="AC121" s="4" t="s">
        <v>62</v>
      </c>
      <c r="AD121" s="4" t="s">
        <v>62</v>
      </c>
      <c r="AE121" s="4" t="s">
        <v>62</v>
      </c>
      <c r="AF121" s="4" t="s">
        <v>62</v>
      </c>
      <c r="AG121" s="4" t="s">
        <v>62</v>
      </c>
      <c r="AH121" s="4" t="s">
        <v>62</v>
      </c>
    </row>
    <row r="122" spans="2:34">
      <c r="B122" s="139">
        <v>16</v>
      </c>
      <c r="C122" s="88" t="str">
        <f>LEFT(EmpGName16)&amp;" " &amp;EmpSName16</f>
        <v>J Friedle</v>
      </c>
      <c r="D122" s="3" t="s">
        <v>62</v>
      </c>
      <c r="E122" s="3" t="s">
        <v>62</v>
      </c>
      <c r="F122" s="3" t="s">
        <v>62</v>
      </c>
      <c r="G122" s="3" t="s">
        <v>62</v>
      </c>
      <c r="H122" s="3" t="s">
        <v>62</v>
      </c>
      <c r="I122" s="3" t="s">
        <v>62</v>
      </c>
      <c r="J122" s="3" t="s">
        <v>62</v>
      </c>
      <c r="K122" s="3" t="s">
        <v>62</v>
      </c>
      <c r="L122" s="3" t="s">
        <v>62</v>
      </c>
      <c r="M122" s="3" t="s">
        <v>62</v>
      </c>
      <c r="N122" s="3" t="s">
        <v>62</v>
      </c>
      <c r="O122" s="3" t="s">
        <v>62</v>
      </c>
      <c r="P122" s="3" t="s">
        <v>62</v>
      </c>
      <c r="Q122" s="3" t="s">
        <v>62</v>
      </c>
      <c r="R122" s="3" t="s">
        <v>62</v>
      </c>
      <c r="S122" s="3" t="s">
        <v>62</v>
      </c>
      <c r="T122" s="3" t="s">
        <v>62</v>
      </c>
      <c r="U122" s="3" t="s">
        <v>62</v>
      </c>
      <c r="V122" s="3" t="s">
        <v>62</v>
      </c>
      <c r="W122" s="3" t="s">
        <v>62</v>
      </c>
      <c r="X122" s="3" t="s">
        <v>62</v>
      </c>
      <c r="Y122" s="3" t="s">
        <v>62</v>
      </c>
      <c r="Z122" s="3" t="s">
        <v>62</v>
      </c>
      <c r="AA122" s="3" t="s">
        <v>62</v>
      </c>
      <c r="AB122" s="3" t="s">
        <v>62</v>
      </c>
      <c r="AC122" s="3" t="s">
        <v>62</v>
      </c>
      <c r="AD122" s="3" t="s">
        <v>62</v>
      </c>
      <c r="AE122" s="3" t="s">
        <v>62</v>
      </c>
      <c r="AF122" s="3" t="s">
        <v>62</v>
      </c>
      <c r="AG122" s="3" t="s">
        <v>62</v>
      </c>
      <c r="AH122" s="3" t="s">
        <v>62</v>
      </c>
    </row>
    <row r="123" spans="2:34">
      <c r="B123" s="139">
        <v>17</v>
      </c>
      <c r="C123" s="87" t="str">
        <f>LEFT(EmpGName17)&amp;" " &amp;EmpSName17</f>
        <v>J Smart</v>
      </c>
      <c r="D123" s="4" t="s">
        <v>62</v>
      </c>
      <c r="E123" s="4" t="s">
        <v>62</v>
      </c>
      <c r="F123" s="4" t="s">
        <v>62</v>
      </c>
      <c r="G123" s="4" t="s">
        <v>62</v>
      </c>
      <c r="H123" s="4" t="s">
        <v>62</v>
      </c>
      <c r="I123" s="4" t="s">
        <v>62</v>
      </c>
      <c r="J123" s="4" t="s">
        <v>62</v>
      </c>
      <c r="K123" s="4" t="s">
        <v>62</v>
      </c>
      <c r="L123" s="4" t="s">
        <v>62</v>
      </c>
      <c r="M123" s="4" t="s">
        <v>62</v>
      </c>
      <c r="N123" s="4" t="s">
        <v>62</v>
      </c>
      <c r="O123" s="4" t="s">
        <v>62</v>
      </c>
      <c r="P123" s="4" t="s">
        <v>62</v>
      </c>
      <c r="Q123" s="4" t="s">
        <v>62</v>
      </c>
      <c r="R123" s="4" t="s">
        <v>62</v>
      </c>
      <c r="S123" s="4" t="s">
        <v>62</v>
      </c>
      <c r="T123" s="4" t="s">
        <v>62</v>
      </c>
      <c r="U123" s="4" t="s">
        <v>62</v>
      </c>
      <c r="V123" s="4" t="s">
        <v>62</v>
      </c>
      <c r="W123" s="4" t="s">
        <v>62</v>
      </c>
      <c r="X123" s="4" t="s">
        <v>62</v>
      </c>
      <c r="Y123" s="4" t="s">
        <v>62</v>
      </c>
      <c r="Z123" s="4" t="s">
        <v>62</v>
      </c>
      <c r="AA123" s="4" t="s">
        <v>62</v>
      </c>
      <c r="AB123" s="4" t="s">
        <v>62</v>
      </c>
      <c r="AC123" s="4" t="s">
        <v>62</v>
      </c>
      <c r="AD123" s="4" t="s">
        <v>62</v>
      </c>
      <c r="AE123" s="4" t="s">
        <v>62</v>
      </c>
      <c r="AF123" s="4" t="s">
        <v>62</v>
      </c>
      <c r="AG123" s="4" t="s">
        <v>62</v>
      </c>
      <c r="AH123" s="4" t="s">
        <v>62</v>
      </c>
    </row>
    <row r="124" spans="2:34">
      <c r="B124" s="139">
        <v>18</v>
      </c>
      <c r="C124" s="88" t="str">
        <f>LEFT(EmpGName18)&amp;" " &amp;EmpSName18</f>
        <v>E Smart</v>
      </c>
      <c r="D124" s="3" t="s">
        <v>62</v>
      </c>
      <c r="E124" s="3" t="s">
        <v>62</v>
      </c>
      <c r="F124" s="3" t="s">
        <v>62</v>
      </c>
      <c r="G124" s="3" t="s">
        <v>62</v>
      </c>
      <c r="H124" s="3" t="s">
        <v>62</v>
      </c>
      <c r="I124" s="3" t="s">
        <v>62</v>
      </c>
      <c r="J124" s="3" t="s">
        <v>62</v>
      </c>
      <c r="K124" s="3" t="s">
        <v>62</v>
      </c>
      <c r="L124" s="3" t="s">
        <v>62</v>
      </c>
      <c r="M124" s="3" t="s">
        <v>62</v>
      </c>
      <c r="N124" s="3" t="s">
        <v>62</v>
      </c>
      <c r="O124" s="3" t="s">
        <v>62</v>
      </c>
      <c r="P124" s="3" t="s">
        <v>62</v>
      </c>
      <c r="Q124" s="3" t="s">
        <v>62</v>
      </c>
      <c r="R124" s="3" t="s">
        <v>62</v>
      </c>
      <c r="S124" s="3" t="s">
        <v>62</v>
      </c>
      <c r="T124" s="3" t="s">
        <v>62</v>
      </c>
      <c r="U124" s="3" t="s">
        <v>62</v>
      </c>
      <c r="V124" s="3" t="s">
        <v>62</v>
      </c>
      <c r="W124" s="3" t="s">
        <v>62</v>
      </c>
      <c r="X124" s="3" t="s">
        <v>62</v>
      </c>
      <c r="Y124" s="3" t="s">
        <v>62</v>
      </c>
      <c r="Z124" s="3" t="s">
        <v>62</v>
      </c>
      <c r="AA124" s="3" t="s">
        <v>62</v>
      </c>
      <c r="AB124" s="3" t="s">
        <v>62</v>
      </c>
      <c r="AC124" s="3" t="s">
        <v>62</v>
      </c>
      <c r="AD124" s="3" t="s">
        <v>62</v>
      </c>
      <c r="AE124" s="3" t="s">
        <v>62</v>
      </c>
      <c r="AF124" s="3" t="s">
        <v>62</v>
      </c>
      <c r="AG124" s="3" t="s">
        <v>62</v>
      </c>
      <c r="AH124" s="3" t="s">
        <v>62</v>
      </c>
    </row>
    <row r="125" spans="2:34" hidden="1">
      <c r="B125" s="139">
        <v>19</v>
      </c>
      <c r="C125" s="87" t="str">
        <f>LEFT(EmpGName19)&amp;" " &amp;EmpSName19</f>
        <v xml:space="preserve"> </v>
      </c>
      <c r="D125" s="4" t="s">
        <v>62</v>
      </c>
      <c r="E125" s="4" t="s">
        <v>62</v>
      </c>
      <c r="F125" s="4" t="s">
        <v>62</v>
      </c>
      <c r="G125" s="4" t="s">
        <v>62</v>
      </c>
      <c r="H125" s="4" t="s">
        <v>62</v>
      </c>
      <c r="I125" s="4" t="s">
        <v>62</v>
      </c>
      <c r="J125" s="4" t="s">
        <v>62</v>
      </c>
      <c r="K125" s="4" t="s">
        <v>62</v>
      </c>
      <c r="L125" s="4" t="s">
        <v>62</v>
      </c>
      <c r="M125" s="4" t="s">
        <v>62</v>
      </c>
      <c r="N125" s="4" t="s">
        <v>62</v>
      </c>
      <c r="O125" s="4" t="s">
        <v>62</v>
      </c>
      <c r="P125" s="4" t="s">
        <v>62</v>
      </c>
      <c r="Q125" s="4" t="s">
        <v>62</v>
      </c>
      <c r="R125" s="4" t="s">
        <v>62</v>
      </c>
      <c r="S125" s="4" t="s">
        <v>62</v>
      </c>
      <c r="T125" s="4" t="s">
        <v>62</v>
      </c>
      <c r="U125" s="4" t="s">
        <v>62</v>
      </c>
      <c r="V125" s="4" t="s">
        <v>62</v>
      </c>
      <c r="W125" s="4" t="s">
        <v>62</v>
      </c>
      <c r="X125" s="4" t="s">
        <v>62</v>
      </c>
      <c r="Y125" s="4" t="s">
        <v>62</v>
      </c>
      <c r="Z125" s="4" t="s">
        <v>62</v>
      </c>
      <c r="AA125" s="4" t="s">
        <v>62</v>
      </c>
      <c r="AB125" s="4" t="s">
        <v>62</v>
      </c>
      <c r="AC125" s="4" t="s">
        <v>62</v>
      </c>
      <c r="AD125" s="4" t="s">
        <v>62</v>
      </c>
      <c r="AE125" s="4" t="s">
        <v>62</v>
      </c>
      <c r="AF125" s="4" t="s">
        <v>62</v>
      </c>
      <c r="AG125" s="4" t="s">
        <v>62</v>
      </c>
      <c r="AH125" s="4" t="s">
        <v>62</v>
      </c>
    </row>
    <row r="126" spans="2:34" hidden="1">
      <c r="B126" s="139">
        <v>20</v>
      </c>
      <c r="C126" s="88" t="str">
        <f>LEFT(EmpGName20)&amp;" " &amp;EmpSName20</f>
        <v xml:space="preserve"> </v>
      </c>
      <c r="D126" s="3" t="s">
        <v>62</v>
      </c>
      <c r="E126" s="3" t="s">
        <v>62</v>
      </c>
      <c r="F126" s="3" t="s">
        <v>62</v>
      </c>
      <c r="G126" s="3" t="s">
        <v>62</v>
      </c>
      <c r="H126" s="3" t="s">
        <v>62</v>
      </c>
      <c r="I126" s="3" t="s">
        <v>62</v>
      </c>
      <c r="J126" s="3" t="s">
        <v>62</v>
      </c>
      <c r="K126" s="3" t="s">
        <v>62</v>
      </c>
      <c r="L126" s="3" t="s">
        <v>62</v>
      </c>
      <c r="M126" s="3" t="s">
        <v>62</v>
      </c>
      <c r="N126" s="3" t="s">
        <v>62</v>
      </c>
      <c r="O126" s="3" t="s">
        <v>62</v>
      </c>
      <c r="P126" s="3" t="s">
        <v>62</v>
      </c>
      <c r="Q126" s="3" t="s">
        <v>62</v>
      </c>
      <c r="R126" s="3" t="s">
        <v>62</v>
      </c>
      <c r="S126" s="3" t="s">
        <v>62</v>
      </c>
      <c r="T126" s="3" t="s">
        <v>62</v>
      </c>
      <c r="U126" s="3" t="s">
        <v>62</v>
      </c>
      <c r="V126" s="3" t="s">
        <v>62</v>
      </c>
      <c r="W126" s="3" t="s">
        <v>62</v>
      </c>
      <c r="X126" s="3" t="s">
        <v>62</v>
      </c>
      <c r="Y126" s="3" t="s">
        <v>62</v>
      </c>
      <c r="Z126" s="3" t="s">
        <v>62</v>
      </c>
      <c r="AA126" s="3" t="s">
        <v>62</v>
      </c>
      <c r="AB126" s="3" t="s">
        <v>62</v>
      </c>
      <c r="AC126" s="3" t="s">
        <v>62</v>
      </c>
      <c r="AD126" s="3" t="s">
        <v>62</v>
      </c>
      <c r="AE126" s="3" t="s">
        <v>62</v>
      </c>
      <c r="AF126" s="3" t="s">
        <v>62</v>
      </c>
      <c r="AG126" s="3" t="s">
        <v>62</v>
      </c>
      <c r="AH126" s="3" t="s">
        <v>62</v>
      </c>
    </row>
    <row r="127" spans="2:34" hidden="1">
      <c r="B127" s="139">
        <v>21</v>
      </c>
      <c r="C127" s="87" t="str">
        <f>LEFT(EmpGName21)&amp;" " &amp;EmpSName21</f>
        <v xml:space="preserve"> </v>
      </c>
      <c r="D127" s="4" t="s">
        <v>62</v>
      </c>
      <c r="E127" s="4" t="s">
        <v>62</v>
      </c>
      <c r="F127" s="4" t="s">
        <v>62</v>
      </c>
      <c r="G127" s="4" t="s">
        <v>62</v>
      </c>
      <c r="H127" s="4" t="s">
        <v>62</v>
      </c>
      <c r="I127" s="4" t="s">
        <v>62</v>
      </c>
      <c r="J127" s="4" t="s">
        <v>62</v>
      </c>
      <c r="K127" s="4" t="s">
        <v>62</v>
      </c>
      <c r="L127" s="4" t="s">
        <v>62</v>
      </c>
      <c r="M127" s="4" t="s">
        <v>62</v>
      </c>
      <c r="N127" s="4" t="s">
        <v>62</v>
      </c>
      <c r="O127" s="4" t="s">
        <v>62</v>
      </c>
      <c r="P127" s="4" t="s">
        <v>62</v>
      </c>
      <c r="Q127" s="4" t="s">
        <v>62</v>
      </c>
      <c r="R127" s="4" t="s">
        <v>62</v>
      </c>
      <c r="S127" s="4" t="s">
        <v>62</v>
      </c>
      <c r="T127" s="4" t="s">
        <v>62</v>
      </c>
      <c r="U127" s="4" t="s">
        <v>62</v>
      </c>
      <c r="V127" s="4" t="s">
        <v>62</v>
      </c>
      <c r="W127" s="4" t="s">
        <v>62</v>
      </c>
      <c r="X127" s="4" t="s">
        <v>62</v>
      </c>
      <c r="Y127" s="4" t="s">
        <v>62</v>
      </c>
      <c r="Z127" s="4" t="s">
        <v>62</v>
      </c>
      <c r="AA127" s="4" t="s">
        <v>62</v>
      </c>
      <c r="AB127" s="4" t="s">
        <v>62</v>
      </c>
      <c r="AC127" s="4" t="s">
        <v>62</v>
      </c>
      <c r="AD127" s="4" t="s">
        <v>62</v>
      </c>
      <c r="AE127" s="4" t="s">
        <v>62</v>
      </c>
      <c r="AF127" s="4" t="s">
        <v>62</v>
      </c>
      <c r="AG127" s="4" t="s">
        <v>62</v>
      </c>
      <c r="AH127" s="4" t="s">
        <v>62</v>
      </c>
    </row>
    <row r="128" spans="2:34" hidden="1">
      <c r="B128" s="139">
        <v>22</v>
      </c>
      <c r="C128" s="88" t="str">
        <f>LEFT(EmpGName22)&amp;" " &amp;EmpSName22</f>
        <v xml:space="preserve"> </v>
      </c>
      <c r="D128" s="3" t="s">
        <v>62</v>
      </c>
      <c r="E128" s="3" t="s">
        <v>62</v>
      </c>
      <c r="F128" s="3" t="s">
        <v>62</v>
      </c>
      <c r="G128" s="3" t="s">
        <v>62</v>
      </c>
      <c r="H128" s="3" t="s">
        <v>62</v>
      </c>
      <c r="I128" s="3" t="s">
        <v>62</v>
      </c>
      <c r="J128" s="3" t="s">
        <v>62</v>
      </c>
      <c r="K128" s="3" t="s">
        <v>62</v>
      </c>
      <c r="L128" s="3" t="s">
        <v>62</v>
      </c>
      <c r="M128" s="3" t="s">
        <v>62</v>
      </c>
      <c r="N128" s="3" t="s">
        <v>62</v>
      </c>
      <c r="O128" s="3" t="s">
        <v>62</v>
      </c>
      <c r="P128" s="3" t="s">
        <v>62</v>
      </c>
      <c r="Q128" s="3" t="s">
        <v>62</v>
      </c>
      <c r="R128" s="3" t="s">
        <v>62</v>
      </c>
      <c r="S128" s="3" t="s">
        <v>62</v>
      </c>
      <c r="T128" s="3" t="s">
        <v>62</v>
      </c>
      <c r="U128" s="3" t="s">
        <v>62</v>
      </c>
      <c r="V128" s="3" t="s">
        <v>62</v>
      </c>
      <c r="W128" s="3" t="s">
        <v>62</v>
      </c>
      <c r="X128" s="3" t="s">
        <v>62</v>
      </c>
      <c r="Y128" s="3" t="s">
        <v>62</v>
      </c>
      <c r="Z128" s="3" t="s">
        <v>62</v>
      </c>
      <c r="AA128" s="3" t="s">
        <v>62</v>
      </c>
      <c r="AB128" s="3" t="s">
        <v>62</v>
      </c>
      <c r="AC128" s="3" t="s">
        <v>62</v>
      </c>
      <c r="AD128" s="3" t="s">
        <v>62</v>
      </c>
      <c r="AE128" s="3" t="s">
        <v>62</v>
      </c>
      <c r="AF128" s="3" t="s">
        <v>62</v>
      </c>
      <c r="AG128" s="3" t="s">
        <v>62</v>
      </c>
      <c r="AH128" s="3" t="s">
        <v>62</v>
      </c>
    </row>
    <row r="129" spans="2:34" hidden="1">
      <c r="B129" s="139">
        <v>23</v>
      </c>
      <c r="C129" s="87" t="str">
        <f>LEFT(EmpGName23)&amp;" " &amp;EmpSName23</f>
        <v xml:space="preserve"> </v>
      </c>
      <c r="D129" s="4" t="s">
        <v>62</v>
      </c>
      <c r="E129" s="4" t="s">
        <v>62</v>
      </c>
      <c r="F129" s="4" t="s">
        <v>62</v>
      </c>
      <c r="G129" s="4" t="s">
        <v>62</v>
      </c>
      <c r="H129" s="4" t="s">
        <v>62</v>
      </c>
      <c r="I129" s="4" t="s">
        <v>62</v>
      </c>
      <c r="J129" s="4" t="s">
        <v>62</v>
      </c>
      <c r="K129" s="4" t="s">
        <v>62</v>
      </c>
      <c r="L129" s="4" t="s">
        <v>62</v>
      </c>
      <c r="M129" s="4" t="s">
        <v>62</v>
      </c>
      <c r="N129" s="4" t="s">
        <v>62</v>
      </c>
      <c r="O129" s="4" t="s">
        <v>62</v>
      </c>
      <c r="P129" s="4" t="s">
        <v>62</v>
      </c>
      <c r="Q129" s="4" t="s">
        <v>62</v>
      </c>
      <c r="R129" s="4" t="s">
        <v>62</v>
      </c>
      <c r="S129" s="4" t="s">
        <v>62</v>
      </c>
      <c r="T129" s="4" t="s">
        <v>62</v>
      </c>
      <c r="U129" s="4" t="s">
        <v>62</v>
      </c>
      <c r="V129" s="4" t="s">
        <v>62</v>
      </c>
      <c r="W129" s="4" t="s">
        <v>62</v>
      </c>
      <c r="X129" s="4" t="s">
        <v>62</v>
      </c>
      <c r="Y129" s="4" t="s">
        <v>62</v>
      </c>
      <c r="Z129" s="4" t="s">
        <v>62</v>
      </c>
      <c r="AA129" s="4" t="s">
        <v>62</v>
      </c>
      <c r="AB129" s="4" t="s">
        <v>62</v>
      </c>
      <c r="AC129" s="4" t="s">
        <v>62</v>
      </c>
      <c r="AD129" s="4" t="s">
        <v>62</v>
      </c>
      <c r="AE129" s="4" t="s">
        <v>62</v>
      </c>
      <c r="AF129" s="4" t="s">
        <v>62</v>
      </c>
      <c r="AG129" s="4" t="s">
        <v>62</v>
      </c>
      <c r="AH129" s="4" t="s">
        <v>62</v>
      </c>
    </row>
    <row r="130" spans="2:34" hidden="1">
      <c r="B130" s="139">
        <v>24</v>
      </c>
      <c r="C130" s="88" t="str">
        <f>LEFT(EmpGName24)&amp;" " &amp;EmpSName24</f>
        <v xml:space="preserve"> </v>
      </c>
      <c r="D130" s="3" t="s">
        <v>62</v>
      </c>
      <c r="E130" s="3" t="s">
        <v>62</v>
      </c>
      <c r="F130" s="3" t="s">
        <v>62</v>
      </c>
      <c r="G130" s="3" t="s">
        <v>62</v>
      </c>
      <c r="H130" s="3" t="s">
        <v>62</v>
      </c>
      <c r="I130" s="3" t="s">
        <v>62</v>
      </c>
      <c r="J130" s="3" t="s">
        <v>62</v>
      </c>
      <c r="K130" s="3" t="s">
        <v>62</v>
      </c>
      <c r="L130" s="3" t="s">
        <v>62</v>
      </c>
      <c r="M130" s="3" t="s">
        <v>62</v>
      </c>
      <c r="N130" s="3" t="s">
        <v>62</v>
      </c>
      <c r="O130" s="3" t="s">
        <v>62</v>
      </c>
      <c r="P130" s="3" t="s">
        <v>62</v>
      </c>
      <c r="Q130" s="3" t="s">
        <v>62</v>
      </c>
      <c r="R130" s="3" t="s">
        <v>62</v>
      </c>
      <c r="S130" s="3" t="s">
        <v>62</v>
      </c>
      <c r="T130" s="3" t="s">
        <v>62</v>
      </c>
      <c r="U130" s="3" t="s">
        <v>62</v>
      </c>
      <c r="V130" s="3" t="s">
        <v>62</v>
      </c>
      <c r="W130" s="3" t="s">
        <v>62</v>
      </c>
      <c r="X130" s="3" t="s">
        <v>62</v>
      </c>
      <c r="Y130" s="3" t="s">
        <v>62</v>
      </c>
      <c r="Z130" s="3" t="s">
        <v>62</v>
      </c>
      <c r="AA130" s="3" t="s">
        <v>62</v>
      </c>
      <c r="AB130" s="3" t="s">
        <v>62</v>
      </c>
      <c r="AC130" s="3" t="s">
        <v>62</v>
      </c>
      <c r="AD130" s="3" t="s">
        <v>62</v>
      </c>
      <c r="AE130" s="3" t="s">
        <v>62</v>
      </c>
      <c r="AF130" s="3" t="s">
        <v>62</v>
      </c>
      <c r="AG130" s="3" t="s">
        <v>62</v>
      </c>
      <c r="AH130" s="3" t="s">
        <v>62</v>
      </c>
    </row>
    <row r="131" spans="2:34" s="70" customFormat="1" hidden="1">
      <c r="B131" s="139">
        <v>25</v>
      </c>
      <c r="C131" s="87" t="str">
        <f>LEFT(EmpGName25)&amp;" " &amp;EmpSName25</f>
        <v xml:space="preserve"> </v>
      </c>
      <c r="D131" s="4" t="s">
        <v>62</v>
      </c>
      <c r="E131" s="4" t="s">
        <v>62</v>
      </c>
      <c r="F131" s="4" t="s">
        <v>62</v>
      </c>
      <c r="G131" s="4" t="s">
        <v>62</v>
      </c>
      <c r="H131" s="4" t="s">
        <v>62</v>
      </c>
      <c r="I131" s="4" t="s">
        <v>62</v>
      </c>
      <c r="J131" s="4" t="s">
        <v>62</v>
      </c>
      <c r="K131" s="4" t="s">
        <v>62</v>
      </c>
      <c r="L131" s="4" t="s">
        <v>62</v>
      </c>
      <c r="M131" s="4" t="s">
        <v>62</v>
      </c>
      <c r="N131" s="4" t="s">
        <v>62</v>
      </c>
      <c r="O131" s="4" t="s">
        <v>62</v>
      </c>
      <c r="P131" s="4" t="s">
        <v>62</v>
      </c>
      <c r="Q131" s="4" t="s">
        <v>62</v>
      </c>
      <c r="R131" s="4" t="s">
        <v>62</v>
      </c>
      <c r="S131" s="4" t="s">
        <v>62</v>
      </c>
      <c r="T131" s="4" t="s">
        <v>62</v>
      </c>
      <c r="U131" s="4" t="s">
        <v>62</v>
      </c>
      <c r="V131" s="4" t="s">
        <v>62</v>
      </c>
      <c r="W131" s="4" t="s">
        <v>62</v>
      </c>
      <c r="X131" s="4" t="s">
        <v>62</v>
      </c>
      <c r="Y131" s="4" t="s">
        <v>62</v>
      </c>
      <c r="Z131" s="4" t="s">
        <v>62</v>
      </c>
      <c r="AA131" s="4" t="s">
        <v>62</v>
      </c>
      <c r="AB131" s="4" t="s">
        <v>62</v>
      </c>
      <c r="AC131" s="4" t="s">
        <v>62</v>
      </c>
      <c r="AD131" s="4" t="s">
        <v>62</v>
      </c>
      <c r="AE131" s="4" t="s">
        <v>62</v>
      </c>
      <c r="AF131" s="4" t="s">
        <v>62</v>
      </c>
      <c r="AG131" s="4" t="s">
        <v>62</v>
      </c>
      <c r="AH131" s="4" t="s">
        <v>62</v>
      </c>
    </row>
    <row r="132" spans="2:34" s="70" customFormat="1" hidden="1">
      <c r="B132" s="139">
        <v>26</v>
      </c>
      <c r="C132" s="88" t="str">
        <f>LEFT(EmpGName26)&amp;" " &amp;EmpSName26</f>
        <v xml:space="preserve"> </v>
      </c>
      <c r="D132" s="3" t="s">
        <v>62</v>
      </c>
      <c r="E132" s="3" t="s">
        <v>62</v>
      </c>
      <c r="F132" s="3" t="s">
        <v>62</v>
      </c>
      <c r="G132" s="3" t="s">
        <v>62</v>
      </c>
      <c r="H132" s="3" t="s">
        <v>62</v>
      </c>
      <c r="I132" s="3" t="s">
        <v>62</v>
      </c>
      <c r="J132" s="3" t="s">
        <v>62</v>
      </c>
      <c r="K132" s="3" t="s">
        <v>62</v>
      </c>
      <c r="L132" s="3" t="s">
        <v>62</v>
      </c>
      <c r="M132" s="3" t="s">
        <v>62</v>
      </c>
      <c r="N132" s="3" t="s">
        <v>62</v>
      </c>
      <c r="O132" s="3" t="s">
        <v>62</v>
      </c>
      <c r="P132" s="3" t="s">
        <v>62</v>
      </c>
      <c r="Q132" s="3" t="s">
        <v>62</v>
      </c>
      <c r="R132" s="3" t="s">
        <v>62</v>
      </c>
      <c r="S132" s="3" t="s">
        <v>62</v>
      </c>
      <c r="T132" s="3" t="s">
        <v>62</v>
      </c>
      <c r="U132" s="3" t="s">
        <v>62</v>
      </c>
      <c r="V132" s="3" t="s">
        <v>62</v>
      </c>
      <c r="W132" s="3" t="s">
        <v>62</v>
      </c>
      <c r="X132" s="3" t="s">
        <v>62</v>
      </c>
      <c r="Y132" s="3" t="s">
        <v>62</v>
      </c>
      <c r="Z132" s="3" t="s">
        <v>62</v>
      </c>
      <c r="AA132" s="3" t="s">
        <v>62</v>
      </c>
      <c r="AB132" s="3" t="s">
        <v>62</v>
      </c>
      <c r="AC132" s="3" t="s">
        <v>62</v>
      </c>
      <c r="AD132" s="3" t="s">
        <v>62</v>
      </c>
      <c r="AE132" s="3" t="s">
        <v>62</v>
      </c>
      <c r="AF132" s="3" t="s">
        <v>62</v>
      </c>
      <c r="AG132" s="3" t="s">
        <v>62</v>
      </c>
      <c r="AH132" s="3" t="s">
        <v>62</v>
      </c>
    </row>
    <row r="133" spans="2:34" s="70" customFormat="1" hidden="1">
      <c r="B133" s="139">
        <v>27</v>
      </c>
      <c r="C133" s="87" t="str">
        <f>LEFT(EmpGName27)&amp;" " &amp;EmpSName27</f>
        <v xml:space="preserve"> </v>
      </c>
      <c r="D133" s="4" t="s">
        <v>62</v>
      </c>
      <c r="E133" s="4" t="s">
        <v>62</v>
      </c>
      <c r="F133" s="4" t="s">
        <v>62</v>
      </c>
      <c r="G133" s="4" t="s">
        <v>62</v>
      </c>
      <c r="H133" s="4" t="s">
        <v>62</v>
      </c>
      <c r="I133" s="4" t="s">
        <v>62</v>
      </c>
      <c r="J133" s="4" t="s">
        <v>62</v>
      </c>
      <c r="K133" s="4" t="s">
        <v>62</v>
      </c>
      <c r="L133" s="4" t="s">
        <v>62</v>
      </c>
      <c r="M133" s="4" t="s">
        <v>62</v>
      </c>
      <c r="N133" s="4" t="s">
        <v>62</v>
      </c>
      <c r="O133" s="4" t="s">
        <v>62</v>
      </c>
      <c r="P133" s="4" t="s">
        <v>62</v>
      </c>
      <c r="Q133" s="4" t="s">
        <v>62</v>
      </c>
      <c r="R133" s="4" t="s">
        <v>62</v>
      </c>
      <c r="S133" s="4" t="s">
        <v>62</v>
      </c>
      <c r="T133" s="4" t="s">
        <v>62</v>
      </c>
      <c r="U133" s="4" t="s">
        <v>62</v>
      </c>
      <c r="V133" s="4" t="s">
        <v>62</v>
      </c>
      <c r="W133" s="4" t="s">
        <v>62</v>
      </c>
      <c r="X133" s="4" t="s">
        <v>62</v>
      </c>
      <c r="Y133" s="4" t="s">
        <v>62</v>
      </c>
      <c r="Z133" s="4" t="s">
        <v>62</v>
      </c>
      <c r="AA133" s="4" t="s">
        <v>62</v>
      </c>
      <c r="AB133" s="4" t="s">
        <v>62</v>
      </c>
      <c r="AC133" s="4" t="s">
        <v>62</v>
      </c>
      <c r="AD133" s="4" t="s">
        <v>62</v>
      </c>
      <c r="AE133" s="4" t="s">
        <v>62</v>
      </c>
      <c r="AF133" s="4" t="s">
        <v>62</v>
      </c>
      <c r="AG133" s="4" t="s">
        <v>62</v>
      </c>
      <c r="AH133" s="4" t="s">
        <v>62</v>
      </c>
    </row>
    <row r="134" spans="2:34" hidden="1">
      <c r="B134" s="139">
        <v>28</v>
      </c>
      <c r="C134" s="88" t="str">
        <f>LEFT(EmpGName28)&amp;" " &amp;EmpSName28</f>
        <v xml:space="preserve"> </v>
      </c>
      <c r="D134" s="3" t="s">
        <v>62</v>
      </c>
      <c r="E134" s="3" t="s">
        <v>62</v>
      </c>
      <c r="F134" s="3" t="s">
        <v>62</v>
      </c>
      <c r="G134" s="3" t="s">
        <v>62</v>
      </c>
      <c r="H134" s="3" t="s">
        <v>62</v>
      </c>
      <c r="I134" s="3" t="s">
        <v>62</v>
      </c>
      <c r="J134" s="3" t="s">
        <v>62</v>
      </c>
      <c r="K134" s="3" t="s">
        <v>62</v>
      </c>
      <c r="L134" s="3" t="s">
        <v>62</v>
      </c>
      <c r="M134" s="3" t="s">
        <v>62</v>
      </c>
      <c r="N134" s="3" t="s">
        <v>62</v>
      </c>
      <c r="O134" s="3" t="s">
        <v>62</v>
      </c>
      <c r="P134" s="3" t="s">
        <v>62</v>
      </c>
      <c r="Q134" s="3" t="s">
        <v>62</v>
      </c>
      <c r="R134" s="3" t="s">
        <v>62</v>
      </c>
      <c r="S134" s="3" t="s">
        <v>62</v>
      </c>
      <c r="T134" s="3" t="s">
        <v>62</v>
      </c>
      <c r="U134" s="3" t="s">
        <v>62</v>
      </c>
      <c r="V134" s="3" t="s">
        <v>62</v>
      </c>
      <c r="W134" s="3" t="s">
        <v>62</v>
      </c>
      <c r="X134" s="3" t="s">
        <v>62</v>
      </c>
      <c r="Y134" s="3" t="s">
        <v>62</v>
      </c>
      <c r="Z134" s="3" t="s">
        <v>62</v>
      </c>
      <c r="AA134" s="3" t="s">
        <v>62</v>
      </c>
      <c r="AB134" s="3" t="s">
        <v>62</v>
      </c>
      <c r="AC134" s="3" t="s">
        <v>62</v>
      </c>
      <c r="AD134" s="3" t="s">
        <v>62</v>
      </c>
      <c r="AE134" s="3" t="s">
        <v>62</v>
      </c>
      <c r="AF134" s="3" t="s">
        <v>62</v>
      </c>
      <c r="AG134" s="3" t="s">
        <v>62</v>
      </c>
      <c r="AH134" s="3" t="s">
        <v>62</v>
      </c>
    </row>
    <row r="136" spans="2:34">
      <c r="C136" s="190">
        <f>CurYear-1</f>
        <v>2019</v>
      </c>
      <c r="D136" s="5" t="str">
        <f t="shared" ref="D136:AG136" si="4">LEFT(TEXT(D137&amp;"-"&amp;$C137&amp;"-"&amp; CurYear-1,"ddd"),2)</f>
        <v>Fr</v>
      </c>
      <c r="E136" s="5" t="str">
        <f t="shared" si="4"/>
        <v>Sa</v>
      </c>
      <c r="F136" s="5" t="str">
        <f t="shared" si="4"/>
        <v>Su</v>
      </c>
      <c r="G136" s="5" t="str">
        <f t="shared" si="4"/>
        <v>Mo</v>
      </c>
      <c r="H136" s="5" t="str">
        <f t="shared" si="4"/>
        <v>Tu</v>
      </c>
      <c r="I136" s="5" t="str">
        <f t="shared" si="4"/>
        <v>We</v>
      </c>
      <c r="J136" s="5" t="str">
        <f t="shared" si="4"/>
        <v>Th</v>
      </c>
      <c r="K136" s="5" t="str">
        <f t="shared" si="4"/>
        <v>Fr</v>
      </c>
      <c r="L136" s="5" t="str">
        <f t="shared" si="4"/>
        <v>Sa</v>
      </c>
      <c r="M136" s="5" t="str">
        <f t="shared" si="4"/>
        <v>Su</v>
      </c>
      <c r="N136" s="5" t="str">
        <f t="shared" si="4"/>
        <v>Mo</v>
      </c>
      <c r="O136" s="5" t="str">
        <f t="shared" si="4"/>
        <v>Tu</v>
      </c>
      <c r="P136" s="5" t="str">
        <f t="shared" si="4"/>
        <v>We</v>
      </c>
      <c r="Q136" s="5" t="str">
        <f t="shared" si="4"/>
        <v>Th</v>
      </c>
      <c r="R136" s="5" t="str">
        <f t="shared" si="4"/>
        <v>Fr</v>
      </c>
      <c r="S136" s="5" t="str">
        <f t="shared" si="4"/>
        <v>Sa</v>
      </c>
      <c r="T136" s="5" t="str">
        <f t="shared" si="4"/>
        <v>Su</v>
      </c>
      <c r="U136" s="5" t="str">
        <f t="shared" si="4"/>
        <v>Mo</v>
      </c>
      <c r="V136" s="5" t="str">
        <f t="shared" si="4"/>
        <v>Tu</v>
      </c>
      <c r="W136" s="5" t="str">
        <f t="shared" si="4"/>
        <v>We</v>
      </c>
      <c r="X136" s="5" t="str">
        <f t="shared" si="4"/>
        <v>Th</v>
      </c>
      <c r="Y136" s="5" t="str">
        <f t="shared" si="4"/>
        <v>Fr</v>
      </c>
      <c r="Z136" s="5" t="str">
        <f t="shared" si="4"/>
        <v>Sa</v>
      </c>
      <c r="AA136" s="5" t="str">
        <f t="shared" si="4"/>
        <v>Su</v>
      </c>
      <c r="AB136" s="5" t="str">
        <f t="shared" si="4"/>
        <v>Mo</v>
      </c>
      <c r="AC136" s="5" t="str">
        <f t="shared" si="4"/>
        <v>Tu</v>
      </c>
      <c r="AD136" s="5" t="str">
        <f t="shared" si="4"/>
        <v>We</v>
      </c>
      <c r="AE136" s="5" t="str">
        <f t="shared" si="4"/>
        <v>Th</v>
      </c>
      <c r="AF136" s="5" t="str">
        <f t="shared" si="4"/>
        <v>Fr</v>
      </c>
      <c r="AG136" s="5" t="str">
        <f t="shared" si="4"/>
        <v>Sa</v>
      </c>
      <c r="AH136" s="5"/>
    </row>
    <row r="137" spans="2:34">
      <c r="B137" s="86"/>
      <c r="C137" s="191" t="s">
        <v>22</v>
      </c>
      <c r="D137" s="193">
        <v>1</v>
      </c>
      <c r="E137" s="193">
        <v>2</v>
      </c>
      <c r="F137" s="193">
        <v>3</v>
      </c>
      <c r="G137" s="193">
        <v>4</v>
      </c>
      <c r="H137" s="193">
        <v>5</v>
      </c>
      <c r="I137" s="192">
        <v>6</v>
      </c>
      <c r="J137" s="193">
        <v>7</v>
      </c>
      <c r="K137" s="193">
        <v>8</v>
      </c>
      <c r="L137" s="193">
        <v>9</v>
      </c>
      <c r="M137" s="193">
        <v>10</v>
      </c>
      <c r="N137" s="193">
        <v>11</v>
      </c>
      <c r="O137" s="193">
        <v>12</v>
      </c>
      <c r="P137" s="193">
        <v>13</v>
      </c>
      <c r="Q137" s="193">
        <v>14</v>
      </c>
      <c r="R137" s="193">
        <v>15</v>
      </c>
      <c r="S137" s="193">
        <v>16</v>
      </c>
      <c r="T137" s="193">
        <v>17</v>
      </c>
      <c r="U137" s="193">
        <v>18</v>
      </c>
      <c r="V137" s="193">
        <v>19</v>
      </c>
      <c r="W137" s="192">
        <v>20</v>
      </c>
      <c r="X137" s="193">
        <v>21</v>
      </c>
      <c r="Y137" s="193">
        <v>22</v>
      </c>
      <c r="Z137" s="193">
        <v>23</v>
      </c>
      <c r="AA137" s="193">
        <v>24</v>
      </c>
      <c r="AB137" s="193">
        <v>25</v>
      </c>
      <c r="AC137" s="193">
        <v>26</v>
      </c>
      <c r="AD137" s="193">
        <v>27</v>
      </c>
      <c r="AE137" s="193">
        <v>28</v>
      </c>
      <c r="AF137" s="193">
        <v>29</v>
      </c>
      <c r="AG137" s="193">
        <v>30</v>
      </c>
    </row>
    <row r="138" spans="2:34">
      <c r="B138" s="83">
        <v>1</v>
      </c>
      <c r="C138" s="87" t="str">
        <f>LEFT(EmpGName01)&amp;" " &amp; EmpSName01</f>
        <v>L Marampon</v>
      </c>
      <c r="D138" s="4" t="s">
        <v>62</v>
      </c>
      <c r="E138" s="4" t="s">
        <v>62</v>
      </c>
      <c r="F138" s="4" t="s">
        <v>62</v>
      </c>
      <c r="G138" s="4" t="s">
        <v>62</v>
      </c>
      <c r="H138" s="4" t="s">
        <v>62</v>
      </c>
      <c r="I138" s="4" t="s">
        <v>62</v>
      </c>
      <c r="J138" s="4" t="s">
        <v>62</v>
      </c>
      <c r="K138" s="4" t="s">
        <v>62</v>
      </c>
      <c r="L138" s="4" t="s">
        <v>62</v>
      </c>
      <c r="M138" s="4" t="s">
        <v>62</v>
      </c>
      <c r="N138" s="4" t="s">
        <v>62</v>
      </c>
      <c r="O138" s="4" t="s">
        <v>62</v>
      </c>
      <c r="P138" s="4" t="s">
        <v>62</v>
      </c>
      <c r="Q138" s="4" t="s">
        <v>62</v>
      </c>
      <c r="R138" s="4" t="s">
        <v>62</v>
      </c>
      <c r="S138" s="4" t="s">
        <v>62</v>
      </c>
      <c r="T138" s="4" t="s">
        <v>62</v>
      </c>
      <c r="U138" s="4" t="s">
        <v>62</v>
      </c>
      <c r="V138" s="4" t="s">
        <v>62</v>
      </c>
      <c r="W138" s="4" t="s">
        <v>62</v>
      </c>
      <c r="X138" s="4" t="s">
        <v>62</v>
      </c>
      <c r="Y138" s="4" t="s">
        <v>62</v>
      </c>
      <c r="Z138" s="4" t="s">
        <v>62</v>
      </c>
      <c r="AA138" s="4" t="s">
        <v>62</v>
      </c>
      <c r="AB138" s="4" t="s">
        <v>62</v>
      </c>
      <c r="AC138" s="4" t="s">
        <v>62</v>
      </c>
      <c r="AD138" s="4" t="s">
        <v>62</v>
      </c>
      <c r="AE138" s="4" t="s">
        <v>62</v>
      </c>
      <c r="AF138" s="4" t="s">
        <v>62</v>
      </c>
      <c r="AG138" s="4" t="s">
        <v>62</v>
      </c>
    </row>
    <row r="139" spans="2:34">
      <c r="B139" s="83">
        <v>2</v>
      </c>
      <c r="C139" s="88" t="str">
        <f>LEFT(EmpGName02)&amp;" " &amp;EmpSName02</f>
        <v>K Stone</v>
      </c>
      <c r="D139" s="3" t="s">
        <v>62</v>
      </c>
      <c r="E139" s="3" t="s">
        <v>62</v>
      </c>
      <c r="F139" s="3" t="s">
        <v>62</v>
      </c>
      <c r="G139" s="3" t="s">
        <v>62</v>
      </c>
      <c r="H139" s="3" t="s">
        <v>62</v>
      </c>
      <c r="I139" s="3" t="s">
        <v>62</v>
      </c>
      <c r="J139" s="3" t="s">
        <v>62</v>
      </c>
      <c r="K139" s="3" t="s">
        <v>62</v>
      </c>
      <c r="L139" s="3" t="s">
        <v>62</v>
      </c>
      <c r="M139" s="3" t="s">
        <v>62</v>
      </c>
      <c r="N139" s="3" t="s">
        <v>62</v>
      </c>
      <c r="O139" s="3" t="s">
        <v>62</v>
      </c>
      <c r="P139" s="3" t="s">
        <v>62</v>
      </c>
      <c r="Q139" s="3" t="s">
        <v>62</v>
      </c>
      <c r="R139" s="3" t="s">
        <v>62</v>
      </c>
      <c r="S139" s="3" t="s">
        <v>62</v>
      </c>
      <c r="T139" s="3" t="s">
        <v>62</v>
      </c>
      <c r="U139" s="3" t="s">
        <v>62</v>
      </c>
      <c r="V139" s="3" t="s">
        <v>62</v>
      </c>
      <c r="W139" s="3" t="s">
        <v>62</v>
      </c>
      <c r="X139" s="3" t="s">
        <v>62</v>
      </c>
      <c r="Y139" s="3" t="s">
        <v>62</v>
      </c>
      <c r="Z139" s="3" t="s">
        <v>62</v>
      </c>
      <c r="AA139" s="3" t="s">
        <v>62</v>
      </c>
      <c r="AB139" s="3" t="s">
        <v>62</v>
      </c>
      <c r="AC139" s="3" t="s">
        <v>62</v>
      </c>
      <c r="AD139" s="3" t="s">
        <v>62</v>
      </c>
      <c r="AE139" s="3" t="s">
        <v>62</v>
      </c>
      <c r="AF139" s="3" t="s">
        <v>62</v>
      </c>
      <c r="AG139" s="3" t="s">
        <v>62</v>
      </c>
    </row>
    <row r="140" spans="2:34">
      <c r="B140" s="83">
        <v>3</v>
      </c>
      <c r="C140" s="87" t="str">
        <f>LEFT(EmpGName03)&amp;" " &amp;EmpSName03</f>
        <v>I Thelning</v>
      </c>
      <c r="D140" s="4" t="s">
        <v>62</v>
      </c>
      <c r="E140" s="4" t="s">
        <v>62</v>
      </c>
      <c r="F140" s="4" t="s">
        <v>62</v>
      </c>
      <c r="G140" s="4" t="s">
        <v>62</v>
      </c>
      <c r="H140" s="4" t="s">
        <v>62</v>
      </c>
      <c r="I140" s="4" t="s">
        <v>62</v>
      </c>
      <c r="J140" s="4" t="s">
        <v>62</v>
      </c>
      <c r="K140" s="4" t="s">
        <v>62</v>
      </c>
      <c r="L140" s="4" t="s">
        <v>62</v>
      </c>
      <c r="M140" s="4" t="s">
        <v>62</v>
      </c>
      <c r="N140" s="4" t="s">
        <v>62</v>
      </c>
      <c r="O140" s="4" t="s">
        <v>62</v>
      </c>
      <c r="P140" s="4" t="s">
        <v>62</v>
      </c>
      <c r="Q140" s="4" t="s">
        <v>62</v>
      </c>
      <c r="R140" s="4" t="s">
        <v>62</v>
      </c>
      <c r="S140" s="4" t="s">
        <v>62</v>
      </c>
      <c r="T140" s="4" t="s">
        <v>62</v>
      </c>
      <c r="U140" s="4" t="s">
        <v>62</v>
      </c>
      <c r="V140" s="4" t="s">
        <v>62</v>
      </c>
      <c r="W140" s="4" t="s">
        <v>62</v>
      </c>
      <c r="X140" s="4" t="s">
        <v>62</v>
      </c>
      <c r="Y140" s="4" t="s">
        <v>62</v>
      </c>
      <c r="Z140" s="4" t="s">
        <v>62</v>
      </c>
      <c r="AA140" s="4" t="s">
        <v>62</v>
      </c>
      <c r="AB140" s="4" t="s">
        <v>62</v>
      </c>
      <c r="AC140" s="4" t="s">
        <v>62</v>
      </c>
      <c r="AD140" s="4" t="s">
        <v>62</v>
      </c>
      <c r="AE140" s="4" t="s">
        <v>62</v>
      </c>
      <c r="AF140" s="4" t="s">
        <v>62</v>
      </c>
      <c r="AG140" s="4" t="s">
        <v>62</v>
      </c>
    </row>
    <row r="141" spans="2:34">
      <c r="B141" s="83">
        <v>4</v>
      </c>
      <c r="C141" s="88" t="str">
        <f>LEFT(EmpGName04)&amp;" " &amp;EmpSName04</f>
        <v>L King</v>
      </c>
      <c r="D141" s="3" t="s">
        <v>62</v>
      </c>
      <c r="E141" s="3" t="s">
        <v>62</v>
      </c>
      <c r="F141" s="3" t="s">
        <v>62</v>
      </c>
      <c r="G141" s="3" t="s">
        <v>62</v>
      </c>
      <c r="H141" s="3" t="s">
        <v>62</v>
      </c>
      <c r="I141" s="3" t="s">
        <v>62</v>
      </c>
      <c r="J141" s="3" t="s">
        <v>62</v>
      </c>
      <c r="K141" s="3" t="s">
        <v>62</v>
      </c>
      <c r="L141" s="3" t="s">
        <v>62</v>
      </c>
      <c r="M141" s="3" t="s">
        <v>62</v>
      </c>
      <c r="N141" s="3" t="s">
        <v>62</v>
      </c>
      <c r="O141" s="3" t="s">
        <v>62</v>
      </c>
      <c r="P141" s="3" t="s">
        <v>62</v>
      </c>
      <c r="Q141" s="3" t="s">
        <v>62</v>
      </c>
      <c r="R141" s="3" t="s">
        <v>62</v>
      </c>
      <c r="S141" s="3" t="s">
        <v>62</v>
      </c>
      <c r="T141" s="3" t="s">
        <v>62</v>
      </c>
      <c r="U141" s="3" t="s">
        <v>62</v>
      </c>
      <c r="V141" s="3" t="s">
        <v>62</v>
      </c>
      <c r="W141" s="3" t="s">
        <v>62</v>
      </c>
      <c r="X141" s="3" t="s">
        <v>62</v>
      </c>
      <c r="Y141" s="3" t="s">
        <v>62</v>
      </c>
      <c r="Z141" s="3" t="s">
        <v>62</v>
      </c>
      <c r="AA141" s="3" t="s">
        <v>62</v>
      </c>
      <c r="AB141" s="3" t="s">
        <v>62</v>
      </c>
      <c r="AC141" s="3" t="s">
        <v>62</v>
      </c>
      <c r="AD141" s="3" t="s">
        <v>62</v>
      </c>
      <c r="AE141" s="3" t="s">
        <v>62</v>
      </c>
      <c r="AF141" s="3" t="s">
        <v>62</v>
      </c>
      <c r="AG141" s="3" t="s">
        <v>62</v>
      </c>
    </row>
    <row r="142" spans="2:34">
      <c r="B142" s="83">
        <v>5</v>
      </c>
      <c r="C142" s="87" t="str">
        <f>LEFT(EmpGName05)&amp;" " &amp;EmpSName05</f>
        <v>D Castle</v>
      </c>
      <c r="D142" s="4" t="s">
        <v>62</v>
      </c>
      <c r="E142" s="4" t="s">
        <v>62</v>
      </c>
      <c r="F142" s="4" t="s">
        <v>62</v>
      </c>
      <c r="G142" s="4" t="s">
        <v>62</v>
      </c>
      <c r="H142" s="4" t="s">
        <v>62</v>
      </c>
      <c r="I142" s="4" t="s">
        <v>62</v>
      </c>
      <c r="J142" s="4" t="s">
        <v>62</v>
      </c>
      <c r="K142" s="4" t="s">
        <v>62</v>
      </c>
      <c r="L142" s="4" t="s">
        <v>62</v>
      </c>
      <c r="M142" s="4" t="s">
        <v>62</v>
      </c>
      <c r="N142" s="4" t="s">
        <v>62</v>
      </c>
      <c r="O142" s="4" t="s">
        <v>62</v>
      </c>
      <c r="P142" s="4" t="s">
        <v>62</v>
      </c>
      <c r="Q142" s="4" t="s">
        <v>62</v>
      </c>
      <c r="R142" s="4" t="s">
        <v>62</v>
      </c>
      <c r="S142" s="4" t="s">
        <v>62</v>
      </c>
      <c r="T142" s="4" t="s">
        <v>62</v>
      </c>
      <c r="U142" s="4" t="s">
        <v>62</v>
      </c>
      <c r="V142" s="4" t="s">
        <v>62</v>
      </c>
      <c r="W142" s="4" t="s">
        <v>62</v>
      </c>
      <c r="X142" s="4" t="s">
        <v>62</v>
      </c>
      <c r="Y142" s="4" t="s">
        <v>62</v>
      </c>
      <c r="Z142" s="4" t="s">
        <v>62</v>
      </c>
      <c r="AA142" s="4" t="s">
        <v>62</v>
      </c>
      <c r="AB142" s="4" t="s">
        <v>62</v>
      </c>
      <c r="AC142" s="4" t="s">
        <v>62</v>
      </c>
      <c r="AD142" s="4" t="s">
        <v>62</v>
      </c>
      <c r="AE142" s="4" t="s">
        <v>62</v>
      </c>
      <c r="AF142" s="4" t="s">
        <v>62</v>
      </c>
      <c r="AG142" s="4" t="s">
        <v>62</v>
      </c>
    </row>
    <row r="143" spans="2:34">
      <c r="B143" s="83">
        <v>6</v>
      </c>
      <c r="C143" s="88" t="str">
        <f>LEFT(EmpGName06)&amp;" " &amp;EmpSName06</f>
        <v>R Fielding</v>
      </c>
      <c r="D143" s="3" t="s">
        <v>62</v>
      </c>
      <c r="E143" s="3" t="s">
        <v>62</v>
      </c>
      <c r="F143" s="3" t="s">
        <v>62</v>
      </c>
      <c r="G143" s="3" t="s">
        <v>62</v>
      </c>
      <c r="H143" s="3" t="s">
        <v>62</v>
      </c>
      <c r="I143" s="3" t="s">
        <v>62</v>
      </c>
      <c r="J143" s="3" t="s">
        <v>62</v>
      </c>
      <c r="K143" s="3" t="s">
        <v>62</v>
      </c>
      <c r="L143" s="3" t="s">
        <v>62</v>
      </c>
      <c r="M143" s="3" t="s">
        <v>62</v>
      </c>
      <c r="N143" s="3" t="s">
        <v>62</v>
      </c>
      <c r="O143" s="3" t="s">
        <v>62</v>
      </c>
      <c r="P143" s="3" t="s">
        <v>62</v>
      </c>
      <c r="Q143" s="3" t="s">
        <v>62</v>
      </c>
      <c r="R143" s="3" t="s">
        <v>62</v>
      </c>
      <c r="S143" s="3" t="s">
        <v>62</v>
      </c>
      <c r="T143" s="3" t="s">
        <v>62</v>
      </c>
      <c r="U143" s="3" t="s">
        <v>62</v>
      </c>
      <c r="V143" s="3" t="s">
        <v>62</v>
      </c>
      <c r="W143" s="3" t="s">
        <v>62</v>
      </c>
      <c r="X143" s="3" t="s">
        <v>62</v>
      </c>
      <c r="Y143" s="3" t="s">
        <v>62</v>
      </c>
      <c r="Z143" s="3" t="s">
        <v>62</v>
      </c>
      <c r="AA143" s="3" t="s">
        <v>62</v>
      </c>
      <c r="AB143" s="3" t="s">
        <v>62</v>
      </c>
      <c r="AC143" s="3" t="s">
        <v>62</v>
      </c>
      <c r="AD143" s="3" t="s">
        <v>62</v>
      </c>
      <c r="AE143" s="3" t="s">
        <v>62</v>
      </c>
      <c r="AF143" s="3" t="s">
        <v>62</v>
      </c>
      <c r="AG143" s="3" t="s">
        <v>62</v>
      </c>
    </row>
    <row r="144" spans="2:34">
      <c r="B144" s="83">
        <v>7</v>
      </c>
      <c r="C144" s="87" t="str">
        <f>LEFT(EmpGName07)&amp;" " &amp;EmpSName07</f>
        <v>T Sorensen</v>
      </c>
      <c r="D144" s="4" t="s">
        <v>62</v>
      </c>
      <c r="E144" s="4" t="s">
        <v>62</v>
      </c>
      <c r="F144" s="4" t="s">
        <v>62</v>
      </c>
      <c r="G144" s="4" t="s">
        <v>62</v>
      </c>
      <c r="H144" s="4" t="s">
        <v>62</v>
      </c>
      <c r="I144" s="4" t="s">
        <v>62</v>
      </c>
      <c r="J144" s="4" t="s">
        <v>62</v>
      </c>
      <c r="K144" s="4" t="s">
        <v>62</v>
      </c>
      <c r="L144" s="4" t="s">
        <v>62</v>
      </c>
      <c r="M144" s="4" t="s">
        <v>62</v>
      </c>
      <c r="N144" s="4" t="s">
        <v>62</v>
      </c>
      <c r="O144" s="4" t="s">
        <v>62</v>
      </c>
      <c r="P144" s="4" t="s">
        <v>62</v>
      </c>
      <c r="Q144" s="4" t="s">
        <v>62</v>
      </c>
      <c r="R144" s="4" t="s">
        <v>62</v>
      </c>
      <c r="S144" s="4" t="s">
        <v>62</v>
      </c>
      <c r="T144" s="4" t="s">
        <v>62</v>
      </c>
      <c r="U144" s="4" t="s">
        <v>62</v>
      </c>
      <c r="V144" s="4" t="s">
        <v>62</v>
      </c>
      <c r="W144" s="4" t="s">
        <v>62</v>
      </c>
      <c r="X144" s="4" t="s">
        <v>62</v>
      </c>
      <c r="Y144" s="4" t="s">
        <v>62</v>
      </c>
      <c r="Z144" s="4" t="s">
        <v>62</v>
      </c>
      <c r="AA144" s="4" t="s">
        <v>62</v>
      </c>
      <c r="AB144" s="4" t="s">
        <v>62</v>
      </c>
      <c r="AC144" s="4" t="s">
        <v>62</v>
      </c>
      <c r="AD144" s="4" t="s">
        <v>62</v>
      </c>
      <c r="AE144" s="4" t="s">
        <v>62</v>
      </c>
      <c r="AF144" s="4" t="s">
        <v>62</v>
      </c>
      <c r="AG144" s="4" t="s">
        <v>62</v>
      </c>
    </row>
    <row r="145" spans="2:33">
      <c r="B145" s="83">
        <v>8</v>
      </c>
      <c r="C145" s="88" t="str">
        <f>LEFT(EmpGName08)&amp;" " &amp;EmpSName08</f>
        <v>C Horse</v>
      </c>
      <c r="D145" s="3" t="s">
        <v>62</v>
      </c>
      <c r="E145" s="3" t="s">
        <v>62</v>
      </c>
      <c r="F145" s="3" t="s">
        <v>62</v>
      </c>
      <c r="G145" s="3" t="s">
        <v>62</v>
      </c>
      <c r="H145" s="3" t="s">
        <v>62</v>
      </c>
      <c r="I145" s="3" t="s">
        <v>62</v>
      </c>
      <c r="J145" s="3" t="s">
        <v>62</v>
      </c>
      <c r="K145" s="3" t="s">
        <v>62</v>
      </c>
      <c r="L145" s="3" t="s">
        <v>62</v>
      </c>
      <c r="M145" s="3" t="s">
        <v>62</v>
      </c>
      <c r="N145" s="3" t="s">
        <v>62</v>
      </c>
      <c r="O145" s="3" t="s">
        <v>62</v>
      </c>
      <c r="P145" s="3" t="s">
        <v>62</v>
      </c>
      <c r="Q145" s="3" t="s">
        <v>62</v>
      </c>
      <c r="R145" s="3" t="s">
        <v>62</v>
      </c>
      <c r="S145" s="3" t="s">
        <v>62</v>
      </c>
      <c r="T145" s="3" t="s">
        <v>62</v>
      </c>
      <c r="U145" s="3" t="s">
        <v>62</v>
      </c>
      <c r="V145" s="3" t="s">
        <v>62</v>
      </c>
      <c r="W145" s="3" t="s">
        <v>62</v>
      </c>
      <c r="X145" s="3" t="s">
        <v>62</v>
      </c>
      <c r="Y145" s="3" t="s">
        <v>62</v>
      </c>
      <c r="Z145" s="3" t="s">
        <v>62</v>
      </c>
      <c r="AA145" s="3" t="s">
        <v>62</v>
      </c>
      <c r="AB145" s="3" t="s">
        <v>62</v>
      </c>
      <c r="AC145" s="3" t="s">
        <v>62</v>
      </c>
      <c r="AD145" s="3" t="s">
        <v>62</v>
      </c>
      <c r="AE145" s="3" t="s">
        <v>62</v>
      </c>
      <c r="AF145" s="3" t="s">
        <v>62</v>
      </c>
      <c r="AG145" s="3" t="s">
        <v>62</v>
      </c>
    </row>
    <row r="146" spans="2:33">
      <c r="B146" s="83">
        <v>9</v>
      </c>
      <c r="C146" s="87" t="str">
        <f>LEFT(EmpGName09)&amp;" " &amp;EmpSName09</f>
        <v xml:space="preserve">E Horse </v>
      </c>
      <c r="D146" s="4" t="s">
        <v>62</v>
      </c>
      <c r="E146" s="4" t="s">
        <v>62</v>
      </c>
      <c r="F146" s="4" t="s">
        <v>62</v>
      </c>
      <c r="G146" s="4" t="s">
        <v>62</v>
      </c>
      <c r="H146" s="4" t="s">
        <v>62</v>
      </c>
      <c r="I146" s="4" t="s">
        <v>62</v>
      </c>
      <c r="J146" s="4" t="s">
        <v>62</v>
      </c>
      <c r="K146" s="4" t="s">
        <v>62</v>
      </c>
      <c r="L146" s="4" t="s">
        <v>62</v>
      </c>
      <c r="M146" s="4" t="s">
        <v>62</v>
      </c>
      <c r="N146" s="4" t="s">
        <v>62</v>
      </c>
      <c r="O146" s="4" t="s">
        <v>62</v>
      </c>
      <c r="P146" s="4" t="s">
        <v>62</v>
      </c>
      <c r="Q146" s="4" t="s">
        <v>62</v>
      </c>
      <c r="R146" s="4" t="s">
        <v>62</v>
      </c>
      <c r="S146" s="4" t="s">
        <v>62</v>
      </c>
      <c r="T146" s="4" t="s">
        <v>62</v>
      </c>
      <c r="U146" s="4" t="s">
        <v>62</v>
      </c>
      <c r="V146" s="4" t="s">
        <v>62</v>
      </c>
      <c r="W146" s="4" t="s">
        <v>62</v>
      </c>
      <c r="X146" s="4" t="s">
        <v>62</v>
      </c>
      <c r="Y146" s="4" t="s">
        <v>62</v>
      </c>
      <c r="Z146" s="4" t="s">
        <v>62</v>
      </c>
      <c r="AA146" s="4" t="s">
        <v>62</v>
      </c>
      <c r="AB146" s="4" t="s">
        <v>62</v>
      </c>
      <c r="AC146" s="4" t="s">
        <v>62</v>
      </c>
      <c r="AD146" s="4" t="s">
        <v>62</v>
      </c>
      <c r="AE146" s="4" t="s">
        <v>62</v>
      </c>
      <c r="AF146" s="4" t="s">
        <v>62</v>
      </c>
      <c r="AG146" s="4" t="s">
        <v>62</v>
      </c>
    </row>
    <row r="147" spans="2:33">
      <c r="B147" s="139">
        <v>10</v>
      </c>
      <c r="C147" s="88" t="str">
        <f>LEFT(EmpGName10)&amp;" " &amp;EmpSName10</f>
        <v>J Smeegal</v>
      </c>
      <c r="D147" s="3" t="s">
        <v>62</v>
      </c>
      <c r="E147" s="3" t="s">
        <v>62</v>
      </c>
      <c r="F147" s="3" t="s">
        <v>62</v>
      </c>
      <c r="G147" s="3" t="s">
        <v>62</v>
      </c>
      <c r="H147" s="3" t="s">
        <v>62</v>
      </c>
      <c r="I147" s="3" t="s">
        <v>62</v>
      </c>
      <c r="J147" s="3" t="s">
        <v>62</v>
      </c>
      <c r="K147" s="3" t="s">
        <v>62</v>
      </c>
      <c r="L147" s="3" t="s">
        <v>62</v>
      </c>
      <c r="M147" s="3" t="s">
        <v>62</v>
      </c>
      <c r="N147" s="3" t="s">
        <v>62</v>
      </c>
      <c r="O147" s="3" t="s">
        <v>62</v>
      </c>
      <c r="P147" s="3" t="s">
        <v>62</v>
      </c>
      <c r="Q147" s="3" t="s">
        <v>62</v>
      </c>
      <c r="R147" s="3" t="s">
        <v>62</v>
      </c>
      <c r="S147" s="3" t="s">
        <v>62</v>
      </c>
      <c r="T147" s="3" t="s">
        <v>62</v>
      </c>
      <c r="U147" s="3" t="s">
        <v>62</v>
      </c>
      <c r="V147" s="3" t="s">
        <v>62</v>
      </c>
      <c r="W147" s="3" t="s">
        <v>62</v>
      </c>
      <c r="X147" s="3" t="s">
        <v>62</v>
      </c>
      <c r="Y147" s="3" t="s">
        <v>62</v>
      </c>
      <c r="Z147" s="3" t="s">
        <v>62</v>
      </c>
      <c r="AA147" s="3" t="s">
        <v>62</v>
      </c>
      <c r="AB147" s="3" t="s">
        <v>62</v>
      </c>
      <c r="AC147" s="3" t="s">
        <v>62</v>
      </c>
      <c r="AD147" s="3" t="s">
        <v>62</v>
      </c>
      <c r="AE147" s="3" t="s">
        <v>62</v>
      </c>
      <c r="AF147" s="3" t="s">
        <v>62</v>
      </c>
      <c r="AG147" s="3" t="s">
        <v>62</v>
      </c>
    </row>
    <row r="148" spans="2:33">
      <c r="B148" s="139">
        <v>11</v>
      </c>
      <c r="C148" s="87" t="str">
        <f>LEFT(EmpGName11)&amp;" " &amp;EmpSName11</f>
        <v>E Smeegal</v>
      </c>
      <c r="D148" s="4" t="s">
        <v>62</v>
      </c>
      <c r="E148" s="4" t="s">
        <v>62</v>
      </c>
      <c r="F148" s="4" t="s">
        <v>62</v>
      </c>
      <c r="G148" s="4" t="s">
        <v>62</v>
      </c>
      <c r="H148" s="4" t="s">
        <v>62</v>
      </c>
      <c r="I148" s="4" t="s">
        <v>62</v>
      </c>
      <c r="J148" s="4" t="s">
        <v>62</v>
      </c>
      <c r="K148" s="4" t="s">
        <v>62</v>
      </c>
      <c r="L148" s="4" t="s">
        <v>62</v>
      </c>
      <c r="M148" s="4" t="s">
        <v>62</v>
      </c>
      <c r="N148" s="4" t="s">
        <v>62</v>
      </c>
      <c r="O148" s="4" t="s">
        <v>62</v>
      </c>
      <c r="P148" s="4" t="s">
        <v>62</v>
      </c>
      <c r="Q148" s="4" t="s">
        <v>62</v>
      </c>
      <c r="R148" s="4" t="s">
        <v>62</v>
      </c>
      <c r="S148" s="4" t="s">
        <v>62</v>
      </c>
      <c r="T148" s="4" t="s">
        <v>62</v>
      </c>
      <c r="U148" s="4" t="s">
        <v>62</v>
      </c>
      <c r="V148" s="4" t="s">
        <v>62</v>
      </c>
      <c r="W148" s="4" t="s">
        <v>62</v>
      </c>
      <c r="X148" s="4" t="s">
        <v>62</v>
      </c>
      <c r="Y148" s="4" t="s">
        <v>62</v>
      </c>
      <c r="Z148" s="4" t="s">
        <v>62</v>
      </c>
      <c r="AA148" s="4" t="s">
        <v>62</v>
      </c>
      <c r="AB148" s="4" t="s">
        <v>62</v>
      </c>
      <c r="AC148" s="4" t="s">
        <v>62</v>
      </c>
      <c r="AD148" s="4" t="s">
        <v>62</v>
      </c>
      <c r="AE148" s="4" t="s">
        <v>62</v>
      </c>
      <c r="AF148" s="4" t="s">
        <v>62</v>
      </c>
      <c r="AG148" s="4" t="s">
        <v>62</v>
      </c>
    </row>
    <row r="149" spans="2:33">
      <c r="B149" s="139">
        <v>12</v>
      </c>
      <c r="C149" s="88" t="str">
        <f>LEFT(EmpGName12)&amp;" " &amp;EmpSName12</f>
        <v>J James</v>
      </c>
      <c r="D149" s="3" t="s">
        <v>62</v>
      </c>
      <c r="E149" s="3" t="s">
        <v>62</v>
      </c>
      <c r="F149" s="3" t="s">
        <v>62</v>
      </c>
      <c r="G149" s="3" t="s">
        <v>62</v>
      </c>
      <c r="H149" s="3" t="s">
        <v>62</v>
      </c>
      <c r="I149" s="3" t="s">
        <v>62</v>
      </c>
      <c r="J149" s="3" t="s">
        <v>62</v>
      </c>
      <c r="K149" s="3" t="s">
        <v>62</v>
      </c>
      <c r="L149" s="3" t="s">
        <v>62</v>
      </c>
      <c r="M149" s="3" t="s">
        <v>62</v>
      </c>
      <c r="N149" s="3" t="s">
        <v>62</v>
      </c>
      <c r="O149" s="3" t="s">
        <v>62</v>
      </c>
      <c r="P149" s="3" t="s">
        <v>62</v>
      </c>
      <c r="Q149" s="3" t="s">
        <v>62</v>
      </c>
      <c r="R149" s="3" t="s">
        <v>62</v>
      </c>
      <c r="S149" s="3" t="s">
        <v>62</v>
      </c>
      <c r="T149" s="3" t="s">
        <v>62</v>
      </c>
      <c r="U149" s="3" t="s">
        <v>62</v>
      </c>
      <c r="V149" s="3" t="s">
        <v>62</v>
      </c>
      <c r="W149" s="3" t="s">
        <v>62</v>
      </c>
      <c r="X149" s="3" t="s">
        <v>62</v>
      </c>
      <c r="Y149" s="3" t="s">
        <v>62</v>
      </c>
      <c r="Z149" s="3" t="s">
        <v>62</v>
      </c>
      <c r="AA149" s="3" t="s">
        <v>62</v>
      </c>
      <c r="AB149" s="3" t="s">
        <v>62</v>
      </c>
      <c r="AC149" s="3" t="s">
        <v>62</v>
      </c>
      <c r="AD149" s="3" t="s">
        <v>62</v>
      </c>
      <c r="AE149" s="3" t="s">
        <v>62</v>
      </c>
      <c r="AF149" s="3" t="s">
        <v>62</v>
      </c>
      <c r="AG149" s="3" t="s">
        <v>62</v>
      </c>
    </row>
    <row r="150" spans="2:33">
      <c r="B150" s="139">
        <v>13</v>
      </c>
      <c r="C150" s="87" t="str">
        <f>LEFT(EmpGName13)&amp;" " &amp;EmpSName13</f>
        <v>J Jack</v>
      </c>
      <c r="D150" s="4" t="s">
        <v>62</v>
      </c>
      <c r="E150" s="4" t="s">
        <v>62</v>
      </c>
      <c r="F150" s="4" t="s">
        <v>62</v>
      </c>
      <c r="G150" s="4" t="s">
        <v>62</v>
      </c>
      <c r="H150" s="4" t="s">
        <v>62</v>
      </c>
      <c r="I150" s="4" t="s">
        <v>62</v>
      </c>
      <c r="J150" s="4" t="s">
        <v>62</v>
      </c>
      <c r="K150" s="4" t="s">
        <v>62</v>
      </c>
      <c r="L150" s="4" t="s">
        <v>62</v>
      </c>
      <c r="M150" s="4" t="s">
        <v>62</v>
      </c>
      <c r="N150" s="4" t="s">
        <v>62</v>
      </c>
      <c r="O150" s="4" t="s">
        <v>62</v>
      </c>
      <c r="P150" s="4" t="s">
        <v>62</v>
      </c>
      <c r="Q150" s="4" t="s">
        <v>62</v>
      </c>
      <c r="R150" s="4" t="s">
        <v>62</v>
      </c>
      <c r="S150" s="4" t="s">
        <v>62</v>
      </c>
      <c r="T150" s="4" t="s">
        <v>62</v>
      </c>
      <c r="U150" s="4" t="s">
        <v>62</v>
      </c>
      <c r="V150" s="4" t="s">
        <v>62</v>
      </c>
      <c r="W150" s="4" t="s">
        <v>62</v>
      </c>
      <c r="X150" s="4" t="s">
        <v>62</v>
      </c>
      <c r="Y150" s="4" t="s">
        <v>62</v>
      </c>
      <c r="Z150" s="4" t="s">
        <v>62</v>
      </c>
      <c r="AA150" s="4" t="s">
        <v>62</v>
      </c>
      <c r="AB150" s="4" t="s">
        <v>62</v>
      </c>
      <c r="AC150" s="4" t="s">
        <v>62</v>
      </c>
      <c r="AD150" s="4" t="s">
        <v>62</v>
      </c>
      <c r="AE150" s="4" t="s">
        <v>62</v>
      </c>
      <c r="AF150" s="4" t="s">
        <v>62</v>
      </c>
      <c r="AG150" s="4" t="s">
        <v>62</v>
      </c>
    </row>
    <row r="151" spans="2:33">
      <c r="B151" s="139">
        <v>14</v>
      </c>
      <c r="C151" s="88" t="str">
        <f>LEFT(EmpGName14)&amp;" " &amp;EmpSName14</f>
        <v xml:space="preserve">J Jacky </v>
      </c>
      <c r="D151" s="3" t="s">
        <v>62</v>
      </c>
      <c r="E151" s="3" t="s">
        <v>62</v>
      </c>
      <c r="F151" s="3" t="s">
        <v>62</v>
      </c>
      <c r="G151" s="3" t="s">
        <v>62</v>
      </c>
      <c r="H151" s="3" t="s">
        <v>62</v>
      </c>
      <c r="I151" s="3" t="s">
        <v>62</v>
      </c>
      <c r="J151" s="3" t="s">
        <v>62</v>
      </c>
      <c r="K151" s="3" t="s">
        <v>62</v>
      </c>
      <c r="L151" s="3" t="s">
        <v>62</v>
      </c>
      <c r="M151" s="3" t="s">
        <v>62</v>
      </c>
      <c r="N151" s="3" t="s">
        <v>62</v>
      </c>
      <c r="O151" s="3" t="s">
        <v>62</v>
      </c>
      <c r="P151" s="3" t="s">
        <v>62</v>
      </c>
      <c r="Q151" s="3" t="s">
        <v>62</v>
      </c>
      <c r="R151" s="3" t="s">
        <v>62</v>
      </c>
      <c r="S151" s="3" t="s">
        <v>62</v>
      </c>
      <c r="T151" s="3" t="s">
        <v>62</v>
      </c>
      <c r="U151" s="3" t="s">
        <v>62</v>
      </c>
      <c r="V151" s="3" t="s">
        <v>62</v>
      </c>
      <c r="W151" s="3" t="s">
        <v>62</v>
      </c>
      <c r="X151" s="3" t="s">
        <v>62</v>
      </c>
      <c r="Y151" s="3" t="s">
        <v>62</v>
      </c>
      <c r="Z151" s="3" t="s">
        <v>62</v>
      </c>
      <c r="AA151" s="3" t="s">
        <v>62</v>
      </c>
      <c r="AB151" s="3" t="s">
        <v>62</v>
      </c>
      <c r="AC151" s="3" t="s">
        <v>62</v>
      </c>
      <c r="AD151" s="3" t="s">
        <v>62</v>
      </c>
      <c r="AE151" s="3" t="s">
        <v>62</v>
      </c>
      <c r="AF151" s="3" t="s">
        <v>62</v>
      </c>
      <c r="AG151" s="3" t="s">
        <v>62</v>
      </c>
    </row>
    <row r="152" spans="2:33">
      <c r="B152" s="139">
        <v>15</v>
      </c>
      <c r="C152" s="87" t="str">
        <f>LEFT(EmpGName15)&amp;" " &amp;EmpSName15</f>
        <v>J Friedle</v>
      </c>
      <c r="D152" s="4" t="s">
        <v>62</v>
      </c>
      <c r="E152" s="4" t="s">
        <v>62</v>
      </c>
      <c r="F152" s="4" t="s">
        <v>62</v>
      </c>
      <c r="G152" s="4" t="s">
        <v>62</v>
      </c>
      <c r="H152" s="4" t="s">
        <v>62</v>
      </c>
      <c r="I152" s="4" t="s">
        <v>62</v>
      </c>
      <c r="J152" s="4" t="s">
        <v>62</v>
      </c>
      <c r="K152" s="4" t="s">
        <v>62</v>
      </c>
      <c r="L152" s="4" t="s">
        <v>62</v>
      </c>
      <c r="M152" s="4" t="s">
        <v>62</v>
      </c>
      <c r="N152" s="4" t="s">
        <v>62</v>
      </c>
      <c r="O152" s="4" t="s">
        <v>62</v>
      </c>
      <c r="P152" s="4" t="s">
        <v>62</v>
      </c>
      <c r="Q152" s="4" t="s">
        <v>62</v>
      </c>
      <c r="R152" s="4" t="s">
        <v>62</v>
      </c>
      <c r="S152" s="4" t="s">
        <v>62</v>
      </c>
      <c r="T152" s="4" t="s">
        <v>62</v>
      </c>
      <c r="U152" s="4" t="s">
        <v>62</v>
      </c>
      <c r="V152" s="4" t="s">
        <v>62</v>
      </c>
      <c r="W152" s="4" t="s">
        <v>62</v>
      </c>
      <c r="X152" s="4" t="s">
        <v>62</v>
      </c>
      <c r="Y152" s="4" t="s">
        <v>62</v>
      </c>
      <c r="Z152" s="4" t="s">
        <v>62</v>
      </c>
      <c r="AA152" s="4" t="s">
        <v>62</v>
      </c>
      <c r="AB152" s="4" t="s">
        <v>62</v>
      </c>
      <c r="AC152" s="4" t="s">
        <v>62</v>
      </c>
      <c r="AD152" s="4" t="s">
        <v>62</v>
      </c>
      <c r="AE152" s="4" t="s">
        <v>62</v>
      </c>
      <c r="AF152" s="4" t="s">
        <v>62</v>
      </c>
      <c r="AG152" s="4" t="s">
        <v>62</v>
      </c>
    </row>
    <row r="153" spans="2:33">
      <c r="B153" s="139">
        <v>16</v>
      </c>
      <c r="C153" s="88" t="str">
        <f>LEFT(EmpGName16)&amp;" " &amp;EmpSName16</f>
        <v>J Friedle</v>
      </c>
      <c r="D153" s="3" t="s">
        <v>62</v>
      </c>
      <c r="E153" s="3" t="s">
        <v>62</v>
      </c>
      <c r="F153" s="3" t="s">
        <v>62</v>
      </c>
      <c r="G153" s="3" t="s">
        <v>62</v>
      </c>
      <c r="H153" s="3" t="s">
        <v>62</v>
      </c>
      <c r="I153" s="3" t="s">
        <v>62</v>
      </c>
      <c r="J153" s="3" t="s">
        <v>62</v>
      </c>
      <c r="K153" s="3" t="s">
        <v>62</v>
      </c>
      <c r="L153" s="3" t="s">
        <v>62</v>
      </c>
      <c r="M153" s="3" t="s">
        <v>62</v>
      </c>
      <c r="N153" s="3" t="s">
        <v>62</v>
      </c>
      <c r="O153" s="3" t="s">
        <v>62</v>
      </c>
      <c r="P153" s="3" t="s">
        <v>62</v>
      </c>
      <c r="Q153" s="3" t="s">
        <v>62</v>
      </c>
      <c r="R153" s="3" t="s">
        <v>62</v>
      </c>
      <c r="S153" s="3" t="s">
        <v>62</v>
      </c>
      <c r="T153" s="3" t="s">
        <v>62</v>
      </c>
      <c r="U153" s="3" t="s">
        <v>62</v>
      </c>
      <c r="V153" s="3" t="s">
        <v>62</v>
      </c>
      <c r="W153" s="3" t="s">
        <v>62</v>
      </c>
      <c r="X153" s="3" t="s">
        <v>62</v>
      </c>
      <c r="Y153" s="3" t="s">
        <v>62</v>
      </c>
      <c r="Z153" s="3" t="s">
        <v>62</v>
      </c>
      <c r="AA153" s="3" t="s">
        <v>62</v>
      </c>
      <c r="AB153" s="3" t="s">
        <v>62</v>
      </c>
      <c r="AC153" s="3" t="s">
        <v>62</v>
      </c>
      <c r="AD153" s="3" t="s">
        <v>62</v>
      </c>
      <c r="AE153" s="3" t="s">
        <v>62</v>
      </c>
      <c r="AF153" s="3" t="s">
        <v>62</v>
      </c>
      <c r="AG153" s="3" t="s">
        <v>62</v>
      </c>
    </row>
    <row r="154" spans="2:33">
      <c r="B154" s="139">
        <v>17</v>
      </c>
      <c r="C154" s="87" t="str">
        <f>LEFT(EmpGName17)&amp;" " &amp;EmpSName17</f>
        <v>J Smart</v>
      </c>
      <c r="D154" s="4" t="s">
        <v>62</v>
      </c>
      <c r="E154" s="4" t="s">
        <v>62</v>
      </c>
      <c r="F154" s="4" t="s">
        <v>62</v>
      </c>
      <c r="G154" s="4" t="s">
        <v>62</v>
      </c>
      <c r="H154" s="4" t="s">
        <v>62</v>
      </c>
      <c r="I154" s="4" t="s">
        <v>62</v>
      </c>
      <c r="J154" s="4" t="s">
        <v>62</v>
      </c>
      <c r="K154" s="4" t="s">
        <v>62</v>
      </c>
      <c r="L154" s="4" t="s">
        <v>62</v>
      </c>
      <c r="M154" s="4" t="s">
        <v>62</v>
      </c>
      <c r="N154" s="4" t="s">
        <v>62</v>
      </c>
      <c r="O154" s="4" t="s">
        <v>62</v>
      </c>
      <c r="P154" s="4" t="s">
        <v>62</v>
      </c>
      <c r="Q154" s="4" t="s">
        <v>62</v>
      </c>
      <c r="R154" s="4" t="s">
        <v>62</v>
      </c>
      <c r="S154" s="4" t="s">
        <v>62</v>
      </c>
      <c r="T154" s="4" t="s">
        <v>62</v>
      </c>
      <c r="U154" s="4" t="s">
        <v>62</v>
      </c>
      <c r="V154" s="4" t="s">
        <v>62</v>
      </c>
      <c r="W154" s="4" t="s">
        <v>62</v>
      </c>
      <c r="X154" s="4" t="s">
        <v>62</v>
      </c>
      <c r="Y154" s="4" t="s">
        <v>62</v>
      </c>
      <c r="Z154" s="4" t="s">
        <v>62</v>
      </c>
      <c r="AA154" s="4" t="s">
        <v>62</v>
      </c>
      <c r="AB154" s="4" t="s">
        <v>62</v>
      </c>
      <c r="AC154" s="4" t="s">
        <v>62</v>
      </c>
      <c r="AD154" s="4" t="s">
        <v>62</v>
      </c>
      <c r="AE154" s="4" t="s">
        <v>62</v>
      </c>
      <c r="AF154" s="4" t="s">
        <v>62</v>
      </c>
      <c r="AG154" s="4" t="s">
        <v>62</v>
      </c>
    </row>
    <row r="155" spans="2:33">
      <c r="B155" s="139">
        <v>18</v>
      </c>
      <c r="C155" s="88" t="str">
        <f>LEFT(EmpGName18)&amp;" " &amp;EmpSName18</f>
        <v>E Smart</v>
      </c>
      <c r="D155" s="3" t="s">
        <v>62</v>
      </c>
      <c r="E155" s="3" t="s">
        <v>62</v>
      </c>
      <c r="F155" s="3" t="s">
        <v>62</v>
      </c>
      <c r="G155" s="3" t="s">
        <v>62</v>
      </c>
      <c r="H155" s="3" t="s">
        <v>62</v>
      </c>
      <c r="I155" s="3" t="s">
        <v>62</v>
      </c>
      <c r="J155" s="3" t="s">
        <v>62</v>
      </c>
      <c r="K155" s="3" t="s">
        <v>62</v>
      </c>
      <c r="L155" s="3" t="s">
        <v>62</v>
      </c>
      <c r="M155" s="3" t="s">
        <v>62</v>
      </c>
      <c r="N155" s="3" t="s">
        <v>62</v>
      </c>
      <c r="O155" s="3" t="s">
        <v>62</v>
      </c>
      <c r="P155" s="3" t="s">
        <v>62</v>
      </c>
      <c r="Q155" s="3" t="s">
        <v>62</v>
      </c>
      <c r="R155" s="3" t="s">
        <v>62</v>
      </c>
      <c r="S155" s="3" t="s">
        <v>62</v>
      </c>
      <c r="T155" s="3" t="s">
        <v>62</v>
      </c>
      <c r="U155" s="3" t="s">
        <v>62</v>
      </c>
      <c r="V155" s="3" t="s">
        <v>62</v>
      </c>
      <c r="W155" s="3" t="s">
        <v>62</v>
      </c>
      <c r="X155" s="3" t="s">
        <v>62</v>
      </c>
      <c r="Y155" s="3" t="s">
        <v>62</v>
      </c>
      <c r="Z155" s="3" t="s">
        <v>62</v>
      </c>
      <c r="AA155" s="3" t="s">
        <v>62</v>
      </c>
      <c r="AB155" s="3" t="s">
        <v>62</v>
      </c>
      <c r="AC155" s="3" t="s">
        <v>62</v>
      </c>
      <c r="AD155" s="3" t="s">
        <v>62</v>
      </c>
      <c r="AE155" s="3" t="s">
        <v>62</v>
      </c>
      <c r="AF155" s="3" t="s">
        <v>62</v>
      </c>
      <c r="AG155" s="3" t="s">
        <v>62</v>
      </c>
    </row>
    <row r="156" spans="2:33" hidden="1">
      <c r="B156" s="139">
        <v>19</v>
      </c>
      <c r="C156" s="87" t="str">
        <f>LEFT(EmpGName19)&amp;" " &amp;EmpSName19</f>
        <v xml:space="preserve"> </v>
      </c>
      <c r="D156" s="4" t="s">
        <v>62</v>
      </c>
      <c r="E156" s="4" t="s">
        <v>62</v>
      </c>
      <c r="F156" s="4" t="s">
        <v>62</v>
      </c>
      <c r="G156" s="4" t="s">
        <v>62</v>
      </c>
      <c r="H156" s="4" t="s">
        <v>62</v>
      </c>
      <c r="I156" s="4" t="s">
        <v>62</v>
      </c>
      <c r="J156" s="4" t="s">
        <v>62</v>
      </c>
      <c r="K156" s="4" t="s">
        <v>62</v>
      </c>
      <c r="L156" s="4" t="s">
        <v>62</v>
      </c>
      <c r="M156" s="4" t="s">
        <v>62</v>
      </c>
      <c r="N156" s="4" t="s">
        <v>62</v>
      </c>
      <c r="O156" s="4" t="s">
        <v>62</v>
      </c>
      <c r="P156" s="4" t="s">
        <v>62</v>
      </c>
      <c r="Q156" s="4" t="s">
        <v>62</v>
      </c>
      <c r="R156" s="4" t="s">
        <v>62</v>
      </c>
      <c r="S156" s="4" t="s">
        <v>62</v>
      </c>
      <c r="T156" s="4" t="s">
        <v>62</v>
      </c>
      <c r="U156" s="4" t="s">
        <v>62</v>
      </c>
      <c r="V156" s="4" t="s">
        <v>62</v>
      </c>
      <c r="W156" s="4" t="s">
        <v>62</v>
      </c>
      <c r="X156" s="4" t="s">
        <v>62</v>
      </c>
      <c r="Y156" s="4" t="s">
        <v>62</v>
      </c>
      <c r="Z156" s="4" t="s">
        <v>62</v>
      </c>
      <c r="AA156" s="4" t="s">
        <v>62</v>
      </c>
      <c r="AB156" s="4" t="s">
        <v>62</v>
      </c>
      <c r="AC156" s="4" t="s">
        <v>62</v>
      </c>
      <c r="AD156" s="4" t="s">
        <v>62</v>
      </c>
      <c r="AE156" s="4" t="s">
        <v>62</v>
      </c>
      <c r="AF156" s="4" t="s">
        <v>62</v>
      </c>
      <c r="AG156" s="4" t="s">
        <v>62</v>
      </c>
    </row>
    <row r="157" spans="2:33" hidden="1">
      <c r="B157" s="139">
        <v>20</v>
      </c>
      <c r="C157" s="88" t="str">
        <f>LEFT(EmpGName20)&amp;" " &amp;EmpSName20</f>
        <v xml:space="preserve"> </v>
      </c>
      <c r="D157" s="3" t="s">
        <v>62</v>
      </c>
      <c r="E157" s="3" t="s">
        <v>62</v>
      </c>
      <c r="F157" s="3" t="s">
        <v>62</v>
      </c>
      <c r="G157" s="3" t="s">
        <v>62</v>
      </c>
      <c r="H157" s="3" t="s">
        <v>62</v>
      </c>
      <c r="I157" s="3" t="s">
        <v>62</v>
      </c>
      <c r="J157" s="3" t="s">
        <v>62</v>
      </c>
      <c r="K157" s="3" t="s">
        <v>62</v>
      </c>
      <c r="L157" s="3" t="s">
        <v>62</v>
      </c>
      <c r="M157" s="3" t="s">
        <v>62</v>
      </c>
      <c r="N157" s="3" t="s">
        <v>62</v>
      </c>
      <c r="O157" s="3" t="s">
        <v>62</v>
      </c>
      <c r="P157" s="3" t="s">
        <v>62</v>
      </c>
      <c r="Q157" s="3" t="s">
        <v>62</v>
      </c>
      <c r="R157" s="3" t="s">
        <v>62</v>
      </c>
      <c r="S157" s="3" t="s">
        <v>62</v>
      </c>
      <c r="T157" s="3" t="s">
        <v>62</v>
      </c>
      <c r="U157" s="3" t="s">
        <v>62</v>
      </c>
      <c r="V157" s="3" t="s">
        <v>62</v>
      </c>
      <c r="W157" s="3" t="s">
        <v>62</v>
      </c>
      <c r="X157" s="3" t="s">
        <v>62</v>
      </c>
      <c r="Y157" s="3" t="s">
        <v>62</v>
      </c>
      <c r="Z157" s="3" t="s">
        <v>62</v>
      </c>
      <c r="AA157" s="3" t="s">
        <v>62</v>
      </c>
      <c r="AB157" s="3" t="s">
        <v>62</v>
      </c>
      <c r="AC157" s="3" t="s">
        <v>62</v>
      </c>
      <c r="AD157" s="3" t="s">
        <v>62</v>
      </c>
      <c r="AE157" s="3" t="s">
        <v>62</v>
      </c>
      <c r="AF157" s="3" t="s">
        <v>62</v>
      </c>
      <c r="AG157" s="3" t="s">
        <v>62</v>
      </c>
    </row>
    <row r="158" spans="2:33" hidden="1">
      <c r="B158" s="139">
        <v>21</v>
      </c>
      <c r="C158" s="87" t="str">
        <f>LEFT(EmpGName21)&amp;" " &amp;EmpSName21</f>
        <v xml:space="preserve"> </v>
      </c>
      <c r="D158" s="4" t="s">
        <v>62</v>
      </c>
      <c r="E158" s="4" t="s">
        <v>62</v>
      </c>
      <c r="F158" s="4" t="s">
        <v>62</v>
      </c>
      <c r="G158" s="4" t="s">
        <v>62</v>
      </c>
      <c r="H158" s="4" t="s">
        <v>62</v>
      </c>
      <c r="I158" s="4" t="s">
        <v>62</v>
      </c>
      <c r="J158" s="4" t="s">
        <v>62</v>
      </c>
      <c r="K158" s="4" t="s">
        <v>62</v>
      </c>
      <c r="L158" s="4" t="s">
        <v>62</v>
      </c>
      <c r="M158" s="4" t="s">
        <v>62</v>
      </c>
      <c r="N158" s="4" t="s">
        <v>62</v>
      </c>
      <c r="O158" s="4" t="s">
        <v>62</v>
      </c>
      <c r="P158" s="4" t="s">
        <v>62</v>
      </c>
      <c r="Q158" s="4" t="s">
        <v>62</v>
      </c>
      <c r="R158" s="4" t="s">
        <v>62</v>
      </c>
      <c r="S158" s="4" t="s">
        <v>62</v>
      </c>
      <c r="T158" s="4" t="s">
        <v>62</v>
      </c>
      <c r="U158" s="4" t="s">
        <v>62</v>
      </c>
      <c r="V158" s="4" t="s">
        <v>62</v>
      </c>
      <c r="W158" s="4" t="s">
        <v>62</v>
      </c>
      <c r="X158" s="4" t="s">
        <v>62</v>
      </c>
      <c r="Y158" s="4" t="s">
        <v>62</v>
      </c>
      <c r="Z158" s="4" t="s">
        <v>62</v>
      </c>
      <c r="AA158" s="4" t="s">
        <v>62</v>
      </c>
      <c r="AB158" s="4" t="s">
        <v>62</v>
      </c>
      <c r="AC158" s="4" t="s">
        <v>62</v>
      </c>
      <c r="AD158" s="4" t="s">
        <v>62</v>
      </c>
      <c r="AE158" s="4" t="s">
        <v>62</v>
      </c>
      <c r="AF158" s="4" t="s">
        <v>62</v>
      </c>
      <c r="AG158" s="4" t="s">
        <v>62</v>
      </c>
    </row>
    <row r="159" spans="2:33" hidden="1">
      <c r="B159" s="139">
        <v>22</v>
      </c>
      <c r="C159" s="88" t="str">
        <f>LEFT(EmpGName22)&amp;" " &amp;EmpSName22</f>
        <v xml:space="preserve"> </v>
      </c>
      <c r="D159" s="3" t="s">
        <v>62</v>
      </c>
      <c r="E159" s="3" t="s">
        <v>62</v>
      </c>
      <c r="F159" s="3" t="s">
        <v>62</v>
      </c>
      <c r="G159" s="3" t="s">
        <v>62</v>
      </c>
      <c r="H159" s="3" t="s">
        <v>62</v>
      </c>
      <c r="I159" s="3" t="s">
        <v>62</v>
      </c>
      <c r="J159" s="3" t="s">
        <v>62</v>
      </c>
      <c r="K159" s="3" t="s">
        <v>62</v>
      </c>
      <c r="L159" s="3" t="s">
        <v>62</v>
      </c>
      <c r="M159" s="3" t="s">
        <v>62</v>
      </c>
      <c r="N159" s="3" t="s">
        <v>62</v>
      </c>
      <c r="O159" s="3" t="s">
        <v>62</v>
      </c>
      <c r="P159" s="3" t="s">
        <v>62</v>
      </c>
      <c r="Q159" s="3" t="s">
        <v>62</v>
      </c>
      <c r="R159" s="3" t="s">
        <v>62</v>
      </c>
      <c r="S159" s="3" t="s">
        <v>62</v>
      </c>
      <c r="T159" s="3" t="s">
        <v>62</v>
      </c>
      <c r="U159" s="3" t="s">
        <v>62</v>
      </c>
      <c r="V159" s="3" t="s">
        <v>62</v>
      </c>
      <c r="W159" s="3" t="s">
        <v>62</v>
      </c>
      <c r="X159" s="3" t="s">
        <v>62</v>
      </c>
      <c r="Y159" s="3" t="s">
        <v>62</v>
      </c>
      <c r="Z159" s="3" t="s">
        <v>62</v>
      </c>
      <c r="AA159" s="3" t="s">
        <v>62</v>
      </c>
      <c r="AB159" s="3" t="s">
        <v>62</v>
      </c>
      <c r="AC159" s="3" t="s">
        <v>62</v>
      </c>
      <c r="AD159" s="3" t="s">
        <v>62</v>
      </c>
      <c r="AE159" s="3" t="s">
        <v>62</v>
      </c>
      <c r="AF159" s="3" t="s">
        <v>62</v>
      </c>
      <c r="AG159" s="3" t="s">
        <v>62</v>
      </c>
    </row>
    <row r="160" spans="2:33" hidden="1">
      <c r="B160" s="139">
        <v>23</v>
      </c>
      <c r="C160" s="87" t="str">
        <f>LEFT(EmpGName23)&amp;" " &amp;EmpSName23</f>
        <v xml:space="preserve"> </v>
      </c>
      <c r="D160" s="4" t="s">
        <v>62</v>
      </c>
      <c r="E160" s="4" t="s">
        <v>62</v>
      </c>
      <c r="F160" s="4" t="s">
        <v>62</v>
      </c>
      <c r="G160" s="4" t="s">
        <v>62</v>
      </c>
      <c r="H160" s="4" t="s">
        <v>62</v>
      </c>
      <c r="I160" s="4" t="s">
        <v>62</v>
      </c>
      <c r="J160" s="4" t="s">
        <v>62</v>
      </c>
      <c r="K160" s="4" t="s">
        <v>62</v>
      </c>
      <c r="L160" s="4" t="s">
        <v>62</v>
      </c>
      <c r="M160" s="4" t="s">
        <v>62</v>
      </c>
      <c r="N160" s="4" t="s">
        <v>62</v>
      </c>
      <c r="O160" s="4" t="s">
        <v>62</v>
      </c>
      <c r="P160" s="4" t="s">
        <v>62</v>
      </c>
      <c r="Q160" s="4" t="s">
        <v>62</v>
      </c>
      <c r="R160" s="4" t="s">
        <v>62</v>
      </c>
      <c r="S160" s="4" t="s">
        <v>62</v>
      </c>
      <c r="T160" s="4" t="s">
        <v>62</v>
      </c>
      <c r="U160" s="4" t="s">
        <v>62</v>
      </c>
      <c r="V160" s="4" t="s">
        <v>62</v>
      </c>
      <c r="W160" s="4" t="s">
        <v>62</v>
      </c>
      <c r="X160" s="4" t="s">
        <v>62</v>
      </c>
      <c r="Y160" s="4" t="s">
        <v>62</v>
      </c>
      <c r="Z160" s="4" t="s">
        <v>62</v>
      </c>
      <c r="AA160" s="4" t="s">
        <v>62</v>
      </c>
      <c r="AB160" s="4" t="s">
        <v>62</v>
      </c>
      <c r="AC160" s="4" t="s">
        <v>62</v>
      </c>
      <c r="AD160" s="4" t="s">
        <v>62</v>
      </c>
      <c r="AE160" s="4" t="s">
        <v>62</v>
      </c>
      <c r="AF160" s="4" t="s">
        <v>62</v>
      </c>
      <c r="AG160" s="4" t="s">
        <v>62</v>
      </c>
    </row>
    <row r="161" spans="2:34" hidden="1">
      <c r="B161" s="139">
        <v>24</v>
      </c>
      <c r="C161" s="88" t="str">
        <f>LEFT(EmpGName24)&amp;" " &amp;EmpSName24</f>
        <v xml:space="preserve"> </v>
      </c>
      <c r="D161" s="3" t="s">
        <v>62</v>
      </c>
      <c r="E161" s="3" t="s">
        <v>62</v>
      </c>
      <c r="F161" s="3" t="s">
        <v>62</v>
      </c>
      <c r="G161" s="3" t="s">
        <v>62</v>
      </c>
      <c r="H161" s="3" t="s">
        <v>62</v>
      </c>
      <c r="I161" s="3" t="s">
        <v>62</v>
      </c>
      <c r="J161" s="3" t="s">
        <v>62</v>
      </c>
      <c r="K161" s="3" t="s">
        <v>62</v>
      </c>
      <c r="L161" s="3" t="s">
        <v>62</v>
      </c>
      <c r="M161" s="3" t="s">
        <v>62</v>
      </c>
      <c r="N161" s="3" t="s">
        <v>62</v>
      </c>
      <c r="O161" s="3" t="s">
        <v>62</v>
      </c>
      <c r="P161" s="3" t="s">
        <v>62</v>
      </c>
      <c r="Q161" s="3" t="s">
        <v>62</v>
      </c>
      <c r="R161" s="3" t="s">
        <v>62</v>
      </c>
      <c r="S161" s="3" t="s">
        <v>62</v>
      </c>
      <c r="T161" s="3" t="s">
        <v>62</v>
      </c>
      <c r="U161" s="3" t="s">
        <v>62</v>
      </c>
      <c r="V161" s="3" t="s">
        <v>62</v>
      </c>
      <c r="W161" s="3" t="s">
        <v>62</v>
      </c>
      <c r="X161" s="3" t="s">
        <v>62</v>
      </c>
      <c r="Y161" s="3" t="s">
        <v>62</v>
      </c>
      <c r="Z161" s="3" t="s">
        <v>62</v>
      </c>
      <c r="AA161" s="3" t="s">
        <v>62</v>
      </c>
      <c r="AB161" s="3" t="s">
        <v>62</v>
      </c>
      <c r="AC161" s="3" t="s">
        <v>62</v>
      </c>
      <c r="AD161" s="3" t="s">
        <v>62</v>
      </c>
      <c r="AE161" s="3" t="s">
        <v>62</v>
      </c>
      <c r="AF161" s="3" t="s">
        <v>62</v>
      </c>
      <c r="AG161" s="3" t="s">
        <v>62</v>
      </c>
    </row>
    <row r="162" spans="2:34" hidden="1">
      <c r="B162" s="139">
        <v>25</v>
      </c>
      <c r="C162" s="87" t="str">
        <f>LEFT(EmpGName25)&amp;" " &amp;EmpSName25</f>
        <v xml:space="preserve"> </v>
      </c>
      <c r="D162" s="4" t="s">
        <v>62</v>
      </c>
      <c r="E162" s="4" t="s">
        <v>62</v>
      </c>
      <c r="F162" s="4" t="s">
        <v>62</v>
      </c>
      <c r="G162" s="4" t="s">
        <v>62</v>
      </c>
      <c r="H162" s="4" t="s">
        <v>62</v>
      </c>
      <c r="I162" s="4" t="s">
        <v>62</v>
      </c>
      <c r="J162" s="4" t="s">
        <v>62</v>
      </c>
      <c r="K162" s="4" t="s">
        <v>62</v>
      </c>
      <c r="L162" s="4" t="s">
        <v>62</v>
      </c>
      <c r="M162" s="4" t="s">
        <v>62</v>
      </c>
      <c r="N162" s="4" t="s">
        <v>62</v>
      </c>
      <c r="O162" s="4" t="s">
        <v>62</v>
      </c>
      <c r="P162" s="4" t="s">
        <v>62</v>
      </c>
      <c r="Q162" s="4" t="s">
        <v>62</v>
      </c>
      <c r="R162" s="4" t="s">
        <v>62</v>
      </c>
      <c r="S162" s="4" t="s">
        <v>62</v>
      </c>
      <c r="T162" s="4" t="s">
        <v>62</v>
      </c>
      <c r="U162" s="4" t="s">
        <v>62</v>
      </c>
      <c r="V162" s="4" t="s">
        <v>62</v>
      </c>
      <c r="W162" s="4" t="s">
        <v>62</v>
      </c>
      <c r="X162" s="4" t="s">
        <v>62</v>
      </c>
      <c r="Y162" s="4" t="s">
        <v>62</v>
      </c>
      <c r="Z162" s="4" t="s">
        <v>62</v>
      </c>
      <c r="AA162" s="4" t="s">
        <v>62</v>
      </c>
      <c r="AB162" s="4" t="s">
        <v>62</v>
      </c>
      <c r="AC162" s="4" t="s">
        <v>62</v>
      </c>
      <c r="AD162" s="4" t="s">
        <v>62</v>
      </c>
      <c r="AE162" s="4" t="s">
        <v>62</v>
      </c>
      <c r="AF162" s="4" t="s">
        <v>62</v>
      </c>
      <c r="AG162" s="4" t="s">
        <v>62</v>
      </c>
    </row>
    <row r="163" spans="2:34" hidden="1">
      <c r="B163" s="139">
        <v>26</v>
      </c>
      <c r="C163" s="88" t="str">
        <f>LEFT(EmpGName26)&amp;" " &amp;EmpSName26</f>
        <v xml:space="preserve"> </v>
      </c>
      <c r="D163" s="3" t="s">
        <v>62</v>
      </c>
      <c r="E163" s="3" t="s">
        <v>62</v>
      </c>
      <c r="F163" s="3" t="s">
        <v>62</v>
      </c>
      <c r="G163" s="3" t="s">
        <v>62</v>
      </c>
      <c r="H163" s="3" t="s">
        <v>62</v>
      </c>
      <c r="I163" s="3" t="s">
        <v>62</v>
      </c>
      <c r="J163" s="3" t="s">
        <v>62</v>
      </c>
      <c r="K163" s="3" t="s">
        <v>62</v>
      </c>
      <c r="L163" s="3" t="s">
        <v>62</v>
      </c>
      <c r="M163" s="3" t="s">
        <v>62</v>
      </c>
      <c r="N163" s="3" t="s">
        <v>62</v>
      </c>
      <c r="O163" s="3" t="s">
        <v>62</v>
      </c>
      <c r="P163" s="3" t="s">
        <v>62</v>
      </c>
      <c r="Q163" s="3" t="s">
        <v>62</v>
      </c>
      <c r="R163" s="3" t="s">
        <v>62</v>
      </c>
      <c r="S163" s="3" t="s">
        <v>62</v>
      </c>
      <c r="T163" s="3" t="s">
        <v>62</v>
      </c>
      <c r="U163" s="3" t="s">
        <v>62</v>
      </c>
      <c r="V163" s="3" t="s">
        <v>62</v>
      </c>
      <c r="W163" s="3" t="s">
        <v>62</v>
      </c>
      <c r="X163" s="3" t="s">
        <v>62</v>
      </c>
      <c r="Y163" s="3" t="s">
        <v>62</v>
      </c>
      <c r="Z163" s="3" t="s">
        <v>62</v>
      </c>
      <c r="AA163" s="3" t="s">
        <v>62</v>
      </c>
      <c r="AB163" s="3" t="s">
        <v>62</v>
      </c>
      <c r="AC163" s="3" t="s">
        <v>62</v>
      </c>
      <c r="AD163" s="3" t="s">
        <v>62</v>
      </c>
      <c r="AE163" s="3" t="s">
        <v>62</v>
      </c>
      <c r="AF163" s="3" t="s">
        <v>62</v>
      </c>
      <c r="AG163" s="3" t="s">
        <v>62</v>
      </c>
    </row>
    <row r="164" spans="2:34" hidden="1">
      <c r="B164" s="139">
        <v>27</v>
      </c>
      <c r="C164" s="87" t="str">
        <f>LEFT(EmpGName27)&amp;" " &amp;EmpSName27</f>
        <v xml:space="preserve"> </v>
      </c>
      <c r="D164" s="4" t="s">
        <v>62</v>
      </c>
      <c r="E164" s="4" t="s">
        <v>62</v>
      </c>
      <c r="F164" s="4" t="s">
        <v>62</v>
      </c>
      <c r="G164" s="4" t="s">
        <v>62</v>
      </c>
      <c r="H164" s="4" t="s">
        <v>62</v>
      </c>
      <c r="I164" s="4" t="s">
        <v>62</v>
      </c>
      <c r="J164" s="4" t="s">
        <v>62</v>
      </c>
      <c r="K164" s="4" t="s">
        <v>62</v>
      </c>
      <c r="L164" s="4" t="s">
        <v>62</v>
      </c>
      <c r="M164" s="4" t="s">
        <v>62</v>
      </c>
      <c r="N164" s="4" t="s">
        <v>62</v>
      </c>
      <c r="O164" s="4" t="s">
        <v>62</v>
      </c>
      <c r="P164" s="4" t="s">
        <v>62</v>
      </c>
      <c r="Q164" s="4" t="s">
        <v>62</v>
      </c>
      <c r="R164" s="4" t="s">
        <v>62</v>
      </c>
      <c r="S164" s="4" t="s">
        <v>62</v>
      </c>
      <c r="T164" s="4" t="s">
        <v>62</v>
      </c>
      <c r="U164" s="4" t="s">
        <v>62</v>
      </c>
      <c r="V164" s="4" t="s">
        <v>62</v>
      </c>
      <c r="W164" s="4" t="s">
        <v>62</v>
      </c>
      <c r="X164" s="4" t="s">
        <v>62</v>
      </c>
      <c r="Y164" s="4" t="s">
        <v>62</v>
      </c>
      <c r="Z164" s="4" t="s">
        <v>62</v>
      </c>
      <c r="AA164" s="4" t="s">
        <v>62</v>
      </c>
      <c r="AB164" s="4" t="s">
        <v>62</v>
      </c>
      <c r="AC164" s="4" t="s">
        <v>62</v>
      </c>
      <c r="AD164" s="4" t="s">
        <v>62</v>
      </c>
      <c r="AE164" s="4" t="s">
        <v>62</v>
      </c>
      <c r="AF164" s="4" t="s">
        <v>62</v>
      </c>
      <c r="AG164" s="4" t="s">
        <v>62</v>
      </c>
    </row>
    <row r="165" spans="2:34" hidden="1">
      <c r="B165" s="170">
        <v>28</v>
      </c>
      <c r="C165" s="171" t="str">
        <f>LEFT(EmpGName28)&amp;" " &amp;EmpSName28</f>
        <v xml:space="preserve"> </v>
      </c>
      <c r="D165" s="172" t="s">
        <v>62</v>
      </c>
      <c r="E165" s="172" t="s">
        <v>62</v>
      </c>
      <c r="F165" s="172" t="s">
        <v>62</v>
      </c>
      <c r="G165" s="172" t="s">
        <v>62</v>
      </c>
      <c r="H165" s="172" t="s">
        <v>62</v>
      </c>
      <c r="I165" s="172" t="s">
        <v>62</v>
      </c>
      <c r="J165" s="172" t="s">
        <v>62</v>
      </c>
      <c r="K165" s="172" t="s">
        <v>62</v>
      </c>
      <c r="L165" s="172" t="s">
        <v>62</v>
      </c>
      <c r="M165" s="172" t="s">
        <v>62</v>
      </c>
      <c r="N165" s="172" t="s">
        <v>62</v>
      </c>
      <c r="O165" s="172" t="s">
        <v>62</v>
      </c>
      <c r="P165" s="172" t="s">
        <v>62</v>
      </c>
      <c r="Q165" s="172" t="s">
        <v>62</v>
      </c>
      <c r="R165" s="172" t="s">
        <v>62</v>
      </c>
      <c r="S165" s="172" t="s">
        <v>62</v>
      </c>
      <c r="T165" s="172" t="s">
        <v>62</v>
      </c>
      <c r="U165" s="172" t="s">
        <v>62</v>
      </c>
      <c r="V165" s="172" t="s">
        <v>62</v>
      </c>
      <c r="W165" s="172" t="s">
        <v>62</v>
      </c>
      <c r="X165" s="172" t="s">
        <v>62</v>
      </c>
      <c r="Y165" s="172" t="s">
        <v>62</v>
      </c>
      <c r="Z165" s="172" t="s">
        <v>62</v>
      </c>
      <c r="AA165" s="172" t="s">
        <v>62</v>
      </c>
      <c r="AB165" s="172" t="s">
        <v>62</v>
      </c>
      <c r="AC165" s="172" t="s">
        <v>62</v>
      </c>
      <c r="AD165" s="172" t="s">
        <v>62</v>
      </c>
      <c r="AE165" s="172" t="s">
        <v>62</v>
      </c>
      <c r="AF165" s="172" t="s">
        <v>62</v>
      </c>
      <c r="AG165" s="172" t="s">
        <v>62</v>
      </c>
    </row>
    <row r="166" spans="2:34" s="2" customFormat="1">
      <c r="B166" s="173"/>
      <c r="C166" s="174"/>
      <c r="D166" s="223"/>
      <c r="E166" s="223"/>
      <c r="F166" s="223"/>
      <c r="G166" s="223"/>
      <c r="H166" s="223"/>
      <c r="I166" s="223"/>
      <c r="J166" s="223"/>
      <c r="K166" s="223"/>
      <c r="L166" s="223"/>
      <c r="M166" s="223"/>
      <c r="N166" s="223"/>
      <c r="O166" s="223"/>
      <c r="P166" s="223"/>
      <c r="Q166" s="223"/>
      <c r="R166" s="223"/>
      <c r="S166" s="223"/>
      <c r="T166" s="223"/>
      <c r="U166" s="223"/>
      <c r="V166" s="223"/>
      <c r="W166" s="223"/>
      <c r="X166" s="223"/>
      <c r="Y166" s="223"/>
      <c r="Z166" s="223"/>
      <c r="AA166" s="223"/>
      <c r="AB166" s="223"/>
      <c r="AC166" s="223"/>
      <c r="AD166" s="223"/>
      <c r="AE166" s="223"/>
      <c r="AF166" s="223"/>
      <c r="AG166" s="223"/>
    </row>
    <row r="167" spans="2:34">
      <c r="C167" s="190">
        <f>CurYear-1</f>
        <v>2019</v>
      </c>
      <c r="D167" s="5" t="str">
        <f t="shared" ref="D167:AG167" si="5">LEFT(TEXT(D168&amp;"-"&amp;$C168&amp;"-"&amp; CurYear-1,"ddd"),2)</f>
        <v>Su</v>
      </c>
      <c r="E167" s="5" t="str">
        <f t="shared" si="5"/>
        <v>Mo</v>
      </c>
      <c r="F167" s="5" t="str">
        <f t="shared" si="5"/>
        <v>Tu</v>
      </c>
      <c r="G167" s="5" t="str">
        <f t="shared" si="5"/>
        <v>We</v>
      </c>
      <c r="H167" s="5" t="str">
        <f t="shared" si="5"/>
        <v>Th</v>
      </c>
      <c r="I167" s="5" t="str">
        <f t="shared" si="5"/>
        <v>Fr</v>
      </c>
      <c r="J167" s="5" t="str">
        <f t="shared" si="5"/>
        <v>Sa</v>
      </c>
      <c r="K167" s="5" t="str">
        <f t="shared" si="5"/>
        <v>Su</v>
      </c>
      <c r="L167" s="5" t="str">
        <f t="shared" si="5"/>
        <v>Mo</v>
      </c>
      <c r="M167" s="5" t="str">
        <f t="shared" si="5"/>
        <v>Tu</v>
      </c>
      <c r="N167" s="5" t="str">
        <f t="shared" si="5"/>
        <v>We</v>
      </c>
      <c r="O167" s="5" t="str">
        <f t="shared" si="5"/>
        <v>Th</v>
      </c>
      <c r="P167" s="5" t="str">
        <f t="shared" si="5"/>
        <v>Fr</v>
      </c>
      <c r="Q167" s="5" t="str">
        <f t="shared" si="5"/>
        <v>Sa</v>
      </c>
      <c r="R167" s="5" t="str">
        <f t="shared" si="5"/>
        <v>Su</v>
      </c>
      <c r="S167" s="5" t="str">
        <f t="shared" si="5"/>
        <v>Mo</v>
      </c>
      <c r="T167" s="5" t="str">
        <f t="shared" si="5"/>
        <v>Tu</v>
      </c>
      <c r="U167" s="5" t="str">
        <f t="shared" si="5"/>
        <v>We</v>
      </c>
      <c r="V167" s="5" t="str">
        <f t="shared" si="5"/>
        <v>Th</v>
      </c>
      <c r="W167" s="5" t="str">
        <f t="shared" si="5"/>
        <v>Fr</v>
      </c>
      <c r="X167" s="5" t="str">
        <f t="shared" si="5"/>
        <v>Sa</v>
      </c>
      <c r="Y167" s="5" t="str">
        <f t="shared" si="5"/>
        <v>Su</v>
      </c>
      <c r="Z167" s="5" t="str">
        <f t="shared" si="5"/>
        <v>Mo</v>
      </c>
      <c r="AA167" s="5" t="str">
        <f t="shared" si="5"/>
        <v>Tu</v>
      </c>
      <c r="AB167" s="5" t="str">
        <f t="shared" si="5"/>
        <v>We</v>
      </c>
      <c r="AC167" s="5" t="str">
        <f t="shared" si="5"/>
        <v>Th</v>
      </c>
      <c r="AD167" s="5" t="str">
        <f t="shared" si="5"/>
        <v>Fr</v>
      </c>
      <c r="AE167" s="5" t="str">
        <f t="shared" si="5"/>
        <v>Sa</v>
      </c>
      <c r="AF167" s="5" t="str">
        <f t="shared" si="5"/>
        <v>Su</v>
      </c>
      <c r="AG167" s="5" t="str">
        <f t="shared" si="5"/>
        <v>Mo</v>
      </c>
      <c r="AH167" s="5" t="str">
        <f>LEFT(TEXT(AH168&amp;"-"&amp;$C168&amp;"-"&amp; CurYear-1,"ddd"),2)</f>
        <v>Tu</v>
      </c>
    </row>
    <row r="168" spans="2:34">
      <c r="B168" s="86"/>
      <c r="C168" s="191" t="s">
        <v>23</v>
      </c>
      <c r="D168" s="193">
        <v>1</v>
      </c>
      <c r="E168" s="193">
        <v>2</v>
      </c>
      <c r="F168" s="193">
        <v>3</v>
      </c>
      <c r="G168" s="192">
        <v>4</v>
      </c>
      <c r="H168" s="193">
        <v>5</v>
      </c>
      <c r="I168" s="193">
        <v>6</v>
      </c>
      <c r="J168" s="193">
        <v>7</v>
      </c>
      <c r="K168" s="193">
        <v>8</v>
      </c>
      <c r="L168" s="193">
        <v>9</v>
      </c>
      <c r="M168" s="193">
        <v>10</v>
      </c>
      <c r="N168" s="193">
        <v>11</v>
      </c>
      <c r="O168" s="193">
        <v>12</v>
      </c>
      <c r="P168" s="193">
        <v>13</v>
      </c>
      <c r="Q168" s="193">
        <v>14</v>
      </c>
      <c r="R168" s="193">
        <v>15</v>
      </c>
      <c r="S168" s="193">
        <v>16</v>
      </c>
      <c r="T168" s="193">
        <v>17</v>
      </c>
      <c r="U168" s="192">
        <v>18</v>
      </c>
      <c r="V168" s="193">
        <v>19</v>
      </c>
      <c r="W168" s="193">
        <v>20</v>
      </c>
      <c r="X168" s="193">
        <v>21</v>
      </c>
      <c r="Y168" s="193">
        <v>22</v>
      </c>
      <c r="Z168" s="193">
        <v>23</v>
      </c>
      <c r="AA168" s="197">
        <v>24</v>
      </c>
      <c r="AB168" s="197">
        <v>25</v>
      </c>
      <c r="AC168" s="197">
        <v>26</v>
      </c>
      <c r="AD168" s="193">
        <v>27</v>
      </c>
      <c r="AE168" s="193">
        <v>28</v>
      </c>
      <c r="AF168" s="193">
        <v>29</v>
      </c>
      <c r="AG168" s="193">
        <v>30</v>
      </c>
      <c r="AH168" s="197">
        <v>31</v>
      </c>
    </row>
    <row r="169" spans="2:34">
      <c r="B169" s="83">
        <v>1</v>
      </c>
      <c r="C169" s="87" t="str">
        <f>LEFT(EmpGName01)&amp;" " &amp; EmpSName01</f>
        <v>L Marampon</v>
      </c>
      <c r="D169" s="4" t="s">
        <v>62</v>
      </c>
      <c r="E169" s="4" t="s">
        <v>62</v>
      </c>
      <c r="F169" s="4" t="s">
        <v>62</v>
      </c>
      <c r="G169" s="4" t="s">
        <v>62</v>
      </c>
      <c r="H169" s="4" t="s">
        <v>62</v>
      </c>
      <c r="I169" s="4" t="s">
        <v>62</v>
      </c>
      <c r="J169" s="4" t="s">
        <v>62</v>
      </c>
      <c r="K169" s="4" t="s">
        <v>62</v>
      </c>
      <c r="L169" s="4" t="s">
        <v>62</v>
      </c>
      <c r="M169" s="4" t="s">
        <v>62</v>
      </c>
      <c r="N169" s="4" t="s">
        <v>62</v>
      </c>
      <c r="O169" s="4" t="s">
        <v>62</v>
      </c>
      <c r="P169" s="4" t="s">
        <v>62</v>
      </c>
      <c r="Q169" s="4" t="s">
        <v>62</v>
      </c>
      <c r="R169" s="4" t="s">
        <v>62</v>
      </c>
      <c r="S169" s="4" t="s">
        <v>62</v>
      </c>
      <c r="T169" s="4" t="s">
        <v>62</v>
      </c>
      <c r="U169" s="4" t="s">
        <v>62</v>
      </c>
      <c r="V169" s="4" t="s">
        <v>62</v>
      </c>
      <c r="W169" s="4" t="s">
        <v>62</v>
      </c>
      <c r="X169" s="4" t="s">
        <v>62</v>
      </c>
      <c r="Y169" s="4" t="s">
        <v>62</v>
      </c>
      <c r="Z169" s="4" t="s">
        <v>62</v>
      </c>
      <c r="AA169" s="4" t="s">
        <v>62</v>
      </c>
      <c r="AB169" s="4" t="s">
        <v>62</v>
      </c>
      <c r="AC169" s="4" t="s">
        <v>62</v>
      </c>
      <c r="AD169" s="4" t="s">
        <v>62</v>
      </c>
      <c r="AE169" s="4" t="s">
        <v>62</v>
      </c>
      <c r="AF169" s="4" t="s">
        <v>62</v>
      </c>
      <c r="AG169" s="4" t="s">
        <v>62</v>
      </c>
      <c r="AH169" s="4" t="s">
        <v>62</v>
      </c>
    </row>
    <row r="170" spans="2:34">
      <c r="B170" s="83">
        <v>2</v>
      </c>
      <c r="C170" s="88" t="str">
        <f>LEFT(EmpGName02)&amp;" " &amp;EmpSName02</f>
        <v>K Stone</v>
      </c>
      <c r="D170" s="3" t="s">
        <v>62</v>
      </c>
      <c r="E170" s="3" t="s">
        <v>62</v>
      </c>
      <c r="F170" s="3" t="s">
        <v>62</v>
      </c>
      <c r="G170" s="3" t="s">
        <v>62</v>
      </c>
      <c r="H170" s="3" t="s">
        <v>62</v>
      </c>
      <c r="I170" s="3" t="s">
        <v>62</v>
      </c>
      <c r="J170" s="3" t="s">
        <v>62</v>
      </c>
      <c r="K170" s="3" t="s">
        <v>62</v>
      </c>
      <c r="L170" s="3" t="s">
        <v>62</v>
      </c>
      <c r="M170" s="3" t="s">
        <v>62</v>
      </c>
      <c r="N170" s="3" t="s">
        <v>62</v>
      </c>
      <c r="O170" s="3" t="s">
        <v>62</v>
      </c>
      <c r="P170" s="3" t="s">
        <v>62</v>
      </c>
      <c r="Q170" s="3" t="s">
        <v>62</v>
      </c>
      <c r="R170" s="3" t="s">
        <v>62</v>
      </c>
      <c r="S170" s="3" t="s">
        <v>62</v>
      </c>
      <c r="T170" s="3" t="s">
        <v>62</v>
      </c>
      <c r="U170" s="3" t="s">
        <v>62</v>
      </c>
      <c r="V170" s="3" t="s">
        <v>62</v>
      </c>
      <c r="W170" s="3" t="s">
        <v>62</v>
      </c>
      <c r="X170" s="3" t="s">
        <v>62</v>
      </c>
      <c r="Y170" s="3" t="s">
        <v>62</v>
      </c>
      <c r="Z170" s="3" t="s">
        <v>62</v>
      </c>
      <c r="AA170" s="3" t="s">
        <v>62</v>
      </c>
      <c r="AB170" s="3" t="s">
        <v>62</v>
      </c>
      <c r="AC170" s="3" t="s">
        <v>62</v>
      </c>
      <c r="AD170" s="3" t="s">
        <v>62</v>
      </c>
      <c r="AE170" s="3" t="s">
        <v>62</v>
      </c>
      <c r="AF170" s="3" t="s">
        <v>62</v>
      </c>
      <c r="AG170" s="3" t="s">
        <v>62</v>
      </c>
      <c r="AH170" s="3" t="s">
        <v>62</v>
      </c>
    </row>
    <row r="171" spans="2:34">
      <c r="B171" s="83">
        <v>3</v>
      </c>
      <c r="C171" s="87" t="str">
        <f>LEFT(EmpGName03)&amp;" " &amp;EmpSName03</f>
        <v>I Thelning</v>
      </c>
      <c r="D171" s="4" t="s">
        <v>62</v>
      </c>
      <c r="E171" s="4" t="s">
        <v>62</v>
      </c>
      <c r="F171" s="4" t="s">
        <v>62</v>
      </c>
      <c r="G171" s="4" t="s">
        <v>62</v>
      </c>
      <c r="H171" s="4" t="s">
        <v>62</v>
      </c>
      <c r="I171" s="4" t="s">
        <v>62</v>
      </c>
      <c r="J171" s="4" t="s">
        <v>62</v>
      </c>
      <c r="K171" s="4" t="s">
        <v>62</v>
      </c>
      <c r="L171" s="4" t="s">
        <v>62</v>
      </c>
      <c r="M171" s="4" t="s">
        <v>62</v>
      </c>
      <c r="N171" s="4" t="s">
        <v>62</v>
      </c>
      <c r="O171" s="4" t="s">
        <v>62</v>
      </c>
      <c r="P171" s="4" t="s">
        <v>62</v>
      </c>
      <c r="Q171" s="4" t="s">
        <v>62</v>
      </c>
      <c r="R171" s="4" t="s">
        <v>62</v>
      </c>
      <c r="S171" s="4" t="s">
        <v>62</v>
      </c>
      <c r="T171" s="4" t="s">
        <v>62</v>
      </c>
      <c r="U171" s="4" t="s">
        <v>62</v>
      </c>
      <c r="V171" s="4" t="s">
        <v>62</v>
      </c>
      <c r="W171" s="4" t="s">
        <v>62</v>
      </c>
      <c r="X171" s="4" t="s">
        <v>62</v>
      </c>
      <c r="Y171" s="4" t="s">
        <v>62</v>
      </c>
      <c r="Z171" s="4" t="s">
        <v>62</v>
      </c>
      <c r="AA171" s="4" t="s">
        <v>62</v>
      </c>
      <c r="AB171" s="4" t="s">
        <v>62</v>
      </c>
      <c r="AC171" s="4" t="s">
        <v>62</v>
      </c>
      <c r="AD171" s="4" t="s">
        <v>62</v>
      </c>
      <c r="AE171" s="4" t="s">
        <v>62</v>
      </c>
      <c r="AF171" s="4" t="s">
        <v>62</v>
      </c>
      <c r="AG171" s="4" t="s">
        <v>62</v>
      </c>
      <c r="AH171" s="4" t="s">
        <v>62</v>
      </c>
    </row>
    <row r="172" spans="2:34">
      <c r="B172" s="83">
        <v>4</v>
      </c>
      <c r="C172" s="88" t="str">
        <f>LEFT(EmpGName04)&amp;" " &amp;EmpSName04</f>
        <v>L King</v>
      </c>
      <c r="D172" s="3" t="s">
        <v>62</v>
      </c>
      <c r="E172" s="3" t="s">
        <v>62</v>
      </c>
      <c r="F172" s="3" t="s">
        <v>62</v>
      </c>
      <c r="G172" s="3" t="s">
        <v>62</v>
      </c>
      <c r="H172" s="3" t="s">
        <v>62</v>
      </c>
      <c r="I172" s="3" t="s">
        <v>62</v>
      </c>
      <c r="J172" s="3" t="s">
        <v>62</v>
      </c>
      <c r="K172" s="3" t="s">
        <v>62</v>
      </c>
      <c r="L172" s="3" t="s">
        <v>62</v>
      </c>
      <c r="M172" s="3" t="s">
        <v>62</v>
      </c>
      <c r="N172" s="3" t="s">
        <v>62</v>
      </c>
      <c r="O172" s="3" t="s">
        <v>62</v>
      </c>
      <c r="P172" s="3" t="s">
        <v>62</v>
      </c>
      <c r="Q172" s="3" t="s">
        <v>62</v>
      </c>
      <c r="R172" s="3" t="s">
        <v>62</v>
      </c>
      <c r="S172" s="3" t="s">
        <v>62</v>
      </c>
      <c r="T172" s="3" t="s">
        <v>62</v>
      </c>
      <c r="U172" s="3" t="s">
        <v>62</v>
      </c>
      <c r="V172" s="3" t="s">
        <v>62</v>
      </c>
      <c r="W172" s="3" t="s">
        <v>62</v>
      </c>
      <c r="X172" s="3" t="s">
        <v>62</v>
      </c>
      <c r="Y172" s="3" t="s">
        <v>62</v>
      </c>
      <c r="Z172" s="3" t="s">
        <v>62</v>
      </c>
      <c r="AA172" s="3" t="s">
        <v>62</v>
      </c>
      <c r="AB172" s="3" t="s">
        <v>62</v>
      </c>
      <c r="AC172" s="3" t="s">
        <v>62</v>
      </c>
      <c r="AD172" s="3" t="s">
        <v>62</v>
      </c>
      <c r="AE172" s="3" t="s">
        <v>62</v>
      </c>
      <c r="AF172" s="3" t="s">
        <v>62</v>
      </c>
      <c r="AG172" s="3" t="s">
        <v>62</v>
      </c>
      <c r="AH172" s="3" t="s">
        <v>62</v>
      </c>
    </row>
    <row r="173" spans="2:34">
      <c r="B173" s="83">
        <v>5</v>
      </c>
      <c r="C173" s="87" t="str">
        <f>LEFT(EmpGName05)&amp;" " &amp;EmpSName05</f>
        <v>D Castle</v>
      </c>
      <c r="D173" s="4" t="s">
        <v>62</v>
      </c>
      <c r="E173" s="4" t="s">
        <v>62</v>
      </c>
      <c r="F173" s="4" t="s">
        <v>62</v>
      </c>
      <c r="G173" s="4" t="s">
        <v>62</v>
      </c>
      <c r="H173" s="4" t="s">
        <v>62</v>
      </c>
      <c r="I173" s="4" t="s">
        <v>62</v>
      </c>
      <c r="J173" s="4" t="s">
        <v>62</v>
      </c>
      <c r="K173" s="4" t="s">
        <v>62</v>
      </c>
      <c r="L173" s="4" t="s">
        <v>62</v>
      </c>
      <c r="M173" s="4" t="s">
        <v>62</v>
      </c>
      <c r="N173" s="4" t="s">
        <v>62</v>
      </c>
      <c r="O173" s="4" t="s">
        <v>62</v>
      </c>
      <c r="P173" s="4" t="s">
        <v>62</v>
      </c>
      <c r="Q173" s="4" t="s">
        <v>62</v>
      </c>
      <c r="R173" s="4" t="s">
        <v>62</v>
      </c>
      <c r="S173" s="4" t="s">
        <v>62</v>
      </c>
      <c r="T173" s="4" t="s">
        <v>62</v>
      </c>
      <c r="U173" s="4" t="s">
        <v>62</v>
      </c>
      <c r="V173" s="4" t="s">
        <v>62</v>
      </c>
      <c r="W173" s="4" t="s">
        <v>62</v>
      </c>
      <c r="X173" s="4" t="s">
        <v>62</v>
      </c>
      <c r="Y173" s="4" t="s">
        <v>62</v>
      </c>
      <c r="Z173" s="4" t="s">
        <v>62</v>
      </c>
      <c r="AA173" s="4" t="s">
        <v>62</v>
      </c>
      <c r="AB173" s="4" t="s">
        <v>62</v>
      </c>
      <c r="AC173" s="4" t="s">
        <v>62</v>
      </c>
      <c r="AD173" s="4" t="s">
        <v>62</v>
      </c>
      <c r="AE173" s="4" t="s">
        <v>62</v>
      </c>
      <c r="AF173" s="4" t="s">
        <v>62</v>
      </c>
      <c r="AG173" s="4" t="s">
        <v>62</v>
      </c>
      <c r="AH173" s="4" t="s">
        <v>62</v>
      </c>
    </row>
    <row r="174" spans="2:34">
      <c r="B174" s="83">
        <v>6</v>
      </c>
      <c r="C174" s="88" t="str">
        <f>LEFT(EmpGName06)&amp;" " &amp;EmpSName06</f>
        <v>R Fielding</v>
      </c>
      <c r="D174" s="3" t="s">
        <v>62</v>
      </c>
      <c r="E174" s="3" t="s">
        <v>62</v>
      </c>
      <c r="F174" s="3" t="s">
        <v>62</v>
      </c>
      <c r="G174" s="3" t="s">
        <v>62</v>
      </c>
      <c r="H174" s="3" t="s">
        <v>62</v>
      </c>
      <c r="I174" s="3" t="s">
        <v>62</v>
      </c>
      <c r="J174" s="3" t="s">
        <v>62</v>
      </c>
      <c r="K174" s="3" t="s">
        <v>62</v>
      </c>
      <c r="L174" s="3" t="s">
        <v>62</v>
      </c>
      <c r="M174" s="3" t="s">
        <v>62</v>
      </c>
      <c r="N174" s="3" t="s">
        <v>62</v>
      </c>
      <c r="O174" s="3" t="s">
        <v>62</v>
      </c>
      <c r="P174" s="3" t="s">
        <v>62</v>
      </c>
      <c r="Q174" s="3" t="s">
        <v>62</v>
      </c>
      <c r="R174" s="3" t="s">
        <v>62</v>
      </c>
      <c r="S174" s="3" t="s">
        <v>62</v>
      </c>
      <c r="T174" s="3" t="s">
        <v>62</v>
      </c>
      <c r="U174" s="3" t="s">
        <v>62</v>
      </c>
      <c r="V174" s="3" t="s">
        <v>62</v>
      </c>
      <c r="W174" s="3" t="s">
        <v>62</v>
      </c>
      <c r="X174" s="3" t="s">
        <v>62</v>
      </c>
      <c r="Y174" s="3" t="s">
        <v>62</v>
      </c>
      <c r="Z174" s="3" t="s">
        <v>62</v>
      </c>
      <c r="AA174" s="3" t="s">
        <v>62</v>
      </c>
      <c r="AB174" s="3" t="s">
        <v>62</v>
      </c>
      <c r="AC174" s="3" t="s">
        <v>62</v>
      </c>
      <c r="AD174" s="3" t="s">
        <v>62</v>
      </c>
      <c r="AE174" s="3" t="s">
        <v>62</v>
      </c>
      <c r="AF174" s="3" t="s">
        <v>62</v>
      </c>
      <c r="AG174" s="3" t="s">
        <v>62</v>
      </c>
      <c r="AH174" s="3" t="s">
        <v>62</v>
      </c>
    </row>
    <row r="175" spans="2:34">
      <c r="B175" s="83">
        <v>7</v>
      </c>
      <c r="C175" s="87" t="str">
        <f>LEFT(EmpGName07)&amp;" " &amp;EmpSName07</f>
        <v>T Sorensen</v>
      </c>
      <c r="D175" s="4" t="s">
        <v>62</v>
      </c>
      <c r="E175" s="4" t="s">
        <v>62</v>
      </c>
      <c r="F175" s="4" t="s">
        <v>62</v>
      </c>
      <c r="G175" s="4" t="s">
        <v>62</v>
      </c>
      <c r="H175" s="4" t="s">
        <v>62</v>
      </c>
      <c r="I175" s="4" t="s">
        <v>62</v>
      </c>
      <c r="J175" s="4" t="s">
        <v>62</v>
      </c>
      <c r="K175" s="4" t="s">
        <v>62</v>
      </c>
      <c r="L175" s="4" t="s">
        <v>62</v>
      </c>
      <c r="M175" s="4" t="s">
        <v>62</v>
      </c>
      <c r="N175" s="4" t="s">
        <v>62</v>
      </c>
      <c r="O175" s="4" t="s">
        <v>62</v>
      </c>
      <c r="P175" s="4" t="s">
        <v>62</v>
      </c>
      <c r="Q175" s="4" t="s">
        <v>62</v>
      </c>
      <c r="R175" s="4" t="s">
        <v>62</v>
      </c>
      <c r="S175" s="4" t="s">
        <v>62</v>
      </c>
      <c r="T175" s="4" t="s">
        <v>62</v>
      </c>
      <c r="U175" s="4" t="s">
        <v>62</v>
      </c>
      <c r="V175" s="4" t="s">
        <v>62</v>
      </c>
      <c r="W175" s="4" t="s">
        <v>62</v>
      </c>
      <c r="X175" s="4" t="s">
        <v>62</v>
      </c>
      <c r="Y175" s="4" t="s">
        <v>62</v>
      </c>
      <c r="Z175" s="4" t="s">
        <v>62</v>
      </c>
      <c r="AA175" s="4" t="s">
        <v>62</v>
      </c>
      <c r="AB175" s="4" t="s">
        <v>62</v>
      </c>
      <c r="AC175" s="4" t="s">
        <v>62</v>
      </c>
      <c r="AD175" s="4" t="s">
        <v>62</v>
      </c>
      <c r="AE175" s="4" t="s">
        <v>62</v>
      </c>
      <c r="AF175" s="4" t="s">
        <v>62</v>
      </c>
      <c r="AG175" s="4" t="s">
        <v>62</v>
      </c>
      <c r="AH175" s="4" t="s">
        <v>62</v>
      </c>
    </row>
    <row r="176" spans="2:34">
      <c r="B176" s="83">
        <v>8</v>
      </c>
      <c r="C176" s="88" t="str">
        <f>LEFT(EmpGName08)&amp;" " &amp;EmpSName08</f>
        <v>C Horse</v>
      </c>
      <c r="D176" s="3" t="s">
        <v>62</v>
      </c>
      <c r="E176" s="3" t="s">
        <v>62</v>
      </c>
      <c r="F176" s="3" t="s">
        <v>62</v>
      </c>
      <c r="G176" s="3" t="s">
        <v>62</v>
      </c>
      <c r="H176" s="3" t="s">
        <v>62</v>
      </c>
      <c r="I176" s="3" t="s">
        <v>62</v>
      </c>
      <c r="J176" s="3" t="s">
        <v>62</v>
      </c>
      <c r="K176" s="3" t="s">
        <v>62</v>
      </c>
      <c r="L176" s="3" t="s">
        <v>62</v>
      </c>
      <c r="M176" s="3" t="s">
        <v>62</v>
      </c>
      <c r="N176" s="3" t="s">
        <v>62</v>
      </c>
      <c r="O176" s="3" t="s">
        <v>62</v>
      </c>
      <c r="P176" s="3" t="s">
        <v>62</v>
      </c>
      <c r="Q176" s="3" t="s">
        <v>62</v>
      </c>
      <c r="R176" s="3" t="s">
        <v>62</v>
      </c>
      <c r="S176" s="3" t="s">
        <v>62</v>
      </c>
      <c r="T176" s="3" t="s">
        <v>62</v>
      </c>
      <c r="U176" s="3" t="s">
        <v>62</v>
      </c>
      <c r="V176" s="3" t="s">
        <v>62</v>
      </c>
      <c r="W176" s="3" t="s">
        <v>62</v>
      </c>
      <c r="X176" s="3" t="s">
        <v>62</v>
      </c>
      <c r="Y176" s="3" t="s">
        <v>62</v>
      </c>
      <c r="Z176" s="3" t="s">
        <v>62</v>
      </c>
      <c r="AA176" s="3" t="s">
        <v>62</v>
      </c>
      <c r="AB176" s="3" t="s">
        <v>62</v>
      </c>
      <c r="AC176" s="3" t="s">
        <v>62</v>
      </c>
      <c r="AD176" s="3" t="s">
        <v>62</v>
      </c>
      <c r="AE176" s="3" t="s">
        <v>62</v>
      </c>
      <c r="AF176" s="3" t="s">
        <v>62</v>
      </c>
      <c r="AG176" s="3" t="s">
        <v>62</v>
      </c>
      <c r="AH176" s="3" t="s">
        <v>62</v>
      </c>
    </row>
    <row r="177" spans="2:34">
      <c r="B177" s="83">
        <v>9</v>
      </c>
      <c r="C177" s="87" t="str">
        <f>LEFT(EmpGName09)&amp;" " &amp;EmpSName09</f>
        <v xml:space="preserve">E Horse </v>
      </c>
      <c r="D177" s="4" t="s">
        <v>62</v>
      </c>
      <c r="E177" s="4" t="s">
        <v>62</v>
      </c>
      <c r="F177" s="4" t="s">
        <v>62</v>
      </c>
      <c r="G177" s="4" t="s">
        <v>62</v>
      </c>
      <c r="H177" s="4" t="s">
        <v>62</v>
      </c>
      <c r="I177" s="4" t="s">
        <v>62</v>
      </c>
      <c r="J177" s="4" t="s">
        <v>62</v>
      </c>
      <c r="K177" s="4" t="s">
        <v>62</v>
      </c>
      <c r="L177" s="4" t="s">
        <v>62</v>
      </c>
      <c r="M177" s="4" t="s">
        <v>62</v>
      </c>
      <c r="N177" s="4" t="s">
        <v>62</v>
      </c>
      <c r="O177" s="4" t="s">
        <v>62</v>
      </c>
      <c r="P177" s="4" t="s">
        <v>62</v>
      </c>
      <c r="Q177" s="4" t="s">
        <v>62</v>
      </c>
      <c r="R177" s="4" t="s">
        <v>62</v>
      </c>
      <c r="S177" s="4" t="s">
        <v>62</v>
      </c>
      <c r="T177" s="4" t="s">
        <v>62</v>
      </c>
      <c r="U177" s="4" t="s">
        <v>62</v>
      </c>
      <c r="V177" s="4" t="s">
        <v>62</v>
      </c>
      <c r="W177" s="4" t="s">
        <v>62</v>
      </c>
      <c r="X177" s="4" t="s">
        <v>62</v>
      </c>
      <c r="Y177" s="4" t="s">
        <v>62</v>
      </c>
      <c r="Z177" s="4" t="s">
        <v>62</v>
      </c>
      <c r="AA177" s="4" t="s">
        <v>62</v>
      </c>
      <c r="AB177" s="4" t="s">
        <v>62</v>
      </c>
      <c r="AC177" s="4" t="s">
        <v>62</v>
      </c>
      <c r="AD177" s="4" t="s">
        <v>62</v>
      </c>
      <c r="AE177" s="4" t="s">
        <v>62</v>
      </c>
      <c r="AF177" s="4" t="s">
        <v>62</v>
      </c>
      <c r="AG177" s="4" t="s">
        <v>62</v>
      </c>
      <c r="AH177" s="4" t="s">
        <v>62</v>
      </c>
    </row>
    <row r="178" spans="2:34">
      <c r="B178" s="139">
        <v>10</v>
      </c>
      <c r="C178" s="88" t="str">
        <f>LEFT(EmpGName10)&amp;" " &amp;EmpSName10</f>
        <v>J Smeegal</v>
      </c>
      <c r="D178" s="3" t="s">
        <v>62</v>
      </c>
      <c r="E178" s="3" t="s">
        <v>62</v>
      </c>
      <c r="F178" s="3" t="s">
        <v>62</v>
      </c>
      <c r="G178" s="3" t="s">
        <v>62</v>
      </c>
      <c r="H178" s="3" t="s">
        <v>62</v>
      </c>
      <c r="I178" s="3" t="s">
        <v>62</v>
      </c>
      <c r="J178" s="3" t="s">
        <v>62</v>
      </c>
      <c r="K178" s="3" t="s">
        <v>62</v>
      </c>
      <c r="L178" s="3" t="s">
        <v>62</v>
      </c>
      <c r="M178" s="3" t="s">
        <v>62</v>
      </c>
      <c r="N178" s="3" t="s">
        <v>62</v>
      </c>
      <c r="O178" s="3" t="s">
        <v>62</v>
      </c>
      <c r="P178" s="3" t="s">
        <v>62</v>
      </c>
      <c r="Q178" s="3" t="s">
        <v>62</v>
      </c>
      <c r="R178" s="3" t="s">
        <v>62</v>
      </c>
      <c r="S178" s="3" t="s">
        <v>62</v>
      </c>
      <c r="T178" s="3" t="s">
        <v>62</v>
      </c>
      <c r="U178" s="3" t="s">
        <v>62</v>
      </c>
      <c r="V178" s="3" t="s">
        <v>62</v>
      </c>
      <c r="W178" s="3" t="s">
        <v>62</v>
      </c>
      <c r="X178" s="3" t="s">
        <v>62</v>
      </c>
      <c r="Y178" s="3" t="s">
        <v>62</v>
      </c>
      <c r="Z178" s="3" t="s">
        <v>62</v>
      </c>
      <c r="AA178" s="3" t="s">
        <v>62</v>
      </c>
      <c r="AB178" s="3" t="s">
        <v>62</v>
      </c>
      <c r="AC178" s="3" t="s">
        <v>62</v>
      </c>
      <c r="AD178" s="3" t="s">
        <v>62</v>
      </c>
      <c r="AE178" s="3" t="s">
        <v>62</v>
      </c>
      <c r="AF178" s="3" t="s">
        <v>62</v>
      </c>
      <c r="AG178" s="3" t="s">
        <v>62</v>
      </c>
      <c r="AH178" s="3" t="s">
        <v>62</v>
      </c>
    </row>
    <row r="179" spans="2:34">
      <c r="B179" s="139">
        <v>11</v>
      </c>
      <c r="C179" s="87" t="str">
        <f>LEFT(EmpGName11)&amp;" " &amp;EmpSName11</f>
        <v>E Smeegal</v>
      </c>
      <c r="D179" s="4" t="s">
        <v>62</v>
      </c>
      <c r="E179" s="4" t="s">
        <v>62</v>
      </c>
      <c r="F179" s="4" t="s">
        <v>62</v>
      </c>
      <c r="G179" s="4" t="s">
        <v>62</v>
      </c>
      <c r="H179" s="4" t="s">
        <v>62</v>
      </c>
      <c r="I179" s="4" t="s">
        <v>62</v>
      </c>
      <c r="J179" s="4" t="s">
        <v>62</v>
      </c>
      <c r="K179" s="4" t="s">
        <v>62</v>
      </c>
      <c r="L179" s="4" t="s">
        <v>62</v>
      </c>
      <c r="M179" s="4" t="s">
        <v>62</v>
      </c>
      <c r="N179" s="4" t="s">
        <v>62</v>
      </c>
      <c r="O179" s="4" t="s">
        <v>62</v>
      </c>
      <c r="P179" s="4" t="s">
        <v>62</v>
      </c>
      <c r="Q179" s="4" t="s">
        <v>62</v>
      </c>
      <c r="R179" s="4" t="s">
        <v>62</v>
      </c>
      <c r="S179" s="4" t="s">
        <v>62</v>
      </c>
      <c r="T179" s="4" t="s">
        <v>62</v>
      </c>
      <c r="U179" s="4" t="s">
        <v>62</v>
      </c>
      <c r="V179" s="4" t="s">
        <v>62</v>
      </c>
      <c r="W179" s="4" t="s">
        <v>62</v>
      </c>
      <c r="X179" s="4" t="s">
        <v>62</v>
      </c>
      <c r="Y179" s="4" t="s">
        <v>62</v>
      </c>
      <c r="Z179" s="4" t="s">
        <v>62</v>
      </c>
      <c r="AA179" s="4" t="s">
        <v>62</v>
      </c>
      <c r="AB179" s="4" t="s">
        <v>62</v>
      </c>
      <c r="AC179" s="4" t="s">
        <v>62</v>
      </c>
      <c r="AD179" s="4" t="s">
        <v>62</v>
      </c>
      <c r="AE179" s="4" t="s">
        <v>62</v>
      </c>
      <c r="AF179" s="4" t="s">
        <v>62</v>
      </c>
      <c r="AG179" s="4" t="s">
        <v>62</v>
      </c>
      <c r="AH179" s="4" t="s">
        <v>62</v>
      </c>
    </row>
    <row r="180" spans="2:34">
      <c r="B180" s="139">
        <v>12</v>
      </c>
      <c r="C180" s="88" t="str">
        <f>LEFT(EmpGName12)&amp;" " &amp;EmpSName12</f>
        <v>J James</v>
      </c>
      <c r="D180" s="3" t="s">
        <v>62</v>
      </c>
      <c r="E180" s="3" t="s">
        <v>62</v>
      </c>
      <c r="F180" s="3" t="s">
        <v>62</v>
      </c>
      <c r="G180" s="3" t="s">
        <v>62</v>
      </c>
      <c r="H180" s="3" t="s">
        <v>62</v>
      </c>
      <c r="I180" s="3" t="s">
        <v>62</v>
      </c>
      <c r="J180" s="3" t="s">
        <v>62</v>
      </c>
      <c r="K180" s="3" t="s">
        <v>62</v>
      </c>
      <c r="L180" s="3" t="s">
        <v>62</v>
      </c>
      <c r="M180" s="3" t="s">
        <v>62</v>
      </c>
      <c r="N180" s="3" t="s">
        <v>62</v>
      </c>
      <c r="O180" s="3" t="s">
        <v>62</v>
      </c>
      <c r="P180" s="3" t="s">
        <v>62</v>
      </c>
      <c r="Q180" s="3" t="s">
        <v>62</v>
      </c>
      <c r="R180" s="3" t="s">
        <v>62</v>
      </c>
      <c r="S180" s="3" t="s">
        <v>62</v>
      </c>
      <c r="T180" s="3" t="s">
        <v>62</v>
      </c>
      <c r="U180" s="3" t="s">
        <v>62</v>
      </c>
      <c r="V180" s="3" t="s">
        <v>62</v>
      </c>
      <c r="W180" s="3" t="s">
        <v>62</v>
      </c>
      <c r="X180" s="3" t="s">
        <v>62</v>
      </c>
      <c r="Y180" s="3" t="s">
        <v>62</v>
      </c>
      <c r="Z180" s="3" t="s">
        <v>62</v>
      </c>
      <c r="AA180" s="3" t="s">
        <v>62</v>
      </c>
      <c r="AB180" s="3" t="s">
        <v>62</v>
      </c>
      <c r="AC180" s="3" t="s">
        <v>62</v>
      </c>
      <c r="AD180" s="3" t="s">
        <v>62</v>
      </c>
      <c r="AE180" s="3" t="s">
        <v>62</v>
      </c>
      <c r="AF180" s="3" t="s">
        <v>62</v>
      </c>
      <c r="AG180" s="3" t="s">
        <v>62</v>
      </c>
      <c r="AH180" s="3" t="s">
        <v>62</v>
      </c>
    </row>
    <row r="181" spans="2:34">
      <c r="B181" s="139">
        <v>13</v>
      </c>
      <c r="C181" s="87" t="str">
        <f>LEFT(EmpGName13)&amp;" " &amp;EmpSName13</f>
        <v>J Jack</v>
      </c>
      <c r="D181" s="4" t="s">
        <v>62</v>
      </c>
      <c r="E181" s="4" t="s">
        <v>62</v>
      </c>
      <c r="F181" s="4" t="s">
        <v>62</v>
      </c>
      <c r="G181" s="4" t="s">
        <v>62</v>
      </c>
      <c r="H181" s="4" t="s">
        <v>62</v>
      </c>
      <c r="I181" s="4" t="s">
        <v>62</v>
      </c>
      <c r="J181" s="4" t="s">
        <v>62</v>
      </c>
      <c r="K181" s="4" t="s">
        <v>62</v>
      </c>
      <c r="L181" s="4" t="s">
        <v>62</v>
      </c>
      <c r="M181" s="4" t="s">
        <v>62</v>
      </c>
      <c r="N181" s="4" t="s">
        <v>62</v>
      </c>
      <c r="O181" s="4" t="s">
        <v>62</v>
      </c>
      <c r="P181" s="4" t="s">
        <v>62</v>
      </c>
      <c r="Q181" s="4" t="s">
        <v>62</v>
      </c>
      <c r="R181" s="4" t="s">
        <v>62</v>
      </c>
      <c r="S181" s="4" t="s">
        <v>62</v>
      </c>
      <c r="T181" s="4" t="s">
        <v>62</v>
      </c>
      <c r="U181" s="4" t="s">
        <v>62</v>
      </c>
      <c r="V181" s="4" t="s">
        <v>62</v>
      </c>
      <c r="W181" s="4" t="s">
        <v>62</v>
      </c>
      <c r="X181" s="4" t="s">
        <v>62</v>
      </c>
      <c r="Y181" s="4" t="s">
        <v>62</v>
      </c>
      <c r="Z181" s="4" t="s">
        <v>62</v>
      </c>
      <c r="AA181" s="4" t="s">
        <v>62</v>
      </c>
      <c r="AB181" s="4" t="s">
        <v>62</v>
      </c>
      <c r="AC181" s="4" t="s">
        <v>62</v>
      </c>
      <c r="AD181" s="4" t="s">
        <v>62</v>
      </c>
      <c r="AE181" s="4" t="s">
        <v>62</v>
      </c>
      <c r="AF181" s="4" t="s">
        <v>62</v>
      </c>
      <c r="AG181" s="4" t="s">
        <v>62</v>
      </c>
      <c r="AH181" s="4" t="s">
        <v>62</v>
      </c>
    </row>
    <row r="182" spans="2:34">
      <c r="B182" s="139">
        <v>14</v>
      </c>
      <c r="C182" s="88" t="str">
        <f>LEFT(EmpGName14)&amp;" " &amp;EmpSName14</f>
        <v xml:space="preserve">J Jacky </v>
      </c>
      <c r="D182" s="3" t="s">
        <v>62</v>
      </c>
      <c r="E182" s="3" t="s">
        <v>62</v>
      </c>
      <c r="F182" s="3" t="s">
        <v>62</v>
      </c>
      <c r="G182" s="3" t="s">
        <v>62</v>
      </c>
      <c r="H182" s="3" t="s">
        <v>62</v>
      </c>
      <c r="I182" s="3" t="s">
        <v>62</v>
      </c>
      <c r="J182" s="3" t="s">
        <v>62</v>
      </c>
      <c r="K182" s="3" t="s">
        <v>62</v>
      </c>
      <c r="L182" s="3" t="s">
        <v>62</v>
      </c>
      <c r="M182" s="3" t="s">
        <v>62</v>
      </c>
      <c r="N182" s="3" t="s">
        <v>62</v>
      </c>
      <c r="O182" s="3" t="s">
        <v>62</v>
      </c>
      <c r="P182" s="3" t="s">
        <v>62</v>
      </c>
      <c r="Q182" s="3" t="s">
        <v>62</v>
      </c>
      <c r="R182" s="3" t="s">
        <v>62</v>
      </c>
      <c r="S182" s="3" t="s">
        <v>62</v>
      </c>
      <c r="T182" s="3" t="s">
        <v>62</v>
      </c>
      <c r="U182" s="3" t="s">
        <v>62</v>
      </c>
      <c r="V182" s="3" t="s">
        <v>62</v>
      </c>
      <c r="W182" s="3" t="s">
        <v>62</v>
      </c>
      <c r="X182" s="3" t="s">
        <v>62</v>
      </c>
      <c r="Y182" s="3" t="s">
        <v>62</v>
      </c>
      <c r="Z182" s="3" t="s">
        <v>62</v>
      </c>
      <c r="AA182" s="3" t="s">
        <v>62</v>
      </c>
      <c r="AB182" s="3" t="s">
        <v>62</v>
      </c>
      <c r="AC182" s="3" t="s">
        <v>62</v>
      </c>
      <c r="AD182" s="3" t="s">
        <v>62</v>
      </c>
      <c r="AE182" s="3" t="s">
        <v>62</v>
      </c>
      <c r="AF182" s="3" t="s">
        <v>62</v>
      </c>
      <c r="AG182" s="3" t="s">
        <v>62</v>
      </c>
      <c r="AH182" s="3" t="s">
        <v>62</v>
      </c>
    </row>
    <row r="183" spans="2:34">
      <c r="B183" s="139">
        <v>15</v>
      </c>
      <c r="C183" s="87" t="str">
        <f>LEFT(EmpGName15)&amp;" " &amp;EmpSName15</f>
        <v>J Friedle</v>
      </c>
      <c r="D183" s="4" t="s">
        <v>62</v>
      </c>
      <c r="E183" s="4" t="s">
        <v>62</v>
      </c>
      <c r="F183" s="4" t="s">
        <v>62</v>
      </c>
      <c r="G183" s="4" t="s">
        <v>62</v>
      </c>
      <c r="H183" s="4" t="s">
        <v>62</v>
      </c>
      <c r="I183" s="4" t="s">
        <v>62</v>
      </c>
      <c r="J183" s="4" t="s">
        <v>62</v>
      </c>
      <c r="K183" s="4" t="s">
        <v>62</v>
      </c>
      <c r="L183" s="4" t="s">
        <v>62</v>
      </c>
      <c r="M183" s="4" t="s">
        <v>62</v>
      </c>
      <c r="N183" s="4" t="s">
        <v>62</v>
      </c>
      <c r="O183" s="4" t="s">
        <v>62</v>
      </c>
      <c r="P183" s="4" t="s">
        <v>62</v>
      </c>
      <c r="Q183" s="4" t="s">
        <v>62</v>
      </c>
      <c r="R183" s="4" t="s">
        <v>62</v>
      </c>
      <c r="S183" s="4" t="s">
        <v>62</v>
      </c>
      <c r="T183" s="4" t="s">
        <v>62</v>
      </c>
      <c r="U183" s="4" t="s">
        <v>62</v>
      </c>
      <c r="V183" s="4" t="s">
        <v>62</v>
      </c>
      <c r="W183" s="4" t="s">
        <v>62</v>
      </c>
      <c r="X183" s="4" t="s">
        <v>62</v>
      </c>
      <c r="Y183" s="4" t="s">
        <v>62</v>
      </c>
      <c r="Z183" s="4" t="s">
        <v>62</v>
      </c>
      <c r="AA183" s="4" t="s">
        <v>62</v>
      </c>
      <c r="AB183" s="4" t="s">
        <v>62</v>
      </c>
      <c r="AC183" s="4" t="s">
        <v>62</v>
      </c>
      <c r="AD183" s="4" t="s">
        <v>62</v>
      </c>
      <c r="AE183" s="4" t="s">
        <v>62</v>
      </c>
      <c r="AF183" s="4" t="s">
        <v>62</v>
      </c>
      <c r="AG183" s="4" t="s">
        <v>62</v>
      </c>
      <c r="AH183" s="4" t="s">
        <v>62</v>
      </c>
    </row>
    <row r="184" spans="2:34">
      <c r="B184" s="139">
        <v>16</v>
      </c>
      <c r="C184" s="88" t="str">
        <f>LEFT(EmpGName16)&amp;" " &amp;EmpSName16</f>
        <v>J Friedle</v>
      </c>
      <c r="D184" s="3" t="s">
        <v>62</v>
      </c>
      <c r="E184" s="3" t="s">
        <v>62</v>
      </c>
      <c r="F184" s="3" t="s">
        <v>62</v>
      </c>
      <c r="G184" s="3" t="s">
        <v>62</v>
      </c>
      <c r="H184" s="3" t="s">
        <v>62</v>
      </c>
      <c r="I184" s="3" t="s">
        <v>62</v>
      </c>
      <c r="J184" s="3" t="s">
        <v>62</v>
      </c>
      <c r="K184" s="3" t="s">
        <v>62</v>
      </c>
      <c r="L184" s="3" t="s">
        <v>62</v>
      </c>
      <c r="M184" s="3" t="s">
        <v>62</v>
      </c>
      <c r="N184" s="3" t="s">
        <v>62</v>
      </c>
      <c r="O184" s="3" t="s">
        <v>62</v>
      </c>
      <c r="P184" s="3" t="s">
        <v>62</v>
      </c>
      <c r="Q184" s="3" t="s">
        <v>62</v>
      </c>
      <c r="R184" s="3" t="s">
        <v>62</v>
      </c>
      <c r="S184" s="3" t="s">
        <v>62</v>
      </c>
      <c r="T184" s="3" t="s">
        <v>62</v>
      </c>
      <c r="U184" s="3" t="s">
        <v>62</v>
      </c>
      <c r="V184" s="3" t="s">
        <v>62</v>
      </c>
      <c r="W184" s="3" t="s">
        <v>62</v>
      </c>
      <c r="X184" s="3" t="s">
        <v>62</v>
      </c>
      <c r="Y184" s="3" t="s">
        <v>62</v>
      </c>
      <c r="Z184" s="3" t="s">
        <v>62</v>
      </c>
      <c r="AA184" s="3" t="s">
        <v>62</v>
      </c>
      <c r="AB184" s="3" t="s">
        <v>62</v>
      </c>
      <c r="AC184" s="3" t="s">
        <v>62</v>
      </c>
      <c r="AD184" s="3" t="s">
        <v>62</v>
      </c>
      <c r="AE184" s="3" t="s">
        <v>62</v>
      </c>
      <c r="AF184" s="3" t="s">
        <v>62</v>
      </c>
      <c r="AG184" s="3" t="s">
        <v>62</v>
      </c>
      <c r="AH184" s="3" t="s">
        <v>62</v>
      </c>
    </row>
    <row r="185" spans="2:34">
      <c r="B185" s="139">
        <v>17</v>
      </c>
      <c r="C185" s="87" t="str">
        <f>LEFT(EmpGName17)&amp;" " &amp;EmpSName17</f>
        <v>J Smart</v>
      </c>
      <c r="D185" s="4" t="s">
        <v>62</v>
      </c>
      <c r="E185" s="4" t="s">
        <v>62</v>
      </c>
      <c r="F185" s="4" t="s">
        <v>62</v>
      </c>
      <c r="G185" s="4" t="s">
        <v>62</v>
      </c>
      <c r="H185" s="4" t="s">
        <v>62</v>
      </c>
      <c r="I185" s="4" t="s">
        <v>62</v>
      </c>
      <c r="J185" s="4" t="s">
        <v>62</v>
      </c>
      <c r="K185" s="4" t="s">
        <v>62</v>
      </c>
      <c r="L185" s="4" t="s">
        <v>62</v>
      </c>
      <c r="M185" s="4" t="s">
        <v>62</v>
      </c>
      <c r="N185" s="4" t="s">
        <v>62</v>
      </c>
      <c r="O185" s="4" t="s">
        <v>62</v>
      </c>
      <c r="P185" s="4" t="s">
        <v>62</v>
      </c>
      <c r="Q185" s="4" t="s">
        <v>62</v>
      </c>
      <c r="R185" s="4" t="s">
        <v>62</v>
      </c>
      <c r="S185" s="4" t="s">
        <v>62</v>
      </c>
      <c r="T185" s="4" t="s">
        <v>62</v>
      </c>
      <c r="U185" s="4" t="s">
        <v>62</v>
      </c>
      <c r="V185" s="4" t="s">
        <v>62</v>
      </c>
      <c r="W185" s="4" t="s">
        <v>62</v>
      </c>
      <c r="X185" s="4" t="s">
        <v>62</v>
      </c>
      <c r="Y185" s="4" t="s">
        <v>62</v>
      </c>
      <c r="Z185" s="4" t="s">
        <v>62</v>
      </c>
      <c r="AA185" s="4" t="s">
        <v>62</v>
      </c>
      <c r="AB185" s="4" t="s">
        <v>62</v>
      </c>
      <c r="AC185" s="4" t="s">
        <v>62</v>
      </c>
      <c r="AD185" s="4" t="s">
        <v>62</v>
      </c>
      <c r="AE185" s="4" t="s">
        <v>62</v>
      </c>
      <c r="AF185" s="4" t="s">
        <v>62</v>
      </c>
      <c r="AG185" s="4" t="s">
        <v>62</v>
      </c>
      <c r="AH185" s="4" t="s">
        <v>62</v>
      </c>
    </row>
    <row r="186" spans="2:34">
      <c r="B186" s="139">
        <v>18</v>
      </c>
      <c r="C186" s="88" t="str">
        <f>LEFT(EmpGName18)&amp;" " &amp;EmpSName18</f>
        <v>E Smart</v>
      </c>
      <c r="D186" s="3" t="s">
        <v>62</v>
      </c>
      <c r="E186" s="3" t="s">
        <v>62</v>
      </c>
      <c r="F186" s="3" t="s">
        <v>62</v>
      </c>
      <c r="G186" s="3" t="s">
        <v>62</v>
      </c>
      <c r="H186" s="3" t="s">
        <v>62</v>
      </c>
      <c r="I186" s="3" t="s">
        <v>62</v>
      </c>
      <c r="J186" s="3" t="s">
        <v>62</v>
      </c>
      <c r="K186" s="3" t="s">
        <v>62</v>
      </c>
      <c r="L186" s="3" t="s">
        <v>62</v>
      </c>
      <c r="M186" s="3" t="s">
        <v>62</v>
      </c>
      <c r="N186" s="3" t="s">
        <v>62</v>
      </c>
      <c r="O186" s="3" t="s">
        <v>62</v>
      </c>
      <c r="P186" s="3" t="s">
        <v>62</v>
      </c>
      <c r="Q186" s="3" t="s">
        <v>62</v>
      </c>
      <c r="R186" s="3" t="s">
        <v>62</v>
      </c>
      <c r="S186" s="3" t="s">
        <v>62</v>
      </c>
      <c r="T186" s="3" t="s">
        <v>62</v>
      </c>
      <c r="U186" s="3" t="s">
        <v>62</v>
      </c>
      <c r="V186" s="3" t="s">
        <v>62</v>
      </c>
      <c r="W186" s="3" t="s">
        <v>62</v>
      </c>
      <c r="X186" s="3" t="s">
        <v>62</v>
      </c>
      <c r="Y186" s="3" t="s">
        <v>62</v>
      </c>
      <c r="Z186" s="3" t="s">
        <v>62</v>
      </c>
      <c r="AA186" s="3" t="s">
        <v>62</v>
      </c>
      <c r="AB186" s="3" t="s">
        <v>62</v>
      </c>
      <c r="AC186" s="3" t="s">
        <v>62</v>
      </c>
      <c r="AD186" s="3" t="s">
        <v>62</v>
      </c>
      <c r="AE186" s="3" t="s">
        <v>62</v>
      </c>
      <c r="AF186" s="3" t="s">
        <v>62</v>
      </c>
      <c r="AG186" s="3" t="s">
        <v>62</v>
      </c>
      <c r="AH186" s="3" t="s">
        <v>62</v>
      </c>
    </row>
    <row r="187" spans="2:34" hidden="1">
      <c r="B187" s="139">
        <v>19</v>
      </c>
      <c r="C187" s="87" t="str">
        <f>LEFT(EmpGName19)&amp;" " &amp;EmpSName19</f>
        <v xml:space="preserve"> </v>
      </c>
      <c r="D187" s="4" t="s">
        <v>62</v>
      </c>
      <c r="E187" s="4" t="s">
        <v>62</v>
      </c>
      <c r="F187" s="4" t="s">
        <v>62</v>
      </c>
      <c r="G187" s="4" t="s">
        <v>62</v>
      </c>
      <c r="H187" s="4" t="s">
        <v>62</v>
      </c>
      <c r="I187" s="4" t="s">
        <v>62</v>
      </c>
      <c r="J187" s="4" t="s">
        <v>62</v>
      </c>
      <c r="K187" s="4" t="s">
        <v>62</v>
      </c>
      <c r="L187" s="4" t="s">
        <v>62</v>
      </c>
      <c r="M187" s="4" t="s">
        <v>62</v>
      </c>
      <c r="N187" s="4" t="s">
        <v>62</v>
      </c>
      <c r="O187" s="4" t="s">
        <v>62</v>
      </c>
      <c r="P187" s="4" t="s">
        <v>62</v>
      </c>
      <c r="Q187" s="4" t="s">
        <v>62</v>
      </c>
      <c r="R187" s="4" t="s">
        <v>62</v>
      </c>
      <c r="S187" s="4" t="s">
        <v>62</v>
      </c>
      <c r="T187" s="4" t="s">
        <v>62</v>
      </c>
      <c r="U187" s="4" t="s">
        <v>62</v>
      </c>
      <c r="V187" s="4" t="s">
        <v>62</v>
      </c>
      <c r="W187" s="4" t="s">
        <v>62</v>
      </c>
      <c r="X187" s="4" t="s">
        <v>62</v>
      </c>
      <c r="Y187" s="4" t="s">
        <v>62</v>
      </c>
      <c r="Z187" s="4" t="s">
        <v>62</v>
      </c>
      <c r="AA187" s="4" t="s">
        <v>62</v>
      </c>
      <c r="AB187" s="4" t="s">
        <v>62</v>
      </c>
      <c r="AC187" s="4" t="s">
        <v>62</v>
      </c>
      <c r="AD187" s="4" t="s">
        <v>62</v>
      </c>
      <c r="AE187" s="4" t="s">
        <v>62</v>
      </c>
      <c r="AF187" s="4" t="s">
        <v>62</v>
      </c>
      <c r="AG187" s="4" t="s">
        <v>62</v>
      </c>
      <c r="AH187" s="4" t="s">
        <v>62</v>
      </c>
    </row>
    <row r="188" spans="2:34" hidden="1">
      <c r="B188" s="139">
        <v>20</v>
      </c>
      <c r="C188" s="88" t="str">
        <f>LEFT(EmpGName20)&amp;" " &amp;EmpSName20</f>
        <v xml:space="preserve"> </v>
      </c>
      <c r="D188" s="3" t="s">
        <v>62</v>
      </c>
      <c r="E188" s="3" t="s">
        <v>62</v>
      </c>
      <c r="F188" s="3" t="s">
        <v>62</v>
      </c>
      <c r="G188" s="3" t="s">
        <v>62</v>
      </c>
      <c r="H188" s="3" t="s">
        <v>62</v>
      </c>
      <c r="I188" s="3" t="s">
        <v>62</v>
      </c>
      <c r="J188" s="3" t="s">
        <v>62</v>
      </c>
      <c r="K188" s="3" t="s">
        <v>62</v>
      </c>
      <c r="L188" s="3" t="s">
        <v>62</v>
      </c>
      <c r="M188" s="3" t="s">
        <v>62</v>
      </c>
      <c r="N188" s="3" t="s">
        <v>62</v>
      </c>
      <c r="O188" s="3" t="s">
        <v>62</v>
      </c>
      <c r="P188" s="3" t="s">
        <v>62</v>
      </c>
      <c r="Q188" s="3" t="s">
        <v>62</v>
      </c>
      <c r="R188" s="3" t="s">
        <v>62</v>
      </c>
      <c r="S188" s="3" t="s">
        <v>62</v>
      </c>
      <c r="T188" s="3" t="s">
        <v>62</v>
      </c>
      <c r="U188" s="3" t="s">
        <v>62</v>
      </c>
      <c r="V188" s="3" t="s">
        <v>62</v>
      </c>
      <c r="W188" s="3" t="s">
        <v>62</v>
      </c>
      <c r="X188" s="3" t="s">
        <v>62</v>
      </c>
      <c r="Y188" s="3" t="s">
        <v>62</v>
      </c>
      <c r="Z188" s="3" t="s">
        <v>62</v>
      </c>
      <c r="AA188" s="3" t="s">
        <v>62</v>
      </c>
      <c r="AB188" s="3" t="s">
        <v>62</v>
      </c>
      <c r="AC188" s="3" t="s">
        <v>62</v>
      </c>
      <c r="AD188" s="3" t="s">
        <v>62</v>
      </c>
      <c r="AE188" s="3" t="s">
        <v>62</v>
      </c>
      <c r="AF188" s="3" t="s">
        <v>62</v>
      </c>
      <c r="AG188" s="3" t="s">
        <v>62</v>
      </c>
      <c r="AH188" s="3" t="s">
        <v>62</v>
      </c>
    </row>
    <row r="189" spans="2:34" hidden="1">
      <c r="B189" s="139">
        <v>21</v>
      </c>
      <c r="C189" s="87" t="str">
        <f>LEFT(EmpGName21)&amp;" " &amp;EmpSName21</f>
        <v xml:space="preserve"> </v>
      </c>
      <c r="D189" s="4" t="s">
        <v>62</v>
      </c>
      <c r="E189" s="4" t="s">
        <v>62</v>
      </c>
      <c r="F189" s="4" t="s">
        <v>62</v>
      </c>
      <c r="G189" s="4" t="s">
        <v>62</v>
      </c>
      <c r="H189" s="4" t="s">
        <v>62</v>
      </c>
      <c r="I189" s="4" t="s">
        <v>62</v>
      </c>
      <c r="J189" s="4" t="s">
        <v>62</v>
      </c>
      <c r="K189" s="4" t="s">
        <v>62</v>
      </c>
      <c r="L189" s="4" t="s">
        <v>62</v>
      </c>
      <c r="M189" s="4" t="s">
        <v>62</v>
      </c>
      <c r="N189" s="4" t="s">
        <v>62</v>
      </c>
      <c r="O189" s="4" t="s">
        <v>62</v>
      </c>
      <c r="P189" s="4" t="s">
        <v>62</v>
      </c>
      <c r="Q189" s="4" t="s">
        <v>62</v>
      </c>
      <c r="R189" s="4" t="s">
        <v>62</v>
      </c>
      <c r="S189" s="4" t="s">
        <v>62</v>
      </c>
      <c r="T189" s="4" t="s">
        <v>62</v>
      </c>
      <c r="U189" s="4" t="s">
        <v>62</v>
      </c>
      <c r="V189" s="4" t="s">
        <v>62</v>
      </c>
      <c r="W189" s="4" t="s">
        <v>62</v>
      </c>
      <c r="X189" s="4" t="s">
        <v>62</v>
      </c>
      <c r="Y189" s="4" t="s">
        <v>62</v>
      </c>
      <c r="Z189" s="4" t="s">
        <v>62</v>
      </c>
      <c r="AA189" s="4" t="s">
        <v>62</v>
      </c>
      <c r="AB189" s="4" t="s">
        <v>62</v>
      </c>
      <c r="AC189" s="4" t="s">
        <v>62</v>
      </c>
      <c r="AD189" s="4" t="s">
        <v>62</v>
      </c>
      <c r="AE189" s="4" t="s">
        <v>62</v>
      </c>
      <c r="AF189" s="4" t="s">
        <v>62</v>
      </c>
      <c r="AG189" s="4" t="s">
        <v>62</v>
      </c>
      <c r="AH189" s="4" t="s">
        <v>62</v>
      </c>
    </row>
    <row r="190" spans="2:34" hidden="1">
      <c r="B190" s="139">
        <v>22</v>
      </c>
      <c r="C190" s="88" t="str">
        <f>LEFT(EmpGName22)&amp;" " &amp;EmpSName22</f>
        <v xml:space="preserve"> </v>
      </c>
      <c r="D190" s="3" t="s">
        <v>62</v>
      </c>
      <c r="E190" s="3" t="s">
        <v>62</v>
      </c>
      <c r="F190" s="3" t="s">
        <v>62</v>
      </c>
      <c r="G190" s="3" t="s">
        <v>62</v>
      </c>
      <c r="H190" s="3" t="s">
        <v>62</v>
      </c>
      <c r="I190" s="3" t="s">
        <v>62</v>
      </c>
      <c r="J190" s="3" t="s">
        <v>62</v>
      </c>
      <c r="K190" s="3" t="s">
        <v>62</v>
      </c>
      <c r="L190" s="3" t="s">
        <v>62</v>
      </c>
      <c r="M190" s="3" t="s">
        <v>62</v>
      </c>
      <c r="N190" s="3" t="s">
        <v>62</v>
      </c>
      <c r="O190" s="3" t="s">
        <v>62</v>
      </c>
      <c r="P190" s="3" t="s">
        <v>62</v>
      </c>
      <c r="Q190" s="3" t="s">
        <v>62</v>
      </c>
      <c r="R190" s="3" t="s">
        <v>62</v>
      </c>
      <c r="S190" s="3" t="s">
        <v>62</v>
      </c>
      <c r="T190" s="3" t="s">
        <v>62</v>
      </c>
      <c r="U190" s="3" t="s">
        <v>62</v>
      </c>
      <c r="V190" s="3" t="s">
        <v>62</v>
      </c>
      <c r="W190" s="3" t="s">
        <v>62</v>
      </c>
      <c r="X190" s="3" t="s">
        <v>62</v>
      </c>
      <c r="Y190" s="3" t="s">
        <v>62</v>
      </c>
      <c r="Z190" s="3" t="s">
        <v>62</v>
      </c>
      <c r="AA190" s="3" t="s">
        <v>62</v>
      </c>
      <c r="AB190" s="3" t="s">
        <v>62</v>
      </c>
      <c r="AC190" s="3" t="s">
        <v>62</v>
      </c>
      <c r="AD190" s="3" t="s">
        <v>62</v>
      </c>
      <c r="AE190" s="3" t="s">
        <v>62</v>
      </c>
      <c r="AF190" s="3" t="s">
        <v>62</v>
      </c>
      <c r="AG190" s="3" t="s">
        <v>62</v>
      </c>
      <c r="AH190" s="3" t="s">
        <v>62</v>
      </c>
    </row>
    <row r="191" spans="2:34" hidden="1">
      <c r="B191" s="139">
        <v>23</v>
      </c>
      <c r="C191" s="87" t="str">
        <f>LEFT(EmpGName23)&amp;" " &amp;EmpSName23</f>
        <v xml:space="preserve"> </v>
      </c>
      <c r="D191" s="4" t="s">
        <v>62</v>
      </c>
      <c r="E191" s="4" t="s">
        <v>62</v>
      </c>
      <c r="F191" s="4" t="s">
        <v>62</v>
      </c>
      <c r="G191" s="4" t="s">
        <v>62</v>
      </c>
      <c r="H191" s="4" t="s">
        <v>62</v>
      </c>
      <c r="I191" s="4" t="s">
        <v>62</v>
      </c>
      <c r="J191" s="4" t="s">
        <v>62</v>
      </c>
      <c r="K191" s="4" t="s">
        <v>62</v>
      </c>
      <c r="L191" s="4" t="s">
        <v>62</v>
      </c>
      <c r="M191" s="4" t="s">
        <v>62</v>
      </c>
      <c r="N191" s="4" t="s">
        <v>62</v>
      </c>
      <c r="O191" s="4" t="s">
        <v>62</v>
      </c>
      <c r="P191" s="4" t="s">
        <v>62</v>
      </c>
      <c r="Q191" s="4" t="s">
        <v>62</v>
      </c>
      <c r="R191" s="4" t="s">
        <v>62</v>
      </c>
      <c r="S191" s="4" t="s">
        <v>62</v>
      </c>
      <c r="T191" s="4" t="s">
        <v>62</v>
      </c>
      <c r="U191" s="4" t="s">
        <v>62</v>
      </c>
      <c r="V191" s="4" t="s">
        <v>62</v>
      </c>
      <c r="W191" s="4" t="s">
        <v>62</v>
      </c>
      <c r="X191" s="4" t="s">
        <v>62</v>
      </c>
      <c r="Y191" s="4" t="s">
        <v>62</v>
      </c>
      <c r="Z191" s="4" t="s">
        <v>62</v>
      </c>
      <c r="AA191" s="4" t="s">
        <v>62</v>
      </c>
      <c r="AB191" s="4" t="s">
        <v>62</v>
      </c>
      <c r="AC191" s="4" t="s">
        <v>62</v>
      </c>
      <c r="AD191" s="4" t="s">
        <v>62</v>
      </c>
      <c r="AE191" s="4" t="s">
        <v>62</v>
      </c>
      <c r="AF191" s="4" t="s">
        <v>62</v>
      </c>
      <c r="AG191" s="4" t="s">
        <v>62</v>
      </c>
      <c r="AH191" s="4" t="s">
        <v>62</v>
      </c>
    </row>
    <row r="192" spans="2:34" hidden="1">
      <c r="B192" s="139">
        <v>24</v>
      </c>
      <c r="C192" s="88" t="str">
        <f>LEFT(EmpGName24)&amp;" " &amp;EmpSName24</f>
        <v xml:space="preserve"> </v>
      </c>
      <c r="D192" s="3" t="s">
        <v>62</v>
      </c>
      <c r="E192" s="3" t="s">
        <v>62</v>
      </c>
      <c r="F192" s="3" t="s">
        <v>62</v>
      </c>
      <c r="G192" s="3" t="s">
        <v>62</v>
      </c>
      <c r="H192" s="3" t="s">
        <v>62</v>
      </c>
      <c r="I192" s="3" t="s">
        <v>62</v>
      </c>
      <c r="J192" s="3" t="s">
        <v>62</v>
      </c>
      <c r="K192" s="3" t="s">
        <v>62</v>
      </c>
      <c r="L192" s="3" t="s">
        <v>62</v>
      </c>
      <c r="M192" s="3" t="s">
        <v>62</v>
      </c>
      <c r="N192" s="3" t="s">
        <v>62</v>
      </c>
      <c r="O192" s="3" t="s">
        <v>62</v>
      </c>
      <c r="P192" s="3" t="s">
        <v>62</v>
      </c>
      <c r="Q192" s="3" t="s">
        <v>62</v>
      </c>
      <c r="R192" s="3" t="s">
        <v>62</v>
      </c>
      <c r="S192" s="3" t="s">
        <v>62</v>
      </c>
      <c r="T192" s="3" t="s">
        <v>62</v>
      </c>
      <c r="U192" s="3" t="s">
        <v>62</v>
      </c>
      <c r="V192" s="3" t="s">
        <v>62</v>
      </c>
      <c r="W192" s="3" t="s">
        <v>62</v>
      </c>
      <c r="X192" s="3" t="s">
        <v>62</v>
      </c>
      <c r="Y192" s="3" t="s">
        <v>62</v>
      </c>
      <c r="Z192" s="3" t="s">
        <v>62</v>
      </c>
      <c r="AA192" s="3" t="s">
        <v>62</v>
      </c>
      <c r="AB192" s="3" t="s">
        <v>62</v>
      </c>
      <c r="AC192" s="3" t="s">
        <v>62</v>
      </c>
      <c r="AD192" s="3" t="s">
        <v>62</v>
      </c>
      <c r="AE192" s="3" t="s">
        <v>62</v>
      </c>
      <c r="AF192" s="3" t="s">
        <v>62</v>
      </c>
      <c r="AG192" s="3" t="s">
        <v>62</v>
      </c>
      <c r="AH192" s="3" t="s">
        <v>62</v>
      </c>
    </row>
    <row r="193" spans="2:34" hidden="1">
      <c r="B193" s="139">
        <v>25</v>
      </c>
      <c r="C193" s="87" t="str">
        <f>LEFT(EmpGName25)&amp;" " &amp;EmpSName25</f>
        <v xml:space="preserve"> </v>
      </c>
      <c r="D193" s="4" t="s">
        <v>62</v>
      </c>
      <c r="E193" s="4" t="s">
        <v>62</v>
      </c>
      <c r="F193" s="4" t="s">
        <v>62</v>
      </c>
      <c r="G193" s="4" t="s">
        <v>62</v>
      </c>
      <c r="H193" s="4" t="s">
        <v>62</v>
      </c>
      <c r="I193" s="4" t="s">
        <v>62</v>
      </c>
      <c r="J193" s="4" t="s">
        <v>62</v>
      </c>
      <c r="K193" s="4" t="s">
        <v>62</v>
      </c>
      <c r="L193" s="4" t="s">
        <v>62</v>
      </c>
      <c r="M193" s="4" t="s">
        <v>62</v>
      </c>
      <c r="N193" s="4" t="s">
        <v>62</v>
      </c>
      <c r="O193" s="4" t="s">
        <v>62</v>
      </c>
      <c r="P193" s="4" t="s">
        <v>62</v>
      </c>
      <c r="Q193" s="4" t="s">
        <v>62</v>
      </c>
      <c r="R193" s="4" t="s">
        <v>62</v>
      </c>
      <c r="S193" s="4" t="s">
        <v>62</v>
      </c>
      <c r="T193" s="4" t="s">
        <v>62</v>
      </c>
      <c r="U193" s="4" t="s">
        <v>62</v>
      </c>
      <c r="V193" s="4" t="s">
        <v>62</v>
      </c>
      <c r="W193" s="4" t="s">
        <v>62</v>
      </c>
      <c r="X193" s="4" t="s">
        <v>62</v>
      </c>
      <c r="Y193" s="4" t="s">
        <v>62</v>
      </c>
      <c r="Z193" s="4" t="s">
        <v>62</v>
      </c>
      <c r="AA193" s="4" t="s">
        <v>62</v>
      </c>
      <c r="AB193" s="4" t="s">
        <v>62</v>
      </c>
      <c r="AC193" s="4" t="s">
        <v>62</v>
      </c>
      <c r="AD193" s="4" t="s">
        <v>62</v>
      </c>
      <c r="AE193" s="4" t="s">
        <v>62</v>
      </c>
      <c r="AF193" s="4" t="s">
        <v>62</v>
      </c>
      <c r="AG193" s="4" t="s">
        <v>62</v>
      </c>
      <c r="AH193" s="4" t="s">
        <v>62</v>
      </c>
    </row>
    <row r="194" spans="2:34" hidden="1">
      <c r="B194" s="139">
        <v>26</v>
      </c>
      <c r="C194" s="88" t="str">
        <f>LEFT(EmpGName26)&amp;" " &amp;EmpSName26</f>
        <v xml:space="preserve"> </v>
      </c>
      <c r="D194" s="3" t="s">
        <v>62</v>
      </c>
      <c r="E194" s="3" t="s">
        <v>62</v>
      </c>
      <c r="F194" s="3" t="s">
        <v>62</v>
      </c>
      <c r="G194" s="3" t="s">
        <v>62</v>
      </c>
      <c r="H194" s="3" t="s">
        <v>62</v>
      </c>
      <c r="I194" s="3" t="s">
        <v>62</v>
      </c>
      <c r="J194" s="3" t="s">
        <v>62</v>
      </c>
      <c r="K194" s="3" t="s">
        <v>62</v>
      </c>
      <c r="L194" s="3" t="s">
        <v>62</v>
      </c>
      <c r="M194" s="3" t="s">
        <v>62</v>
      </c>
      <c r="N194" s="3" t="s">
        <v>62</v>
      </c>
      <c r="O194" s="3" t="s">
        <v>62</v>
      </c>
      <c r="P194" s="3" t="s">
        <v>62</v>
      </c>
      <c r="Q194" s="3" t="s">
        <v>62</v>
      </c>
      <c r="R194" s="3" t="s">
        <v>62</v>
      </c>
      <c r="S194" s="3" t="s">
        <v>62</v>
      </c>
      <c r="T194" s="3" t="s">
        <v>62</v>
      </c>
      <c r="U194" s="3" t="s">
        <v>62</v>
      </c>
      <c r="V194" s="3" t="s">
        <v>62</v>
      </c>
      <c r="W194" s="3" t="s">
        <v>62</v>
      </c>
      <c r="X194" s="3" t="s">
        <v>62</v>
      </c>
      <c r="Y194" s="3" t="s">
        <v>62</v>
      </c>
      <c r="Z194" s="3" t="s">
        <v>62</v>
      </c>
      <c r="AA194" s="3" t="s">
        <v>62</v>
      </c>
      <c r="AB194" s="3" t="s">
        <v>62</v>
      </c>
      <c r="AC194" s="3" t="s">
        <v>62</v>
      </c>
      <c r="AD194" s="3" t="s">
        <v>62</v>
      </c>
      <c r="AE194" s="3" t="s">
        <v>62</v>
      </c>
      <c r="AF194" s="3" t="s">
        <v>62</v>
      </c>
      <c r="AG194" s="3" t="s">
        <v>62</v>
      </c>
      <c r="AH194" s="3" t="s">
        <v>62</v>
      </c>
    </row>
    <row r="195" spans="2:34" hidden="1">
      <c r="B195" s="139">
        <v>27</v>
      </c>
      <c r="C195" s="87" t="str">
        <f>LEFT(EmpGName27)&amp;" " &amp;EmpSName27</f>
        <v xml:space="preserve"> </v>
      </c>
      <c r="D195" s="4" t="s">
        <v>62</v>
      </c>
      <c r="E195" s="4" t="s">
        <v>62</v>
      </c>
      <c r="F195" s="4" t="s">
        <v>62</v>
      </c>
      <c r="G195" s="4" t="s">
        <v>62</v>
      </c>
      <c r="H195" s="4" t="s">
        <v>62</v>
      </c>
      <c r="I195" s="4" t="s">
        <v>62</v>
      </c>
      <c r="J195" s="4" t="s">
        <v>62</v>
      </c>
      <c r="K195" s="4" t="s">
        <v>62</v>
      </c>
      <c r="L195" s="4" t="s">
        <v>62</v>
      </c>
      <c r="M195" s="4" t="s">
        <v>62</v>
      </c>
      <c r="N195" s="4" t="s">
        <v>62</v>
      </c>
      <c r="O195" s="4" t="s">
        <v>62</v>
      </c>
      <c r="P195" s="4" t="s">
        <v>62</v>
      </c>
      <c r="Q195" s="4" t="s">
        <v>62</v>
      </c>
      <c r="R195" s="4" t="s">
        <v>62</v>
      </c>
      <c r="S195" s="4" t="s">
        <v>62</v>
      </c>
      <c r="T195" s="4" t="s">
        <v>62</v>
      </c>
      <c r="U195" s="4" t="s">
        <v>62</v>
      </c>
      <c r="V195" s="4" t="s">
        <v>62</v>
      </c>
      <c r="W195" s="4" t="s">
        <v>62</v>
      </c>
      <c r="X195" s="4" t="s">
        <v>62</v>
      </c>
      <c r="Y195" s="4" t="s">
        <v>62</v>
      </c>
      <c r="Z195" s="4" t="s">
        <v>62</v>
      </c>
      <c r="AA195" s="4" t="s">
        <v>62</v>
      </c>
      <c r="AB195" s="4" t="s">
        <v>62</v>
      </c>
      <c r="AC195" s="4" t="s">
        <v>62</v>
      </c>
      <c r="AD195" s="4" t="s">
        <v>62</v>
      </c>
      <c r="AE195" s="4" t="s">
        <v>62</v>
      </c>
      <c r="AF195" s="4" t="s">
        <v>62</v>
      </c>
      <c r="AG195" s="4" t="s">
        <v>62</v>
      </c>
      <c r="AH195" s="4" t="s">
        <v>62</v>
      </c>
    </row>
    <row r="196" spans="2:34" hidden="1">
      <c r="B196" s="139">
        <v>28</v>
      </c>
      <c r="C196" s="88" t="str">
        <f>LEFT(EmpGName28)&amp;" " &amp;EmpSName28</f>
        <v xml:space="preserve"> </v>
      </c>
      <c r="D196" s="3" t="s">
        <v>62</v>
      </c>
      <c r="E196" s="3" t="s">
        <v>62</v>
      </c>
      <c r="F196" s="3" t="s">
        <v>62</v>
      </c>
      <c r="G196" s="3" t="s">
        <v>62</v>
      </c>
      <c r="H196" s="3" t="s">
        <v>62</v>
      </c>
      <c r="I196" s="3" t="s">
        <v>62</v>
      </c>
      <c r="J196" s="3" t="s">
        <v>62</v>
      </c>
      <c r="K196" s="3" t="s">
        <v>62</v>
      </c>
      <c r="L196" s="3" t="s">
        <v>62</v>
      </c>
      <c r="M196" s="3" t="s">
        <v>62</v>
      </c>
      <c r="N196" s="3" t="s">
        <v>62</v>
      </c>
      <c r="O196" s="3" t="s">
        <v>62</v>
      </c>
      <c r="P196" s="3" t="s">
        <v>62</v>
      </c>
      <c r="Q196" s="3" t="s">
        <v>62</v>
      </c>
      <c r="R196" s="3" t="s">
        <v>62</v>
      </c>
      <c r="S196" s="3" t="s">
        <v>62</v>
      </c>
      <c r="T196" s="3" t="s">
        <v>62</v>
      </c>
      <c r="U196" s="3" t="s">
        <v>62</v>
      </c>
      <c r="V196" s="3" t="s">
        <v>62</v>
      </c>
      <c r="W196" s="3" t="s">
        <v>62</v>
      </c>
      <c r="X196" s="3" t="s">
        <v>62</v>
      </c>
      <c r="Y196" s="3" t="s">
        <v>62</v>
      </c>
      <c r="Z196" s="3" t="s">
        <v>62</v>
      </c>
      <c r="AA196" s="3" t="s">
        <v>62</v>
      </c>
      <c r="AB196" s="3" t="s">
        <v>62</v>
      </c>
      <c r="AC196" s="3" t="s">
        <v>62</v>
      </c>
      <c r="AD196" s="3" t="s">
        <v>62</v>
      </c>
      <c r="AE196" s="3" t="s">
        <v>62</v>
      </c>
      <c r="AF196" s="3" t="s">
        <v>62</v>
      </c>
      <c r="AG196" s="3" t="s">
        <v>62</v>
      </c>
      <c r="AH196" s="3" t="s">
        <v>62</v>
      </c>
    </row>
    <row r="198" spans="2:34">
      <c r="C198" s="190" t="str">
        <f>CurYear</f>
        <v>2020</v>
      </c>
      <c r="D198" s="5" t="str">
        <f t="shared" ref="D198:AH198" si="6">LEFT(TEXT(D199&amp;"-"&amp;$C$199&amp;"-"&amp;CurYear,"ddd"),2)</f>
        <v>We</v>
      </c>
      <c r="E198" s="5" t="str">
        <f t="shared" si="6"/>
        <v>Th</v>
      </c>
      <c r="F198" s="5" t="str">
        <f t="shared" si="6"/>
        <v>Fr</v>
      </c>
      <c r="G198" s="5" t="str">
        <f t="shared" si="6"/>
        <v>Sa</v>
      </c>
      <c r="H198" s="5" t="str">
        <f t="shared" si="6"/>
        <v>Su</v>
      </c>
      <c r="I198" s="5" t="str">
        <f t="shared" si="6"/>
        <v>Mo</v>
      </c>
      <c r="J198" s="5" t="str">
        <f t="shared" si="6"/>
        <v>Tu</v>
      </c>
      <c r="K198" s="5" t="str">
        <f t="shared" si="6"/>
        <v>We</v>
      </c>
      <c r="L198" s="5" t="str">
        <f t="shared" si="6"/>
        <v>Th</v>
      </c>
      <c r="M198" s="5" t="str">
        <f t="shared" si="6"/>
        <v>Fr</v>
      </c>
      <c r="N198" s="5" t="str">
        <f t="shared" si="6"/>
        <v>Sa</v>
      </c>
      <c r="O198" s="5" t="str">
        <f t="shared" si="6"/>
        <v>Su</v>
      </c>
      <c r="P198" s="5" t="str">
        <f t="shared" si="6"/>
        <v>Mo</v>
      </c>
      <c r="Q198" s="5" t="str">
        <f t="shared" si="6"/>
        <v>Tu</v>
      </c>
      <c r="R198" s="5" t="str">
        <f t="shared" si="6"/>
        <v>We</v>
      </c>
      <c r="S198" s="5" t="str">
        <f t="shared" si="6"/>
        <v>Th</v>
      </c>
      <c r="T198" s="5" t="str">
        <f t="shared" si="6"/>
        <v>Fr</v>
      </c>
      <c r="U198" s="5" t="str">
        <f t="shared" si="6"/>
        <v>Sa</v>
      </c>
      <c r="V198" s="5" t="str">
        <f t="shared" si="6"/>
        <v>Su</v>
      </c>
      <c r="W198" s="5" t="str">
        <f t="shared" si="6"/>
        <v>Mo</v>
      </c>
      <c r="X198" s="5" t="str">
        <f t="shared" si="6"/>
        <v>Tu</v>
      </c>
      <c r="Y198" s="5" t="str">
        <f t="shared" si="6"/>
        <v>We</v>
      </c>
      <c r="Z198" s="5" t="str">
        <f t="shared" si="6"/>
        <v>Th</v>
      </c>
      <c r="AA198" s="5" t="str">
        <f t="shared" si="6"/>
        <v>Fr</v>
      </c>
      <c r="AB198" s="5" t="str">
        <f t="shared" si="6"/>
        <v>Sa</v>
      </c>
      <c r="AC198" s="5" t="str">
        <f t="shared" si="6"/>
        <v>Su</v>
      </c>
      <c r="AD198" s="5" t="str">
        <f t="shared" si="6"/>
        <v>Mo</v>
      </c>
      <c r="AE198" s="5" t="str">
        <f t="shared" si="6"/>
        <v>Tu</v>
      </c>
      <c r="AF198" s="5" t="str">
        <f t="shared" si="6"/>
        <v>We</v>
      </c>
      <c r="AG198" s="5" t="str">
        <f t="shared" si="6"/>
        <v>Th</v>
      </c>
      <c r="AH198" s="5" t="str">
        <f t="shared" si="6"/>
        <v>Fr</v>
      </c>
    </row>
    <row r="199" spans="2:34">
      <c r="B199" s="84"/>
      <c r="C199" s="191" t="s">
        <v>8</v>
      </c>
      <c r="D199" s="196">
        <v>1</v>
      </c>
      <c r="E199" s="193">
        <v>2</v>
      </c>
      <c r="F199" s="193">
        <v>3</v>
      </c>
      <c r="G199" s="193">
        <v>4</v>
      </c>
      <c r="H199" s="193">
        <v>5</v>
      </c>
      <c r="I199" s="193">
        <v>6</v>
      </c>
      <c r="J199" s="193">
        <v>7</v>
      </c>
      <c r="K199" s="193">
        <v>8</v>
      </c>
      <c r="L199" s="193">
        <v>9</v>
      </c>
      <c r="M199" s="193">
        <v>10</v>
      </c>
      <c r="N199" s="193">
        <v>11</v>
      </c>
      <c r="O199" s="193">
        <v>12</v>
      </c>
      <c r="P199" s="193">
        <v>13</v>
      </c>
      <c r="Q199" s="193">
        <v>14</v>
      </c>
      <c r="R199" s="192">
        <v>15</v>
      </c>
      <c r="S199" s="193">
        <v>16</v>
      </c>
      <c r="T199" s="193">
        <v>17</v>
      </c>
      <c r="U199" s="193">
        <v>18</v>
      </c>
      <c r="V199" s="193">
        <v>19</v>
      </c>
      <c r="W199" s="193">
        <v>20</v>
      </c>
      <c r="X199" s="193">
        <v>21</v>
      </c>
      <c r="Y199" s="193">
        <v>22</v>
      </c>
      <c r="Z199" s="193">
        <v>23</v>
      </c>
      <c r="AA199" s="193">
        <v>24</v>
      </c>
      <c r="AB199" s="193">
        <v>25</v>
      </c>
      <c r="AC199" s="197">
        <v>26</v>
      </c>
      <c r="AD199" s="193">
        <v>27</v>
      </c>
      <c r="AE199" s="193">
        <v>28</v>
      </c>
      <c r="AF199" s="192">
        <v>29</v>
      </c>
      <c r="AG199" s="193">
        <v>30</v>
      </c>
      <c r="AH199" s="193">
        <v>31</v>
      </c>
    </row>
    <row r="200" spans="2:34">
      <c r="B200" s="82">
        <v>1</v>
      </c>
      <c r="C200" s="87" t="str">
        <f>LEFT(EmpGName01)&amp;" " &amp; EmpSName01</f>
        <v>L Marampon</v>
      </c>
      <c r="D200" s="81" t="s">
        <v>62</v>
      </c>
      <c r="E200" s="81" t="s">
        <v>62</v>
      </c>
      <c r="F200" s="4" t="s">
        <v>62</v>
      </c>
      <c r="G200" s="4" t="s">
        <v>62</v>
      </c>
      <c r="H200" s="4" t="s">
        <v>62</v>
      </c>
      <c r="I200" s="4" t="s">
        <v>62</v>
      </c>
      <c r="J200" s="4" t="s">
        <v>62</v>
      </c>
      <c r="K200" s="4" t="s">
        <v>62</v>
      </c>
      <c r="L200" s="4" t="s">
        <v>62</v>
      </c>
      <c r="M200" s="4" t="s">
        <v>62</v>
      </c>
      <c r="N200" s="4" t="s">
        <v>62</v>
      </c>
      <c r="O200" s="4" t="s">
        <v>62</v>
      </c>
      <c r="P200" s="4" t="s">
        <v>62</v>
      </c>
      <c r="Q200" s="4" t="s">
        <v>62</v>
      </c>
      <c r="R200" s="4" t="s">
        <v>62</v>
      </c>
      <c r="S200" s="4" t="s">
        <v>62</v>
      </c>
      <c r="T200" s="4" t="s">
        <v>62</v>
      </c>
      <c r="U200" s="4" t="s">
        <v>62</v>
      </c>
      <c r="V200" s="4" t="s">
        <v>62</v>
      </c>
      <c r="W200" s="4" t="s">
        <v>62</v>
      </c>
      <c r="X200" s="4" t="s">
        <v>62</v>
      </c>
      <c r="Y200" s="4" t="s">
        <v>62</v>
      </c>
      <c r="Z200" s="4" t="s">
        <v>62</v>
      </c>
      <c r="AA200" s="4" t="s">
        <v>62</v>
      </c>
      <c r="AB200" s="4" t="s">
        <v>62</v>
      </c>
      <c r="AC200" s="4" t="s">
        <v>62</v>
      </c>
      <c r="AD200" s="4" t="s">
        <v>62</v>
      </c>
      <c r="AE200" s="4" t="s">
        <v>62</v>
      </c>
      <c r="AF200" s="4" t="s">
        <v>62</v>
      </c>
      <c r="AG200" s="4" t="s">
        <v>62</v>
      </c>
      <c r="AH200" s="4" t="s">
        <v>62</v>
      </c>
    </row>
    <row r="201" spans="2:34">
      <c r="B201" s="82">
        <v>2</v>
      </c>
      <c r="C201" s="88" t="str">
        <f>LEFT(EmpGName02)&amp;" " &amp;EmpSName02</f>
        <v>K Stone</v>
      </c>
      <c r="D201" s="3" t="s">
        <v>62</v>
      </c>
      <c r="E201" s="3" t="s">
        <v>62</v>
      </c>
      <c r="F201" s="3" t="s">
        <v>62</v>
      </c>
      <c r="G201" s="3" t="s">
        <v>62</v>
      </c>
      <c r="H201" s="3" t="s">
        <v>62</v>
      </c>
      <c r="I201" s="3" t="s">
        <v>62</v>
      </c>
      <c r="J201" s="3" t="s">
        <v>62</v>
      </c>
      <c r="K201" s="3" t="s">
        <v>62</v>
      </c>
      <c r="L201" s="3" t="s">
        <v>62</v>
      </c>
      <c r="M201" s="3" t="s">
        <v>62</v>
      </c>
      <c r="N201" s="3" t="s">
        <v>62</v>
      </c>
      <c r="O201" s="3" t="s">
        <v>62</v>
      </c>
      <c r="P201" s="3" t="s">
        <v>62</v>
      </c>
      <c r="Q201" s="3" t="s">
        <v>62</v>
      </c>
      <c r="R201" s="3" t="s">
        <v>62</v>
      </c>
      <c r="S201" s="3" t="s">
        <v>62</v>
      </c>
      <c r="T201" s="3" t="s">
        <v>62</v>
      </c>
      <c r="U201" s="3" t="s">
        <v>62</v>
      </c>
      <c r="V201" s="3" t="s">
        <v>62</v>
      </c>
      <c r="W201" s="3" t="s">
        <v>62</v>
      </c>
      <c r="X201" s="3" t="s">
        <v>62</v>
      </c>
      <c r="Y201" s="3" t="s">
        <v>62</v>
      </c>
      <c r="Z201" s="3" t="s">
        <v>62</v>
      </c>
      <c r="AA201" s="3" t="s">
        <v>62</v>
      </c>
      <c r="AB201" s="3" t="s">
        <v>62</v>
      </c>
      <c r="AC201" s="3" t="s">
        <v>62</v>
      </c>
      <c r="AD201" s="3" t="s">
        <v>62</v>
      </c>
      <c r="AE201" s="3" t="s">
        <v>62</v>
      </c>
      <c r="AF201" s="3" t="s">
        <v>62</v>
      </c>
      <c r="AG201" s="3" t="s">
        <v>62</v>
      </c>
      <c r="AH201" s="3" t="s">
        <v>62</v>
      </c>
    </row>
    <row r="202" spans="2:34">
      <c r="B202" s="82">
        <v>3</v>
      </c>
      <c r="C202" s="87" t="str">
        <f>LEFT(EmpGName03)&amp;" " &amp;EmpSName03</f>
        <v>I Thelning</v>
      </c>
      <c r="D202" s="4" t="s">
        <v>62</v>
      </c>
      <c r="E202" s="4" t="s">
        <v>62</v>
      </c>
      <c r="F202" s="4" t="s">
        <v>62</v>
      </c>
      <c r="G202" s="4" t="s">
        <v>62</v>
      </c>
      <c r="H202" s="4" t="s">
        <v>62</v>
      </c>
      <c r="I202" s="4" t="s">
        <v>62</v>
      </c>
      <c r="J202" s="4" t="s">
        <v>62</v>
      </c>
      <c r="K202" s="4" t="s">
        <v>62</v>
      </c>
      <c r="L202" s="4" t="s">
        <v>62</v>
      </c>
      <c r="M202" s="4" t="s">
        <v>62</v>
      </c>
      <c r="N202" s="4" t="s">
        <v>62</v>
      </c>
      <c r="O202" s="4" t="s">
        <v>62</v>
      </c>
      <c r="P202" s="4" t="s">
        <v>62</v>
      </c>
      <c r="Q202" s="4" t="s">
        <v>62</v>
      </c>
      <c r="R202" s="4" t="s">
        <v>62</v>
      </c>
      <c r="S202" s="4" t="s">
        <v>62</v>
      </c>
      <c r="T202" s="4" t="s">
        <v>62</v>
      </c>
      <c r="U202" s="4" t="s">
        <v>62</v>
      </c>
      <c r="V202" s="4" t="s">
        <v>62</v>
      </c>
      <c r="W202" s="4" t="s">
        <v>62</v>
      </c>
      <c r="X202" s="4" t="s">
        <v>62</v>
      </c>
      <c r="Y202" s="4" t="s">
        <v>62</v>
      </c>
      <c r="Z202" s="4" t="s">
        <v>62</v>
      </c>
      <c r="AA202" s="4" t="s">
        <v>62</v>
      </c>
      <c r="AB202" s="4" t="s">
        <v>62</v>
      </c>
      <c r="AC202" s="4" t="s">
        <v>62</v>
      </c>
      <c r="AD202" s="4" t="s">
        <v>62</v>
      </c>
      <c r="AE202" s="4" t="s">
        <v>62</v>
      </c>
      <c r="AF202" s="4" t="s">
        <v>62</v>
      </c>
      <c r="AG202" s="4" t="s">
        <v>62</v>
      </c>
      <c r="AH202" s="4" t="s">
        <v>62</v>
      </c>
    </row>
    <row r="203" spans="2:34">
      <c r="B203" s="82">
        <v>4</v>
      </c>
      <c r="C203" s="88" t="str">
        <f>LEFT(EmpGName04)&amp;" " &amp;EmpSName04</f>
        <v>L King</v>
      </c>
      <c r="D203" s="3" t="s">
        <v>62</v>
      </c>
      <c r="E203" s="3" t="s">
        <v>62</v>
      </c>
      <c r="F203" s="3" t="s">
        <v>62</v>
      </c>
      <c r="G203" s="3" t="s">
        <v>62</v>
      </c>
      <c r="H203" s="3" t="s">
        <v>62</v>
      </c>
      <c r="I203" s="3" t="s">
        <v>62</v>
      </c>
      <c r="J203" s="3" t="s">
        <v>62</v>
      </c>
      <c r="K203" s="3" t="s">
        <v>62</v>
      </c>
      <c r="L203" s="3" t="s">
        <v>62</v>
      </c>
      <c r="M203" s="3" t="s">
        <v>62</v>
      </c>
      <c r="N203" s="3" t="s">
        <v>62</v>
      </c>
      <c r="O203" s="3" t="s">
        <v>62</v>
      </c>
      <c r="P203" s="3" t="s">
        <v>62</v>
      </c>
      <c r="Q203" s="3" t="s">
        <v>62</v>
      </c>
      <c r="R203" s="3" t="s">
        <v>62</v>
      </c>
      <c r="S203" s="3" t="s">
        <v>62</v>
      </c>
      <c r="T203" s="3" t="s">
        <v>62</v>
      </c>
      <c r="U203" s="3" t="s">
        <v>62</v>
      </c>
      <c r="V203" s="3" t="s">
        <v>62</v>
      </c>
      <c r="W203" s="3" t="s">
        <v>62</v>
      </c>
      <c r="X203" s="3" t="s">
        <v>62</v>
      </c>
      <c r="Y203" s="3" t="s">
        <v>62</v>
      </c>
      <c r="Z203" s="3" t="s">
        <v>62</v>
      </c>
      <c r="AA203" s="3" t="s">
        <v>62</v>
      </c>
      <c r="AB203" s="3" t="s">
        <v>62</v>
      </c>
      <c r="AC203" s="3" t="s">
        <v>62</v>
      </c>
      <c r="AD203" s="3" t="s">
        <v>62</v>
      </c>
      <c r="AE203" s="3" t="s">
        <v>62</v>
      </c>
      <c r="AF203" s="3" t="s">
        <v>62</v>
      </c>
      <c r="AG203" s="3" t="s">
        <v>62</v>
      </c>
      <c r="AH203" s="3" t="s">
        <v>62</v>
      </c>
    </row>
    <row r="204" spans="2:34">
      <c r="B204" s="82">
        <v>5</v>
      </c>
      <c r="C204" s="87" t="str">
        <f>LEFT(EmpGName05)&amp;" " &amp;EmpSName05</f>
        <v>D Castle</v>
      </c>
      <c r="D204" s="4" t="s">
        <v>62</v>
      </c>
      <c r="E204" s="4" t="s">
        <v>62</v>
      </c>
      <c r="F204" s="4" t="s">
        <v>62</v>
      </c>
      <c r="G204" s="4" t="s">
        <v>62</v>
      </c>
      <c r="H204" s="4" t="s">
        <v>62</v>
      </c>
      <c r="I204" s="4" t="s">
        <v>62</v>
      </c>
      <c r="J204" s="4" t="s">
        <v>62</v>
      </c>
      <c r="K204" s="4" t="s">
        <v>62</v>
      </c>
      <c r="L204" s="4" t="s">
        <v>62</v>
      </c>
      <c r="M204" s="4" t="s">
        <v>62</v>
      </c>
      <c r="N204" s="4" t="s">
        <v>62</v>
      </c>
      <c r="O204" s="4" t="s">
        <v>62</v>
      </c>
      <c r="P204" s="4" t="s">
        <v>62</v>
      </c>
      <c r="Q204" s="4" t="s">
        <v>62</v>
      </c>
      <c r="R204" s="4" t="s">
        <v>62</v>
      </c>
      <c r="S204" s="4" t="s">
        <v>62</v>
      </c>
      <c r="T204" s="4" t="s">
        <v>62</v>
      </c>
      <c r="U204" s="4" t="s">
        <v>62</v>
      </c>
      <c r="V204" s="4" t="s">
        <v>62</v>
      </c>
      <c r="W204" s="4" t="s">
        <v>62</v>
      </c>
      <c r="X204" s="4" t="s">
        <v>62</v>
      </c>
      <c r="Y204" s="4" t="s">
        <v>62</v>
      </c>
      <c r="Z204" s="4" t="s">
        <v>62</v>
      </c>
      <c r="AA204" s="4" t="s">
        <v>62</v>
      </c>
      <c r="AB204" s="4" t="s">
        <v>62</v>
      </c>
      <c r="AC204" s="4" t="s">
        <v>62</v>
      </c>
      <c r="AD204" s="4" t="s">
        <v>62</v>
      </c>
      <c r="AE204" s="4" t="s">
        <v>62</v>
      </c>
      <c r="AF204" s="4" t="s">
        <v>62</v>
      </c>
      <c r="AG204" s="4" t="s">
        <v>62</v>
      </c>
      <c r="AH204" s="4" t="s">
        <v>62</v>
      </c>
    </row>
    <row r="205" spans="2:34">
      <c r="B205" s="82">
        <v>6</v>
      </c>
      <c r="C205" s="88" t="str">
        <f>LEFT(EmpGName06)&amp;" " &amp;EmpSName06</f>
        <v>R Fielding</v>
      </c>
      <c r="D205" s="3" t="s">
        <v>62</v>
      </c>
      <c r="E205" s="3" t="s">
        <v>62</v>
      </c>
      <c r="F205" s="3" t="s">
        <v>62</v>
      </c>
      <c r="G205" s="3" t="s">
        <v>62</v>
      </c>
      <c r="H205" s="3" t="s">
        <v>62</v>
      </c>
      <c r="I205" s="3" t="s">
        <v>62</v>
      </c>
      <c r="J205" s="3" t="s">
        <v>62</v>
      </c>
      <c r="K205" s="3" t="s">
        <v>62</v>
      </c>
      <c r="L205" s="3" t="s">
        <v>62</v>
      </c>
      <c r="M205" s="3" t="s">
        <v>62</v>
      </c>
      <c r="N205" s="3" t="s">
        <v>62</v>
      </c>
      <c r="O205" s="3" t="s">
        <v>62</v>
      </c>
      <c r="P205" s="3" t="s">
        <v>62</v>
      </c>
      <c r="Q205" s="3" t="s">
        <v>62</v>
      </c>
      <c r="R205" s="3" t="s">
        <v>62</v>
      </c>
      <c r="S205" s="3" t="s">
        <v>62</v>
      </c>
      <c r="T205" s="3" t="s">
        <v>62</v>
      </c>
      <c r="U205" s="3" t="s">
        <v>62</v>
      </c>
      <c r="V205" s="3" t="s">
        <v>62</v>
      </c>
      <c r="W205" s="3" t="s">
        <v>62</v>
      </c>
      <c r="X205" s="3" t="s">
        <v>62</v>
      </c>
      <c r="Y205" s="3" t="s">
        <v>62</v>
      </c>
      <c r="Z205" s="3" t="s">
        <v>62</v>
      </c>
      <c r="AA205" s="3" t="s">
        <v>62</v>
      </c>
      <c r="AB205" s="3" t="s">
        <v>62</v>
      </c>
      <c r="AC205" s="3" t="s">
        <v>62</v>
      </c>
      <c r="AD205" s="3" t="s">
        <v>62</v>
      </c>
      <c r="AE205" s="3" t="s">
        <v>62</v>
      </c>
      <c r="AF205" s="3" t="s">
        <v>62</v>
      </c>
      <c r="AG205" s="3" t="s">
        <v>62</v>
      </c>
      <c r="AH205" s="3" t="s">
        <v>62</v>
      </c>
    </row>
    <row r="206" spans="2:34">
      <c r="B206" s="82">
        <v>7</v>
      </c>
      <c r="C206" s="87" t="str">
        <f>LEFT(EmpGName07)&amp;" " &amp;EmpSName07</f>
        <v>T Sorensen</v>
      </c>
      <c r="D206" s="4" t="s">
        <v>62</v>
      </c>
      <c r="E206" s="4" t="s">
        <v>62</v>
      </c>
      <c r="F206" s="4" t="s">
        <v>62</v>
      </c>
      <c r="G206" s="4" t="s">
        <v>62</v>
      </c>
      <c r="H206" s="4" t="s">
        <v>62</v>
      </c>
      <c r="I206" s="4" t="s">
        <v>62</v>
      </c>
      <c r="J206" s="4" t="s">
        <v>62</v>
      </c>
      <c r="K206" s="4" t="s">
        <v>62</v>
      </c>
      <c r="L206" s="4" t="s">
        <v>62</v>
      </c>
      <c r="M206" s="4" t="s">
        <v>62</v>
      </c>
      <c r="N206" s="4" t="s">
        <v>62</v>
      </c>
      <c r="O206" s="4" t="s">
        <v>62</v>
      </c>
      <c r="P206" s="4" t="s">
        <v>62</v>
      </c>
      <c r="Q206" s="4" t="s">
        <v>62</v>
      </c>
      <c r="R206" s="4" t="s">
        <v>62</v>
      </c>
      <c r="S206" s="4" t="s">
        <v>62</v>
      </c>
      <c r="T206" s="4" t="s">
        <v>62</v>
      </c>
      <c r="U206" s="4" t="s">
        <v>62</v>
      </c>
      <c r="V206" s="4" t="s">
        <v>62</v>
      </c>
      <c r="W206" s="4" t="s">
        <v>62</v>
      </c>
      <c r="X206" s="4" t="s">
        <v>62</v>
      </c>
      <c r="Y206" s="4" t="s">
        <v>62</v>
      </c>
      <c r="Z206" s="4" t="s">
        <v>62</v>
      </c>
      <c r="AA206" s="4" t="s">
        <v>62</v>
      </c>
      <c r="AB206" s="4" t="s">
        <v>62</v>
      </c>
      <c r="AC206" s="4" t="s">
        <v>62</v>
      </c>
      <c r="AD206" s="4" t="s">
        <v>62</v>
      </c>
      <c r="AE206" s="4" t="s">
        <v>62</v>
      </c>
      <c r="AF206" s="4" t="s">
        <v>62</v>
      </c>
      <c r="AG206" s="4" t="s">
        <v>62</v>
      </c>
      <c r="AH206" s="4" t="s">
        <v>62</v>
      </c>
    </row>
    <row r="207" spans="2:34">
      <c r="B207" s="82">
        <v>8</v>
      </c>
      <c r="C207" s="88" t="str">
        <f>LEFT(EmpGName08)&amp;" " &amp;EmpSName08</f>
        <v>C Horse</v>
      </c>
      <c r="D207" s="3" t="s">
        <v>62</v>
      </c>
      <c r="E207" s="3" t="s">
        <v>62</v>
      </c>
      <c r="F207" s="3" t="s">
        <v>62</v>
      </c>
      <c r="G207" s="3" t="s">
        <v>62</v>
      </c>
      <c r="H207" s="3" t="s">
        <v>62</v>
      </c>
      <c r="I207" s="3" t="s">
        <v>62</v>
      </c>
      <c r="J207" s="3" t="s">
        <v>62</v>
      </c>
      <c r="K207" s="3" t="s">
        <v>62</v>
      </c>
      <c r="L207" s="3" t="s">
        <v>62</v>
      </c>
      <c r="M207" s="3" t="s">
        <v>62</v>
      </c>
      <c r="N207" s="3" t="s">
        <v>62</v>
      </c>
      <c r="O207" s="3" t="s">
        <v>62</v>
      </c>
      <c r="P207" s="3" t="s">
        <v>62</v>
      </c>
      <c r="Q207" s="3" t="s">
        <v>62</v>
      </c>
      <c r="R207" s="3" t="s">
        <v>62</v>
      </c>
      <c r="S207" s="3" t="s">
        <v>62</v>
      </c>
      <c r="T207" s="3" t="s">
        <v>62</v>
      </c>
      <c r="U207" s="3" t="s">
        <v>62</v>
      </c>
      <c r="V207" s="3" t="s">
        <v>62</v>
      </c>
      <c r="W207" s="3" t="s">
        <v>62</v>
      </c>
      <c r="X207" s="3" t="s">
        <v>62</v>
      </c>
      <c r="Y207" s="3" t="s">
        <v>62</v>
      </c>
      <c r="Z207" s="3" t="s">
        <v>62</v>
      </c>
      <c r="AA207" s="3" t="s">
        <v>62</v>
      </c>
      <c r="AB207" s="3" t="s">
        <v>62</v>
      </c>
      <c r="AC207" s="3" t="s">
        <v>62</v>
      </c>
      <c r="AD207" s="3" t="s">
        <v>62</v>
      </c>
      <c r="AE207" s="3" t="s">
        <v>62</v>
      </c>
      <c r="AF207" s="3" t="s">
        <v>62</v>
      </c>
      <c r="AG207" s="3" t="s">
        <v>62</v>
      </c>
      <c r="AH207" s="3" t="s">
        <v>62</v>
      </c>
    </row>
    <row r="208" spans="2:34">
      <c r="B208" s="82">
        <v>9</v>
      </c>
      <c r="C208" s="87" t="str">
        <f>LEFT(EmpGName09)&amp;" " &amp;EmpSName09</f>
        <v xml:space="preserve">E Horse </v>
      </c>
      <c r="D208" s="4" t="s">
        <v>62</v>
      </c>
      <c r="E208" s="4" t="s">
        <v>62</v>
      </c>
      <c r="F208" s="4" t="s">
        <v>62</v>
      </c>
      <c r="G208" s="4" t="s">
        <v>62</v>
      </c>
      <c r="H208" s="4" t="s">
        <v>62</v>
      </c>
      <c r="I208" s="4" t="s">
        <v>62</v>
      </c>
      <c r="J208" s="4" t="s">
        <v>62</v>
      </c>
      <c r="K208" s="4" t="s">
        <v>62</v>
      </c>
      <c r="L208" s="4" t="s">
        <v>62</v>
      </c>
      <c r="M208" s="4" t="s">
        <v>62</v>
      </c>
      <c r="N208" s="4" t="s">
        <v>62</v>
      </c>
      <c r="O208" s="4" t="s">
        <v>62</v>
      </c>
      <c r="P208" s="4" t="s">
        <v>62</v>
      </c>
      <c r="Q208" s="4" t="s">
        <v>62</v>
      </c>
      <c r="R208" s="4" t="s">
        <v>62</v>
      </c>
      <c r="S208" s="4" t="s">
        <v>62</v>
      </c>
      <c r="T208" s="4" t="s">
        <v>62</v>
      </c>
      <c r="U208" s="4" t="s">
        <v>62</v>
      </c>
      <c r="V208" s="4" t="s">
        <v>62</v>
      </c>
      <c r="W208" s="4" t="s">
        <v>62</v>
      </c>
      <c r="X208" s="4" t="s">
        <v>62</v>
      </c>
      <c r="Y208" s="4" t="s">
        <v>62</v>
      </c>
      <c r="Z208" s="4" t="s">
        <v>62</v>
      </c>
      <c r="AA208" s="4" t="s">
        <v>62</v>
      </c>
      <c r="AB208" s="4" t="s">
        <v>62</v>
      </c>
      <c r="AC208" s="4" t="s">
        <v>62</v>
      </c>
      <c r="AD208" s="4" t="s">
        <v>62</v>
      </c>
      <c r="AE208" s="4" t="s">
        <v>62</v>
      </c>
      <c r="AF208" s="4" t="s">
        <v>62</v>
      </c>
      <c r="AG208" s="4" t="s">
        <v>62</v>
      </c>
      <c r="AH208" s="4" t="s">
        <v>62</v>
      </c>
    </row>
    <row r="209" spans="2:34">
      <c r="B209" s="140">
        <v>10</v>
      </c>
      <c r="C209" s="89" t="str">
        <f>LEFT(EmpGName10)&amp;" " &amp;EmpSName10</f>
        <v>J Smeegal</v>
      </c>
      <c r="D209" s="68" t="s">
        <v>62</v>
      </c>
      <c r="E209" s="68" t="s">
        <v>62</v>
      </c>
      <c r="F209" s="68" t="s">
        <v>62</v>
      </c>
      <c r="G209" s="68" t="s">
        <v>62</v>
      </c>
      <c r="H209" s="68" t="s">
        <v>62</v>
      </c>
      <c r="I209" s="68" t="s">
        <v>62</v>
      </c>
      <c r="J209" s="68" t="s">
        <v>62</v>
      </c>
      <c r="K209" s="68" t="s">
        <v>62</v>
      </c>
      <c r="L209" s="68" t="s">
        <v>62</v>
      </c>
      <c r="M209" s="68" t="s">
        <v>62</v>
      </c>
      <c r="N209" s="68" t="s">
        <v>62</v>
      </c>
      <c r="O209" s="68" t="s">
        <v>62</v>
      </c>
      <c r="P209" s="68" t="s">
        <v>62</v>
      </c>
      <c r="Q209" s="68" t="s">
        <v>62</v>
      </c>
      <c r="R209" s="68" t="s">
        <v>62</v>
      </c>
      <c r="S209" s="68" t="s">
        <v>62</v>
      </c>
      <c r="T209" s="68" t="s">
        <v>62</v>
      </c>
      <c r="U209" s="68" t="s">
        <v>62</v>
      </c>
      <c r="V209" s="68" t="s">
        <v>62</v>
      </c>
      <c r="W209" s="68" t="s">
        <v>62</v>
      </c>
      <c r="X209" s="68" t="s">
        <v>62</v>
      </c>
      <c r="Y209" s="68" t="s">
        <v>62</v>
      </c>
      <c r="Z209" s="68" t="s">
        <v>62</v>
      </c>
      <c r="AA209" s="68" t="s">
        <v>62</v>
      </c>
      <c r="AB209" s="68" t="s">
        <v>62</v>
      </c>
      <c r="AC209" s="68" t="s">
        <v>62</v>
      </c>
      <c r="AD209" s="68" t="s">
        <v>62</v>
      </c>
      <c r="AE209" s="68" t="s">
        <v>62</v>
      </c>
      <c r="AF209" s="68" t="s">
        <v>62</v>
      </c>
      <c r="AG209" s="68" t="s">
        <v>62</v>
      </c>
      <c r="AH209" s="68" t="s">
        <v>62</v>
      </c>
    </row>
    <row r="210" spans="2:34">
      <c r="B210" s="140">
        <v>11</v>
      </c>
      <c r="C210" s="87" t="str">
        <f>LEFT(EmpGName11)&amp;" " &amp;EmpSName11</f>
        <v>E Smeegal</v>
      </c>
      <c r="D210" s="4" t="s">
        <v>62</v>
      </c>
      <c r="E210" s="4" t="s">
        <v>62</v>
      </c>
      <c r="F210" s="4" t="s">
        <v>62</v>
      </c>
      <c r="G210" s="4" t="s">
        <v>62</v>
      </c>
      <c r="H210" s="4" t="s">
        <v>62</v>
      </c>
      <c r="I210" s="4" t="s">
        <v>62</v>
      </c>
      <c r="J210" s="4" t="s">
        <v>62</v>
      </c>
      <c r="K210" s="4" t="s">
        <v>62</v>
      </c>
      <c r="L210" s="4" t="s">
        <v>62</v>
      </c>
      <c r="M210" s="4" t="s">
        <v>62</v>
      </c>
      <c r="N210" s="4" t="s">
        <v>62</v>
      </c>
      <c r="O210" s="4" t="s">
        <v>62</v>
      </c>
      <c r="P210" s="4" t="s">
        <v>62</v>
      </c>
      <c r="Q210" s="4" t="s">
        <v>62</v>
      </c>
      <c r="R210" s="4" t="s">
        <v>62</v>
      </c>
      <c r="S210" s="4" t="s">
        <v>62</v>
      </c>
      <c r="T210" s="4" t="s">
        <v>62</v>
      </c>
      <c r="U210" s="4" t="s">
        <v>62</v>
      </c>
      <c r="V210" s="4" t="s">
        <v>62</v>
      </c>
      <c r="W210" s="4" t="s">
        <v>62</v>
      </c>
      <c r="X210" s="4" t="s">
        <v>62</v>
      </c>
      <c r="Y210" s="4" t="s">
        <v>62</v>
      </c>
      <c r="Z210" s="4" t="s">
        <v>62</v>
      </c>
      <c r="AA210" s="4" t="s">
        <v>62</v>
      </c>
      <c r="AB210" s="4" t="s">
        <v>62</v>
      </c>
      <c r="AC210" s="4" t="s">
        <v>62</v>
      </c>
      <c r="AD210" s="4" t="s">
        <v>62</v>
      </c>
      <c r="AE210" s="4" t="s">
        <v>62</v>
      </c>
      <c r="AF210" s="4" t="s">
        <v>62</v>
      </c>
      <c r="AG210" s="4" t="s">
        <v>62</v>
      </c>
      <c r="AH210" s="4" t="s">
        <v>62</v>
      </c>
    </row>
    <row r="211" spans="2:34">
      <c r="B211" s="140">
        <v>12</v>
      </c>
      <c r="C211" s="89" t="str">
        <f>LEFT(EmpGName12)&amp;" " &amp;EmpSName12</f>
        <v>J James</v>
      </c>
      <c r="D211" s="68" t="s">
        <v>62</v>
      </c>
      <c r="E211" s="68" t="s">
        <v>62</v>
      </c>
      <c r="F211" s="68" t="s">
        <v>62</v>
      </c>
      <c r="G211" s="68" t="s">
        <v>62</v>
      </c>
      <c r="H211" s="68" t="s">
        <v>62</v>
      </c>
      <c r="I211" s="68" t="s">
        <v>62</v>
      </c>
      <c r="J211" s="68" t="s">
        <v>62</v>
      </c>
      <c r="K211" s="68" t="s">
        <v>62</v>
      </c>
      <c r="L211" s="68" t="s">
        <v>62</v>
      </c>
      <c r="M211" s="68" t="s">
        <v>62</v>
      </c>
      <c r="N211" s="68" t="s">
        <v>62</v>
      </c>
      <c r="O211" s="68" t="s">
        <v>62</v>
      </c>
      <c r="P211" s="68" t="s">
        <v>62</v>
      </c>
      <c r="Q211" s="68" t="s">
        <v>62</v>
      </c>
      <c r="R211" s="68" t="s">
        <v>62</v>
      </c>
      <c r="S211" s="68" t="s">
        <v>62</v>
      </c>
      <c r="T211" s="68" t="s">
        <v>62</v>
      </c>
      <c r="U211" s="68" t="s">
        <v>62</v>
      </c>
      <c r="V211" s="68" t="s">
        <v>62</v>
      </c>
      <c r="W211" s="68" t="s">
        <v>62</v>
      </c>
      <c r="X211" s="68" t="s">
        <v>62</v>
      </c>
      <c r="Y211" s="68" t="s">
        <v>62</v>
      </c>
      <c r="Z211" s="68" t="s">
        <v>62</v>
      </c>
      <c r="AA211" s="68" t="s">
        <v>62</v>
      </c>
      <c r="AB211" s="68" t="s">
        <v>62</v>
      </c>
      <c r="AC211" s="68" t="s">
        <v>62</v>
      </c>
      <c r="AD211" s="68" t="s">
        <v>62</v>
      </c>
      <c r="AE211" s="68" t="s">
        <v>62</v>
      </c>
      <c r="AF211" s="68" t="s">
        <v>62</v>
      </c>
      <c r="AG211" s="68" t="s">
        <v>62</v>
      </c>
      <c r="AH211" s="68" t="s">
        <v>62</v>
      </c>
    </row>
    <row r="212" spans="2:34">
      <c r="B212" s="139">
        <v>13</v>
      </c>
      <c r="C212" s="87" t="str">
        <f>LEFT(EmpGName13)&amp;" " &amp;EmpSName13</f>
        <v>J Jack</v>
      </c>
      <c r="D212" s="4" t="s">
        <v>62</v>
      </c>
      <c r="E212" s="4" t="s">
        <v>62</v>
      </c>
      <c r="F212" s="4" t="s">
        <v>62</v>
      </c>
      <c r="G212" s="4" t="s">
        <v>62</v>
      </c>
      <c r="H212" s="4" t="s">
        <v>62</v>
      </c>
      <c r="I212" s="4" t="s">
        <v>62</v>
      </c>
      <c r="J212" s="4" t="s">
        <v>62</v>
      </c>
      <c r="K212" s="4" t="s">
        <v>62</v>
      </c>
      <c r="L212" s="4" t="s">
        <v>62</v>
      </c>
      <c r="M212" s="4" t="s">
        <v>62</v>
      </c>
      <c r="N212" s="4" t="s">
        <v>62</v>
      </c>
      <c r="O212" s="4" t="s">
        <v>62</v>
      </c>
      <c r="P212" s="4" t="s">
        <v>62</v>
      </c>
      <c r="Q212" s="4" t="s">
        <v>62</v>
      </c>
      <c r="R212" s="4" t="s">
        <v>62</v>
      </c>
      <c r="S212" s="4" t="s">
        <v>62</v>
      </c>
      <c r="T212" s="4" t="s">
        <v>62</v>
      </c>
      <c r="U212" s="4" t="s">
        <v>62</v>
      </c>
      <c r="V212" s="4" t="s">
        <v>62</v>
      </c>
      <c r="W212" s="4" t="s">
        <v>62</v>
      </c>
      <c r="X212" s="4" t="s">
        <v>62</v>
      </c>
      <c r="Y212" s="4" t="s">
        <v>62</v>
      </c>
      <c r="Z212" s="4" t="s">
        <v>62</v>
      </c>
      <c r="AA212" s="4" t="s">
        <v>62</v>
      </c>
      <c r="AB212" s="4" t="s">
        <v>62</v>
      </c>
      <c r="AC212" s="4" t="s">
        <v>62</v>
      </c>
      <c r="AD212" s="4" t="s">
        <v>62</v>
      </c>
      <c r="AE212" s="4" t="s">
        <v>62</v>
      </c>
      <c r="AF212" s="4" t="s">
        <v>62</v>
      </c>
      <c r="AG212" s="4" t="s">
        <v>62</v>
      </c>
      <c r="AH212" s="4" t="s">
        <v>62</v>
      </c>
    </row>
    <row r="213" spans="2:34">
      <c r="B213" s="139">
        <v>14</v>
      </c>
      <c r="C213" s="88" t="str">
        <f>LEFT(EmpGName14)&amp;" " &amp;EmpSName14</f>
        <v xml:space="preserve">J Jacky </v>
      </c>
      <c r="D213" s="3" t="s">
        <v>62</v>
      </c>
      <c r="E213" s="3" t="s">
        <v>62</v>
      </c>
      <c r="F213" s="3" t="s">
        <v>62</v>
      </c>
      <c r="G213" s="3" t="s">
        <v>62</v>
      </c>
      <c r="H213" s="3" t="s">
        <v>62</v>
      </c>
      <c r="I213" s="3" t="s">
        <v>62</v>
      </c>
      <c r="J213" s="3" t="s">
        <v>62</v>
      </c>
      <c r="K213" s="3" t="s">
        <v>62</v>
      </c>
      <c r="L213" s="3" t="s">
        <v>62</v>
      </c>
      <c r="M213" s="3" t="s">
        <v>62</v>
      </c>
      <c r="N213" s="3" t="s">
        <v>62</v>
      </c>
      <c r="O213" s="3" t="s">
        <v>62</v>
      </c>
      <c r="P213" s="3" t="s">
        <v>62</v>
      </c>
      <c r="Q213" s="3" t="s">
        <v>62</v>
      </c>
      <c r="R213" s="3" t="s">
        <v>62</v>
      </c>
      <c r="S213" s="3" t="s">
        <v>62</v>
      </c>
      <c r="T213" s="3" t="s">
        <v>62</v>
      </c>
      <c r="U213" s="3" t="s">
        <v>62</v>
      </c>
      <c r="V213" s="3" t="s">
        <v>62</v>
      </c>
      <c r="W213" s="3" t="s">
        <v>62</v>
      </c>
      <c r="X213" s="3" t="s">
        <v>62</v>
      </c>
      <c r="Y213" s="3" t="s">
        <v>62</v>
      </c>
      <c r="Z213" s="3" t="s">
        <v>62</v>
      </c>
      <c r="AA213" s="3" t="s">
        <v>62</v>
      </c>
      <c r="AB213" s="3" t="s">
        <v>62</v>
      </c>
      <c r="AC213" s="3" t="s">
        <v>62</v>
      </c>
      <c r="AD213" s="3" t="s">
        <v>62</v>
      </c>
      <c r="AE213" s="3" t="s">
        <v>62</v>
      </c>
      <c r="AF213" s="3" t="s">
        <v>62</v>
      </c>
      <c r="AG213" s="3" t="s">
        <v>62</v>
      </c>
      <c r="AH213" s="3" t="s">
        <v>62</v>
      </c>
    </row>
    <row r="214" spans="2:34">
      <c r="B214" s="139">
        <v>15</v>
      </c>
      <c r="C214" s="87" t="str">
        <f>LEFT(EmpGName15)&amp;" " &amp;EmpSName15</f>
        <v>J Friedle</v>
      </c>
      <c r="D214" s="4" t="s">
        <v>62</v>
      </c>
      <c r="E214" s="4" t="s">
        <v>62</v>
      </c>
      <c r="F214" s="4" t="s">
        <v>62</v>
      </c>
      <c r="G214" s="4" t="s">
        <v>62</v>
      </c>
      <c r="H214" s="4" t="s">
        <v>62</v>
      </c>
      <c r="I214" s="4" t="s">
        <v>62</v>
      </c>
      <c r="J214" s="4" t="s">
        <v>62</v>
      </c>
      <c r="K214" s="4" t="s">
        <v>62</v>
      </c>
      <c r="L214" s="4" t="s">
        <v>62</v>
      </c>
      <c r="M214" s="4" t="s">
        <v>62</v>
      </c>
      <c r="N214" s="4" t="s">
        <v>62</v>
      </c>
      <c r="O214" s="4" t="s">
        <v>62</v>
      </c>
      <c r="P214" s="4" t="s">
        <v>62</v>
      </c>
      <c r="Q214" s="4" t="s">
        <v>62</v>
      </c>
      <c r="R214" s="4" t="s">
        <v>62</v>
      </c>
      <c r="S214" s="4" t="s">
        <v>62</v>
      </c>
      <c r="T214" s="4" t="s">
        <v>62</v>
      </c>
      <c r="U214" s="4" t="s">
        <v>62</v>
      </c>
      <c r="V214" s="4" t="s">
        <v>62</v>
      </c>
      <c r="W214" s="4" t="s">
        <v>62</v>
      </c>
      <c r="X214" s="4" t="s">
        <v>62</v>
      </c>
      <c r="Y214" s="4" t="s">
        <v>62</v>
      </c>
      <c r="Z214" s="4" t="s">
        <v>62</v>
      </c>
      <c r="AA214" s="4" t="s">
        <v>62</v>
      </c>
      <c r="AB214" s="4" t="s">
        <v>62</v>
      </c>
      <c r="AC214" s="4" t="s">
        <v>62</v>
      </c>
      <c r="AD214" s="4" t="s">
        <v>62</v>
      </c>
      <c r="AE214" s="4" t="s">
        <v>62</v>
      </c>
      <c r="AF214" s="4" t="s">
        <v>62</v>
      </c>
      <c r="AG214" s="4" t="s">
        <v>62</v>
      </c>
      <c r="AH214" s="4" t="s">
        <v>62</v>
      </c>
    </row>
    <row r="215" spans="2:34">
      <c r="B215" s="139">
        <v>16</v>
      </c>
      <c r="C215" s="88" t="str">
        <f>LEFT(EmpGName16)&amp;" " &amp;EmpSName16</f>
        <v>J Friedle</v>
      </c>
      <c r="D215" s="3" t="s">
        <v>62</v>
      </c>
      <c r="E215" s="3" t="s">
        <v>62</v>
      </c>
      <c r="F215" s="3" t="s">
        <v>62</v>
      </c>
      <c r="G215" s="3" t="s">
        <v>62</v>
      </c>
      <c r="H215" s="3" t="s">
        <v>62</v>
      </c>
      <c r="I215" s="3" t="s">
        <v>62</v>
      </c>
      <c r="J215" s="3" t="s">
        <v>62</v>
      </c>
      <c r="K215" s="3" t="s">
        <v>62</v>
      </c>
      <c r="L215" s="3" t="s">
        <v>62</v>
      </c>
      <c r="M215" s="3" t="s">
        <v>62</v>
      </c>
      <c r="N215" s="3" t="s">
        <v>62</v>
      </c>
      <c r="O215" s="3" t="s">
        <v>62</v>
      </c>
      <c r="P215" s="3" t="s">
        <v>62</v>
      </c>
      <c r="Q215" s="3" t="s">
        <v>62</v>
      </c>
      <c r="R215" s="3" t="s">
        <v>62</v>
      </c>
      <c r="S215" s="3" t="s">
        <v>62</v>
      </c>
      <c r="T215" s="3" t="s">
        <v>62</v>
      </c>
      <c r="U215" s="3" t="s">
        <v>62</v>
      </c>
      <c r="V215" s="3" t="s">
        <v>62</v>
      </c>
      <c r="W215" s="3" t="s">
        <v>62</v>
      </c>
      <c r="X215" s="3" t="s">
        <v>62</v>
      </c>
      <c r="Y215" s="3" t="s">
        <v>62</v>
      </c>
      <c r="Z215" s="3" t="s">
        <v>62</v>
      </c>
      <c r="AA215" s="3" t="s">
        <v>62</v>
      </c>
      <c r="AB215" s="3" t="s">
        <v>62</v>
      </c>
      <c r="AC215" s="3" t="s">
        <v>62</v>
      </c>
      <c r="AD215" s="3" t="s">
        <v>62</v>
      </c>
      <c r="AE215" s="3" t="s">
        <v>62</v>
      </c>
      <c r="AF215" s="3" t="s">
        <v>62</v>
      </c>
      <c r="AG215" s="3" t="s">
        <v>62</v>
      </c>
      <c r="AH215" s="3" t="s">
        <v>62</v>
      </c>
    </row>
    <row r="216" spans="2:34">
      <c r="B216" s="139">
        <v>17</v>
      </c>
      <c r="C216" s="87" t="str">
        <f>LEFT(EmpGName17)&amp;" " &amp;EmpSName17</f>
        <v>J Smart</v>
      </c>
      <c r="D216" s="4" t="s">
        <v>62</v>
      </c>
      <c r="E216" s="4" t="s">
        <v>62</v>
      </c>
      <c r="F216" s="4" t="s">
        <v>62</v>
      </c>
      <c r="G216" s="4" t="s">
        <v>62</v>
      </c>
      <c r="H216" s="4" t="s">
        <v>62</v>
      </c>
      <c r="I216" s="4" t="s">
        <v>62</v>
      </c>
      <c r="J216" s="4" t="s">
        <v>62</v>
      </c>
      <c r="K216" s="4" t="s">
        <v>62</v>
      </c>
      <c r="L216" s="4" t="s">
        <v>62</v>
      </c>
      <c r="M216" s="4" t="s">
        <v>62</v>
      </c>
      <c r="N216" s="4" t="s">
        <v>62</v>
      </c>
      <c r="O216" s="4" t="s">
        <v>62</v>
      </c>
      <c r="P216" s="4" t="s">
        <v>62</v>
      </c>
      <c r="Q216" s="4" t="s">
        <v>62</v>
      </c>
      <c r="R216" s="4" t="s">
        <v>62</v>
      </c>
      <c r="S216" s="4" t="s">
        <v>62</v>
      </c>
      <c r="T216" s="4" t="s">
        <v>62</v>
      </c>
      <c r="U216" s="4" t="s">
        <v>62</v>
      </c>
      <c r="V216" s="4" t="s">
        <v>62</v>
      </c>
      <c r="W216" s="4" t="s">
        <v>62</v>
      </c>
      <c r="X216" s="4" t="s">
        <v>62</v>
      </c>
      <c r="Y216" s="4" t="s">
        <v>62</v>
      </c>
      <c r="Z216" s="4" t="s">
        <v>62</v>
      </c>
      <c r="AA216" s="4" t="s">
        <v>62</v>
      </c>
      <c r="AB216" s="4" t="s">
        <v>62</v>
      </c>
      <c r="AC216" s="4" t="s">
        <v>62</v>
      </c>
      <c r="AD216" s="4" t="s">
        <v>62</v>
      </c>
      <c r="AE216" s="4" t="s">
        <v>62</v>
      </c>
      <c r="AF216" s="4" t="s">
        <v>62</v>
      </c>
      <c r="AG216" s="4" t="s">
        <v>62</v>
      </c>
      <c r="AH216" s="4" t="s">
        <v>62</v>
      </c>
    </row>
    <row r="217" spans="2:34">
      <c r="B217" s="139">
        <v>18</v>
      </c>
      <c r="C217" s="88" t="str">
        <f>LEFT(EmpGName18)&amp;" " &amp;EmpSName18</f>
        <v>E Smart</v>
      </c>
      <c r="D217" s="3" t="s">
        <v>62</v>
      </c>
      <c r="E217" s="3" t="s">
        <v>62</v>
      </c>
      <c r="F217" s="3" t="s">
        <v>62</v>
      </c>
      <c r="G217" s="3" t="s">
        <v>62</v>
      </c>
      <c r="H217" s="3" t="s">
        <v>62</v>
      </c>
      <c r="I217" s="3" t="s">
        <v>62</v>
      </c>
      <c r="J217" s="3" t="s">
        <v>62</v>
      </c>
      <c r="K217" s="3" t="s">
        <v>62</v>
      </c>
      <c r="L217" s="3" t="s">
        <v>62</v>
      </c>
      <c r="M217" s="3" t="s">
        <v>62</v>
      </c>
      <c r="N217" s="3" t="s">
        <v>62</v>
      </c>
      <c r="O217" s="3" t="s">
        <v>62</v>
      </c>
      <c r="P217" s="3" t="s">
        <v>62</v>
      </c>
      <c r="Q217" s="3" t="s">
        <v>62</v>
      </c>
      <c r="R217" s="3" t="s">
        <v>62</v>
      </c>
      <c r="S217" s="3" t="s">
        <v>62</v>
      </c>
      <c r="T217" s="3" t="s">
        <v>62</v>
      </c>
      <c r="U217" s="3" t="s">
        <v>62</v>
      </c>
      <c r="V217" s="3" t="s">
        <v>62</v>
      </c>
      <c r="W217" s="3" t="s">
        <v>62</v>
      </c>
      <c r="X217" s="3" t="s">
        <v>62</v>
      </c>
      <c r="Y217" s="3" t="s">
        <v>62</v>
      </c>
      <c r="Z217" s="3" t="s">
        <v>62</v>
      </c>
      <c r="AA217" s="3" t="s">
        <v>62</v>
      </c>
      <c r="AB217" s="3" t="s">
        <v>62</v>
      </c>
      <c r="AC217" s="3" t="s">
        <v>62</v>
      </c>
      <c r="AD217" s="3" t="s">
        <v>62</v>
      </c>
      <c r="AE217" s="3" t="s">
        <v>62</v>
      </c>
      <c r="AF217" s="3" t="s">
        <v>62</v>
      </c>
      <c r="AG217" s="3" t="s">
        <v>62</v>
      </c>
      <c r="AH217" s="3" t="s">
        <v>62</v>
      </c>
    </row>
    <row r="218" spans="2:34" hidden="1">
      <c r="B218" s="139">
        <v>19</v>
      </c>
      <c r="C218" s="87" t="str">
        <f>LEFT(EmpGName19)&amp;" " &amp;EmpSName19</f>
        <v xml:space="preserve"> </v>
      </c>
      <c r="D218" s="4" t="s">
        <v>62</v>
      </c>
      <c r="E218" s="4" t="s">
        <v>62</v>
      </c>
      <c r="F218" s="4" t="s">
        <v>62</v>
      </c>
      <c r="G218" s="4" t="s">
        <v>62</v>
      </c>
      <c r="H218" s="4" t="s">
        <v>62</v>
      </c>
      <c r="I218" s="4" t="s">
        <v>62</v>
      </c>
      <c r="J218" s="4" t="s">
        <v>62</v>
      </c>
      <c r="K218" s="4" t="s">
        <v>62</v>
      </c>
      <c r="L218" s="4" t="s">
        <v>62</v>
      </c>
      <c r="M218" s="4" t="s">
        <v>62</v>
      </c>
      <c r="N218" s="4" t="s">
        <v>62</v>
      </c>
      <c r="O218" s="4" t="s">
        <v>62</v>
      </c>
      <c r="P218" s="4" t="s">
        <v>62</v>
      </c>
      <c r="Q218" s="4" t="s">
        <v>62</v>
      </c>
      <c r="R218" s="4" t="s">
        <v>62</v>
      </c>
      <c r="S218" s="4" t="s">
        <v>62</v>
      </c>
      <c r="T218" s="4" t="s">
        <v>62</v>
      </c>
      <c r="U218" s="4" t="s">
        <v>62</v>
      </c>
      <c r="V218" s="4" t="s">
        <v>62</v>
      </c>
      <c r="W218" s="4" t="s">
        <v>62</v>
      </c>
      <c r="X218" s="4" t="s">
        <v>62</v>
      </c>
      <c r="Y218" s="4" t="s">
        <v>62</v>
      </c>
      <c r="Z218" s="4" t="s">
        <v>62</v>
      </c>
      <c r="AA218" s="4" t="s">
        <v>62</v>
      </c>
      <c r="AB218" s="4" t="s">
        <v>62</v>
      </c>
      <c r="AC218" s="4" t="s">
        <v>62</v>
      </c>
      <c r="AD218" s="4" t="s">
        <v>62</v>
      </c>
      <c r="AE218" s="4" t="s">
        <v>62</v>
      </c>
      <c r="AF218" s="4" t="s">
        <v>62</v>
      </c>
      <c r="AG218" s="4" t="s">
        <v>62</v>
      </c>
      <c r="AH218" s="4" t="s">
        <v>62</v>
      </c>
    </row>
    <row r="219" spans="2:34" hidden="1">
      <c r="B219" s="139">
        <v>20</v>
      </c>
      <c r="C219" s="88" t="str">
        <f>LEFT(EmpGName20)&amp;" " &amp;EmpSName20</f>
        <v xml:space="preserve"> </v>
      </c>
      <c r="D219" s="3" t="s">
        <v>62</v>
      </c>
      <c r="E219" s="3" t="s">
        <v>62</v>
      </c>
      <c r="F219" s="3" t="s">
        <v>62</v>
      </c>
      <c r="G219" s="3" t="s">
        <v>62</v>
      </c>
      <c r="H219" s="3" t="s">
        <v>62</v>
      </c>
      <c r="I219" s="3" t="s">
        <v>62</v>
      </c>
      <c r="J219" s="3" t="s">
        <v>62</v>
      </c>
      <c r="K219" s="3" t="s">
        <v>62</v>
      </c>
      <c r="L219" s="3" t="s">
        <v>62</v>
      </c>
      <c r="M219" s="3" t="s">
        <v>62</v>
      </c>
      <c r="N219" s="3" t="s">
        <v>62</v>
      </c>
      <c r="O219" s="3" t="s">
        <v>62</v>
      </c>
      <c r="P219" s="3" t="s">
        <v>62</v>
      </c>
      <c r="Q219" s="3" t="s">
        <v>62</v>
      </c>
      <c r="R219" s="3" t="s">
        <v>62</v>
      </c>
      <c r="S219" s="3" t="s">
        <v>62</v>
      </c>
      <c r="T219" s="3" t="s">
        <v>62</v>
      </c>
      <c r="U219" s="3" t="s">
        <v>62</v>
      </c>
      <c r="V219" s="3" t="s">
        <v>62</v>
      </c>
      <c r="W219" s="3" t="s">
        <v>62</v>
      </c>
      <c r="X219" s="3" t="s">
        <v>62</v>
      </c>
      <c r="Y219" s="3" t="s">
        <v>62</v>
      </c>
      <c r="Z219" s="3" t="s">
        <v>62</v>
      </c>
      <c r="AA219" s="3" t="s">
        <v>62</v>
      </c>
      <c r="AB219" s="3" t="s">
        <v>62</v>
      </c>
      <c r="AC219" s="3" t="s">
        <v>62</v>
      </c>
      <c r="AD219" s="3" t="s">
        <v>62</v>
      </c>
      <c r="AE219" s="3" t="s">
        <v>62</v>
      </c>
      <c r="AF219" s="3" t="s">
        <v>62</v>
      </c>
      <c r="AG219" s="3" t="s">
        <v>62</v>
      </c>
      <c r="AH219" s="3" t="s">
        <v>62</v>
      </c>
    </row>
    <row r="220" spans="2:34" hidden="1">
      <c r="B220" s="139">
        <v>21</v>
      </c>
      <c r="C220" s="87" t="str">
        <f>LEFT(EmpGName21)&amp;" " &amp;EmpSName21</f>
        <v xml:space="preserve"> </v>
      </c>
      <c r="D220" s="4" t="s">
        <v>62</v>
      </c>
      <c r="E220" s="4" t="s">
        <v>62</v>
      </c>
      <c r="F220" s="4" t="s">
        <v>62</v>
      </c>
      <c r="G220" s="4" t="s">
        <v>62</v>
      </c>
      <c r="H220" s="4" t="s">
        <v>62</v>
      </c>
      <c r="I220" s="4" t="s">
        <v>62</v>
      </c>
      <c r="J220" s="4" t="s">
        <v>62</v>
      </c>
      <c r="K220" s="4" t="s">
        <v>62</v>
      </c>
      <c r="L220" s="4" t="s">
        <v>62</v>
      </c>
      <c r="M220" s="4" t="s">
        <v>62</v>
      </c>
      <c r="N220" s="4" t="s">
        <v>62</v>
      </c>
      <c r="O220" s="4" t="s">
        <v>62</v>
      </c>
      <c r="P220" s="4" t="s">
        <v>62</v>
      </c>
      <c r="Q220" s="4" t="s">
        <v>62</v>
      </c>
      <c r="R220" s="4" t="s">
        <v>62</v>
      </c>
      <c r="S220" s="4" t="s">
        <v>62</v>
      </c>
      <c r="T220" s="4" t="s">
        <v>62</v>
      </c>
      <c r="U220" s="4" t="s">
        <v>62</v>
      </c>
      <c r="V220" s="4" t="s">
        <v>62</v>
      </c>
      <c r="W220" s="4" t="s">
        <v>62</v>
      </c>
      <c r="X220" s="4" t="s">
        <v>62</v>
      </c>
      <c r="Y220" s="4" t="s">
        <v>62</v>
      </c>
      <c r="Z220" s="4" t="s">
        <v>62</v>
      </c>
      <c r="AA220" s="4" t="s">
        <v>62</v>
      </c>
      <c r="AB220" s="4" t="s">
        <v>62</v>
      </c>
      <c r="AC220" s="4" t="s">
        <v>62</v>
      </c>
      <c r="AD220" s="4" t="s">
        <v>62</v>
      </c>
      <c r="AE220" s="4" t="s">
        <v>62</v>
      </c>
      <c r="AF220" s="4" t="s">
        <v>62</v>
      </c>
      <c r="AG220" s="4" t="s">
        <v>62</v>
      </c>
      <c r="AH220" s="4" t="s">
        <v>62</v>
      </c>
    </row>
    <row r="221" spans="2:34" hidden="1">
      <c r="B221" s="139">
        <v>22</v>
      </c>
      <c r="C221" s="88" t="str">
        <f>LEFT(EmpGName22)&amp;" " &amp;EmpSName22</f>
        <v xml:space="preserve"> </v>
      </c>
      <c r="D221" s="3" t="s">
        <v>62</v>
      </c>
      <c r="E221" s="3" t="s">
        <v>62</v>
      </c>
      <c r="F221" s="3" t="s">
        <v>62</v>
      </c>
      <c r="G221" s="3" t="s">
        <v>62</v>
      </c>
      <c r="H221" s="3" t="s">
        <v>62</v>
      </c>
      <c r="I221" s="3" t="s">
        <v>62</v>
      </c>
      <c r="J221" s="3" t="s">
        <v>62</v>
      </c>
      <c r="K221" s="3" t="s">
        <v>62</v>
      </c>
      <c r="L221" s="3" t="s">
        <v>62</v>
      </c>
      <c r="M221" s="3" t="s">
        <v>62</v>
      </c>
      <c r="N221" s="3" t="s">
        <v>62</v>
      </c>
      <c r="O221" s="3" t="s">
        <v>62</v>
      </c>
      <c r="P221" s="3" t="s">
        <v>62</v>
      </c>
      <c r="Q221" s="3" t="s">
        <v>62</v>
      </c>
      <c r="R221" s="3" t="s">
        <v>62</v>
      </c>
      <c r="S221" s="3" t="s">
        <v>62</v>
      </c>
      <c r="T221" s="3" t="s">
        <v>62</v>
      </c>
      <c r="U221" s="3" t="s">
        <v>62</v>
      </c>
      <c r="V221" s="3" t="s">
        <v>62</v>
      </c>
      <c r="W221" s="3" t="s">
        <v>62</v>
      </c>
      <c r="X221" s="3" t="s">
        <v>62</v>
      </c>
      <c r="Y221" s="3" t="s">
        <v>62</v>
      </c>
      <c r="Z221" s="3" t="s">
        <v>62</v>
      </c>
      <c r="AA221" s="3" t="s">
        <v>62</v>
      </c>
      <c r="AB221" s="3" t="s">
        <v>62</v>
      </c>
      <c r="AC221" s="3" t="s">
        <v>62</v>
      </c>
      <c r="AD221" s="3" t="s">
        <v>62</v>
      </c>
      <c r="AE221" s="3" t="s">
        <v>62</v>
      </c>
      <c r="AF221" s="3" t="s">
        <v>62</v>
      </c>
      <c r="AG221" s="3" t="s">
        <v>62</v>
      </c>
      <c r="AH221" s="3" t="s">
        <v>62</v>
      </c>
    </row>
    <row r="222" spans="2:34" hidden="1">
      <c r="B222" s="139">
        <v>23</v>
      </c>
      <c r="C222" s="87" t="str">
        <f>LEFT(EmpGName23)&amp;" " &amp;EmpSName23</f>
        <v xml:space="preserve"> </v>
      </c>
      <c r="D222" s="4" t="s">
        <v>62</v>
      </c>
      <c r="E222" s="4" t="s">
        <v>62</v>
      </c>
      <c r="F222" s="4" t="s">
        <v>62</v>
      </c>
      <c r="G222" s="4" t="s">
        <v>62</v>
      </c>
      <c r="H222" s="4" t="s">
        <v>62</v>
      </c>
      <c r="I222" s="4" t="s">
        <v>62</v>
      </c>
      <c r="J222" s="4" t="s">
        <v>62</v>
      </c>
      <c r="K222" s="4" t="s">
        <v>62</v>
      </c>
      <c r="L222" s="4" t="s">
        <v>62</v>
      </c>
      <c r="M222" s="4" t="s">
        <v>62</v>
      </c>
      <c r="N222" s="4" t="s">
        <v>62</v>
      </c>
      <c r="O222" s="4" t="s">
        <v>62</v>
      </c>
      <c r="P222" s="4" t="s">
        <v>62</v>
      </c>
      <c r="Q222" s="4" t="s">
        <v>62</v>
      </c>
      <c r="R222" s="4" t="s">
        <v>62</v>
      </c>
      <c r="S222" s="4" t="s">
        <v>62</v>
      </c>
      <c r="T222" s="4" t="s">
        <v>62</v>
      </c>
      <c r="U222" s="4" t="s">
        <v>62</v>
      </c>
      <c r="V222" s="4" t="s">
        <v>62</v>
      </c>
      <c r="W222" s="4" t="s">
        <v>62</v>
      </c>
      <c r="X222" s="4" t="s">
        <v>62</v>
      </c>
      <c r="Y222" s="4" t="s">
        <v>62</v>
      </c>
      <c r="Z222" s="4" t="s">
        <v>62</v>
      </c>
      <c r="AA222" s="4" t="s">
        <v>62</v>
      </c>
      <c r="AB222" s="4" t="s">
        <v>62</v>
      </c>
      <c r="AC222" s="4" t="s">
        <v>62</v>
      </c>
      <c r="AD222" s="4" t="s">
        <v>62</v>
      </c>
      <c r="AE222" s="4" t="s">
        <v>62</v>
      </c>
      <c r="AF222" s="4" t="s">
        <v>62</v>
      </c>
      <c r="AG222" s="4" t="s">
        <v>62</v>
      </c>
      <c r="AH222" s="4" t="s">
        <v>62</v>
      </c>
    </row>
    <row r="223" spans="2:34" hidden="1">
      <c r="B223" s="139">
        <v>24</v>
      </c>
      <c r="C223" s="88" t="str">
        <f>LEFT(EmpGName24)&amp;" " &amp;EmpSName24</f>
        <v xml:space="preserve"> </v>
      </c>
      <c r="D223" s="3" t="s">
        <v>62</v>
      </c>
      <c r="E223" s="3" t="s">
        <v>62</v>
      </c>
      <c r="F223" s="3" t="s">
        <v>62</v>
      </c>
      <c r="G223" s="3" t="s">
        <v>62</v>
      </c>
      <c r="H223" s="3" t="s">
        <v>62</v>
      </c>
      <c r="I223" s="3" t="s">
        <v>62</v>
      </c>
      <c r="J223" s="3" t="s">
        <v>62</v>
      </c>
      <c r="K223" s="3" t="s">
        <v>62</v>
      </c>
      <c r="L223" s="3" t="s">
        <v>62</v>
      </c>
      <c r="M223" s="3" t="s">
        <v>62</v>
      </c>
      <c r="N223" s="3" t="s">
        <v>62</v>
      </c>
      <c r="O223" s="3" t="s">
        <v>62</v>
      </c>
      <c r="P223" s="3" t="s">
        <v>62</v>
      </c>
      <c r="Q223" s="3" t="s">
        <v>62</v>
      </c>
      <c r="R223" s="3" t="s">
        <v>62</v>
      </c>
      <c r="S223" s="3" t="s">
        <v>62</v>
      </c>
      <c r="T223" s="3" t="s">
        <v>62</v>
      </c>
      <c r="U223" s="3" t="s">
        <v>62</v>
      </c>
      <c r="V223" s="3" t="s">
        <v>62</v>
      </c>
      <c r="W223" s="3" t="s">
        <v>62</v>
      </c>
      <c r="X223" s="3" t="s">
        <v>62</v>
      </c>
      <c r="Y223" s="3" t="s">
        <v>62</v>
      </c>
      <c r="Z223" s="3" t="s">
        <v>62</v>
      </c>
      <c r="AA223" s="3" t="s">
        <v>62</v>
      </c>
      <c r="AB223" s="3" t="s">
        <v>62</v>
      </c>
      <c r="AC223" s="3" t="s">
        <v>62</v>
      </c>
      <c r="AD223" s="3" t="s">
        <v>62</v>
      </c>
      <c r="AE223" s="3" t="s">
        <v>62</v>
      </c>
      <c r="AF223" s="3" t="s">
        <v>62</v>
      </c>
      <c r="AG223" s="3" t="s">
        <v>62</v>
      </c>
      <c r="AH223" s="3" t="s">
        <v>62</v>
      </c>
    </row>
    <row r="224" spans="2:34" hidden="1">
      <c r="B224" s="139">
        <v>25</v>
      </c>
      <c r="C224" s="87" t="str">
        <f>LEFT(EmpGName25)&amp;" " &amp;EmpSName25</f>
        <v xml:space="preserve"> </v>
      </c>
      <c r="D224" s="4" t="s">
        <v>62</v>
      </c>
      <c r="E224" s="4" t="s">
        <v>62</v>
      </c>
      <c r="F224" s="4" t="s">
        <v>62</v>
      </c>
      <c r="G224" s="4" t="s">
        <v>62</v>
      </c>
      <c r="H224" s="4" t="s">
        <v>62</v>
      </c>
      <c r="I224" s="4" t="s">
        <v>62</v>
      </c>
      <c r="J224" s="4" t="s">
        <v>62</v>
      </c>
      <c r="K224" s="4" t="s">
        <v>62</v>
      </c>
      <c r="L224" s="4" t="s">
        <v>62</v>
      </c>
      <c r="M224" s="4" t="s">
        <v>62</v>
      </c>
      <c r="N224" s="4" t="s">
        <v>62</v>
      </c>
      <c r="O224" s="4" t="s">
        <v>62</v>
      </c>
      <c r="P224" s="4" t="s">
        <v>62</v>
      </c>
      <c r="Q224" s="4" t="s">
        <v>62</v>
      </c>
      <c r="R224" s="4" t="s">
        <v>62</v>
      </c>
      <c r="S224" s="4" t="s">
        <v>62</v>
      </c>
      <c r="T224" s="4" t="s">
        <v>62</v>
      </c>
      <c r="U224" s="4" t="s">
        <v>62</v>
      </c>
      <c r="V224" s="4" t="s">
        <v>62</v>
      </c>
      <c r="W224" s="4" t="s">
        <v>62</v>
      </c>
      <c r="X224" s="4" t="s">
        <v>62</v>
      </c>
      <c r="Y224" s="4" t="s">
        <v>62</v>
      </c>
      <c r="Z224" s="4" t="s">
        <v>62</v>
      </c>
      <c r="AA224" s="4" t="s">
        <v>62</v>
      </c>
      <c r="AB224" s="4" t="s">
        <v>62</v>
      </c>
      <c r="AC224" s="4" t="s">
        <v>62</v>
      </c>
      <c r="AD224" s="4" t="s">
        <v>62</v>
      </c>
      <c r="AE224" s="4" t="s">
        <v>62</v>
      </c>
      <c r="AF224" s="4" t="s">
        <v>62</v>
      </c>
      <c r="AG224" s="4" t="s">
        <v>62</v>
      </c>
      <c r="AH224" s="4" t="s">
        <v>62</v>
      </c>
    </row>
    <row r="225" spans="2:34" hidden="1">
      <c r="B225" s="139">
        <v>26</v>
      </c>
      <c r="C225" s="88" t="str">
        <f>LEFT(EmpGName26)&amp;" " &amp;EmpSName26</f>
        <v xml:space="preserve"> </v>
      </c>
      <c r="D225" s="3" t="s">
        <v>62</v>
      </c>
      <c r="E225" s="3" t="s">
        <v>62</v>
      </c>
      <c r="F225" s="3" t="s">
        <v>62</v>
      </c>
      <c r="G225" s="3" t="s">
        <v>62</v>
      </c>
      <c r="H225" s="3" t="s">
        <v>62</v>
      </c>
      <c r="I225" s="3" t="s">
        <v>62</v>
      </c>
      <c r="J225" s="3" t="s">
        <v>62</v>
      </c>
      <c r="K225" s="3" t="s">
        <v>62</v>
      </c>
      <c r="L225" s="3" t="s">
        <v>62</v>
      </c>
      <c r="M225" s="3" t="s">
        <v>62</v>
      </c>
      <c r="N225" s="3" t="s">
        <v>62</v>
      </c>
      <c r="O225" s="3" t="s">
        <v>62</v>
      </c>
      <c r="P225" s="3" t="s">
        <v>62</v>
      </c>
      <c r="Q225" s="3" t="s">
        <v>62</v>
      </c>
      <c r="R225" s="3" t="s">
        <v>62</v>
      </c>
      <c r="S225" s="3" t="s">
        <v>62</v>
      </c>
      <c r="T225" s="3" t="s">
        <v>62</v>
      </c>
      <c r="U225" s="3" t="s">
        <v>62</v>
      </c>
      <c r="V225" s="3" t="s">
        <v>62</v>
      </c>
      <c r="W225" s="3" t="s">
        <v>62</v>
      </c>
      <c r="X225" s="3" t="s">
        <v>62</v>
      </c>
      <c r="Y225" s="3" t="s">
        <v>62</v>
      </c>
      <c r="Z225" s="3" t="s">
        <v>62</v>
      </c>
      <c r="AA225" s="3" t="s">
        <v>62</v>
      </c>
      <c r="AB225" s="3" t="s">
        <v>62</v>
      </c>
      <c r="AC225" s="3" t="s">
        <v>62</v>
      </c>
      <c r="AD225" s="3" t="s">
        <v>62</v>
      </c>
      <c r="AE225" s="3" t="s">
        <v>62</v>
      </c>
      <c r="AF225" s="3" t="s">
        <v>62</v>
      </c>
      <c r="AG225" s="3" t="s">
        <v>62</v>
      </c>
      <c r="AH225" s="3" t="s">
        <v>62</v>
      </c>
    </row>
    <row r="226" spans="2:34" hidden="1">
      <c r="B226" s="139">
        <v>27</v>
      </c>
      <c r="C226" s="87" t="str">
        <f>LEFT(EmpGName27)&amp;" " &amp;EmpSName27</f>
        <v xml:space="preserve"> </v>
      </c>
      <c r="D226" s="4" t="s">
        <v>62</v>
      </c>
      <c r="E226" s="4" t="s">
        <v>62</v>
      </c>
      <c r="F226" s="4" t="s">
        <v>62</v>
      </c>
      <c r="G226" s="4" t="s">
        <v>62</v>
      </c>
      <c r="H226" s="4" t="s">
        <v>62</v>
      </c>
      <c r="I226" s="4" t="s">
        <v>62</v>
      </c>
      <c r="J226" s="4" t="s">
        <v>62</v>
      </c>
      <c r="K226" s="4" t="s">
        <v>62</v>
      </c>
      <c r="L226" s="4" t="s">
        <v>62</v>
      </c>
      <c r="M226" s="4" t="s">
        <v>62</v>
      </c>
      <c r="N226" s="4" t="s">
        <v>62</v>
      </c>
      <c r="O226" s="4" t="s">
        <v>62</v>
      </c>
      <c r="P226" s="4" t="s">
        <v>62</v>
      </c>
      <c r="Q226" s="4" t="s">
        <v>62</v>
      </c>
      <c r="R226" s="4" t="s">
        <v>62</v>
      </c>
      <c r="S226" s="4" t="s">
        <v>62</v>
      </c>
      <c r="T226" s="4" t="s">
        <v>62</v>
      </c>
      <c r="U226" s="4" t="s">
        <v>62</v>
      </c>
      <c r="V226" s="4" t="s">
        <v>62</v>
      </c>
      <c r="W226" s="4" t="s">
        <v>62</v>
      </c>
      <c r="X226" s="4" t="s">
        <v>62</v>
      </c>
      <c r="Y226" s="4" t="s">
        <v>62</v>
      </c>
      <c r="Z226" s="4" t="s">
        <v>62</v>
      </c>
      <c r="AA226" s="4" t="s">
        <v>62</v>
      </c>
      <c r="AB226" s="4" t="s">
        <v>62</v>
      </c>
      <c r="AC226" s="4" t="s">
        <v>62</v>
      </c>
      <c r="AD226" s="4" t="s">
        <v>62</v>
      </c>
      <c r="AE226" s="4" t="s">
        <v>62</v>
      </c>
      <c r="AF226" s="4" t="s">
        <v>62</v>
      </c>
      <c r="AG226" s="4" t="s">
        <v>62</v>
      </c>
      <c r="AH226" s="4" t="s">
        <v>62</v>
      </c>
    </row>
    <row r="227" spans="2:34" hidden="1">
      <c r="B227" s="139">
        <v>28</v>
      </c>
      <c r="C227" s="88" t="str">
        <f>LEFT(EmpGName28)&amp;" " &amp;EmpSName28</f>
        <v xml:space="preserve"> </v>
      </c>
      <c r="D227" s="3" t="s">
        <v>62</v>
      </c>
      <c r="E227" s="3" t="s">
        <v>62</v>
      </c>
      <c r="F227" s="3" t="s">
        <v>62</v>
      </c>
      <c r="G227" s="3" t="s">
        <v>62</v>
      </c>
      <c r="H227" s="3" t="s">
        <v>62</v>
      </c>
      <c r="I227" s="3" t="s">
        <v>62</v>
      </c>
      <c r="J227" s="3" t="s">
        <v>62</v>
      </c>
      <c r="K227" s="3" t="s">
        <v>62</v>
      </c>
      <c r="L227" s="3" t="s">
        <v>62</v>
      </c>
      <c r="M227" s="3" t="s">
        <v>62</v>
      </c>
      <c r="N227" s="3" t="s">
        <v>62</v>
      </c>
      <c r="O227" s="3" t="s">
        <v>62</v>
      </c>
      <c r="P227" s="3" t="s">
        <v>62</v>
      </c>
      <c r="Q227" s="3" t="s">
        <v>62</v>
      </c>
      <c r="R227" s="3" t="s">
        <v>62</v>
      </c>
      <c r="S227" s="3" t="s">
        <v>62</v>
      </c>
      <c r="T227" s="3" t="s">
        <v>62</v>
      </c>
      <c r="U227" s="3" t="s">
        <v>62</v>
      </c>
      <c r="V227" s="3" t="s">
        <v>62</v>
      </c>
      <c r="W227" s="3" t="s">
        <v>62</v>
      </c>
      <c r="X227" s="3" t="s">
        <v>62</v>
      </c>
      <c r="Y227" s="3" t="s">
        <v>62</v>
      </c>
      <c r="Z227" s="3" t="s">
        <v>62</v>
      </c>
      <c r="AA227" s="3" t="s">
        <v>62</v>
      </c>
      <c r="AB227" s="3" t="s">
        <v>62</v>
      </c>
      <c r="AC227" s="3" t="s">
        <v>62</v>
      </c>
      <c r="AD227" s="3" t="s">
        <v>62</v>
      </c>
      <c r="AE227" s="3" t="s">
        <v>62</v>
      </c>
      <c r="AF227" s="3" t="s">
        <v>62</v>
      </c>
      <c r="AG227" s="3" t="s">
        <v>62</v>
      </c>
      <c r="AH227" s="3" t="s">
        <v>62</v>
      </c>
    </row>
    <row r="228" spans="2:34">
      <c r="B228" s="6"/>
      <c r="C228" s="7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69"/>
      <c r="AG228" s="8"/>
      <c r="AH228" s="8"/>
    </row>
    <row r="229" spans="2:34">
      <c r="C229" s="190" t="str">
        <f>CurYear</f>
        <v>2020</v>
      </c>
      <c r="D229" s="5" t="str">
        <f t="shared" ref="D229:AF229" si="7">LEFT(TEXT(D230&amp;"-"&amp;$C$230&amp;"-"&amp;CurYear,"ddd"),2)</f>
        <v>Sa</v>
      </c>
      <c r="E229" s="5" t="str">
        <f t="shared" si="7"/>
        <v>Su</v>
      </c>
      <c r="F229" s="5" t="str">
        <f t="shared" si="7"/>
        <v>Mo</v>
      </c>
      <c r="G229" s="5" t="str">
        <f t="shared" si="7"/>
        <v>Tu</v>
      </c>
      <c r="H229" s="5" t="str">
        <f t="shared" si="7"/>
        <v>We</v>
      </c>
      <c r="I229" s="5" t="str">
        <f t="shared" si="7"/>
        <v>Th</v>
      </c>
      <c r="J229" s="5" t="str">
        <f t="shared" si="7"/>
        <v>Fr</v>
      </c>
      <c r="K229" s="5" t="str">
        <f t="shared" si="7"/>
        <v>Sa</v>
      </c>
      <c r="L229" s="5" t="str">
        <f t="shared" si="7"/>
        <v>Su</v>
      </c>
      <c r="M229" s="5" t="str">
        <f t="shared" si="7"/>
        <v>Mo</v>
      </c>
      <c r="N229" s="5" t="str">
        <f t="shared" si="7"/>
        <v>Tu</v>
      </c>
      <c r="O229" s="5" t="str">
        <f t="shared" si="7"/>
        <v>We</v>
      </c>
      <c r="P229" s="5" t="str">
        <f t="shared" si="7"/>
        <v>Th</v>
      </c>
      <c r="Q229" s="5" t="str">
        <f t="shared" si="7"/>
        <v>Fr</v>
      </c>
      <c r="R229" s="5" t="str">
        <f t="shared" si="7"/>
        <v>Sa</v>
      </c>
      <c r="S229" s="5" t="str">
        <f t="shared" si="7"/>
        <v>Su</v>
      </c>
      <c r="T229" s="5" t="str">
        <f t="shared" si="7"/>
        <v>Mo</v>
      </c>
      <c r="U229" s="5" t="str">
        <f t="shared" si="7"/>
        <v>Tu</v>
      </c>
      <c r="V229" s="5" t="str">
        <f t="shared" si="7"/>
        <v>We</v>
      </c>
      <c r="W229" s="5" t="str">
        <f t="shared" si="7"/>
        <v>Th</v>
      </c>
      <c r="X229" s="5" t="str">
        <f t="shared" si="7"/>
        <v>Fr</v>
      </c>
      <c r="Y229" s="5" t="str">
        <f t="shared" si="7"/>
        <v>Sa</v>
      </c>
      <c r="Z229" s="5" t="str">
        <f t="shared" si="7"/>
        <v>Su</v>
      </c>
      <c r="AA229" s="5" t="str">
        <f t="shared" si="7"/>
        <v>Mo</v>
      </c>
      <c r="AB229" s="5" t="str">
        <f t="shared" si="7"/>
        <v>Tu</v>
      </c>
      <c r="AC229" s="5" t="str">
        <f t="shared" si="7"/>
        <v>We</v>
      </c>
      <c r="AD229" s="5" t="str">
        <f t="shared" si="7"/>
        <v>Th</v>
      </c>
      <c r="AE229" s="5" t="str">
        <f t="shared" si="7"/>
        <v>Fr</v>
      </c>
      <c r="AF229" s="175" t="str">
        <f t="shared" si="7"/>
        <v>Sa</v>
      </c>
    </row>
    <row r="230" spans="2:34">
      <c r="B230" s="84"/>
      <c r="C230" s="191" t="s">
        <v>13</v>
      </c>
      <c r="D230" s="193">
        <v>1</v>
      </c>
      <c r="E230" s="193">
        <v>2</v>
      </c>
      <c r="F230" s="193">
        <v>3</v>
      </c>
      <c r="G230" s="193">
        <v>4</v>
      </c>
      <c r="H230" s="193">
        <v>5</v>
      </c>
      <c r="I230" s="193">
        <v>6</v>
      </c>
      <c r="J230" s="193">
        <v>7</v>
      </c>
      <c r="K230" s="193">
        <v>8</v>
      </c>
      <c r="L230" s="193">
        <v>9</v>
      </c>
      <c r="M230" s="193">
        <v>10</v>
      </c>
      <c r="N230" s="193">
        <v>11</v>
      </c>
      <c r="O230" s="192">
        <v>12</v>
      </c>
      <c r="P230" s="193">
        <v>13</v>
      </c>
      <c r="Q230" s="193">
        <v>14</v>
      </c>
      <c r="R230" s="193">
        <v>15</v>
      </c>
      <c r="S230" s="193">
        <v>16</v>
      </c>
      <c r="T230" s="193">
        <v>17</v>
      </c>
      <c r="U230" s="193">
        <v>18</v>
      </c>
      <c r="V230" s="193">
        <v>19</v>
      </c>
      <c r="W230" s="193">
        <v>20</v>
      </c>
      <c r="X230" s="193">
        <v>21</v>
      </c>
      <c r="Y230" s="193">
        <v>22</v>
      </c>
      <c r="Z230" s="193">
        <v>23</v>
      </c>
      <c r="AA230" s="193">
        <v>24</v>
      </c>
      <c r="AB230" s="193">
        <v>25</v>
      </c>
      <c r="AC230" s="192">
        <v>26</v>
      </c>
      <c r="AD230" s="193">
        <v>27</v>
      </c>
      <c r="AE230" s="194">
        <v>28</v>
      </c>
      <c r="AF230" s="195">
        <v>29</v>
      </c>
      <c r="AG230" s="1"/>
      <c r="AH230" s="1"/>
    </row>
    <row r="231" spans="2:34">
      <c r="B231" s="82">
        <v>1</v>
      </c>
      <c r="C231" s="87" t="str">
        <f>LEFT(EmpGName01)&amp;" " &amp; EmpSName01</f>
        <v>L Marampon</v>
      </c>
      <c r="D231" s="4" t="s">
        <v>62</v>
      </c>
      <c r="E231" s="81" t="s">
        <v>62</v>
      </c>
      <c r="F231" s="4" t="s">
        <v>62</v>
      </c>
      <c r="G231" s="4" t="s">
        <v>62</v>
      </c>
      <c r="H231" s="4" t="s">
        <v>62</v>
      </c>
      <c r="I231" s="4" t="s">
        <v>62</v>
      </c>
      <c r="J231" s="4" t="s">
        <v>62</v>
      </c>
      <c r="K231" s="4" t="s">
        <v>62</v>
      </c>
      <c r="L231" s="4" t="s">
        <v>62</v>
      </c>
      <c r="M231" s="4" t="s">
        <v>62</v>
      </c>
      <c r="N231" s="4" t="s">
        <v>62</v>
      </c>
      <c r="O231" s="4" t="s">
        <v>62</v>
      </c>
      <c r="P231" s="4" t="s">
        <v>62</v>
      </c>
      <c r="Q231" s="4" t="s">
        <v>62</v>
      </c>
      <c r="R231" s="4" t="s">
        <v>62</v>
      </c>
      <c r="S231" s="4" t="s">
        <v>62</v>
      </c>
      <c r="T231" s="4" t="s">
        <v>62</v>
      </c>
      <c r="U231" s="4" t="s">
        <v>62</v>
      </c>
      <c r="V231" s="4" t="s">
        <v>62</v>
      </c>
      <c r="W231" s="4" t="s">
        <v>62</v>
      </c>
      <c r="X231" s="4" t="s">
        <v>62</v>
      </c>
      <c r="Y231" s="4" t="s">
        <v>62</v>
      </c>
      <c r="Z231" s="4" t="s">
        <v>62</v>
      </c>
      <c r="AA231" s="4" t="s">
        <v>62</v>
      </c>
      <c r="AB231" s="4" t="s">
        <v>62</v>
      </c>
      <c r="AC231" s="4" t="s">
        <v>62</v>
      </c>
      <c r="AD231" s="4" t="s">
        <v>62</v>
      </c>
      <c r="AE231" s="187" t="s">
        <v>62</v>
      </c>
      <c r="AF231" s="176" t="s">
        <v>62</v>
      </c>
      <c r="AG231" s="2"/>
      <c r="AH231" s="2"/>
    </row>
    <row r="232" spans="2:34">
      <c r="B232" s="82">
        <v>2</v>
      </c>
      <c r="C232" s="88" t="str">
        <f>LEFT(EmpGName02)&amp;" " &amp;EmpSName02</f>
        <v>K Stone</v>
      </c>
      <c r="D232" s="3" t="s">
        <v>62</v>
      </c>
      <c r="E232" s="3" t="s">
        <v>62</v>
      </c>
      <c r="F232" s="3" t="s">
        <v>62</v>
      </c>
      <c r="G232" s="3" t="s">
        <v>62</v>
      </c>
      <c r="H232" s="3" t="s">
        <v>62</v>
      </c>
      <c r="I232" s="3" t="s">
        <v>62</v>
      </c>
      <c r="J232" s="3" t="s">
        <v>62</v>
      </c>
      <c r="K232" s="3" t="s">
        <v>62</v>
      </c>
      <c r="L232" s="3" t="s">
        <v>62</v>
      </c>
      <c r="M232" s="3" t="s">
        <v>62</v>
      </c>
      <c r="N232" s="3" t="s">
        <v>62</v>
      </c>
      <c r="O232" s="3" t="s">
        <v>62</v>
      </c>
      <c r="P232" s="3" t="s">
        <v>62</v>
      </c>
      <c r="Q232" s="3" t="s">
        <v>62</v>
      </c>
      <c r="R232" s="3" t="s">
        <v>62</v>
      </c>
      <c r="S232" s="3" t="s">
        <v>62</v>
      </c>
      <c r="T232" s="3" t="s">
        <v>62</v>
      </c>
      <c r="U232" s="3" t="s">
        <v>62</v>
      </c>
      <c r="V232" s="3" t="s">
        <v>62</v>
      </c>
      <c r="W232" s="3" t="s">
        <v>62</v>
      </c>
      <c r="X232" s="3" t="s">
        <v>62</v>
      </c>
      <c r="Y232" s="3" t="s">
        <v>62</v>
      </c>
      <c r="Z232" s="3" t="s">
        <v>62</v>
      </c>
      <c r="AA232" s="3" t="s">
        <v>62</v>
      </c>
      <c r="AB232" s="3" t="s">
        <v>62</v>
      </c>
      <c r="AC232" s="3" t="s">
        <v>62</v>
      </c>
      <c r="AD232" s="3" t="s">
        <v>62</v>
      </c>
      <c r="AE232" s="188" t="s">
        <v>62</v>
      </c>
      <c r="AF232" s="177" t="s">
        <v>62</v>
      </c>
      <c r="AG232" s="2"/>
      <c r="AH232" s="2"/>
    </row>
    <row r="233" spans="2:34">
      <c r="B233" s="82">
        <v>3</v>
      </c>
      <c r="C233" s="87" t="str">
        <f>LEFT(EmpGName03)&amp;" " &amp;EmpSName03</f>
        <v>I Thelning</v>
      </c>
      <c r="D233" s="4" t="s">
        <v>62</v>
      </c>
      <c r="E233" s="4" t="s">
        <v>62</v>
      </c>
      <c r="F233" s="4" t="s">
        <v>62</v>
      </c>
      <c r="G233" s="4" t="s">
        <v>62</v>
      </c>
      <c r="H233" s="4" t="s">
        <v>62</v>
      </c>
      <c r="I233" s="4" t="s">
        <v>62</v>
      </c>
      <c r="J233" s="4" t="s">
        <v>62</v>
      </c>
      <c r="K233" s="4" t="s">
        <v>62</v>
      </c>
      <c r="L233" s="4" t="s">
        <v>62</v>
      </c>
      <c r="M233" s="4" t="s">
        <v>62</v>
      </c>
      <c r="N233" s="4" t="s">
        <v>62</v>
      </c>
      <c r="O233" s="4" t="s">
        <v>62</v>
      </c>
      <c r="P233" s="4" t="s">
        <v>62</v>
      </c>
      <c r="Q233" s="4" t="s">
        <v>62</v>
      </c>
      <c r="R233" s="4" t="s">
        <v>62</v>
      </c>
      <c r="S233" s="4" t="s">
        <v>62</v>
      </c>
      <c r="T233" s="4" t="s">
        <v>62</v>
      </c>
      <c r="U233" s="4" t="s">
        <v>62</v>
      </c>
      <c r="V233" s="4" t="s">
        <v>62</v>
      </c>
      <c r="W233" s="4" t="s">
        <v>62</v>
      </c>
      <c r="X233" s="4" t="s">
        <v>62</v>
      </c>
      <c r="Y233" s="4" t="s">
        <v>62</v>
      </c>
      <c r="Z233" s="4" t="s">
        <v>62</v>
      </c>
      <c r="AA233" s="4" t="s">
        <v>62</v>
      </c>
      <c r="AB233" s="4" t="s">
        <v>62</v>
      </c>
      <c r="AC233" s="4" t="s">
        <v>62</v>
      </c>
      <c r="AD233" s="4" t="s">
        <v>62</v>
      </c>
      <c r="AE233" s="187" t="s">
        <v>62</v>
      </c>
      <c r="AF233" s="176" t="s">
        <v>62</v>
      </c>
      <c r="AG233" s="2"/>
      <c r="AH233" s="2"/>
    </row>
    <row r="234" spans="2:34">
      <c r="B234" s="82">
        <v>4</v>
      </c>
      <c r="C234" s="88" t="str">
        <f>LEFT(EmpGName04)&amp;" " &amp;EmpSName04</f>
        <v>L King</v>
      </c>
      <c r="D234" s="3" t="s">
        <v>62</v>
      </c>
      <c r="E234" s="3" t="s">
        <v>62</v>
      </c>
      <c r="F234" s="3" t="s">
        <v>62</v>
      </c>
      <c r="G234" s="3" t="s">
        <v>62</v>
      </c>
      <c r="H234" s="3" t="s">
        <v>62</v>
      </c>
      <c r="I234" s="3" t="s">
        <v>62</v>
      </c>
      <c r="J234" s="3" t="s">
        <v>62</v>
      </c>
      <c r="K234" s="3" t="s">
        <v>62</v>
      </c>
      <c r="L234" s="3" t="s">
        <v>62</v>
      </c>
      <c r="M234" s="3" t="s">
        <v>62</v>
      </c>
      <c r="N234" s="3" t="s">
        <v>62</v>
      </c>
      <c r="O234" s="3" t="s">
        <v>62</v>
      </c>
      <c r="P234" s="3" t="s">
        <v>62</v>
      </c>
      <c r="Q234" s="3" t="s">
        <v>62</v>
      </c>
      <c r="R234" s="3" t="s">
        <v>62</v>
      </c>
      <c r="S234" s="3" t="s">
        <v>62</v>
      </c>
      <c r="T234" s="3" t="s">
        <v>62</v>
      </c>
      <c r="U234" s="3" t="s">
        <v>62</v>
      </c>
      <c r="V234" s="3" t="s">
        <v>62</v>
      </c>
      <c r="W234" s="3" t="s">
        <v>62</v>
      </c>
      <c r="X234" s="3" t="s">
        <v>62</v>
      </c>
      <c r="Y234" s="3" t="s">
        <v>62</v>
      </c>
      <c r="Z234" s="3" t="s">
        <v>62</v>
      </c>
      <c r="AA234" s="3" t="s">
        <v>62</v>
      </c>
      <c r="AB234" s="3" t="s">
        <v>62</v>
      </c>
      <c r="AC234" s="3" t="s">
        <v>62</v>
      </c>
      <c r="AD234" s="3" t="s">
        <v>62</v>
      </c>
      <c r="AE234" s="188" t="s">
        <v>62</v>
      </c>
      <c r="AF234" s="177" t="s">
        <v>62</v>
      </c>
      <c r="AG234" s="2"/>
      <c r="AH234" s="2"/>
    </row>
    <row r="235" spans="2:34">
      <c r="B235" s="82">
        <v>5</v>
      </c>
      <c r="C235" s="87" t="str">
        <f>LEFT(EmpGName05)&amp;" " &amp;EmpSName05</f>
        <v>D Castle</v>
      </c>
      <c r="D235" s="4" t="s">
        <v>62</v>
      </c>
      <c r="E235" s="4" t="s">
        <v>62</v>
      </c>
      <c r="F235" s="4" t="s">
        <v>62</v>
      </c>
      <c r="G235" s="4" t="s">
        <v>62</v>
      </c>
      <c r="H235" s="4" t="s">
        <v>62</v>
      </c>
      <c r="I235" s="4" t="s">
        <v>62</v>
      </c>
      <c r="J235" s="4" t="s">
        <v>62</v>
      </c>
      <c r="K235" s="4" t="s">
        <v>62</v>
      </c>
      <c r="L235" s="4" t="s">
        <v>62</v>
      </c>
      <c r="M235" s="4" t="s">
        <v>62</v>
      </c>
      <c r="N235" s="4" t="s">
        <v>62</v>
      </c>
      <c r="O235" s="4" t="s">
        <v>62</v>
      </c>
      <c r="P235" s="4" t="s">
        <v>62</v>
      </c>
      <c r="Q235" s="4" t="s">
        <v>62</v>
      </c>
      <c r="R235" s="4" t="s">
        <v>62</v>
      </c>
      <c r="S235" s="4" t="s">
        <v>62</v>
      </c>
      <c r="T235" s="4" t="s">
        <v>62</v>
      </c>
      <c r="U235" s="4" t="s">
        <v>62</v>
      </c>
      <c r="V235" s="4" t="s">
        <v>62</v>
      </c>
      <c r="W235" s="4" t="s">
        <v>62</v>
      </c>
      <c r="X235" s="4" t="s">
        <v>62</v>
      </c>
      <c r="Y235" s="4" t="s">
        <v>62</v>
      </c>
      <c r="Z235" s="4" t="s">
        <v>62</v>
      </c>
      <c r="AA235" s="4" t="s">
        <v>62</v>
      </c>
      <c r="AB235" s="4" t="s">
        <v>62</v>
      </c>
      <c r="AC235" s="4" t="s">
        <v>62</v>
      </c>
      <c r="AD235" s="4" t="s">
        <v>62</v>
      </c>
      <c r="AE235" s="187" t="s">
        <v>62</v>
      </c>
      <c r="AF235" s="176" t="s">
        <v>62</v>
      </c>
      <c r="AG235" s="2"/>
      <c r="AH235" s="2"/>
    </row>
    <row r="236" spans="2:34">
      <c r="B236" s="82">
        <v>6</v>
      </c>
      <c r="C236" s="88" t="str">
        <f>LEFT(EmpGName06)&amp;" " &amp;EmpSName06</f>
        <v>R Fielding</v>
      </c>
      <c r="D236" s="3" t="s">
        <v>62</v>
      </c>
      <c r="E236" s="3" t="s">
        <v>62</v>
      </c>
      <c r="F236" s="3" t="s">
        <v>62</v>
      </c>
      <c r="G236" s="3" t="s">
        <v>62</v>
      </c>
      <c r="H236" s="3" t="s">
        <v>62</v>
      </c>
      <c r="I236" s="3" t="s">
        <v>62</v>
      </c>
      <c r="J236" s="3" t="s">
        <v>62</v>
      </c>
      <c r="K236" s="3" t="s">
        <v>62</v>
      </c>
      <c r="L236" s="3" t="s">
        <v>62</v>
      </c>
      <c r="M236" s="3" t="s">
        <v>62</v>
      </c>
      <c r="N236" s="3" t="s">
        <v>62</v>
      </c>
      <c r="O236" s="3" t="s">
        <v>62</v>
      </c>
      <c r="P236" s="3" t="s">
        <v>62</v>
      </c>
      <c r="Q236" s="3" t="s">
        <v>62</v>
      </c>
      <c r="R236" s="3" t="s">
        <v>62</v>
      </c>
      <c r="S236" s="3" t="s">
        <v>62</v>
      </c>
      <c r="T236" s="3" t="s">
        <v>62</v>
      </c>
      <c r="U236" s="3" t="s">
        <v>62</v>
      </c>
      <c r="V236" s="3" t="s">
        <v>62</v>
      </c>
      <c r="W236" s="3" t="s">
        <v>62</v>
      </c>
      <c r="X236" s="3" t="s">
        <v>62</v>
      </c>
      <c r="Y236" s="3" t="s">
        <v>62</v>
      </c>
      <c r="Z236" s="3" t="s">
        <v>62</v>
      </c>
      <c r="AA236" s="3" t="s">
        <v>62</v>
      </c>
      <c r="AB236" s="3" t="s">
        <v>62</v>
      </c>
      <c r="AC236" s="3" t="s">
        <v>62</v>
      </c>
      <c r="AD236" s="3" t="s">
        <v>62</v>
      </c>
      <c r="AE236" s="188" t="s">
        <v>62</v>
      </c>
      <c r="AF236" s="177" t="s">
        <v>62</v>
      </c>
      <c r="AG236" s="2"/>
      <c r="AH236" s="2"/>
    </row>
    <row r="237" spans="2:34">
      <c r="B237" s="82">
        <v>7</v>
      </c>
      <c r="C237" s="87" t="str">
        <f>LEFT(EmpGName07)&amp;" " &amp;EmpSName07</f>
        <v>T Sorensen</v>
      </c>
      <c r="D237" s="4" t="s">
        <v>62</v>
      </c>
      <c r="E237" s="4" t="s">
        <v>62</v>
      </c>
      <c r="F237" s="4" t="s">
        <v>62</v>
      </c>
      <c r="G237" s="4" t="s">
        <v>62</v>
      </c>
      <c r="H237" s="4" t="s">
        <v>62</v>
      </c>
      <c r="I237" s="4" t="s">
        <v>62</v>
      </c>
      <c r="J237" s="4" t="s">
        <v>62</v>
      </c>
      <c r="K237" s="4" t="s">
        <v>62</v>
      </c>
      <c r="L237" s="4" t="s">
        <v>62</v>
      </c>
      <c r="M237" s="4" t="s">
        <v>62</v>
      </c>
      <c r="N237" s="4" t="s">
        <v>62</v>
      </c>
      <c r="O237" s="4" t="s">
        <v>62</v>
      </c>
      <c r="P237" s="4" t="s">
        <v>62</v>
      </c>
      <c r="Q237" s="4" t="s">
        <v>62</v>
      </c>
      <c r="R237" s="4" t="s">
        <v>62</v>
      </c>
      <c r="S237" s="4" t="s">
        <v>62</v>
      </c>
      <c r="T237" s="4" t="s">
        <v>62</v>
      </c>
      <c r="U237" s="4" t="s">
        <v>62</v>
      </c>
      <c r="V237" s="4" t="s">
        <v>62</v>
      </c>
      <c r="W237" s="4" t="s">
        <v>62</v>
      </c>
      <c r="X237" s="4" t="s">
        <v>62</v>
      </c>
      <c r="Y237" s="4" t="s">
        <v>62</v>
      </c>
      <c r="Z237" s="4" t="s">
        <v>62</v>
      </c>
      <c r="AA237" s="4" t="s">
        <v>62</v>
      </c>
      <c r="AB237" s="4" t="s">
        <v>62</v>
      </c>
      <c r="AC237" s="4" t="s">
        <v>62</v>
      </c>
      <c r="AD237" s="4" t="s">
        <v>62</v>
      </c>
      <c r="AE237" s="187" t="s">
        <v>62</v>
      </c>
      <c r="AF237" s="176" t="s">
        <v>62</v>
      </c>
      <c r="AG237" s="2"/>
      <c r="AH237" s="2"/>
    </row>
    <row r="238" spans="2:34">
      <c r="B238" s="82">
        <v>8</v>
      </c>
      <c r="C238" s="88" t="str">
        <f>LEFT(EmpGName08)&amp;" " &amp;EmpSName08</f>
        <v>C Horse</v>
      </c>
      <c r="D238" s="3" t="s">
        <v>62</v>
      </c>
      <c r="E238" s="3" t="s">
        <v>62</v>
      </c>
      <c r="F238" s="3" t="s">
        <v>62</v>
      </c>
      <c r="G238" s="3" t="s">
        <v>62</v>
      </c>
      <c r="H238" s="3" t="s">
        <v>62</v>
      </c>
      <c r="I238" s="3" t="s">
        <v>62</v>
      </c>
      <c r="J238" s="3" t="s">
        <v>62</v>
      </c>
      <c r="K238" s="3" t="s">
        <v>62</v>
      </c>
      <c r="L238" s="3" t="s">
        <v>62</v>
      </c>
      <c r="M238" s="3" t="s">
        <v>62</v>
      </c>
      <c r="N238" s="3" t="s">
        <v>62</v>
      </c>
      <c r="O238" s="3" t="s">
        <v>62</v>
      </c>
      <c r="P238" s="3" t="s">
        <v>62</v>
      </c>
      <c r="Q238" s="3" t="s">
        <v>62</v>
      </c>
      <c r="R238" s="3" t="s">
        <v>62</v>
      </c>
      <c r="S238" s="3" t="s">
        <v>62</v>
      </c>
      <c r="T238" s="3" t="s">
        <v>62</v>
      </c>
      <c r="U238" s="3" t="s">
        <v>62</v>
      </c>
      <c r="V238" s="3" t="s">
        <v>62</v>
      </c>
      <c r="W238" s="3" t="s">
        <v>62</v>
      </c>
      <c r="X238" s="3" t="s">
        <v>62</v>
      </c>
      <c r="Y238" s="3" t="s">
        <v>62</v>
      </c>
      <c r="Z238" s="3" t="s">
        <v>62</v>
      </c>
      <c r="AA238" s="3" t="s">
        <v>62</v>
      </c>
      <c r="AB238" s="3" t="s">
        <v>62</v>
      </c>
      <c r="AC238" s="3" t="s">
        <v>62</v>
      </c>
      <c r="AD238" s="3" t="s">
        <v>62</v>
      </c>
      <c r="AE238" s="188" t="s">
        <v>62</v>
      </c>
      <c r="AF238" s="177" t="s">
        <v>62</v>
      </c>
      <c r="AG238" s="2"/>
      <c r="AH238" s="2"/>
    </row>
    <row r="239" spans="2:34">
      <c r="B239" s="82">
        <v>9</v>
      </c>
      <c r="C239" s="87" t="str">
        <f>LEFT(EmpGName09)&amp;" " &amp;EmpSName09</f>
        <v xml:space="preserve">E Horse </v>
      </c>
      <c r="D239" s="4" t="s">
        <v>62</v>
      </c>
      <c r="E239" s="4" t="s">
        <v>62</v>
      </c>
      <c r="F239" s="4" t="s">
        <v>62</v>
      </c>
      <c r="G239" s="4" t="s">
        <v>62</v>
      </c>
      <c r="H239" s="4" t="s">
        <v>62</v>
      </c>
      <c r="I239" s="4" t="s">
        <v>62</v>
      </c>
      <c r="J239" s="4" t="s">
        <v>62</v>
      </c>
      <c r="K239" s="4" t="s">
        <v>62</v>
      </c>
      <c r="L239" s="4" t="s">
        <v>62</v>
      </c>
      <c r="M239" s="4" t="s">
        <v>62</v>
      </c>
      <c r="N239" s="4" t="s">
        <v>62</v>
      </c>
      <c r="O239" s="4" t="s">
        <v>62</v>
      </c>
      <c r="P239" s="4" t="s">
        <v>62</v>
      </c>
      <c r="Q239" s="4" t="s">
        <v>62</v>
      </c>
      <c r="R239" s="4" t="s">
        <v>62</v>
      </c>
      <c r="S239" s="4" t="s">
        <v>62</v>
      </c>
      <c r="T239" s="4" t="s">
        <v>62</v>
      </c>
      <c r="U239" s="4" t="s">
        <v>62</v>
      </c>
      <c r="V239" s="4" t="s">
        <v>62</v>
      </c>
      <c r="W239" s="4" t="s">
        <v>62</v>
      </c>
      <c r="X239" s="4" t="s">
        <v>62</v>
      </c>
      <c r="Y239" s="4" t="s">
        <v>62</v>
      </c>
      <c r="Z239" s="4" t="s">
        <v>62</v>
      </c>
      <c r="AA239" s="4" t="s">
        <v>62</v>
      </c>
      <c r="AB239" s="4" t="s">
        <v>62</v>
      </c>
      <c r="AC239" s="4" t="s">
        <v>62</v>
      </c>
      <c r="AD239" s="4" t="s">
        <v>62</v>
      </c>
      <c r="AE239" s="187" t="s">
        <v>62</v>
      </c>
      <c r="AF239" s="176" t="s">
        <v>62</v>
      </c>
      <c r="AG239" s="2"/>
      <c r="AH239" s="2"/>
    </row>
    <row r="240" spans="2:34">
      <c r="B240" s="140">
        <v>10</v>
      </c>
      <c r="C240" s="89" t="str">
        <f>LEFT(EmpGName10)&amp;" " &amp;EmpSName10</f>
        <v>J Smeegal</v>
      </c>
      <c r="D240" s="68" t="s">
        <v>62</v>
      </c>
      <c r="E240" s="68" t="s">
        <v>62</v>
      </c>
      <c r="F240" s="68" t="s">
        <v>62</v>
      </c>
      <c r="G240" s="68" t="s">
        <v>62</v>
      </c>
      <c r="H240" s="68" t="s">
        <v>62</v>
      </c>
      <c r="I240" s="68" t="s">
        <v>62</v>
      </c>
      <c r="J240" s="68" t="s">
        <v>62</v>
      </c>
      <c r="K240" s="68" t="s">
        <v>62</v>
      </c>
      <c r="L240" s="68" t="s">
        <v>62</v>
      </c>
      <c r="M240" s="68" t="s">
        <v>62</v>
      </c>
      <c r="N240" s="68" t="s">
        <v>62</v>
      </c>
      <c r="O240" s="68" t="s">
        <v>62</v>
      </c>
      <c r="P240" s="68" t="s">
        <v>62</v>
      </c>
      <c r="Q240" s="68" t="s">
        <v>62</v>
      </c>
      <c r="R240" s="68" t="s">
        <v>62</v>
      </c>
      <c r="S240" s="68" t="s">
        <v>62</v>
      </c>
      <c r="T240" s="68" t="s">
        <v>62</v>
      </c>
      <c r="U240" s="68" t="s">
        <v>62</v>
      </c>
      <c r="V240" s="68" t="s">
        <v>62</v>
      </c>
      <c r="W240" s="68" t="s">
        <v>62</v>
      </c>
      <c r="X240" s="68" t="s">
        <v>62</v>
      </c>
      <c r="Y240" s="68" t="s">
        <v>62</v>
      </c>
      <c r="Z240" s="68" t="s">
        <v>62</v>
      </c>
      <c r="AA240" s="68" t="s">
        <v>62</v>
      </c>
      <c r="AB240" s="68" t="s">
        <v>62</v>
      </c>
      <c r="AC240" s="68" t="s">
        <v>62</v>
      </c>
      <c r="AD240" s="68" t="s">
        <v>62</v>
      </c>
      <c r="AE240" s="189" t="s">
        <v>62</v>
      </c>
      <c r="AF240" s="177" t="s">
        <v>62</v>
      </c>
      <c r="AG240" s="2"/>
      <c r="AH240" s="2"/>
    </row>
    <row r="241" spans="2:34">
      <c r="B241" s="140">
        <v>11</v>
      </c>
      <c r="C241" s="87" t="str">
        <f>LEFT(EmpGName11)&amp;" " &amp;EmpSName11</f>
        <v>E Smeegal</v>
      </c>
      <c r="D241" s="4" t="s">
        <v>62</v>
      </c>
      <c r="E241" s="4" t="s">
        <v>62</v>
      </c>
      <c r="F241" s="4" t="s">
        <v>62</v>
      </c>
      <c r="G241" s="4" t="s">
        <v>62</v>
      </c>
      <c r="H241" s="4" t="s">
        <v>62</v>
      </c>
      <c r="I241" s="4" t="s">
        <v>62</v>
      </c>
      <c r="J241" s="4" t="s">
        <v>62</v>
      </c>
      <c r="K241" s="4" t="s">
        <v>62</v>
      </c>
      <c r="L241" s="4" t="s">
        <v>62</v>
      </c>
      <c r="M241" s="4" t="s">
        <v>62</v>
      </c>
      <c r="N241" s="4" t="s">
        <v>62</v>
      </c>
      <c r="O241" s="4" t="s">
        <v>62</v>
      </c>
      <c r="P241" s="4" t="s">
        <v>62</v>
      </c>
      <c r="Q241" s="4" t="s">
        <v>62</v>
      </c>
      <c r="R241" s="4" t="s">
        <v>62</v>
      </c>
      <c r="S241" s="4" t="s">
        <v>62</v>
      </c>
      <c r="T241" s="4" t="s">
        <v>62</v>
      </c>
      <c r="U241" s="4" t="s">
        <v>62</v>
      </c>
      <c r="V241" s="4" t="s">
        <v>62</v>
      </c>
      <c r="W241" s="4" t="s">
        <v>62</v>
      </c>
      <c r="X241" s="4" t="s">
        <v>62</v>
      </c>
      <c r="Y241" s="4" t="s">
        <v>62</v>
      </c>
      <c r="Z241" s="4" t="s">
        <v>62</v>
      </c>
      <c r="AA241" s="4" t="s">
        <v>62</v>
      </c>
      <c r="AB241" s="4" t="s">
        <v>62</v>
      </c>
      <c r="AC241" s="4" t="s">
        <v>62</v>
      </c>
      <c r="AD241" s="4" t="s">
        <v>62</v>
      </c>
      <c r="AE241" s="187" t="s">
        <v>62</v>
      </c>
      <c r="AF241" s="176" t="s">
        <v>62</v>
      </c>
      <c r="AG241" s="2"/>
      <c r="AH241" s="2"/>
    </row>
    <row r="242" spans="2:34">
      <c r="B242" s="140">
        <v>12</v>
      </c>
      <c r="C242" s="89" t="str">
        <f>LEFT(EmpGName12)&amp;" " &amp;EmpSName12</f>
        <v>J James</v>
      </c>
      <c r="D242" s="68" t="s">
        <v>62</v>
      </c>
      <c r="E242" s="68" t="s">
        <v>62</v>
      </c>
      <c r="F242" s="68" t="s">
        <v>62</v>
      </c>
      <c r="G242" s="68" t="s">
        <v>62</v>
      </c>
      <c r="H242" s="68" t="s">
        <v>62</v>
      </c>
      <c r="I242" s="68" t="s">
        <v>62</v>
      </c>
      <c r="J242" s="68" t="s">
        <v>62</v>
      </c>
      <c r="K242" s="68" t="s">
        <v>62</v>
      </c>
      <c r="L242" s="68" t="s">
        <v>62</v>
      </c>
      <c r="M242" s="68" t="s">
        <v>62</v>
      </c>
      <c r="N242" s="68" t="s">
        <v>62</v>
      </c>
      <c r="O242" s="68" t="s">
        <v>62</v>
      </c>
      <c r="P242" s="68" t="s">
        <v>62</v>
      </c>
      <c r="Q242" s="68" t="s">
        <v>62</v>
      </c>
      <c r="R242" s="68" t="s">
        <v>62</v>
      </c>
      <c r="S242" s="68" t="s">
        <v>62</v>
      </c>
      <c r="T242" s="68" t="s">
        <v>62</v>
      </c>
      <c r="U242" s="68" t="s">
        <v>62</v>
      </c>
      <c r="V242" s="68" t="s">
        <v>62</v>
      </c>
      <c r="W242" s="68" t="s">
        <v>62</v>
      </c>
      <c r="X242" s="68" t="s">
        <v>62</v>
      </c>
      <c r="Y242" s="68" t="s">
        <v>62</v>
      </c>
      <c r="Z242" s="68" t="s">
        <v>62</v>
      </c>
      <c r="AA242" s="68" t="s">
        <v>62</v>
      </c>
      <c r="AB242" s="68" t="s">
        <v>62</v>
      </c>
      <c r="AC242" s="68" t="s">
        <v>62</v>
      </c>
      <c r="AD242" s="68" t="s">
        <v>62</v>
      </c>
      <c r="AE242" s="189" t="s">
        <v>62</v>
      </c>
      <c r="AF242" s="177" t="s">
        <v>62</v>
      </c>
      <c r="AG242" s="2"/>
      <c r="AH242" s="2"/>
    </row>
    <row r="243" spans="2:34">
      <c r="B243" s="139">
        <v>13</v>
      </c>
      <c r="C243" s="87" t="str">
        <f>LEFT(EmpGName13)&amp;" " &amp;EmpSName13</f>
        <v>J Jack</v>
      </c>
      <c r="D243" s="4" t="s">
        <v>62</v>
      </c>
      <c r="E243" s="4" t="s">
        <v>62</v>
      </c>
      <c r="F243" s="4" t="s">
        <v>62</v>
      </c>
      <c r="G243" s="4" t="s">
        <v>62</v>
      </c>
      <c r="H243" s="4" t="s">
        <v>62</v>
      </c>
      <c r="I243" s="4" t="s">
        <v>62</v>
      </c>
      <c r="J243" s="4" t="s">
        <v>62</v>
      </c>
      <c r="K243" s="4" t="s">
        <v>62</v>
      </c>
      <c r="L243" s="4" t="s">
        <v>62</v>
      </c>
      <c r="M243" s="4" t="s">
        <v>62</v>
      </c>
      <c r="N243" s="4" t="s">
        <v>62</v>
      </c>
      <c r="O243" s="4" t="s">
        <v>62</v>
      </c>
      <c r="P243" s="4" t="s">
        <v>62</v>
      </c>
      <c r="Q243" s="4" t="s">
        <v>62</v>
      </c>
      <c r="R243" s="4" t="s">
        <v>62</v>
      </c>
      <c r="S243" s="4" t="s">
        <v>62</v>
      </c>
      <c r="T243" s="4" t="s">
        <v>62</v>
      </c>
      <c r="U243" s="4" t="s">
        <v>62</v>
      </c>
      <c r="V243" s="4" t="s">
        <v>62</v>
      </c>
      <c r="W243" s="4" t="s">
        <v>62</v>
      </c>
      <c r="X243" s="4" t="s">
        <v>62</v>
      </c>
      <c r="Y243" s="4" t="s">
        <v>62</v>
      </c>
      <c r="Z243" s="4" t="s">
        <v>62</v>
      </c>
      <c r="AA243" s="4" t="s">
        <v>62</v>
      </c>
      <c r="AB243" s="4" t="s">
        <v>62</v>
      </c>
      <c r="AC243" s="4" t="s">
        <v>62</v>
      </c>
      <c r="AD243" s="4" t="s">
        <v>62</v>
      </c>
      <c r="AE243" s="187" t="s">
        <v>62</v>
      </c>
      <c r="AF243" s="176" t="s">
        <v>62</v>
      </c>
      <c r="AG243" s="2"/>
      <c r="AH243" s="2"/>
    </row>
    <row r="244" spans="2:34">
      <c r="B244" s="139">
        <v>14</v>
      </c>
      <c r="C244" s="88" t="str">
        <f>LEFT(EmpGName14)&amp;" " &amp;EmpSName14</f>
        <v xml:space="preserve">J Jacky </v>
      </c>
      <c r="D244" s="3" t="s">
        <v>62</v>
      </c>
      <c r="E244" s="3" t="s">
        <v>62</v>
      </c>
      <c r="F244" s="3" t="s">
        <v>62</v>
      </c>
      <c r="G244" s="3" t="s">
        <v>62</v>
      </c>
      <c r="H244" s="3" t="s">
        <v>62</v>
      </c>
      <c r="I244" s="3" t="s">
        <v>62</v>
      </c>
      <c r="J244" s="3" t="s">
        <v>62</v>
      </c>
      <c r="K244" s="3" t="s">
        <v>62</v>
      </c>
      <c r="L244" s="3" t="s">
        <v>62</v>
      </c>
      <c r="M244" s="3" t="s">
        <v>62</v>
      </c>
      <c r="N244" s="3" t="s">
        <v>62</v>
      </c>
      <c r="O244" s="3" t="s">
        <v>62</v>
      </c>
      <c r="P244" s="3" t="s">
        <v>62</v>
      </c>
      <c r="Q244" s="3" t="s">
        <v>62</v>
      </c>
      <c r="R244" s="3" t="s">
        <v>62</v>
      </c>
      <c r="S244" s="3" t="s">
        <v>62</v>
      </c>
      <c r="T244" s="3" t="s">
        <v>62</v>
      </c>
      <c r="U244" s="3" t="s">
        <v>62</v>
      </c>
      <c r="V244" s="3" t="s">
        <v>62</v>
      </c>
      <c r="W244" s="3" t="s">
        <v>62</v>
      </c>
      <c r="X244" s="3" t="s">
        <v>62</v>
      </c>
      <c r="Y244" s="3" t="s">
        <v>62</v>
      </c>
      <c r="Z244" s="3" t="s">
        <v>62</v>
      </c>
      <c r="AA244" s="3" t="s">
        <v>62</v>
      </c>
      <c r="AB244" s="3" t="s">
        <v>62</v>
      </c>
      <c r="AC244" s="3" t="s">
        <v>62</v>
      </c>
      <c r="AD244" s="3" t="s">
        <v>62</v>
      </c>
      <c r="AE244" s="188" t="s">
        <v>62</v>
      </c>
      <c r="AF244" s="177" t="s">
        <v>62</v>
      </c>
      <c r="AG244" s="2"/>
      <c r="AH244" s="2"/>
    </row>
    <row r="245" spans="2:34">
      <c r="B245" s="139">
        <v>15</v>
      </c>
      <c r="C245" s="87" t="str">
        <f>LEFT(EmpGName15)&amp;" " &amp;EmpSName15</f>
        <v>J Friedle</v>
      </c>
      <c r="D245" s="4" t="s">
        <v>62</v>
      </c>
      <c r="E245" s="4" t="s">
        <v>62</v>
      </c>
      <c r="F245" s="4" t="s">
        <v>62</v>
      </c>
      <c r="G245" s="4" t="s">
        <v>62</v>
      </c>
      <c r="H245" s="4" t="s">
        <v>62</v>
      </c>
      <c r="I245" s="4" t="s">
        <v>62</v>
      </c>
      <c r="J245" s="4" t="s">
        <v>62</v>
      </c>
      <c r="K245" s="4" t="s">
        <v>62</v>
      </c>
      <c r="L245" s="4" t="s">
        <v>62</v>
      </c>
      <c r="M245" s="4" t="s">
        <v>62</v>
      </c>
      <c r="N245" s="4" t="s">
        <v>62</v>
      </c>
      <c r="O245" s="4" t="s">
        <v>62</v>
      </c>
      <c r="P245" s="4" t="s">
        <v>62</v>
      </c>
      <c r="Q245" s="4" t="s">
        <v>62</v>
      </c>
      <c r="R245" s="4" t="s">
        <v>62</v>
      </c>
      <c r="S245" s="4" t="s">
        <v>62</v>
      </c>
      <c r="T245" s="4" t="s">
        <v>62</v>
      </c>
      <c r="U245" s="4" t="s">
        <v>62</v>
      </c>
      <c r="V245" s="4" t="s">
        <v>62</v>
      </c>
      <c r="W245" s="4" t="s">
        <v>62</v>
      </c>
      <c r="X245" s="4" t="s">
        <v>62</v>
      </c>
      <c r="Y245" s="4" t="s">
        <v>62</v>
      </c>
      <c r="Z245" s="4" t="s">
        <v>62</v>
      </c>
      <c r="AA245" s="4" t="s">
        <v>62</v>
      </c>
      <c r="AB245" s="4" t="s">
        <v>62</v>
      </c>
      <c r="AC245" s="4" t="s">
        <v>62</v>
      </c>
      <c r="AD245" s="4" t="s">
        <v>62</v>
      </c>
      <c r="AE245" s="187" t="s">
        <v>62</v>
      </c>
      <c r="AF245" s="176" t="s">
        <v>62</v>
      </c>
      <c r="AG245" s="2"/>
      <c r="AH245" s="2"/>
    </row>
    <row r="246" spans="2:34">
      <c r="B246" s="139">
        <v>16</v>
      </c>
      <c r="C246" s="88" t="str">
        <f>LEFT(EmpGName16)&amp;" " &amp;EmpSName16</f>
        <v>J Friedle</v>
      </c>
      <c r="D246" s="3" t="s">
        <v>62</v>
      </c>
      <c r="E246" s="3" t="s">
        <v>62</v>
      </c>
      <c r="F246" s="3" t="s">
        <v>62</v>
      </c>
      <c r="G246" s="3" t="s">
        <v>62</v>
      </c>
      <c r="H246" s="3" t="s">
        <v>62</v>
      </c>
      <c r="I246" s="3" t="s">
        <v>62</v>
      </c>
      <c r="J246" s="3" t="s">
        <v>62</v>
      </c>
      <c r="K246" s="3" t="s">
        <v>62</v>
      </c>
      <c r="L246" s="3" t="s">
        <v>62</v>
      </c>
      <c r="M246" s="3" t="s">
        <v>62</v>
      </c>
      <c r="N246" s="3" t="s">
        <v>62</v>
      </c>
      <c r="O246" s="3" t="s">
        <v>62</v>
      </c>
      <c r="P246" s="3" t="s">
        <v>62</v>
      </c>
      <c r="Q246" s="3" t="s">
        <v>62</v>
      </c>
      <c r="R246" s="3" t="s">
        <v>62</v>
      </c>
      <c r="S246" s="3" t="s">
        <v>62</v>
      </c>
      <c r="T246" s="3" t="s">
        <v>62</v>
      </c>
      <c r="U246" s="3" t="s">
        <v>62</v>
      </c>
      <c r="V246" s="3" t="s">
        <v>62</v>
      </c>
      <c r="W246" s="3" t="s">
        <v>62</v>
      </c>
      <c r="X246" s="3" t="s">
        <v>62</v>
      </c>
      <c r="Y246" s="3" t="s">
        <v>62</v>
      </c>
      <c r="Z246" s="3" t="s">
        <v>62</v>
      </c>
      <c r="AA246" s="3" t="s">
        <v>62</v>
      </c>
      <c r="AB246" s="3" t="s">
        <v>62</v>
      </c>
      <c r="AC246" s="3" t="s">
        <v>62</v>
      </c>
      <c r="AD246" s="3" t="s">
        <v>62</v>
      </c>
      <c r="AE246" s="188" t="s">
        <v>62</v>
      </c>
      <c r="AF246" s="177" t="s">
        <v>62</v>
      </c>
      <c r="AG246" s="2"/>
      <c r="AH246" s="2"/>
    </row>
    <row r="247" spans="2:34">
      <c r="B247" s="139">
        <v>17</v>
      </c>
      <c r="C247" s="87" t="str">
        <f>LEFT(EmpGName17)&amp;" " &amp;EmpSName17</f>
        <v>J Smart</v>
      </c>
      <c r="D247" s="4" t="s">
        <v>62</v>
      </c>
      <c r="E247" s="4" t="s">
        <v>62</v>
      </c>
      <c r="F247" s="4" t="s">
        <v>62</v>
      </c>
      <c r="G247" s="4" t="s">
        <v>62</v>
      </c>
      <c r="H247" s="4" t="s">
        <v>62</v>
      </c>
      <c r="I247" s="4" t="s">
        <v>62</v>
      </c>
      <c r="J247" s="4" t="s">
        <v>62</v>
      </c>
      <c r="K247" s="4" t="s">
        <v>62</v>
      </c>
      <c r="L247" s="4" t="s">
        <v>62</v>
      </c>
      <c r="M247" s="4" t="s">
        <v>62</v>
      </c>
      <c r="N247" s="4" t="s">
        <v>62</v>
      </c>
      <c r="O247" s="4" t="s">
        <v>62</v>
      </c>
      <c r="P247" s="4" t="s">
        <v>62</v>
      </c>
      <c r="Q247" s="4" t="s">
        <v>62</v>
      </c>
      <c r="R247" s="4" t="s">
        <v>62</v>
      </c>
      <c r="S247" s="4" t="s">
        <v>62</v>
      </c>
      <c r="T247" s="4" t="s">
        <v>62</v>
      </c>
      <c r="U247" s="4" t="s">
        <v>62</v>
      </c>
      <c r="V247" s="4" t="s">
        <v>62</v>
      </c>
      <c r="W247" s="4" t="s">
        <v>62</v>
      </c>
      <c r="X247" s="4" t="s">
        <v>62</v>
      </c>
      <c r="Y247" s="4" t="s">
        <v>62</v>
      </c>
      <c r="Z247" s="4" t="s">
        <v>62</v>
      </c>
      <c r="AA247" s="4" t="s">
        <v>62</v>
      </c>
      <c r="AB247" s="4" t="s">
        <v>62</v>
      </c>
      <c r="AC247" s="4" t="s">
        <v>62</v>
      </c>
      <c r="AD247" s="4" t="s">
        <v>62</v>
      </c>
      <c r="AE247" s="187" t="s">
        <v>62</v>
      </c>
      <c r="AF247" s="176" t="s">
        <v>62</v>
      </c>
      <c r="AG247" s="2"/>
      <c r="AH247" s="2"/>
    </row>
    <row r="248" spans="2:34">
      <c r="B248" s="139">
        <v>18</v>
      </c>
      <c r="C248" s="88" t="str">
        <f>LEFT(EmpGName18)&amp;" " &amp;EmpSName18</f>
        <v>E Smart</v>
      </c>
      <c r="D248" s="3" t="s">
        <v>62</v>
      </c>
      <c r="E248" s="3" t="s">
        <v>62</v>
      </c>
      <c r="F248" s="3" t="s">
        <v>62</v>
      </c>
      <c r="G248" s="3" t="s">
        <v>62</v>
      </c>
      <c r="H248" s="3" t="s">
        <v>62</v>
      </c>
      <c r="I248" s="3" t="s">
        <v>62</v>
      </c>
      <c r="J248" s="3" t="s">
        <v>62</v>
      </c>
      <c r="K248" s="3" t="s">
        <v>62</v>
      </c>
      <c r="L248" s="3" t="s">
        <v>62</v>
      </c>
      <c r="M248" s="3" t="s">
        <v>62</v>
      </c>
      <c r="N248" s="3" t="s">
        <v>62</v>
      </c>
      <c r="O248" s="3" t="s">
        <v>62</v>
      </c>
      <c r="P248" s="3" t="s">
        <v>62</v>
      </c>
      <c r="Q248" s="3" t="s">
        <v>62</v>
      </c>
      <c r="R248" s="3" t="s">
        <v>62</v>
      </c>
      <c r="S248" s="3" t="s">
        <v>62</v>
      </c>
      <c r="T248" s="3" t="s">
        <v>62</v>
      </c>
      <c r="U248" s="3" t="s">
        <v>62</v>
      </c>
      <c r="V248" s="3" t="s">
        <v>62</v>
      </c>
      <c r="W248" s="3" t="s">
        <v>62</v>
      </c>
      <c r="X248" s="3" t="s">
        <v>62</v>
      </c>
      <c r="Y248" s="3" t="s">
        <v>62</v>
      </c>
      <c r="Z248" s="3" t="s">
        <v>62</v>
      </c>
      <c r="AA248" s="3" t="s">
        <v>62</v>
      </c>
      <c r="AB248" s="3" t="s">
        <v>62</v>
      </c>
      <c r="AC248" s="3" t="s">
        <v>62</v>
      </c>
      <c r="AD248" s="3" t="s">
        <v>62</v>
      </c>
      <c r="AE248" s="188" t="s">
        <v>62</v>
      </c>
      <c r="AF248" s="177" t="s">
        <v>62</v>
      </c>
      <c r="AG248" s="2"/>
      <c r="AH248" s="2"/>
    </row>
    <row r="249" spans="2:34" hidden="1">
      <c r="B249" s="139">
        <v>19</v>
      </c>
      <c r="C249" s="87" t="str">
        <f>LEFT(EmpGName19)&amp;" " &amp;EmpSName19</f>
        <v xml:space="preserve"> </v>
      </c>
      <c r="D249" s="4" t="s">
        <v>62</v>
      </c>
      <c r="E249" s="4" t="s">
        <v>62</v>
      </c>
      <c r="F249" s="4" t="s">
        <v>62</v>
      </c>
      <c r="G249" s="4" t="s">
        <v>62</v>
      </c>
      <c r="H249" s="4" t="s">
        <v>62</v>
      </c>
      <c r="I249" s="4" t="s">
        <v>62</v>
      </c>
      <c r="J249" s="4" t="s">
        <v>62</v>
      </c>
      <c r="K249" s="4" t="s">
        <v>62</v>
      </c>
      <c r="L249" s="4" t="s">
        <v>62</v>
      </c>
      <c r="M249" s="4" t="s">
        <v>62</v>
      </c>
      <c r="N249" s="4" t="s">
        <v>62</v>
      </c>
      <c r="O249" s="4" t="s">
        <v>62</v>
      </c>
      <c r="P249" s="4" t="s">
        <v>62</v>
      </c>
      <c r="Q249" s="4" t="s">
        <v>62</v>
      </c>
      <c r="R249" s="4" t="s">
        <v>62</v>
      </c>
      <c r="S249" s="4" t="s">
        <v>62</v>
      </c>
      <c r="T249" s="4" t="s">
        <v>62</v>
      </c>
      <c r="U249" s="4" t="s">
        <v>62</v>
      </c>
      <c r="V249" s="4" t="s">
        <v>62</v>
      </c>
      <c r="W249" s="4" t="s">
        <v>62</v>
      </c>
      <c r="X249" s="4" t="s">
        <v>62</v>
      </c>
      <c r="Y249" s="4" t="s">
        <v>62</v>
      </c>
      <c r="Z249" s="4" t="s">
        <v>62</v>
      </c>
      <c r="AA249" s="4" t="s">
        <v>62</v>
      </c>
      <c r="AB249" s="4" t="s">
        <v>62</v>
      </c>
      <c r="AC249" s="4" t="s">
        <v>62</v>
      </c>
      <c r="AD249" s="4" t="s">
        <v>62</v>
      </c>
      <c r="AE249" s="187" t="s">
        <v>62</v>
      </c>
      <c r="AF249" s="176" t="s">
        <v>62</v>
      </c>
      <c r="AG249" s="2"/>
      <c r="AH249" s="2"/>
    </row>
    <row r="250" spans="2:34" hidden="1">
      <c r="B250" s="139">
        <v>20</v>
      </c>
      <c r="C250" s="88" t="str">
        <f>LEFT(EmpGName20)&amp;" " &amp;EmpSName20</f>
        <v xml:space="preserve"> </v>
      </c>
      <c r="D250" s="3" t="s">
        <v>62</v>
      </c>
      <c r="E250" s="3" t="s">
        <v>62</v>
      </c>
      <c r="F250" s="3" t="s">
        <v>62</v>
      </c>
      <c r="G250" s="3" t="s">
        <v>62</v>
      </c>
      <c r="H250" s="3" t="s">
        <v>62</v>
      </c>
      <c r="I250" s="3" t="s">
        <v>62</v>
      </c>
      <c r="J250" s="3" t="s">
        <v>62</v>
      </c>
      <c r="K250" s="3" t="s">
        <v>62</v>
      </c>
      <c r="L250" s="3" t="s">
        <v>62</v>
      </c>
      <c r="M250" s="3" t="s">
        <v>62</v>
      </c>
      <c r="N250" s="3" t="s">
        <v>62</v>
      </c>
      <c r="O250" s="3" t="s">
        <v>62</v>
      </c>
      <c r="P250" s="3" t="s">
        <v>62</v>
      </c>
      <c r="Q250" s="3" t="s">
        <v>62</v>
      </c>
      <c r="R250" s="3" t="s">
        <v>62</v>
      </c>
      <c r="S250" s="3" t="s">
        <v>62</v>
      </c>
      <c r="T250" s="3" t="s">
        <v>62</v>
      </c>
      <c r="U250" s="3" t="s">
        <v>62</v>
      </c>
      <c r="V250" s="3" t="s">
        <v>62</v>
      </c>
      <c r="W250" s="3" t="s">
        <v>62</v>
      </c>
      <c r="X250" s="3" t="s">
        <v>62</v>
      </c>
      <c r="Y250" s="3" t="s">
        <v>62</v>
      </c>
      <c r="Z250" s="3" t="s">
        <v>62</v>
      </c>
      <c r="AA250" s="3" t="s">
        <v>62</v>
      </c>
      <c r="AB250" s="3" t="s">
        <v>62</v>
      </c>
      <c r="AC250" s="3" t="s">
        <v>62</v>
      </c>
      <c r="AD250" s="3" t="s">
        <v>62</v>
      </c>
      <c r="AE250" s="188" t="s">
        <v>62</v>
      </c>
      <c r="AF250" s="177" t="s">
        <v>62</v>
      </c>
      <c r="AG250" s="2"/>
      <c r="AH250" s="2"/>
    </row>
    <row r="251" spans="2:34" hidden="1">
      <c r="B251" s="139">
        <v>21</v>
      </c>
      <c r="C251" s="87" t="str">
        <f>LEFT(EmpGName21)&amp;" " &amp;EmpSName21</f>
        <v xml:space="preserve"> </v>
      </c>
      <c r="D251" s="4" t="s">
        <v>62</v>
      </c>
      <c r="E251" s="4" t="s">
        <v>62</v>
      </c>
      <c r="F251" s="4" t="s">
        <v>62</v>
      </c>
      <c r="G251" s="4" t="s">
        <v>62</v>
      </c>
      <c r="H251" s="4" t="s">
        <v>62</v>
      </c>
      <c r="I251" s="4" t="s">
        <v>62</v>
      </c>
      <c r="J251" s="4" t="s">
        <v>62</v>
      </c>
      <c r="K251" s="4" t="s">
        <v>62</v>
      </c>
      <c r="L251" s="4" t="s">
        <v>62</v>
      </c>
      <c r="M251" s="4" t="s">
        <v>62</v>
      </c>
      <c r="N251" s="4" t="s">
        <v>62</v>
      </c>
      <c r="O251" s="4" t="s">
        <v>62</v>
      </c>
      <c r="P251" s="4" t="s">
        <v>62</v>
      </c>
      <c r="Q251" s="4" t="s">
        <v>62</v>
      </c>
      <c r="R251" s="4" t="s">
        <v>62</v>
      </c>
      <c r="S251" s="4" t="s">
        <v>62</v>
      </c>
      <c r="T251" s="4" t="s">
        <v>62</v>
      </c>
      <c r="U251" s="4" t="s">
        <v>62</v>
      </c>
      <c r="V251" s="4" t="s">
        <v>62</v>
      </c>
      <c r="W251" s="4" t="s">
        <v>62</v>
      </c>
      <c r="X251" s="4" t="s">
        <v>62</v>
      </c>
      <c r="Y251" s="4" t="s">
        <v>62</v>
      </c>
      <c r="Z251" s="4" t="s">
        <v>62</v>
      </c>
      <c r="AA251" s="4" t="s">
        <v>62</v>
      </c>
      <c r="AB251" s="4" t="s">
        <v>62</v>
      </c>
      <c r="AC251" s="4" t="s">
        <v>62</v>
      </c>
      <c r="AD251" s="4" t="s">
        <v>62</v>
      </c>
      <c r="AE251" s="187" t="s">
        <v>62</v>
      </c>
      <c r="AF251" s="176" t="s">
        <v>62</v>
      </c>
      <c r="AG251" s="2"/>
      <c r="AH251" s="2"/>
    </row>
    <row r="252" spans="2:34" hidden="1">
      <c r="B252" s="139">
        <v>22</v>
      </c>
      <c r="C252" s="88" t="str">
        <f>LEFT(EmpGName22)&amp;" " &amp;EmpSName22</f>
        <v xml:space="preserve"> </v>
      </c>
      <c r="D252" s="3" t="s">
        <v>62</v>
      </c>
      <c r="E252" s="3" t="s">
        <v>62</v>
      </c>
      <c r="F252" s="3" t="s">
        <v>62</v>
      </c>
      <c r="G252" s="3" t="s">
        <v>62</v>
      </c>
      <c r="H252" s="3" t="s">
        <v>62</v>
      </c>
      <c r="I252" s="3" t="s">
        <v>62</v>
      </c>
      <c r="J252" s="3" t="s">
        <v>62</v>
      </c>
      <c r="K252" s="3" t="s">
        <v>62</v>
      </c>
      <c r="L252" s="3" t="s">
        <v>62</v>
      </c>
      <c r="M252" s="3" t="s">
        <v>62</v>
      </c>
      <c r="N252" s="3" t="s">
        <v>62</v>
      </c>
      <c r="O252" s="3" t="s">
        <v>62</v>
      </c>
      <c r="P252" s="3" t="s">
        <v>62</v>
      </c>
      <c r="Q252" s="3" t="s">
        <v>62</v>
      </c>
      <c r="R252" s="3" t="s">
        <v>62</v>
      </c>
      <c r="S252" s="3" t="s">
        <v>62</v>
      </c>
      <c r="T252" s="3" t="s">
        <v>62</v>
      </c>
      <c r="U252" s="3" t="s">
        <v>62</v>
      </c>
      <c r="V252" s="3" t="s">
        <v>62</v>
      </c>
      <c r="W252" s="3" t="s">
        <v>62</v>
      </c>
      <c r="X252" s="3" t="s">
        <v>62</v>
      </c>
      <c r="Y252" s="3" t="s">
        <v>62</v>
      </c>
      <c r="Z252" s="3" t="s">
        <v>62</v>
      </c>
      <c r="AA252" s="3" t="s">
        <v>62</v>
      </c>
      <c r="AB252" s="3" t="s">
        <v>62</v>
      </c>
      <c r="AC252" s="3" t="s">
        <v>62</v>
      </c>
      <c r="AD252" s="3" t="s">
        <v>62</v>
      </c>
      <c r="AE252" s="188" t="s">
        <v>62</v>
      </c>
      <c r="AF252" s="177" t="s">
        <v>62</v>
      </c>
      <c r="AG252" s="2"/>
      <c r="AH252" s="2"/>
    </row>
    <row r="253" spans="2:34" hidden="1">
      <c r="B253" s="139">
        <v>23</v>
      </c>
      <c r="C253" s="87" t="str">
        <f>LEFT(EmpGName23)&amp;" " &amp;EmpSName23</f>
        <v xml:space="preserve"> </v>
      </c>
      <c r="D253" s="4" t="s">
        <v>62</v>
      </c>
      <c r="E253" s="4" t="s">
        <v>62</v>
      </c>
      <c r="F253" s="4" t="s">
        <v>62</v>
      </c>
      <c r="G253" s="4" t="s">
        <v>62</v>
      </c>
      <c r="H253" s="4" t="s">
        <v>62</v>
      </c>
      <c r="I253" s="4" t="s">
        <v>62</v>
      </c>
      <c r="J253" s="4" t="s">
        <v>62</v>
      </c>
      <c r="K253" s="4" t="s">
        <v>62</v>
      </c>
      <c r="L253" s="4" t="s">
        <v>62</v>
      </c>
      <c r="M253" s="4" t="s">
        <v>62</v>
      </c>
      <c r="N253" s="4" t="s">
        <v>62</v>
      </c>
      <c r="O253" s="4" t="s">
        <v>62</v>
      </c>
      <c r="P253" s="4" t="s">
        <v>62</v>
      </c>
      <c r="Q253" s="4" t="s">
        <v>62</v>
      </c>
      <c r="R253" s="4" t="s">
        <v>62</v>
      </c>
      <c r="S253" s="4" t="s">
        <v>62</v>
      </c>
      <c r="T253" s="4" t="s">
        <v>62</v>
      </c>
      <c r="U253" s="4" t="s">
        <v>62</v>
      </c>
      <c r="V253" s="4" t="s">
        <v>62</v>
      </c>
      <c r="W253" s="4" t="s">
        <v>62</v>
      </c>
      <c r="X253" s="4" t="s">
        <v>62</v>
      </c>
      <c r="Y253" s="4" t="s">
        <v>62</v>
      </c>
      <c r="Z253" s="4" t="s">
        <v>62</v>
      </c>
      <c r="AA253" s="4" t="s">
        <v>62</v>
      </c>
      <c r="AB253" s="4" t="s">
        <v>62</v>
      </c>
      <c r="AC253" s="4" t="s">
        <v>62</v>
      </c>
      <c r="AD253" s="4" t="s">
        <v>62</v>
      </c>
      <c r="AE253" s="187" t="s">
        <v>62</v>
      </c>
      <c r="AF253" s="176" t="s">
        <v>62</v>
      </c>
      <c r="AG253" s="2"/>
      <c r="AH253" s="2"/>
    </row>
    <row r="254" spans="2:34" hidden="1">
      <c r="B254" s="139">
        <v>24</v>
      </c>
      <c r="C254" s="88" t="str">
        <f>LEFT(EmpGName24)&amp;" " &amp;EmpSName24</f>
        <v xml:space="preserve"> </v>
      </c>
      <c r="D254" s="3" t="s">
        <v>62</v>
      </c>
      <c r="E254" s="3" t="s">
        <v>62</v>
      </c>
      <c r="F254" s="3" t="s">
        <v>62</v>
      </c>
      <c r="G254" s="3" t="s">
        <v>62</v>
      </c>
      <c r="H254" s="3" t="s">
        <v>62</v>
      </c>
      <c r="I254" s="3" t="s">
        <v>62</v>
      </c>
      <c r="J254" s="3" t="s">
        <v>62</v>
      </c>
      <c r="K254" s="3" t="s">
        <v>62</v>
      </c>
      <c r="L254" s="3" t="s">
        <v>62</v>
      </c>
      <c r="M254" s="3" t="s">
        <v>62</v>
      </c>
      <c r="N254" s="3" t="s">
        <v>62</v>
      </c>
      <c r="O254" s="3" t="s">
        <v>62</v>
      </c>
      <c r="P254" s="3" t="s">
        <v>62</v>
      </c>
      <c r="Q254" s="3" t="s">
        <v>62</v>
      </c>
      <c r="R254" s="3" t="s">
        <v>62</v>
      </c>
      <c r="S254" s="3" t="s">
        <v>62</v>
      </c>
      <c r="T254" s="3" t="s">
        <v>62</v>
      </c>
      <c r="U254" s="3" t="s">
        <v>62</v>
      </c>
      <c r="V254" s="3" t="s">
        <v>62</v>
      </c>
      <c r="W254" s="3" t="s">
        <v>62</v>
      </c>
      <c r="X254" s="3" t="s">
        <v>62</v>
      </c>
      <c r="Y254" s="3" t="s">
        <v>62</v>
      </c>
      <c r="Z254" s="3" t="s">
        <v>62</v>
      </c>
      <c r="AA254" s="3" t="s">
        <v>62</v>
      </c>
      <c r="AB254" s="3" t="s">
        <v>62</v>
      </c>
      <c r="AC254" s="3" t="s">
        <v>62</v>
      </c>
      <c r="AD254" s="3" t="s">
        <v>62</v>
      </c>
      <c r="AE254" s="188" t="s">
        <v>62</v>
      </c>
      <c r="AF254" s="177" t="s">
        <v>62</v>
      </c>
      <c r="AG254" s="2"/>
      <c r="AH254" s="2"/>
    </row>
    <row r="255" spans="2:34" hidden="1">
      <c r="B255" s="139">
        <v>25</v>
      </c>
      <c r="C255" s="87" t="str">
        <f>LEFT(EmpGName25)&amp;" " &amp;EmpSName25</f>
        <v xml:space="preserve"> </v>
      </c>
      <c r="D255" s="4" t="s">
        <v>62</v>
      </c>
      <c r="E255" s="4" t="s">
        <v>62</v>
      </c>
      <c r="F255" s="4" t="s">
        <v>62</v>
      </c>
      <c r="G255" s="4" t="s">
        <v>62</v>
      </c>
      <c r="H255" s="4" t="s">
        <v>62</v>
      </c>
      <c r="I255" s="4" t="s">
        <v>62</v>
      </c>
      <c r="J255" s="4" t="s">
        <v>62</v>
      </c>
      <c r="K255" s="4" t="s">
        <v>62</v>
      </c>
      <c r="L255" s="4" t="s">
        <v>62</v>
      </c>
      <c r="M255" s="4" t="s">
        <v>62</v>
      </c>
      <c r="N255" s="4" t="s">
        <v>62</v>
      </c>
      <c r="O255" s="4" t="s">
        <v>62</v>
      </c>
      <c r="P255" s="4" t="s">
        <v>62</v>
      </c>
      <c r="Q255" s="4" t="s">
        <v>62</v>
      </c>
      <c r="R255" s="4" t="s">
        <v>62</v>
      </c>
      <c r="S255" s="4" t="s">
        <v>62</v>
      </c>
      <c r="T255" s="4" t="s">
        <v>62</v>
      </c>
      <c r="U255" s="4" t="s">
        <v>62</v>
      </c>
      <c r="V255" s="4" t="s">
        <v>62</v>
      </c>
      <c r="W255" s="4" t="s">
        <v>62</v>
      </c>
      <c r="X255" s="4" t="s">
        <v>62</v>
      </c>
      <c r="Y255" s="4" t="s">
        <v>62</v>
      </c>
      <c r="Z255" s="4" t="s">
        <v>62</v>
      </c>
      <c r="AA255" s="4" t="s">
        <v>62</v>
      </c>
      <c r="AB255" s="4" t="s">
        <v>62</v>
      </c>
      <c r="AC255" s="4" t="s">
        <v>62</v>
      </c>
      <c r="AD255" s="4" t="s">
        <v>62</v>
      </c>
      <c r="AE255" s="187" t="s">
        <v>62</v>
      </c>
      <c r="AF255" s="176" t="s">
        <v>62</v>
      </c>
      <c r="AG255" s="2"/>
      <c r="AH255" s="2"/>
    </row>
    <row r="256" spans="2:34" hidden="1">
      <c r="B256" s="139">
        <v>26</v>
      </c>
      <c r="C256" s="88" t="str">
        <f>LEFT(EmpGName26)&amp;" " &amp;EmpSName26</f>
        <v xml:space="preserve"> </v>
      </c>
      <c r="D256" s="3" t="s">
        <v>62</v>
      </c>
      <c r="E256" s="3" t="s">
        <v>62</v>
      </c>
      <c r="F256" s="3" t="s">
        <v>62</v>
      </c>
      <c r="G256" s="3" t="s">
        <v>62</v>
      </c>
      <c r="H256" s="3" t="s">
        <v>62</v>
      </c>
      <c r="I256" s="3" t="s">
        <v>62</v>
      </c>
      <c r="J256" s="3" t="s">
        <v>62</v>
      </c>
      <c r="K256" s="3" t="s">
        <v>62</v>
      </c>
      <c r="L256" s="3" t="s">
        <v>62</v>
      </c>
      <c r="M256" s="3" t="s">
        <v>62</v>
      </c>
      <c r="N256" s="3" t="s">
        <v>62</v>
      </c>
      <c r="O256" s="3" t="s">
        <v>62</v>
      </c>
      <c r="P256" s="3" t="s">
        <v>62</v>
      </c>
      <c r="Q256" s="3" t="s">
        <v>62</v>
      </c>
      <c r="R256" s="3" t="s">
        <v>62</v>
      </c>
      <c r="S256" s="3" t="s">
        <v>62</v>
      </c>
      <c r="T256" s="3" t="s">
        <v>62</v>
      </c>
      <c r="U256" s="3" t="s">
        <v>62</v>
      </c>
      <c r="V256" s="3" t="s">
        <v>62</v>
      </c>
      <c r="W256" s="3" t="s">
        <v>62</v>
      </c>
      <c r="X256" s="3" t="s">
        <v>62</v>
      </c>
      <c r="Y256" s="3" t="s">
        <v>62</v>
      </c>
      <c r="Z256" s="3" t="s">
        <v>62</v>
      </c>
      <c r="AA256" s="3" t="s">
        <v>62</v>
      </c>
      <c r="AB256" s="3" t="s">
        <v>62</v>
      </c>
      <c r="AC256" s="3" t="s">
        <v>62</v>
      </c>
      <c r="AD256" s="3" t="s">
        <v>62</v>
      </c>
      <c r="AE256" s="188" t="s">
        <v>62</v>
      </c>
      <c r="AF256" s="177" t="s">
        <v>62</v>
      </c>
      <c r="AG256" s="2"/>
      <c r="AH256" s="2"/>
    </row>
    <row r="257" spans="2:34" hidden="1">
      <c r="B257" s="139">
        <v>27</v>
      </c>
      <c r="C257" s="87" t="str">
        <f>LEFT(EmpGName27)&amp;" " &amp;EmpSName27</f>
        <v xml:space="preserve"> </v>
      </c>
      <c r="D257" s="4" t="s">
        <v>62</v>
      </c>
      <c r="E257" s="4" t="s">
        <v>62</v>
      </c>
      <c r="F257" s="4" t="s">
        <v>62</v>
      </c>
      <c r="G257" s="4" t="s">
        <v>62</v>
      </c>
      <c r="H257" s="4" t="s">
        <v>62</v>
      </c>
      <c r="I257" s="4" t="s">
        <v>62</v>
      </c>
      <c r="J257" s="4" t="s">
        <v>62</v>
      </c>
      <c r="K257" s="4" t="s">
        <v>62</v>
      </c>
      <c r="L257" s="4" t="s">
        <v>62</v>
      </c>
      <c r="M257" s="4" t="s">
        <v>62</v>
      </c>
      <c r="N257" s="4" t="s">
        <v>62</v>
      </c>
      <c r="O257" s="4" t="s">
        <v>62</v>
      </c>
      <c r="P257" s="4" t="s">
        <v>62</v>
      </c>
      <c r="Q257" s="4" t="s">
        <v>62</v>
      </c>
      <c r="R257" s="4" t="s">
        <v>62</v>
      </c>
      <c r="S257" s="4" t="s">
        <v>62</v>
      </c>
      <c r="T257" s="4" t="s">
        <v>62</v>
      </c>
      <c r="U257" s="4" t="s">
        <v>62</v>
      </c>
      <c r="V257" s="4" t="s">
        <v>62</v>
      </c>
      <c r="W257" s="4" t="s">
        <v>62</v>
      </c>
      <c r="X257" s="4" t="s">
        <v>62</v>
      </c>
      <c r="Y257" s="4" t="s">
        <v>62</v>
      </c>
      <c r="Z257" s="4" t="s">
        <v>62</v>
      </c>
      <c r="AA257" s="4" t="s">
        <v>62</v>
      </c>
      <c r="AB257" s="4" t="s">
        <v>62</v>
      </c>
      <c r="AC257" s="4" t="s">
        <v>62</v>
      </c>
      <c r="AD257" s="4" t="s">
        <v>62</v>
      </c>
      <c r="AE257" s="187" t="s">
        <v>62</v>
      </c>
      <c r="AF257" s="176" t="s">
        <v>62</v>
      </c>
      <c r="AG257" s="2"/>
      <c r="AH257" s="2"/>
    </row>
    <row r="258" spans="2:34" hidden="1">
      <c r="B258" s="139">
        <v>28</v>
      </c>
      <c r="C258" s="88" t="str">
        <f>LEFT(EmpGName28)&amp;" " &amp;EmpSName28</f>
        <v xml:space="preserve"> </v>
      </c>
      <c r="D258" s="3" t="s">
        <v>62</v>
      </c>
      <c r="E258" s="3" t="s">
        <v>62</v>
      </c>
      <c r="F258" s="3" t="s">
        <v>62</v>
      </c>
      <c r="G258" s="3" t="s">
        <v>62</v>
      </c>
      <c r="H258" s="3" t="s">
        <v>62</v>
      </c>
      <c r="I258" s="3" t="s">
        <v>62</v>
      </c>
      <c r="J258" s="3" t="s">
        <v>62</v>
      </c>
      <c r="K258" s="3" t="s">
        <v>62</v>
      </c>
      <c r="L258" s="3" t="s">
        <v>62</v>
      </c>
      <c r="M258" s="3" t="s">
        <v>62</v>
      </c>
      <c r="N258" s="3" t="s">
        <v>62</v>
      </c>
      <c r="O258" s="3" t="s">
        <v>62</v>
      </c>
      <c r="P258" s="3" t="s">
        <v>62</v>
      </c>
      <c r="Q258" s="3" t="s">
        <v>62</v>
      </c>
      <c r="R258" s="3" t="s">
        <v>62</v>
      </c>
      <c r="S258" s="3" t="s">
        <v>62</v>
      </c>
      <c r="T258" s="3" t="s">
        <v>62</v>
      </c>
      <c r="U258" s="3" t="s">
        <v>62</v>
      </c>
      <c r="V258" s="3" t="s">
        <v>62</v>
      </c>
      <c r="W258" s="3" t="s">
        <v>62</v>
      </c>
      <c r="X258" s="3" t="s">
        <v>62</v>
      </c>
      <c r="Y258" s="3" t="s">
        <v>62</v>
      </c>
      <c r="Z258" s="3" t="s">
        <v>62</v>
      </c>
      <c r="AA258" s="3" t="s">
        <v>62</v>
      </c>
      <c r="AB258" s="3" t="s">
        <v>62</v>
      </c>
      <c r="AC258" s="3" t="s">
        <v>62</v>
      </c>
      <c r="AD258" s="3" t="s">
        <v>62</v>
      </c>
      <c r="AE258" s="188" t="s">
        <v>62</v>
      </c>
      <c r="AF258" s="177" t="s">
        <v>62</v>
      </c>
      <c r="AG258" s="7"/>
      <c r="AH258" s="7"/>
    </row>
    <row r="259" spans="2:34">
      <c r="B259" s="165"/>
      <c r="C259" s="166"/>
      <c r="D259" s="222"/>
      <c r="E259" s="222"/>
      <c r="F259" s="222"/>
      <c r="G259" s="222"/>
      <c r="H259" s="222"/>
      <c r="I259" s="222"/>
      <c r="J259" s="222"/>
      <c r="K259" s="222"/>
      <c r="L259" s="222"/>
      <c r="M259" s="222"/>
      <c r="N259" s="222"/>
      <c r="O259" s="222"/>
      <c r="P259" s="222"/>
      <c r="Q259" s="222"/>
      <c r="R259" s="222"/>
      <c r="S259" s="222"/>
      <c r="T259" s="222"/>
      <c r="U259" s="222"/>
      <c r="V259" s="222"/>
      <c r="W259" s="222"/>
      <c r="X259" s="222"/>
      <c r="Y259" s="222"/>
      <c r="Z259" s="222"/>
      <c r="AA259" s="222"/>
      <c r="AB259" s="222"/>
      <c r="AC259" s="222"/>
      <c r="AD259" s="222"/>
      <c r="AE259" s="222"/>
      <c r="AF259" s="222"/>
      <c r="AG259" s="7"/>
      <c r="AH259" s="7"/>
    </row>
    <row r="260" spans="2:34">
      <c r="C260" s="190" t="str">
        <f>CurYear</f>
        <v>2020</v>
      </c>
      <c r="D260" s="5" t="str">
        <f t="shared" ref="D260:AH260" si="8">LEFT(TEXT(D261&amp;"-"&amp;$C$261&amp;"-"&amp;CurYear,"ddd"),2)</f>
        <v>Su</v>
      </c>
      <c r="E260" s="5" t="str">
        <f t="shared" si="8"/>
        <v>Mo</v>
      </c>
      <c r="F260" s="5" t="str">
        <f t="shared" si="8"/>
        <v>Tu</v>
      </c>
      <c r="G260" s="5" t="str">
        <f t="shared" si="8"/>
        <v>We</v>
      </c>
      <c r="H260" s="5" t="str">
        <f t="shared" si="8"/>
        <v>Th</v>
      </c>
      <c r="I260" s="5" t="str">
        <f t="shared" si="8"/>
        <v>Fr</v>
      </c>
      <c r="J260" s="5" t="str">
        <f t="shared" si="8"/>
        <v>Sa</v>
      </c>
      <c r="K260" s="5" t="str">
        <f t="shared" si="8"/>
        <v>Su</v>
      </c>
      <c r="L260" s="5" t="str">
        <f t="shared" si="8"/>
        <v>Mo</v>
      </c>
      <c r="M260" s="5" t="str">
        <f t="shared" si="8"/>
        <v>Tu</v>
      </c>
      <c r="N260" s="5" t="str">
        <f t="shared" si="8"/>
        <v>We</v>
      </c>
      <c r="O260" s="5" t="str">
        <f t="shared" si="8"/>
        <v>Th</v>
      </c>
      <c r="P260" s="5" t="str">
        <f t="shared" si="8"/>
        <v>Fr</v>
      </c>
      <c r="Q260" s="5" t="str">
        <f t="shared" si="8"/>
        <v>Sa</v>
      </c>
      <c r="R260" s="5" t="str">
        <f t="shared" si="8"/>
        <v>Su</v>
      </c>
      <c r="S260" s="5" t="str">
        <f t="shared" si="8"/>
        <v>Mo</v>
      </c>
      <c r="T260" s="5" t="str">
        <f t="shared" si="8"/>
        <v>Tu</v>
      </c>
      <c r="U260" s="5" t="str">
        <f t="shared" si="8"/>
        <v>We</v>
      </c>
      <c r="V260" s="5" t="str">
        <f t="shared" si="8"/>
        <v>Th</v>
      </c>
      <c r="W260" s="5" t="str">
        <f t="shared" si="8"/>
        <v>Fr</v>
      </c>
      <c r="X260" s="5" t="str">
        <f t="shared" si="8"/>
        <v>Sa</v>
      </c>
      <c r="Y260" s="5" t="str">
        <f t="shared" si="8"/>
        <v>Su</v>
      </c>
      <c r="Z260" s="5" t="str">
        <f t="shared" si="8"/>
        <v>Mo</v>
      </c>
      <c r="AA260" s="5" t="str">
        <f t="shared" si="8"/>
        <v>Tu</v>
      </c>
      <c r="AB260" s="5" t="str">
        <f t="shared" si="8"/>
        <v>We</v>
      </c>
      <c r="AC260" s="5" t="str">
        <f t="shared" si="8"/>
        <v>Th</v>
      </c>
      <c r="AD260" s="5" t="str">
        <f t="shared" si="8"/>
        <v>Fr</v>
      </c>
      <c r="AE260" s="5" t="str">
        <f t="shared" si="8"/>
        <v>Sa</v>
      </c>
      <c r="AF260" s="5" t="str">
        <f t="shared" si="8"/>
        <v>Su</v>
      </c>
      <c r="AG260" s="5" t="str">
        <f t="shared" si="8"/>
        <v>Mo</v>
      </c>
      <c r="AH260" s="5" t="str">
        <f t="shared" si="8"/>
        <v>Tu</v>
      </c>
    </row>
    <row r="261" spans="2:34">
      <c r="B261" s="86"/>
      <c r="C261" s="191" t="s">
        <v>14</v>
      </c>
      <c r="D261" s="193">
        <v>1</v>
      </c>
      <c r="E261" s="193">
        <v>2</v>
      </c>
      <c r="F261" s="193">
        <v>3</v>
      </c>
      <c r="G261" s="193">
        <v>4</v>
      </c>
      <c r="H261" s="193">
        <v>5</v>
      </c>
      <c r="I261" s="193">
        <v>6</v>
      </c>
      <c r="J261" s="193">
        <v>7</v>
      </c>
      <c r="K261" s="193">
        <v>8</v>
      </c>
      <c r="L261" s="193">
        <v>9</v>
      </c>
      <c r="M261" s="193">
        <v>10</v>
      </c>
      <c r="N261" s="192">
        <v>11</v>
      </c>
      <c r="O261" s="197">
        <v>12</v>
      </c>
      <c r="P261" s="193">
        <v>13</v>
      </c>
      <c r="Q261" s="193">
        <v>14</v>
      </c>
      <c r="R261" s="193">
        <v>15</v>
      </c>
      <c r="S261" s="193">
        <v>16</v>
      </c>
      <c r="T261" s="193">
        <v>17</v>
      </c>
      <c r="U261" s="193">
        <v>18</v>
      </c>
      <c r="V261" s="193">
        <v>19</v>
      </c>
      <c r="W261" s="193">
        <v>20</v>
      </c>
      <c r="X261" s="193">
        <v>21</v>
      </c>
      <c r="Y261" s="193">
        <v>22</v>
      </c>
      <c r="Z261" s="193">
        <v>23</v>
      </c>
      <c r="AA261" s="193">
        <v>24</v>
      </c>
      <c r="AB261" s="192">
        <v>25</v>
      </c>
      <c r="AC261" s="193">
        <v>26</v>
      </c>
      <c r="AD261" s="193">
        <v>27</v>
      </c>
      <c r="AE261" s="193">
        <v>28</v>
      </c>
      <c r="AF261" s="193">
        <v>29</v>
      </c>
      <c r="AG261" s="197">
        <v>30</v>
      </c>
      <c r="AH261" s="197">
        <v>31</v>
      </c>
    </row>
    <row r="262" spans="2:34">
      <c r="B262" s="82">
        <v>1</v>
      </c>
      <c r="C262" s="87" t="str">
        <f>LEFT(EmpGName01)&amp;" " &amp; EmpSName01</f>
        <v>L Marampon</v>
      </c>
      <c r="D262" s="4" t="s">
        <v>62</v>
      </c>
      <c r="E262" s="4" t="s">
        <v>62</v>
      </c>
      <c r="F262" s="81" t="s">
        <v>62</v>
      </c>
      <c r="G262" s="4" t="s">
        <v>62</v>
      </c>
      <c r="H262" s="4" t="s">
        <v>62</v>
      </c>
      <c r="I262" s="4" t="s">
        <v>62</v>
      </c>
      <c r="J262" s="4" t="s">
        <v>62</v>
      </c>
      <c r="K262" s="4" t="s">
        <v>62</v>
      </c>
      <c r="L262" s="4" t="s">
        <v>62</v>
      </c>
      <c r="M262" s="4" t="s">
        <v>62</v>
      </c>
      <c r="N262" s="4" t="s">
        <v>62</v>
      </c>
      <c r="O262" s="4" t="s">
        <v>62</v>
      </c>
      <c r="P262" s="4" t="s">
        <v>62</v>
      </c>
      <c r="Q262" s="4" t="s">
        <v>62</v>
      </c>
      <c r="R262" s="4" t="s">
        <v>62</v>
      </c>
      <c r="S262" s="4" t="s">
        <v>62</v>
      </c>
      <c r="T262" s="4" t="s">
        <v>62</v>
      </c>
      <c r="U262" s="4" t="s">
        <v>62</v>
      </c>
      <c r="V262" s="4" t="s">
        <v>62</v>
      </c>
      <c r="W262" s="4" t="s">
        <v>62</v>
      </c>
      <c r="X262" s="4" t="s">
        <v>62</v>
      </c>
      <c r="Y262" s="4" t="s">
        <v>62</v>
      </c>
      <c r="Z262" s="4" t="s">
        <v>62</v>
      </c>
      <c r="AA262" s="4" t="s">
        <v>62</v>
      </c>
      <c r="AB262" s="4" t="s">
        <v>62</v>
      </c>
      <c r="AC262" s="4" t="s">
        <v>62</v>
      </c>
      <c r="AD262" s="4" t="s">
        <v>62</v>
      </c>
      <c r="AE262" s="4" t="s">
        <v>62</v>
      </c>
      <c r="AF262" s="4" t="s">
        <v>62</v>
      </c>
      <c r="AG262" s="4" t="s">
        <v>62</v>
      </c>
      <c r="AH262" s="4" t="s">
        <v>62</v>
      </c>
    </row>
    <row r="263" spans="2:34">
      <c r="B263" s="82">
        <v>2</v>
      </c>
      <c r="C263" s="88" t="str">
        <f>LEFT(EmpGName02)&amp;" " &amp;EmpSName02</f>
        <v>K Stone</v>
      </c>
      <c r="D263" s="3" t="s">
        <v>62</v>
      </c>
      <c r="E263" s="3" t="s">
        <v>62</v>
      </c>
      <c r="F263" s="3" t="s">
        <v>62</v>
      </c>
      <c r="G263" s="3" t="s">
        <v>62</v>
      </c>
      <c r="H263" s="3" t="s">
        <v>62</v>
      </c>
      <c r="I263" s="3" t="s">
        <v>62</v>
      </c>
      <c r="J263" s="3" t="s">
        <v>62</v>
      </c>
      <c r="K263" s="3" t="s">
        <v>62</v>
      </c>
      <c r="L263" s="3" t="s">
        <v>62</v>
      </c>
      <c r="M263" s="3" t="s">
        <v>62</v>
      </c>
      <c r="N263" s="3" t="s">
        <v>62</v>
      </c>
      <c r="O263" s="3" t="s">
        <v>62</v>
      </c>
      <c r="P263" s="3" t="s">
        <v>62</v>
      </c>
      <c r="Q263" s="3" t="s">
        <v>62</v>
      </c>
      <c r="R263" s="3" t="s">
        <v>62</v>
      </c>
      <c r="S263" s="3" t="s">
        <v>62</v>
      </c>
      <c r="T263" s="3" t="s">
        <v>62</v>
      </c>
      <c r="U263" s="3" t="s">
        <v>62</v>
      </c>
      <c r="V263" s="3" t="s">
        <v>62</v>
      </c>
      <c r="W263" s="3" t="s">
        <v>62</v>
      </c>
      <c r="X263" s="3" t="s">
        <v>62</v>
      </c>
      <c r="Y263" s="3" t="s">
        <v>62</v>
      </c>
      <c r="Z263" s="3" t="s">
        <v>62</v>
      </c>
      <c r="AA263" s="3" t="s">
        <v>62</v>
      </c>
      <c r="AB263" s="3" t="s">
        <v>62</v>
      </c>
      <c r="AC263" s="3" t="s">
        <v>62</v>
      </c>
      <c r="AD263" s="3" t="s">
        <v>62</v>
      </c>
      <c r="AE263" s="3" t="s">
        <v>62</v>
      </c>
      <c r="AF263" s="3" t="s">
        <v>62</v>
      </c>
      <c r="AG263" s="3" t="s">
        <v>62</v>
      </c>
      <c r="AH263" s="3" t="s">
        <v>62</v>
      </c>
    </row>
    <row r="264" spans="2:34">
      <c r="B264" s="82">
        <v>3</v>
      </c>
      <c r="C264" s="87" t="str">
        <f>LEFT(EmpGName03)&amp;" " &amp;EmpSName03</f>
        <v>I Thelning</v>
      </c>
      <c r="D264" s="4" t="s">
        <v>62</v>
      </c>
      <c r="E264" s="4" t="s">
        <v>62</v>
      </c>
      <c r="F264" s="4" t="s">
        <v>62</v>
      </c>
      <c r="G264" s="4" t="s">
        <v>62</v>
      </c>
      <c r="H264" s="4" t="s">
        <v>62</v>
      </c>
      <c r="I264" s="4" t="s">
        <v>62</v>
      </c>
      <c r="J264" s="4" t="s">
        <v>62</v>
      </c>
      <c r="K264" s="4" t="s">
        <v>62</v>
      </c>
      <c r="L264" s="4" t="s">
        <v>62</v>
      </c>
      <c r="M264" s="4" t="s">
        <v>62</v>
      </c>
      <c r="N264" s="4" t="s">
        <v>62</v>
      </c>
      <c r="O264" s="4" t="s">
        <v>62</v>
      </c>
      <c r="P264" s="4" t="s">
        <v>62</v>
      </c>
      <c r="Q264" s="4" t="s">
        <v>62</v>
      </c>
      <c r="R264" s="4" t="s">
        <v>62</v>
      </c>
      <c r="S264" s="4" t="s">
        <v>62</v>
      </c>
      <c r="T264" s="4" t="s">
        <v>62</v>
      </c>
      <c r="U264" s="4" t="s">
        <v>62</v>
      </c>
      <c r="V264" s="4" t="s">
        <v>62</v>
      </c>
      <c r="W264" s="4" t="s">
        <v>62</v>
      </c>
      <c r="X264" s="4" t="s">
        <v>62</v>
      </c>
      <c r="Y264" s="4" t="s">
        <v>62</v>
      </c>
      <c r="Z264" s="4" t="s">
        <v>62</v>
      </c>
      <c r="AA264" s="4" t="s">
        <v>62</v>
      </c>
      <c r="AB264" s="4" t="s">
        <v>62</v>
      </c>
      <c r="AC264" s="4" t="s">
        <v>62</v>
      </c>
      <c r="AD264" s="4" t="s">
        <v>62</v>
      </c>
      <c r="AE264" s="4" t="s">
        <v>62</v>
      </c>
      <c r="AF264" s="4" t="s">
        <v>62</v>
      </c>
      <c r="AG264" s="4" t="s">
        <v>62</v>
      </c>
      <c r="AH264" s="4" t="s">
        <v>62</v>
      </c>
    </row>
    <row r="265" spans="2:34">
      <c r="B265" s="82">
        <v>4</v>
      </c>
      <c r="C265" s="88" t="str">
        <f>LEFT(EmpGName04)&amp;" " &amp;EmpSName04</f>
        <v>L King</v>
      </c>
      <c r="D265" s="3" t="s">
        <v>62</v>
      </c>
      <c r="E265" s="3" t="s">
        <v>62</v>
      </c>
      <c r="F265" s="3" t="s">
        <v>62</v>
      </c>
      <c r="G265" s="3" t="s">
        <v>62</v>
      </c>
      <c r="H265" s="3" t="s">
        <v>62</v>
      </c>
      <c r="I265" s="3" t="s">
        <v>62</v>
      </c>
      <c r="J265" s="3" t="s">
        <v>62</v>
      </c>
      <c r="K265" s="3" t="s">
        <v>62</v>
      </c>
      <c r="L265" s="3" t="s">
        <v>62</v>
      </c>
      <c r="M265" s="3" t="s">
        <v>62</v>
      </c>
      <c r="N265" s="3" t="s">
        <v>62</v>
      </c>
      <c r="O265" s="3" t="s">
        <v>62</v>
      </c>
      <c r="P265" s="3" t="s">
        <v>62</v>
      </c>
      <c r="Q265" s="3" t="s">
        <v>62</v>
      </c>
      <c r="R265" s="3" t="s">
        <v>62</v>
      </c>
      <c r="S265" s="3" t="s">
        <v>62</v>
      </c>
      <c r="T265" s="3" t="s">
        <v>62</v>
      </c>
      <c r="U265" s="3" t="s">
        <v>62</v>
      </c>
      <c r="V265" s="3" t="s">
        <v>62</v>
      </c>
      <c r="W265" s="3" t="s">
        <v>62</v>
      </c>
      <c r="X265" s="3" t="s">
        <v>62</v>
      </c>
      <c r="Y265" s="3" t="s">
        <v>62</v>
      </c>
      <c r="Z265" s="3" t="s">
        <v>62</v>
      </c>
      <c r="AA265" s="3" t="s">
        <v>62</v>
      </c>
      <c r="AB265" s="3" t="s">
        <v>62</v>
      </c>
      <c r="AC265" s="3" t="s">
        <v>62</v>
      </c>
      <c r="AD265" s="3" t="s">
        <v>62</v>
      </c>
      <c r="AE265" s="3" t="s">
        <v>62</v>
      </c>
      <c r="AF265" s="3" t="s">
        <v>62</v>
      </c>
      <c r="AG265" s="3" t="s">
        <v>62</v>
      </c>
      <c r="AH265" s="3" t="s">
        <v>62</v>
      </c>
    </row>
    <row r="266" spans="2:34">
      <c r="B266" s="82">
        <v>5</v>
      </c>
      <c r="C266" s="87" t="str">
        <f>LEFT(EmpGName05)&amp;" " &amp;EmpSName05</f>
        <v>D Castle</v>
      </c>
      <c r="D266" s="4" t="s">
        <v>62</v>
      </c>
      <c r="E266" s="4" t="s">
        <v>62</v>
      </c>
      <c r="F266" s="4" t="s">
        <v>62</v>
      </c>
      <c r="G266" s="4" t="s">
        <v>62</v>
      </c>
      <c r="H266" s="4" t="s">
        <v>62</v>
      </c>
      <c r="I266" s="4" t="s">
        <v>62</v>
      </c>
      <c r="J266" s="4" t="s">
        <v>62</v>
      </c>
      <c r="K266" s="4" t="s">
        <v>62</v>
      </c>
      <c r="L266" s="4" t="s">
        <v>62</v>
      </c>
      <c r="M266" s="4" t="s">
        <v>62</v>
      </c>
      <c r="N266" s="4" t="s">
        <v>62</v>
      </c>
      <c r="O266" s="4" t="s">
        <v>62</v>
      </c>
      <c r="P266" s="4" t="s">
        <v>62</v>
      </c>
      <c r="Q266" s="4" t="s">
        <v>62</v>
      </c>
      <c r="R266" s="4" t="s">
        <v>62</v>
      </c>
      <c r="S266" s="4" t="s">
        <v>62</v>
      </c>
      <c r="T266" s="4" t="s">
        <v>62</v>
      </c>
      <c r="U266" s="4" t="s">
        <v>62</v>
      </c>
      <c r="V266" s="4" t="s">
        <v>62</v>
      </c>
      <c r="W266" s="4" t="s">
        <v>62</v>
      </c>
      <c r="X266" s="4" t="s">
        <v>62</v>
      </c>
      <c r="Y266" s="4" t="s">
        <v>62</v>
      </c>
      <c r="Z266" s="4" t="s">
        <v>62</v>
      </c>
      <c r="AA266" s="4" t="s">
        <v>62</v>
      </c>
      <c r="AB266" s="4" t="s">
        <v>62</v>
      </c>
      <c r="AC266" s="4" t="s">
        <v>62</v>
      </c>
      <c r="AD266" s="4" t="s">
        <v>62</v>
      </c>
      <c r="AE266" s="4" t="s">
        <v>62</v>
      </c>
      <c r="AF266" s="4" t="s">
        <v>62</v>
      </c>
      <c r="AG266" s="4" t="s">
        <v>62</v>
      </c>
      <c r="AH266" s="4" t="s">
        <v>62</v>
      </c>
    </row>
    <row r="267" spans="2:34">
      <c r="B267" s="82">
        <v>6</v>
      </c>
      <c r="C267" s="88" t="str">
        <f>LEFT(EmpGName06)&amp;" " &amp;EmpSName06</f>
        <v>R Fielding</v>
      </c>
      <c r="D267" s="3" t="s">
        <v>62</v>
      </c>
      <c r="E267" s="3" t="s">
        <v>62</v>
      </c>
      <c r="F267" s="3" t="s">
        <v>62</v>
      </c>
      <c r="G267" s="3" t="s">
        <v>62</v>
      </c>
      <c r="H267" s="3" t="s">
        <v>62</v>
      </c>
      <c r="I267" s="3" t="s">
        <v>62</v>
      </c>
      <c r="J267" s="3" t="s">
        <v>62</v>
      </c>
      <c r="K267" s="3" t="s">
        <v>62</v>
      </c>
      <c r="L267" s="3" t="s">
        <v>62</v>
      </c>
      <c r="M267" s="3" t="s">
        <v>62</v>
      </c>
      <c r="N267" s="3" t="s">
        <v>62</v>
      </c>
      <c r="O267" s="3" t="s">
        <v>62</v>
      </c>
      <c r="P267" s="3" t="s">
        <v>62</v>
      </c>
      <c r="Q267" s="3" t="s">
        <v>62</v>
      </c>
      <c r="R267" s="3" t="s">
        <v>62</v>
      </c>
      <c r="S267" s="3" t="s">
        <v>62</v>
      </c>
      <c r="T267" s="3" t="s">
        <v>62</v>
      </c>
      <c r="U267" s="3" t="s">
        <v>62</v>
      </c>
      <c r="V267" s="3" t="s">
        <v>62</v>
      </c>
      <c r="W267" s="3" t="s">
        <v>62</v>
      </c>
      <c r="X267" s="3" t="s">
        <v>62</v>
      </c>
      <c r="Y267" s="3" t="s">
        <v>62</v>
      </c>
      <c r="Z267" s="3" t="s">
        <v>62</v>
      </c>
      <c r="AA267" s="3" t="s">
        <v>62</v>
      </c>
      <c r="AB267" s="3" t="s">
        <v>62</v>
      </c>
      <c r="AC267" s="3" t="s">
        <v>62</v>
      </c>
      <c r="AD267" s="3" t="s">
        <v>62</v>
      </c>
      <c r="AE267" s="3" t="s">
        <v>62</v>
      </c>
      <c r="AF267" s="3" t="s">
        <v>62</v>
      </c>
      <c r="AG267" s="3" t="s">
        <v>62</v>
      </c>
      <c r="AH267" s="3" t="s">
        <v>62</v>
      </c>
    </row>
    <row r="268" spans="2:34">
      <c r="B268" s="82">
        <v>7</v>
      </c>
      <c r="C268" s="87" t="str">
        <f>LEFT(EmpGName07)&amp;" " &amp;EmpSName07</f>
        <v>T Sorensen</v>
      </c>
      <c r="D268" s="4" t="s">
        <v>62</v>
      </c>
      <c r="E268" s="4" t="s">
        <v>62</v>
      </c>
      <c r="F268" s="4" t="s">
        <v>62</v>
      </c>
      <c r="G268" s="4" t="s">
        <v>62</v>
      </c>
      <c r="H268" s="4" t="s">
        <v>62</v>
      </c>
      <c r="I268" s="4" t="s">
        <v>62</v>
      </c>
      <c r="J268" s="4" t="s">
        <v>62</v>
      </c>
      <c r="K268" s="4" t="s">
        <v>62</v>
      </c>
      <c r="L268" s="4" t="s">
        <v>62</v>
      </c>
      <c r="M268" s="4" t="s">
        <v>62</v>
      </c>
      <c r="N268" s="4" t="s">
        <v>62</v>
      </c>
      <c r="O268" s="4" t="s">
        <v>62</v>
      </c>
      <c r="P268" s="4" t="s">
        <v>62</v>
      </c>
      <c r="Q268" s="4" t="s">
        <v>62</v>
      </c>
      <c r="R268" s="4" t="s">
        <v>62</v>
      </c>
      <c r="S268" s="4" t="s">
        <v>62</v>
      </c>
      <c r="T268" s="4" t="s">
        <v>62</v>
      </c>
      <c r="U268" s="4" t="s">
        <v>62</v>
      </c>
      <c r="V268" s="4" t="s">
        <v>62</v>
      </c>
      <c r="W268" s="4" t="s">
        <v>62</v>
      </c>
      <c r="X268" s="4" t="s">
        <v>62</v>
      </c>
      <c r="Y268" s="4" t="s">
        <v>62</v>
      </c>
      <c r="Z268" s="4" t="s">
        <v>62</v>
      </c>
      <c r="AA268" s="4" t="s">
        <v>62</v>
      </c>
      <c r="AB268" s="4" t="s">
        <v>62</v>
      </c>
      <c r="AC268" s="4" t="s">
        <v>62</v>
      </c>
      <c r="AD268" s="4" t="s">
        <v>62</v>
      </c>
      <c r="AE268" s="4" t="s">
        <v>62</v>
      </c>
      <c r="AF268" s="4" t="s">
        <v>62</v>
      </c>
      <c r="AG268" s="4" t="s">
        <v>62</v>
      </c>
      <c r="AH268" s="4" t="s">
        <v>62</v>
      </c>
    </row>
    <row r="269" spans="2:34">
      <c r="B269" s="82">
        <v>8</v>
      </c>
      <c r="C269" s="88" t="str">
        <f>LEFT(EmpGName08)&amp;" " &amp;EmpSName08</f>
        <v>C Horse</v>
      </c>
      <c r="D269" s="3" t="s">
        <v>62</v>
      </c>
      <c r="E269" s="3" t="s">
        <v>62</v>
      </c>
      <c r="F269" s="3" t="s">
        <v>62</v>
      </c>
      <c r="G269" s="3" t="s">
        <v>62</v>
      </c>
      <c r="H269" s="3" t="s">
        <v>62</v>
      </c>
      <c r="I269" s="3" t="s">
        <v>62</v>
      </c>
      <c r="J269" s="3" t="s">
        <v>62</v>
      </c>
      <c r="K269" s="3" t="s">
        <v>62</v>
      </c>
      <c r="L269" s="3" t="s">
        <v>62</v>
      </c>
      <c r="M269" s="3" t="s">
        <v>62</v>
      </c>
      <c r="N269" s="3" t="s">
        <v>62</v>
      </c>
      <c r="O269" s="3" t="s">
        <v>62</v>
      </c>
      <c r="P269" s="3" t="s">
        <v>62</v>
      </c>
      <c r="Q269" s="3" t="s">
        <v>62</v>
      </c>
      <c r="R269" s="3" t="s">
        <v>62</v>
      </c>
      <c r="S269" s="3" t="s">
        <v>62</v>
      </c>
      <c r="T269" s="3" t="s">
        <v>62</v>
      </c>
      <c r="U269" s="3" t="s">
        <v>62</v>
      </c>
      <c r="V269" s="3" t="s">
        <v>62</v>
      </c>
      <c r="W269" s="3" t="s">
        <v>62</v>
      </c>
      <c r="X269" s="3" t="s">
        <v>62</v>
      </c>
      <c r="Y269" s="3" t="s">
        <v>62</v>
      </c>
      <c r="Z269" s="3" t="s">
        <v>62</v>
      </c>
      <c r="AA269" s="3" t="s">
        <v>62</v>
      </c>
      <c r="AB269" s="3" t="s">
        <v>62</v>
      </c>
      <c r="AC269" s="3" t="s">
        <v>62</v>
      </c>
      <c r="AD269" s="3" t="s">
        <v>62</v>
      </c>
      <c r="AE269" s="3" t="s">
        <v>62</v>
      </c>
      <c r="AF269" s="3" t="s">
        <v>62</v>
      </c>
      <c r="AG269" s="3" t="s">
        <v>62</v>
      </c>
      <c r="AH269" s="3" t="s">
        <v>62</v>
      </c>
    </row>
    <row r="270" spans="2:34">
      <c r="B270" s="82">
        <v>9</v>
      </c>
      <c r="C270" s="87" t="str">
        <f>LEFT(EmpGName09)&amp;" " &amp;EmpSName09</f>
        <v xml:space="preserve">E Horse </v>
      </c>
      <c r="D270" s="4" t="s">
        <v>62</v>
      </c>
      <c r="E270" s="4" t="s">
        <v>62</v>
      </c>
      <c r="F270" s="4" t="s">
        <v>62</v>
      </c>
      <c r="G270" s="4" t="s">
        <v>62</v>
      </c>
      <c r="H270" s="4" t="s">
        <v>62</v>
      </c>
      <c r="I270" s="4" t="s">
        <v>62</v>
      </c>
      <c r="J270" s="4" t="s">
        <v>62</v>
      </c>
      <c r="K270" s="4" t="s">
        <v>62</v>
      </c>
      <c r="L270" s="4" t="s">
        <v>62</v>
      </c>
      <c r="M270" s="4" t="s">
        <v>62</v>
      </c>
      <c r="N270" s="4" t="s">
        <v>62</v>
      </c>
      <c r="O270" s="4" t="s">
        <v>62</v>
      </c>
      <c r="P270" s="4" t="s">
        <v>62</v>
      </c>
      <c r="Q270" s="4" t="s">
        <v>62</v>
      </c>
      <c r="R270" s="4" t="s">
        <v>62</v>
      </c>
      <c r="S270" s="4" t="s">
        <v>62</v>
      </c>
      <c r="T270" s="4" t="s">
        <v>62</v>
      </c>
      <c r="U270" s="4" t="s">
        <v>62</v>
      </c>
      <c r="V270" s="4" t="s">
        <v>62</v>
      </c>
      <c r="W270" s="4" t="s">
        <v>62</v>
      </c>
      <c r="X270" s="4" t="s">
        <v>62</v>
      </c>
      <c r="Y270" s="4" t="s">
        <v>62</v>
      </c>
      <c r="Z270" s="4" t="s">
        <v>62</v>
      </c>
      <c r="AA270" s="4" t="s">
        <v>62</v>
      </c>
      <c r="AB270" s="4" t="s">
        <v>62</v>
      </c>
      <c r="AC270" s="4" t="s">
        <v>62</v>
      </c>
      <c r="AD270" s="4" t="s">
        <v>62</v>
      </c>
      <c r="AE270" s="4" t="s">
        <v>62</v>
      </c>
      <c r="AF270" s="4" t="s">
        <v>62</v>
      </c>
      <c r="AG270" s="4" t="s">
        <v>62</v>
      </c>
      <c r="AH270" s="4" t="s">
        <v>62</v>
      </c>
    </row>
    <row r="271" spans="2:34">
      <c r="B271" s="140">
        <v>10</v>
      </c>
      <c r="C271" s="89" t="str">
        <f>LEFT(EmpGName10)&amp;" " &amp;EmpSName10</f>
        <v>J Smeegal</v>
      </c>
      <c r="D271" s="68" t="s">
        <v>62</v>
      </c>
      <c r="E271" s="68" t="s">
        <v>62</v>
      </c>
      <c r="F271" s="68" t="s">
        <v>62</v>
      </c>
      <c r="G271" s="68" t="s">
        <v>62</v>
      </c>
      <c r="H271" s="68" t="s">
        <v>62</v>
      </c>
      <c r="I271" s="68" t="s">
        <v>62</v>
      </c>
      <c r="J271" s="68" t="s">
        <v>62</v>
      </c>
      <c r="K271" s="68" t="s">
        <v>62</v>
      </c>
      <c r="L271" s="68" t="s">
        <v>62</v>
      </c>
      <c r="M271" s="68" t="s">
        <v>62</v>
      </c>
      <c r="N271" s="68" t="s">
        <v>62</v>
      </c>
      <c r="O271" s="68" t="s">
        <v>62</v>
      </c>
      <c r="P271" s="68" t="s">
        <v>62</v>
      </c>
      <c r="Q271" s="68" t="s">
        <v>62</v>
      </c>
      <c r="R271" s="68" t="s">
        <v>62</v>
      </c>
      <c r="S271" s="68" t="s">
        <v>62</v>
      </c>
      <c r="T271" s="68" t="s">
        <v>62</v>
      </c>
      <c r="U271" s="68" t="s">
        <v>62</v>
      </c>
      <c r="V271" s="68" t="s">
        <v>62</v>
      </c>
      <c r="W271" s="68" t="s">
        <v>62</v>
      </c>
      <c r="X271" s="68" t="s">
        <v>62</v>
      </c>
      <c r="Y271" s="68" t="s">
        <v>62</v>
      </c>
      <c r="Z271" s="68" t="s">
        <v>62</v>
      </c>
      <c r="AA271" s="68" t="s">
        <v>62</v>
      </c>
      <c r="AB271" s="68" t="s">
        <v>62</v>
      </c>
      <c r="AC271" s="68" t="s">
        <v>62</v>
      </c>
      <c r="AD271" s="68" t="s">
        <v>62</v>
      </c>
      <c r="AE271" s="68" t="s">
        <v>62</v>
      </c>
      <c r="AF271" s="68" t="s">
        <v>62</v>
      </c>
      <c r="AG271" s="68" t="s">
        <v>62</v>
      </c>
      <c r="AH271" s="68" t="s">
        <v>62</v>
      </c>
    </row>
    <row r="272" spans="2:34">
      <c r="B272" s="140">
        <v>11</v>
      </c>
      <c r="C272" s="87" t="str">
        <f>LEFT(EmpGName11)&amp;" " &amp;EmpSName11</f>
        <v>E Smeegal</v>
      </c>
      <c r="D272" s="4" t="s">
        <v>62</v>
      </c>
      <c r="E272" s="4" t="s">
        <v>62</v>
      </c>
      <c r="F272" s="4" t="s">
        <v>62</v>
      </c>
      <c r="G272" s="4" t="s">
        <v>62</v>
      </c>
      <c r="H272" s="4" t="s">
        <v>62</v>
      </c>
      <c r="I272" s="4" t="s">
        <v>62</v>
      </c>
      <c r="J272" s="4" t="s">
        <v>62</v>
      </c>
      <c r="K272" s="4" t="s">
        <v>62</v>
      </c>
      <c r="L272" s="4" t="s">
        <v>62</v>
      </c>
      <c r="M272" s="4" t="s">
        <v>62</v>
      </c>
      <c r="N272" s="4" t="s">
        <v>62</v>
      </c>
      <c r="O272" s="4" t="s">
        <v>62</v>
      </c>
      <c r="P272" s="4" t="s">
        <v>62</v>
      </c>
      <c r="Q272" s="4" t="s">
        <v>62</v>
      </c>
      <c r="R272" s="4" t="s">
        <v>62</v>
      </c>
      <c r="S272" s="4" t="s">
        <v>62</v>
      </c>
      <c r="T272" s="4" t="s">
        <v>62</v>
      </c>
      <c r="U272" s="4" t="s">
        <v>62</v>
      </c>
      <c r="V272" s="4" t="s">
        <v>62</v>
      </c>
      <c r="W272" s="4" t="s">
        <v>62</v>
      </c>
      <c r="X272" s="4" t="s">
        <v>62</v>
      </c>
      <c r="Y272" s="4" t="s">
        <v>62</v>
      </c>
      <c r="Z272" s="4" t="s">
        <v>62</v>
      </c>
      <c r="AA272" s="4" t="s">
        <v>62</v>
      </c>
      <c r="AB272" s="4" t="s">
        <v>62</v>
      </c>
      <c r="AC272" s="4" t="s">
        <v>62</v>
      </c>
      <c r="AD272" s="4" t="s">
        <v>62</v>
      </c>
      <c r="AE272" s="4" t="s">
        <v>62</v>
      </c>
      <c r="AF272" s="4" t="s">
        <v>62</v>
      </c>
      <c r="AG272" s="4" t="s">
        <v>62</v>
      </c>
      <c r="AH272" s="4" t="s">
        <v>62</v>
      </c>
    </row>
    <row r="273" spans="2:34">
      <c r="B273" s="140">
        <v>12</v>
      </c>
      <c r="C273" s="89" t="str">
        <f>LEFT(EmpGName12)&amp;" " &amp;EmpSName12</f>
        <v>J James</v>
      </c>
      <c r="D273" s="68" t="s">
        <v>62</v>
      </c>
      <c r="E273" s="68" t="s">
        <v>62</v>
      </c>
      <c r="F273" s="68" t="s">
        <v>62</v>
      </c>
      <c r="G273" s="68" t="s">
        <v>62</v>
      </c>
      <c r="H273" s="68" t="s">
        <v>62</v>
      </c>
      <c r="I273" s="68" t="s">
        <v>62</v>
      </c>
      <c r="J273" s="68" t="s">
        <v>62</v>
      </c>
      <c r="K273" s="68" t="s">
        <v>62</v>
      </c>
      <c r="L273" s="68" t="s">
        <v>62</v>
      </c>
      <c r="M273" s="68" t="s">
        <v>62</v>
      </c>
      <c r="N273" s="68" t="s">
        <v>62</v>
      </c>
      <c r="O273" s="68" t="s">
        <v>62</v>
      </c>
      <c r="P273" s="68" t="s">
        <v>62</v>
      </c>
      <c r="Q273" s="68" t="s">
        <v>62</v>
      </c>
      <c r="R273" s="68" t="s">
        <v>62</v>
      </c>
      <c r="S273" s="68" t="s">
        <v>62</v>
      </c>
      <c r="T273" s="68" t="s">
        <v>62</v>
      </c>
      <c r="U273" s="68" t="s">
        <v>62</v>
      </c>
      <c r="V273" s="68" t="s">
        <v>62</v>
      </c>
      <c r="W273" s="68" t="s">
        <v>62</v>
      </c>
      <c r="X273" s="68" t="s">
        <v>62</v>
      </c>
      <c r="Y273" s="68" t="s">
        <v>62</v>
      </c>
      <c r="Z273" s="68" t="s">
        <v>62</v>
      </c>
      <c r="AA273" s="68" t="s">
        <v>62</v>
      </c>
      <c r="AB273" s="68" t="s">
        <v>62</v>
      </c>
      <c r="AC273" s="68" t="s">
        <v>62</v>
      </c>
      <c r="AD273" s="68" t="s">
        <v>62</v>
      </c>
      <c r="AE273" s="68" t="s">
        <v>62</v>
      </c>
      <c r="AF273" s="68" t="s">
        <v>62</v>
      </c>
      <c r="AG273" s="68" t="s">
        <v>62</v>
      </c>
      <c r="AH273" s="68" t="s">
        <v>62</v>
      </c>
    </row>
    <row r="274" spans="2:34">
      <c r="B274" s="139">
        <v>13</v>
      </c>
      <c r="C274" s="87" t="str">
        <f>LEFT(EmpGName13)&amp;" " &amp;EmpSName13</f>
        <v>J Jack</v>
      </c>
      <c r="D274" s="4" t="s">
        <v>62</v>
      </c>
      <c r="E274" s="4" t="s">
        <v>62</v>
      </c>
      <c r="F274" s="4" t="s">
        <v>62</v>
      </c>
      <c r="G274" s="4" t="s">
        <v>62</v>
      </c>
      <c r="H274" s="4" t="s">
        <v>62</v>
      </c>
      <c r="I274" s="4" t="s">
        <v>62</v>
      </c>
      <c r="J274" s="4" t="s">
        <v>62</v>
      </c>
      <c r="K274" s="4" t="s">
        <v>62</v>
      </c>
      <c r="L274" s="4" t="s">
        <v>62</v>
      </c>
      <c r="M274" s="4" t="s">
        <v>62</v>
      </c>
      <c r="N274" s="4" t="s">
        <v>62</v>
      </c>
      <c r="O274" s="4" t="s">
        <v>62</v>
      </c>
      <c r="P274" s="4" t="s">
        <v>62</v>
      </c>
      <c r="Q274" s="4" t="s">
        <v>62</v>
      </c>
      <c r="R274" s="4" t="s">
        <v>62</v>
      </c>
      <c r="S274" s="4" t="s">
        <v>62</v>
      </c>
      <c r="T274" s="4" t="s">
        <v>62</v>
      </c>
      <c r="U274" s="4" t="s">
        <v>62</v>
      </c>
      <c r="V274" s="4" t="s">
        <v>62</v>
      </c>
      <c r="W274" s="4" t="s">
        <v>62</v>
      </c>
      <c r="X274" s="4" t="s">
        <v>62</v>
      </c>
      <c r="Y274" s="4" t="s">
        <v>62</v>
      </c>
      <c r="Z274" s="4" t="s">
        <v>62</v>
      </c>
      <c r="AA274" s="4" t="s">
        <v>62</v>
      </c>
      <c r="AB274" s="4" t="s">
        <v>62</v>
      </c>
      <c r="AC274" s="4" t="s">
        <v>62</v>
      </c>
      <c r="AD274" s="4" t="s">
        <v>62</v>
      </c>
      <c r="AE274" s="4" t="s">
        <v>62</v>
      </c>
      <c r="AF274" s="4" t="s">
        <v>62</v>
      </c>
      <c r="AG274" s="4" t="s">
        <v>62</v>
      </c>
      <c r="AH274" s="4" t="s">
        <v>62</v>
      </c>
    </row>
    <row r="275" spans="2:34">
      <c r="B275" s="139">
        <v>14</v>
      </c>
      <c r="C275" s="88" t="str">
        <f>LEFT(EmpGName14)&amp;" " &amp;EmpSName14</f>
        <v xml:space="preserve">J Jacky </v>
      </c>
      <c r="D275" s="3" t="s">
        <v>62</v>
      </c>
      <c r="E275" s="3" t="s">
        <v>62</v>
      </c>
      <c r="F275" s="3" t="s">
        <v>62</v>
      </c>
      <c r="G275" s="3" t="s">
        <v>62</v>
      </c>
      <c r="H275" s="3" t="s">
        <v>62</v>
      </c>
      <c r="I275" s="3" t="s">
        <v>62</v>
      </c>
      <c r="J275" s="3" t="s">
        <v>62</v>
      </c>
      <c r="K275" s="3" t="s">
        <v>62</v>
      </c>
      <c r="L275" s="3" t="s">
        <v>62</v>
      </c>
      <c r="M275" s="3" t="s">
        <v>62</v>
      </c>
      <c r="N275" s="3" t="s">
        <v>62</v>
      </c>
      <c r="O275" s="3" t="s">
        <v>62</v>
      </c>
      <c r="P275" s="3" t="s">
        <v>62</v>
      </c>
      <c r="Q275" s="3" t="s">
        <v>62</v>
      </c>
      <c r="R275" s="3" t="s">
        <v>62</v>
      </c>
      <c r="S275" s="3" t="s">
        <v>62</v>
      </c>
      <c r="T275" s="3" t="s">
        <v>62</v>
      </c>
      <c r="U275" s="3" t="s">
        <v>62</v>
      </c>
      <c r="V275" s="3" t="s">
        <v>62</v>
      </c>
      <c r="W275" s="3" t="s">
        <v>62</v>
      </c>
      <c r="X275" s="3" t="s">
        <v>62</v>
      </c>
      <c r="Y275" s="3" t="s">
        <v>62</v>
      </c>
      <c r="Z275" s="3" t="s">
        <v>62</v>
      </c>
      <c r="AA275" s="3" t="s">
        <v>62</v>
      </c>
      <c r="AB275" s="3" t="s">
        <v>62</v>
      </c>
      <c r="AC275" s="3" t="s">
        <v>62</v>
      </c>
      <c r="AD275" s="3" t="s">
        <v>62</v>
      </c>
      <c r="AE275" s="3" t="s">
        <v>62</v>
      </c>
      <c r="AF275" s="3" t="s">
        <v>62</v>
      </c>
      <c r="AG275" s="3" t="s">
        <v>62</v>
      </c>
      <c r="AH275" s="3" t="s">
        <v>62</v>
      </c>
    </row>
    <row r="276" spans="2:34">
      <c r="B276" s="139">
        <v>15</v>
      </c>
      <c r="C276" s="87" t="str">
        <f>LEFT(EmpGName15)&amp;" " &amp;EmpSName15</f>
        <v>J Friedle</v>
      </c>
      <c r="D276" s="4" t="s">
        <v>62</v>
      </c>
      <c r="E276" s="4" t="s">
        <v>62</v>
      </c>
      <c r="F276" s="4" t="s">
        <v>62</v>
      </c>
      <c r="G276" s="4" t="s">
        <v>62</v>
      </c>
      <c r="H276" s="4" t="s">
        <v>62</v>
      </c>
      <c r="I276" s="4" t="s">
        <v>62</v>
      </c>
      <c r="J276" s="4" t="s">
        <v>62</v>
      </c>
      <c r="K276" s="4" t="s">
        <v>62</v>
      </c>
      <c r="L276" s="4" t="s">
        <v>62</v>
      </c>
      <c r="M276" s="4" t="s">
        <v>62</v>
      </c>
      <c r="N276" s="4" t="s">
        <v>62</v>
      </c>
      <c r="O276" s="4" t="s">
        <v>62</v>
      </c>
      <c r="P276" s="4" t="s">
        <v>62</v>
      </c>
      <c r="Q276" s="4" t="s">
        <v>62</v>
      </c>
      <c r="R276" s="4" t="s">
        <v>62</v>
      </c>
      <c r="S276" s="4" t="s">
        <v>62</v>
      </c>
      <c r="T276" s="4" t="s">
        <v>62</v>
      </c>
      <c r="U276" s="4" t="s">
        <v>62</v>
      </c>
      <c r="V276" s="4" t="s">
        <v>62</v>
      </c>
      <c r="W276" s="4" t="s">
        <v>62</v>
      </c>
      <c r="X276" s="4" t="s">
        <v>62</v>
      </c>
      <c r="Y276" s="4" t="s">
        <v>62</v>
      </c>
      <c r="Z276" s="4" t="s">
        <v>62</v>
      </c>
      <c r="AA276" s="4" t="s">
        <v>62</v>
      </c>
      <c r="AB276" s="4" t="s">
        <v>62</v>
      </c>
      <c r="AC276" s="4" t="s">
        <v>62</v>
      </c>
      <c r="AD276" s="4" t="s">
        <v>62</v>
      </c>
      <c r="AE276" s="4" t="s">
        <v>62</v>
      </c>
      <c r="AF276" s="4" t="s">
        <v>62</v>
      </c>
      <c r="AG276" s="4" t="s">
        <v>62</v>
      </c>
      <c r="AH276" s="4" t="s">
        <v>62</v>
      </c>
    </row>
    <row r="277" spans="2:34">
      <c r="B277" s="139">
        <v>16</v>
      </c>
      <c r="C277" s="88" t="str">
        <f>LEFT(EmpGName16)&amp;" " &amp;EmpSName16</f>
        <v>J Friedle</v>
      </c>
      <c r="D277" s="3" t="s">
        <v>62</v>
      </c>
      <c r="E277" s="3" t="s">
        <v>62</v>
      </c>
      <c r="F277" s="3" t="s">
        <v>62</v>
      </c>
      <c r="G277" s="3" t="s">
        <v>62</v>
      </c>
      <c r="H277" s="3" t="s">
        <v>62</v>
      </c>
      <c r="I277" s="3" t="s">
        <v>62</v>
      </c>
      <c r="J277" s="3" t="s">
        <v>62</v>
      </c>
      <c r="K277" s="3" t="s">
        <v>62</v>
      </c>
      <c r="L277" s="3" t="s">
        <v>62</v>
      </c>
      <c r="M277" s="3" t="s">
        <v>62</v>
      </c>
      <c r="N277" s="3" t="s">
        <v>62</v>
      </c>
      <c r="O277" s="3" t="s">
        <v>62</v>
      </c>
      <c r="P277" s="3" t="s">
        <v>62</v>
      </c>
      <c r="Q277" s="3" t="s">
        <v>62</v>
      </c>
      <c r="R277" s="3" t="s">
        <v>62</v>
      </c>
      <c r="S277" s="3" t="s">
        <v>62</v>
      </c>
      <c r="T277" s="3" t="s">
        <v>62</v>
      </c>
      <c r="U277" s="3" t="s">
        <v>62</v>
      </c>
      <c r="V277" s="3" t="s">
        <v>62</v>
      </c>
      <c r="W277" s="3" t="s">
        <v>62</v>
      </c>
      <c r="X277" s="3" t="s">
        <v>62</v>
      </c>
      <c r="Y277" s="3" t="s">
        <v>62</v>
      </c>
      <c r="Z277" s="3" t="s">
        <v>62</v>
      </c>
      <c r="AA277" s="3" t="s">
        <v>62</v>
      </c>
      <c r="AB277" s="3" t="s">
        <v>62</v>
      </c>
      <c r="AC277" s="3" t="s">
        <v>62</v>
      </c>
      <c r="AD277" s="3" t="s">
        <v>62</v>
      </c>
      <c r="AE277" s="3" t="s">
        <v>62</v>
      </c>
      <c r="AF277" s="3" t="s">
        <v>62</v>
      </c>
      <c r="AG277" s="3" t="s">
        <v>62</v>
      </c>
      <c r="AH277" s="3" t="s">
        <v>62</v>
      </c>
    </row>
    <row r="278" spans="2:34">
      <c r="B278" s="139">
        <v>17</v>
      </c>
      <c r="C278" s="87" t="str">
        <f>LEFT(EmpGName17)&amp;" " &amp;EmpSName17</f>
        <v>J Smart</v>
      </c>
      <c r="D278" s="4" t="s">
        <v>62</v>
      </c>
      <c r="E278" s="4" t="s">
        <v>62</v>
      </c>
      <c r="F278" s="4" t="s">
        <v>62</v>
      </c>
      <c r="G278" s="4" t="s">
        <v>62</v>
      </c>
      <c r="H278" s="4" t="s">
        <v>62</v>
      </c>
      <c r="I278" s="4" t="s">
        <v>62</v>
      </c>
      <c r="J278" s="4" t="s">
        <v>62</v>
      </c>
      <c r="K278" s="4" t="s">
        <v>62</v>
      </c>
      <c r="L278" s="4" t="s">
        <v>62</v>
      </c>
      <c r="M278" s="4" t="s">
        <v>62</v>
      </c>
      <c r="N278" s="4" t="s">
        <v>62</v>
      </c>
      <c r="O278" s="4" t="s">
        <v>62</v>
      </c>
      <c r="P278" s="4" t="s">
        <v>62</v>
      </c>
      <c r="Q278" s="4" t="s">
        <v>62</v>
      </c>
      <c r="R278" s="4" t="s">
        <v>62</v>
      </c>
      <c r="S278" s="4" t="s">
        <v>62</v>
      </c>
      <c r="T278" s="4" t="s">
        <v>62</v>
      </c>
      <c r="U278" s="4" t="s">
        <v>62</v>
      </c>
      <c r="V278" s="4" t="s">
        <v>62</v>
      </c>
      <c r="W278" s="4" t="s">
        <v>62</v>
      </c>
      <c r="X278" s="4" t="s">
        <v>62</v>
      </c>
      <c r="Y278" s="4" t="s">
        <v>62</v>
      </c>
      <c r="Z278" s="4" t="s">
        <v>62</v>
      </c>
      <c r="AA278" s="4" t="s">
        <v>62</v>
      </c>
      <c r="AB278" s="4" t="s">
        <v>62</v>
      </c>
      <c r="AC278" s="4" t="s">
        <v>62</v>
      </c>
      <c r="AD278" s="4" t="s">
        <v>62</v>
      </c>
      <c r="AE278" s="4" t="s">
        <v>62</v>
      </c>
      <c r="AF278" s="4" t="s">
        <v>62</v>
      </c>
      <c r="AG278" s="4" t="s">
        <v>62</v>
      </c>
      <c r="AH278" s="4" t="s">
        <v>62</v>
      </c>
    </row>
    <row r="279" spans="2:34">
      <c r="B279" s="139">
        <v>18</v>
      </c>
      <c r="C279" s="88" t="str">
        <f>LEFT(EmpGName18)&amp;" " &amp;EmpSName18</f>
        <v>E Smart</v>
      </c>
      <c r="D279" s="3" t="s">
        <v>62</v>
      </c>
      <c r="E279" s="3" t="s">
        <v>62</v>
      </c>
      <c r="F279" s="3" t="s">
        <v>62</v>
      </c>
      <c r="G279" s="3" t="s">
        <v>62</v>
      </c>
      <c r="H279" s="3" t="s">
        <v>62</v>
      </c>
      <c r="I279" s="3" t="s">
        <v>62</v>
      </c>
      <c r="J279" s="3" t="s">
        <v>62</v>
      </c>
      <c r="K279" s="3" t="s">
        <v>62</v>
      </c>
      <c r="L279" s="3" t="s">
        <v>62</v>
      </c>
      <c r="M279" s="3" t="s">
        <v>62</v>
      </c>
      <c r="N279" s="3" t="s">
        <v>62</v>
      </c>
      <c r="O279" s="3" t="s">
        <v>62</v>
      </c>
      <c r="P279" s="3" t="s">
        <v>62</v>
      </c>
      <c r="Q279" s="3" t="s">
        <v>62</v>
      </c>
      <c r="R279" s="3" t="s">
        <v>62</v>
      </c>
      <c r="S279" s="3" t="s">
        <v>62</v>
      </c>
      <c r="T279" s="3" t="s">
        <v>62</v>
      </c>
      <c r="U279" s="3" t="s">
        <v>62</v>
      </c>
      <c r="V279" s="3" t="s">
        <v>62</v>
      </c>
      <c r="W279" s="3" t="s">
        <v>62</v>
      </c>
      <c r="X279" s="3" t="s">
        <v>62</v>
      </c>
      <c r="Y279" s="3" t="s">
        <v>62</v>
      </c>
      <c r="Z279" s="3" t="s">
        <v>62</v>
      </c>
      <c r="AA279" s="3" t="s">
        <v>62</v>
      </c>
      <c r="AB279" s="3" t="s">
        <v>62</v>
      </c>
      <c r="AC279" s="3" t="s">
        <v>62</v>
      </c>
      <c r="AD279" s="3" t="s">
        <v>62</v>
      </c>
      <c r="AE279" s="3" t="s">
        <v>62</v>
      </c>
      <c r="AF279" s="3" t="s">
        <v>62</v>
      </c>
      <c r="AG279" s="3" t="s">
        <v>62</v>
      </c>
      <c r="AH279" s="3" t="s">
        <v>62</v>
      </c>
    </row>
    <row r="280" spans="2:34" hidden="1">
      <c r="B280" s="139">
        <v>19</v>
      </c>
      <c r="C280" s="87" t="str">
        <f>LEFT(EmpGName19)&amp;" " &amp;EmpSName19</f>
        <v xml:space="preserve"> </v>
      </c>
      <c r="D280" s="4" t="s">
        <v>62</v>
      </c>
      <c r="E280" s="4" t="s">
        <v>62</v>
      </c>
      <c r="F280" s="4" t="s">
        <v>62</v>
      </c>
      <c r="G280" s="4" t="s">
        <v>62</v>
      </c>
      <c r="H280" s="4" t="s">
        <v>62</v>
      </c>
      <c r="I280" s="4" t="s">
        <v>62</v>
      </c>
      <c r="J280" s="4" t="s">
        <v>62</v>
      </c>
      <c r="K280" s="4" t="s">
        <v>62</v>
      </c>
      <c r="L280" s="4" t="s">
        <v>62</v>
      </c>
      <c r="M280" s="4" t="s">
        <v>62</v>
      </c>
      <c r="N280" s="4" t="s">
        <v>62</v>
      </c>
      <c r="O280" s="4" t="s">
        <v>62</v>
      </c>
      <c r="P280" s="4" t="s">
        <v>62</v>
      </c>
      <c r="Q280" s="4" t="s">
        <v>62</v>
      </c>
      <c r="R280" s="4" t="s">
        <v>62</v>
      </c>
      <c r="S280" s="4" t="s">
        <v>62</v>
      </c>
      <c r="T280" s="4" t="s">
        <v>62</v>
      </c>
      <c r="U280" s="4" t="s">
        <v>62</v>
      </c>
      <c r="V280" s="4" t="s">
        <v>62</v>
      </c>
      <c r="W280" s="4" t="s">
        <v>62</v>
      </c>
      <c r="X280" s="4" t="s">
        <v>62</v>
      </c>
      <c r="Y280" s="4" t="s">
        <v>62</v>
      </c>
      <c r="Z280" s="4" t="s">
        <v>62</v>
      </c>
      <c r="AA280" s="4" t="s">
        <v>62</v>
      </c>
      <c r="AB280" s="4" t="s">
        <v>62</v>
      </c>
      <c r="AC280" s="4" t="s">
        <v>62</v>
      </c>
      <c r="AD280" s="4" t="s">
        <v>62</v>
      </c>
      <c r="AE280" s="4" t="s">
        <v>62</v>
      </c>
      <c r="AF280" s="4" t="s">
        <v>62</v>
      </c>
      <c r="AG280" s="4" t="s">
        <v>62</v>
      </c>
      <c r="AH280" s="4" t="s">
        <v>62</v>
      </c>
    </row>
    <row r="281" spans="2:34" hidden="1">
      <c r="B281" s="139">
        <v>20</v>
      </c>
      <c r="C281" s="88" t="str">
        <f>LEFT(EmpGName20)&amp;" " &amp;EmpSName20</f>
        <v xml:space="preserve"> </v>
      </c>
      <c r="D281" s="3" t="s">
        <v>62</v>
      </c>
      <c r="E281" s="3" t="s">
        <v>62</v>
      </c>
      <c r="F281" s="3" t="s">
        <v>62</v>
      </c>
      <c r="G281" s="3" t="s">
        <v>62</v>
      </c>
      <c r="H281" s="3" t="s">
        <v>62</v>
      </c>
      <c r="I281" s="3" t="s">
        <v>62</v>
      </c>
      <c r="J281" s="3" t="s">
        <v>62</v>
      </c>
      <c r="K281" s="3" t="s">
        <v>62</v>
      </c>
      <c r="L281" s="3" t="s">
        <v>62</v>
      </c>
      <c r="M281" s="3" t="s">
        <v>62</v>
      </c>
      <c r="N281" s="3" t="s">
        <v>62</v>
      </c>
      <c r="O281" s="3" t="s">
        <v>62</v>
      </c>
      <c r="P281" s="3" t="s">
        <v>62</v>
      </c>
      <c r="Q281" s="3" t="s">
        <v>62</v>
      </c>
      <c r="R281" s="3" t="s">
        <v>62</v>
      </c>
      <c r="S281" s="3" t="s">
        <v>62</v>
      </c>
      <c r="T281" s="3" t="s">
        <v>62</v>
      </c>
      <c r="U281" s="3" t="s">
        <v>62</v>
      </c>
      <c r="V281" s="3" t="s">
        <v>62</v>
      </c>
      <c r="W281" s="3" t="s">
        <v>62</v>
      </c>
      <c r="X281" s="3" t="s">
        <v>62</v>
      </c>
      <c r="Y281" s="3" t="s">
        <v>62</v>
      </c>
      <c r="Z281" s="3" t="s">
        <v>62</v>
      </c>
      <c r="AA281" s="3" t="s">
        <v>62</v>
      </c>
      <c r="AB281" s="3" t="s">
        <v>62</v>
      </c>
      <c r="AC281" s="3" t="s">
        <v>62</v>
      </c>
      <c r="AD281" s="3" t="s">
        <v>62</v>
      </c>
      <c r="AE281" s="3" t="s">
        <v>62</v>
      </c>
      <c r="AF281" s="3" t="s">
        <v>62</v>
      </c>
      <c r="AG281" s="3" t="s">
        <v>62</v>
      </c>
      <c r="AH281" s="3" t="s">
        <v>62</v>
      </c>
    </row>
    <row r="282" spans="2:34" hidden="1">
      <c r="B282" s="139">
        <v>21</v>
      </c>
      <c r="C282" s="87" t="str">
        <f>LEFT(EmpGName21)&amp;" " &amp;EmpSName21</f>
        <v xml:space="preserve"> </v>
      </c>
      <c r="D282" s="4" t="s">
        <v>62</v>
      </c>
      <c r="E282" s="4" t="s">
        <v>62</v>
      </c>
      <c r="F282" s="4" t="s">
        <v>62</v>
      </c>
      <c r="G282" s="4" t="s">
        <v>62</v>
      </c>
      <c r="H282" s="4" t="s">
        <v>62</v>
      </c>
      <c r="I282" s="4" t="s">
        <v>62</v>
      </c>
      <c r="J282" s="4" t="s">
        <v>62</v>
      </c>
      <c r="K282" s="4" t="s">
        <v>62</v>
      </c>
      <c r="L282" s="4" t="s">
        <v>62</v>
      </c>
      <c r="M282" s="4" t="s">
        <v>62</v>
      </c>
      <c r="N282" s="4" t="s">
        <v>62</v>
      </c>
      <c r="O282" s="4" t="s">
        <v>62</v>
      </c>
      <c r="P282" s="4" t="s">
        <v>62</v>
      </c>
      <c r="Q282" s="4" t="s">
        <v>62</v>
      </c>
      <c r="R282" s="4" t="s">
        <v>62</v>
      </c>
      <c r="S282" s="4" t="s">
        <v>62</v>
      </c>
      <c r="T282" s="4" t="s">
        <v>62</v>
      </c>
      <c r="U282" s="4" t="s">
        <v>62</v>
      </c>
      <c r="V282" s="4" t="s">
        <v>62</v>
      </c>
      <c r="W282" s="4" t="s">
        <v>62</v>
      </c>
      <c r="X282" s="4" t="s">
        <v>62</v>
      </c>
      <c r="Y282" s="4" t="s">
        <v>62</v>
      </c>
      <c r="Z282" s="4" t="s">
        <v>62</v>
      </c>
      <c r="AA282" s="4" t="s">
        <v>62</v>
      </c>
      <c r="AB282" s="4" t="s">
        <v>62</v>
      </c>
      <c r="AC282" s="4" t="s">
        <v>62</v>
      </c>
      <c r="AD282" s="4" t="s">
        <v>62</v>
      </c>
      <c r="AE282" s="4" t="s">
        <v>62</v>
      </c>
      <c r="AF282" s="4" t="s">
        <v>62</v>
      </c>
      <c r="AG282" s="4" t="s">
        <v>62</v>
      </c>
      <c r="AH282" s="4" t="s">
        <v>62</v>
      </c>
    </row>
    <row r="283" spans="2:34" hidden="1">
      <c r="B283" s="139">
        <v>22</v>
      </c>
      <c r="C283" s="88" t="str">
        <f>LEFT(EmpGName22)&amp;" " &amp;EmpSName22</f>
        <v xml:space="preserve"> </v>
      </c>
      <c r="D283" s="3" t="s">
        <v>62</v>
      </c>
      <c r="E283" s="3" t="s">
        <v>62</v>
      </c>
      <c r="F283" s="3" t="s">
        <v>62</v>
      </c>
      <c r="G283" s="3" t="s">
        <v>62</v>
      </c>
      <c r="H283" s="3" t="s">
        <v>62</v>
      </c>
      <c r="I283" s="3" t="s">
        <v>62</v>
      </c>
      <c r="J283" s="3" t="s">
        <v>62</v>
      </c>
      <c r="K283" s="3" t="s">
        <v>62</v>
      </c>
      <c r="L283" s="3" t="s">
        <v>62</v>
      </c>
      <c r="M283" s="3" t="s">
        <v>62</v>
      </c>
      <c r="N283" s="3" t="s">
        <v>62</v>
      </c>
      <c r="O283" s="3" t="s">
        <v>62</v>
      </c>
      <c r="P283" s="3" t="s">
        <v>62</v>
      </c>
      <c r="Q283" s="3" t="s">
        <v>62</v>
      </c>
      <c r="R283" s="3" t="s">
        <v>62</v>
      </c>
      <c r="S283" s="3" t="s">
        <v>62</v>
      </c>
      <c r="T283" s="3" t="s">
        <v>62</v>
      </c>
      <c r="U283" s="3" t="s">
        <v>62</v>
      </c>
      <c r="V283" s="3" t="s">
        <v>62</v>
      </c>
      <c r="W283" s="3" t="s">
        <v>62</v>
      </c>
      <c r="X283" s="3" t="s">
        <v>62</v>
      </c>
      <c r="Y283" s="3" t="s">
        <v>62</v>
      </c>
      <c r="Z283" s="3" t="s">
        <v>62</v>
      </c>
      <c r="AA283" s="3" t="s">
        <v>62</v>
      </c>
      <c r="AB283" s="3" t="s">
        <v>62</v>
      </c>
      <c r="AC283" s="3" t="s">
        <v>62</v>
      </c>
      <c r="AD283" s="3" t="s">
        <v>62</v>
      </c>
      <c r="AE283" s="3" t="s">
        <v>62</v>
      </c>
      <c r="AF283" s="3" t="s">
        <v>62</v>
      </c>
      <c r="AG283" s="3" t="s">
        <v>62</v>
      </c>
      <c r="AH283" s="3" t="s">
        <v>62</v>
      </c>
    </row>
    <row r="284" spans="2:34" hidden="1">
      <c r="B284" s="139">
        <v>23</v>
      </c>
      <c r="C284" s="87" t="str">
        <f>LEFT(EmpGName23)&amp;" " &amp;EmpSName23</f>
        <v xml:space="preserve"> </v>
      </c>
      <c r="D284" s="4" t="s">
        <v>62</v>
      </c>
      <c r="E284" s="4" t="s">
        <v>62</v>
      </c>
      <c r="F284" s="4" t="s">
        <v>62</v>
      </c>
      <c r="G284" s="4" t="s">
        <v>62</v>
      </c>
      <c r="H284" s="4" t="s">
        <v>62</v>
      </c>
      <c r="I284" s="4" t="s">
        <v>62</v>
      </c>
      <c r="J284" s="4" t="s">
        <v>62</v>
      </c>
      <c r="K284" s="4" t="s">
        <v>62</v>
      </c>
      <c r="L284" s="4" t="s">
        <v>62</v>
      </c>
      <c r="M284" s="4" t="s">
        <v>62</v>
      </c>
      <c r="N284" s="4" t="s">
        <v>62</v>
      </c>
      <c r="O284" s="4" t="s">
        <v>62</v>
      </c>
      <c r="P284" s="4" t="s">
        <v>62</v>
      </c>
      <c r="Q284" s="4" t="s">
        <v>62</v>
      </c>
      <c r="R284" s="4" t="s">
        <v>62</v>
      </c>
      <c r="S284" s="4" t="s">
        <v>62</v>
      </c>
      <c r="T284" s="4" t="s">
        <v>62</v>
      </c>
      <c r="U284" s="4" t="s">
        <v>62</v>
      </c>
      <c r="V284" s="4" t="s">
        <v>62</v>
      </c>
      <c r="W284" s="4" t="s">
        <v>62</v>
      </c>
      <c r="X284" s="4" t="s">
        <v>62</v>
      </c>
      <c r="Y284" s="4" t="s">
        <v>62</v>
      </c>
      <c r="Z284" s="4" t="s">
        <v>62</v>
      </c>
      <c r="AA284" s="4" t="s">
        <v>62</v>
      </c>
      <c r="AB284" s="4" t="s">
        <v>62</v>
      </c>
      <c r="AC284" s="4" t="s">
        <v>62</v>
      </c>
      <c r="AD284" s="4" t="s">
        <v>62</v>
      </c>
      <c r="AE284" s="4" t="s">
        <v>62</v>
      </c>
      <c r="AF284" s="4" t="s">
        <v>62</v>
      </c>
      <c r="AG284" s="4" t="s">
        <v>62</v>
      </c>
      <c r="AH284" s="4" t="s">
        <v>62</v>
      </c>
    </row>
    <row r="285" spans="2:34" hidden="1">
      <c r="B285" s="139">
        <v>24</v>
      </c>
      <c r="C285" s="88" t="str">
        <f>LEFT(EmpGName24)&amp;" " &amp;EmpSName24</f>
        <v xml:space="preserve"> </v>
      </c>
      <c r="D285" s="3" t="s">
        <v>62</v>
      </c>
      <c r="E285" s="3" t="s">
        <v>62</v>
      </c>
      <c r="F285" s="3" t="s">
        <v>62</v>
      </c>
      <c r="G285" s="3" t="s">
        <v>62</v>
      </c>
      <c r="H285" s="3" t="s">
        <v>62</v>
      </c>
      <c r="I285" s="3" t="s">
        <v>62</v>
      </c>
      <c r="J285" s="3" t="s">
        <v>62</v>
      </c>
      <c r="K285" s="3" t="s">
        <v>62</v>
      </c>
      <c r="L285" s="3" t="s">
        <v>62</v>
      </c>
      <c r="M285" s="3" t="s">
        <v>62</v>
      </c>
      <c r="N285" s="3" t="s">
        <v>62</v>
      </c>
      <c r="O285" s="3" t="s">
        <v>62</v>
      </c>
      <c r="P285" s="3" t="s">
        <v>62</v>
      </c>
      <c r="Q285" s="3" t="s">
        <v>62</v>
      </c>
      <c r="R285" s="3" t="s">
        <v>62</v>
      </c>
      <c r="S285" s="3" t="s">
        <v>62</v>
      </c>
      <c r="T285" s="3" t="s">
        <v>62</v>
      </c>
      <c r="U285" s="3" t="s">
        <v>62</v>
      </c>
      <c r="V285" s="3" t="s">
        <v>62</v>
      </c>
      <c r="W285" s="3" t="s">
        <v>62</v>
      </c>
      <c r="X285" s="3" t="s">
        <v>62</v>
      </c>
      <c r="Y285" s="3" t="s">
        <v>62</v>
      </c>
      <c r="Z285" s="3" t="s">
        <v>62</v>
      </c>
      <c r="AA285" s="3" t="s">
        <v>62</v>
      </c>
      <c r="AB285" s="3" t="s">
        <v>62</v>
      </c>
      <c r="AC285" s="3" t="s">
        <v>62</v>
      </c>
      <c r="AD285" s="3" t="s">
        <v>62</v>
      </c>
      <c r="AE285" s="3" t="s">
        <v>62</v>
      </c>
      <c r="AF285" s="3" t="s">
        <v>62</v>
      </c>
      <c r="AG285" s="3" t="s">
        <v>62</v>
      </c>
      <c r="AH285" s="3" t="s">
        <v>62</v>
      </c>
    </row>
    <row r="286" spans="2:34" hidden="1">
      <c r="B286" s="139">
        <v>25</v>
      </c>
      <c r="C286" s="87" t="str">
        <f>LEFT(EmpGName25)&amp;" " &amp;EmpSName25</f>
        <v xml:space="preserve"> </v>
      </c>
      <c r="D286" s="4" t="s">
        <v>62</v>
      </c>
      <c r="E286" s="4" t="s">
        <v>62</v>
      </c>
      <c r="F286" s="4" t="s">
        <v>62</v>
      </c>
      <c r="G286" s="4" t="s">
        <v>62</v>
      </c>
      <c r="H286" s="4" t="s">
        <v>62</v>
      </c>
      <c r="I286" s="4" t="s">
        <v>62</v>
      </c>
      <c r="J286" s="4" t="s">
        <v>62</v>
      </c>
      <c r="K286" s="4" t="s">
        <v>62</v>
      </c>
      <c r="L286" s="4" t="s">
        <v>62</v>
      </c>
      <c r="M286" s="4" t="s">
        <v>62</v>
      </c>
      <c r="N286" s="4" t="s">
        <v>62</v>
      </c>
      <c r="O286" s="4" t="s">
        <v>62</v>
      </c>
      <c r="P286" s="4" t="s">
        <v>62</v>
      </c>
      <c r="Q286" s="4" t="s">
        <v>62</v>
      </c>
      <c r="R286" s="4" t="s">
        <v>62</v>
      </c>
      <c r="S286" s="4" t="s">
        <v>62</v>
      </c>
      <c r="T286" s="4" t="s">
        <v>62</v>
      </c>
      <c r="U286" s="4" t="s">
        <v>62</v>
      </c>
      <c r="V286" s="4" t="s">
        <v>62</v>
      </c>
      <c r="W286" s="4" t="s">
        <v>62</v>
      </c>
      <c r="X286" s="4" t="s">
        <v>62</v>
      </c>
      <c r="Y286" s="4" t="s">
        <v>62</v>
      </c>
      <c r="Z286" s="4" t="s">
        <v>62</v>
      </c>
      <c r="AA286" s="4" t="s">
        <v>62</v>
      </c>
      <c r="AB286" s="4" t="s">
        <v>62</v>
      </c>
      <c r="AC286" s="4" t="s">
        <v>62</v>
      </c>
      <c r="AD286" s="4" t="s">
        <v>62</v>
      </c>
      <c r="AE286" s="4" t="s">
        <v>62</v>
      </c>
      <c r="AF286" s="4" t="s">
        <v>62</v>
      </c>
      <c r="AG286" s="4" t="s">
        <v>62</v>
      </c>
      <c r="AH286" s="4" t="s">
        <v>62</v>
      </c>
    </row>
    <row r="287" spans="2:34" hidden="1">
      <c r="B287" s="139">
        <v>26</v>
      </c>
      <c r="C287" s="88" t="str">
        <f>LEFT(EmpGName26)&amp;" " &amp;EmpSName26</f>
        <v xml:space="preserve"> </v>
      </c>
      <c r="D287" s="3" t="s">
        <v>62</v>
      </c>
      <c r="E287" s="3" t="s">
        <v>62</v>
      </c>
      <c r="F287" s="3" t="s">
        <v>62</v>
      </c>
      <c r="G287" s="3" t="s">
        <v>62</v>
      </c>
      <c r="H287" s="3" t="s">
        <v>62</v>
      </c>
      <c r="I287" s="3" t="s">
        <v>62</v>
      </c>
      <c r="J287" s="3" t="s">
        <v>62</v>
      </c>
      <c r="K287" s="3" t="s">
        <v>62</v>
      </c>
      <c r="L287" s="3" t="s">
        <v>62</v>
      </c>
      <c r="M287" s="3" t="s">
        <v>62</v>
      </c>
      <c r="N287" s="3" t="s">
        <v>62</v>
      </c>
      <c r="O287" s="3" t="s">
        <v>62</v>
      </c>
      <c r="P287" s="3" t="s">
        <v>62</v>
      </c>
      <c r="Q287" s="3" t="s">
        <v>62</v>
      </c>
      <c r="R287" s="3" t="s">
        <v>62</v>
      </c>
      <c r="S287" s="3" t="s">
        <v>62</v>
      </c>
      <c r="T287" s="3" t="s">
        <v>62</v>
      </c>
      <c r="U287" s="3" t="s">
        <v>62</v>
      </c>
      <c r="V287" s="3" t="s">
        <v>62</v>
      </c>
      <c r="W287" s="3" t="s">
        <v>62</v>
      </c>
      <c r="X287" s="3" t="s">
        <v>62</v>
      </c>
      <c r="Y287" s="3" t="s">
        <v>62</v>
      </c>
      <c r="Z287" s="3" t="s">
        <v>62</v>
      </c>
      <c r="AA287" s="3" t="s">
        <v>62</v>
      </c>
      <c r="AB287" s="3" t="s">
        <v>62</v>
      </c>
      <c r="AC287" s="3" t="s">
        <v>62</v>
      </c>
      <c r="AD287" s="3" t="s">
        <v>62</v>
      </c>
      <c r="AE287" s="3" t="s">
        <v>62</v>
      </c>
      <c r="AF287" s="3" t="s">
        <v>62</v>
      </c>
      <c r="AG287" s="3" t="s">
        <v>62</v>
      </c>
      <c r="AH287" s="3" t="s">
        <v>62</v>
      </c>
    </row>
    <row r="288" spans="2:34" hidden="1">
      <c r="B288" s="139">
        <v>27</v>
      </c>
      <c r="C288" s="87" t="str">
        <f>LEFT(EmpGName27)&amp;" " &amp;EmpSName27</f>
        <v xml:space="preserve"> </v>
      </c>
      <c r="D288" s="4" t="s">
        <v>62</v>
      </c>
      <c r="E288" s="4" t="s">
        <v>62</v>
      </c>
      <c r="F288" s="4" t="s">
        <v>62</v>
      </c>
      <c r="G288" s="4" t="s">
        <v>62</v>
      </c>
      <c r="H288" s="4" t="s">
        <v>62</v>
      </c>
      <c r="I288" s="4" t="s">
        <v>62</v>
      </c>
      <c r="J288" s="4" t="s">
        <v>62</v>
      </c>
      <c r="K288" s="4" t="s">
        <v>62</v>
      </c>
      <c r="L288" s="4" t="s">
        <v>62</v>
      </c>
      <c r="M288" s="4" t="s">
        <v>62</v>
      </c>
      <c r="N288" s="4" t="s">
        <v>62</v>
      </c>
      <c r="O288" s="4" t="s">
        <v>62</v>
      </c>
      <c r="P288" s="4" t="s">
        <v>62</v>
      </c>
      <c r="Q288" s="4" t="s">
        <v>62</v>
      </c>
      <c r="R288" s="4" t="s">
        <v>62</v>
      </c>
      <c r="S288" s="4" t="s">
        <v>62</v>
      </c>
      <c r="T288" s="4" t="s">
        <v>62</v>
      </c>
      <c r="U288" s="4" t="s">
        <v>62</v>
      </c>
      <c r="V288" s="4" t="s">
        <v>62</v>
      </c>
      <c r="W288" s="4" t="s">
        <v>62</v>
      </c>
      <c r="X288" s="4" t="s">
        <v>62</v>
      </c>
      <c r="Y288" s="4" t="s">
        <v>62</v>
      </c>
      <c r="Z288" s="4" t="s">
        <v>62</v>
      </c>
      <c r="AA288" s="4" t="s">
        <v>62</v>
      </c>
      <c r="AB288" s="4" t="s">
        <v>62</v>
      </c>
      <c r="AC288" s="4" t="s">
        <v>62</v>
      </c>
      <c r="AD288" s="4" t="s">
        <v>62</v>
      </c>
      <c r="AE288" s="4" t="s">
        <v>62</v>
      </c>
      <c r="AF288" s="4" t="s">
        <v>62</v>
      </c>
      <c r="AG288" s="4" t="s">
        <v>62</v>
      </c>
      <c r="AH288" s="4" t="s">
        <v>62</v>
      </c>
    </row>
    <row r="289" spans="2:34" hidden="1">
      <c r="B289" s="139">
        <v>28</v>
      </c>
      <c r="C289" s="88" t="str">
        <f>LEFT(EmpGName28)&amp;" " &amp;EmpSName28</f>
        <v xml:space="preserve"> </v>
      </c>
      <c r="D289" s="3" t="s">
        <v>62</v>
      </c>
      <c r="E289" s="3" t="s">
        <v>62</v>
      </c>
      <c r="F289" s="3" t="s">
        <v>62</v>
      </c>
      <c r="G289" s="3" t="s">
        <v>62</v>
      </c>
      <c r="H289" s="3" t="s">
        <v>62</v>
      </c>
      <c r="I289" s="3" t="s">
        <v>62</v>
      </c>
      <c r="J289" s="3" t="s">
        <v>62</v>
      </c>
      <c r="K289" s="3" t="s">
        <v>62</v>
      </c>
      <c r="L289" s="3" t="s">
        <v>62</v>
      </c>
      <c r="M289" s="3" t="s">
        <v>62</v>
      </c>
      <c r="N289" s="3" t="s">
        <v>62</v>
      </c>
      <c r="O289" s="3" t="s">
        <v>62</v>
      </c>
      <c r="P289" s="3" t="s">
        <v>62</v>
      </c>
      <c r="Q289" s="3" t="s">
        <v>62</v>
      </c>
      <c r="R289" s="3" t="s">
        <v>62</v>
      </c>
      <c r="S289" s="3" t="s">
        <v>62</v>
      </c>
      <c r="T289" s="3" t="s">
        <v>62</v>
      </c>
      <c r="U289" s="3" t="s">
        <v>62</v>
      </c>
      <c r="V289" s="3" t="s">
        <v>62</v>
      </c>
      <c r="W289" s="3" t="s">
        <v>62</v>
      </c>
      <c r="X289" s="3" t="s">
        <v>62</v>
      </c>
      <c r="Y289" s="3" t="s">
        <v>62</v>
      </c>
      <c r="Z289" s="3" t="s">
        <v>62</v>
      </c>
      <c r="AA289" s="3" t="s">
        <v>62</v>
      </c>
      <c r="AB289" s="3" t="s">
        <v>62</v>
      </c>
      <c r="AC289" s="3" t="s">
        <v>62</v>
      </c>
      <c r="AD289" s="3" t="s">
        <v>62</v>
      </c>
      <c r="AE289" s="3" t="s">
        <v>62</v>
      </c>
      <c r="AF289" s="3" t="s">
        <v>62</v>
      </c>
      <c r="AG289" s="3" t="s">
        <v>62</v>
      </c>
      <c r="AH289" s="3" t="s">
        <v>62</v>
      </c>
    </row>
    <row r="290" spans="2:34">
      <c r="B290" s="71"/>
      <c r="C290" s="72"/>
      <c r="D290" s="221"/>
      <c r="E290" s="221"/>
      <c r="F290" s="221"/>
      <c r="G290" s="221"/>
      <c r="H290" s="221"/>
      <c r="I290" s="221"/>
      <c r="J290" s="221"/>
      <c r="K290" s="221"/>
      <c r="L290" s="221"/>
      <c r="M290" s="221"/>
      <c r="N290" s="221"/>
      <c r="O290" s="221"/>
      <c r="P290" s="221"/>
      <c r="Q290" s="221"/>
      <c r="R290" s="221"/>
      <c r="S290" s="221"/>
      <c r="T290" s="221"/>
      <c r="U290" s="221"/>
      <c r="V290" s="221"/>
      <c r="W290" s="221"/>
      <c r="X290" s="221"/>
      <c r="Y290" s="221"/>
      <c r="Z290" s="221"/>
      <c r="AA290" s="221"/>
      <c r="AB290" s="221"/>
      <c r="AC290" s="221"/>
      <c r="AD290" s="221"/>
      <c r="AE290" s="221"/>
      <c r="AF290" s="221"/>
      <c r="AG290" s="221"/>
      <c r="AH290" s="221"/>
    </row>
    <row r="291" spans="2:34">
      <c r="C291" s="190" t="str">
        <f>CurYear</f>
        <v>2020</v>
      </c>
      <c r="D291" s="5" t="str">
        <f>LEFT(TEXT(D292&amp;"-"&amp;$C292&amp;"-"&amp;$B$4,"ddd"),2)</f>
        <v>We</v>
      </c>
      <c r="E291" s="5" t="str">
        <f t="shared" ref="E291:AF291" si="9">LEFT(TEXT(E292&amp;"-"&amp;$C292&amp;"-"&amp;$B$4,"ddd"),2)</f>
        <v>Th</v>
      </c>
      <c r="F291" s="5" t="str">
        <f t="shared" si="9"/>
        <v>Fr</v>
      </c>
      <c r="G291" s="5" t="str">
        <f t="shared" si="9"/>
        <v>Sa</v>
      </c>
      <c r="H291" s="5" t="str">
        <f t="shared" si="9"/>
        <v>Su</v>
      </c>
      <c r="I291" s="5" t="str">
        <f t="shared" si="9"/>
        <v>Mo</v>
      </c>
      <c r="J291" s="5" t="str">
        <f t="shared" si="9"/>
        <v>Tu</v>
      </c>
      <c r="K291" s="5" t="str">
        <f t="shared" si="9"/>
        <v>We</v>
      </c>
      <c r="L291" s="5" t="str">
        <f t="shared" si="9"/>
        <v>Th</v>
      </c>
      <c r="M291" s="5" t="str">
        <f t="shared" si="9"/>
        <v>Fr</v>
      </c>
      <c r="N291" s="5" t="str">
        <f t="shared" si="9"/>
        <v>Sa</v>
      </c>
      <c r="O291" s="5" t="str">
        <f t="shared" si="9"/>
        <v>Su</v>
      </c>
      <c r="P291" s="5" t="str">
        <f t="shared" si="9"/>
        <v>Mo</v>
      </c>
      <c r="Q291" s="5" t="str">
        <f t="shared" si="9"/>
        <v>Tu</v>
      </c>
      <c r="R291" s="5" t="str">
        <f t="shared" si="9"/>
        <v>We</v>
      </c>
      <c r="S291" s="5" t="str">
        <f t="shared" si="9"/>
        <v>Th</v>
      </c>
      <c r="T291" s="5" t="str">
        <f t="shared" si="9"/>
        <v>Fr</v>
      </c>
      <c r="U291" s="5" t="str">
        <f t="shared" si="9"/>
        <v>Sa</v>
      </c>
      <c r="V291" s="5" t="str">
        <f t="shared" si="9"/>
        <v>Su</v>
      </c>
      <c r="W291" s="5" t="str">
        <f t="shared" si="9"/>
        <v>Mo</v>
      </c>
      <c r="X291" s="5" t="str">
        <f t="shared" si="9"/>
        <v>Tu</v>
      </c>
      <c r="Y291" s="5" t="str">
        <f t="shared" si="9"/>
        <v>We</v>
      </c>
      <c r="Z291" s="5" t="str">
        <f t="shared" si="9"/>
        <v>Th</v>
      </c>
      <c r="AA291" s="5" t="str">
        <f t="shared" si="9"/>
        <v>Fr</v>
      </c>
      <c r="AB291" s="5" t="str">
        <f t="shared" si="9"/>
        <v>Sa</v>
      </c>
      <c r="AC291" s="5" t="str">
        <f t="shared" si="9"/>
        <v>Su</v>
      </c>
      <c r="AD291" s="5" t="str">
        <f t="shared" si="9"/>
        <v>Mo</v>
      </c>
      <c r="AE291" s="5" t="str">
        <f t="shared" si="9"/>
        <v>Tu</v>
      </c>
      <c r="AF291" s="5" t="str">
        <f t="shared" si="9"/>
        <v>We</v>
      </c>
      <c r="AG291" s="5" t="str">
        <f>LEFT(TEXT(AG292&amp;"-"&amp;$C292&amp;"-"&amp;$B$4,"ddd"),2)</f>
        <v>Th</v>
      </c>
      <c r="AH291" s="1"/>
    </row>
    <row r="292" spans="2:34">
      <c r="B292" s="85"/>
      <c r="C292" s="191" t="s">
        <v>15</v>
      </c>
      <c r="D292" s="193">
        <v>1</v>
      </c>
      <c r="E292" s="197">
        <v>2</v>
      </c>
      <c r="F292" s="193">
        <v>3</v>
      </c>
      <c r="G292" s="193">
        <v>4</v>
      </c>
      <c r="H292" s="193">
        <v>5</v>
      </c>
      <c r="I292" s="193">
        <v>6</v>
      </c>
      <c r="J292" s="193">
        <v>7</v>
      </c>
      <c r="K292" s="192">
        <v>8</v>
      </c>
      <c r="L292" s="193">
        <v>9</v>
      </c>
      <c r="M292" s="193">
        <v>10</v>
      </c>
      <c r="N292" s="193">
        <v>11</v>
      </c>
      <c r="O292" s="193">
        <v>12</v>
      </c>
      <c r="P292" s="193">
        <v>13</v>
      </c>
      <c r="Q292" s="193">
        <v>14</v>
      </c>
      <c r="R292" s="193">
        <v>15</v>
      </c>
      <c r="S292" s="193">
        <v>16</v>
      </c>
      <c r="T292" s="193">
        <v>17</v>
      </c>
      <c r="U292" s="193">
        <v>18</v>
      </c>
      <c r="V292" s="193">
        <v>19</v>
      </c>
      <c r="W292" s="193">
        <v>20</v>
      </c>
      <c r="X292" s="193">
        <v>21</v>
      </c>
      <c r="Y292" s="192">
        <v>22</v>
      </c>
      <c r="Z292" s="193">
        <v>23</v>
      </c>
      <c r="AA292" s="193">
        <v>24</v>
      </c>
      <c r="AB292" s="197">
        <v>25</v>
      </c>
      <c r="AC292" s="193">
        <v>26</v>
      </c>
      <c r="AD292" s="193">
        <v>27</v>
      </c>
      <c r="AE292" s="193">
        <v>28</v>
      </c>
      <c r="AF292" s="193">
        <v>29</v>
      </c>
      <c r="AG292" s="193">
        <v>30</v>
      </c>
      <c r="AH292" s="90"/>
    </row>
    <row r="293" spans="2:34">
      <c r="B293" s="82">
        <v>1</v>
      </c>
      <c r="C293" s="87" t="str">
        <f>LEFT(EmpGName01)&amp;" " &amp; EmpSName01</f>
        <v>L Marampon</v>
      </c>
      <c r="D293" s="4" t="s">
        <v>62</v>
      </c>
      <c r="E293" s="4" t="s">
        <v>62</v>
      </c>
      <c r="F293" s="4" t="s">
        <v>62</v>
      </c>
      <c r="G293" s="4" t="s">
        <v>62</v>
      </c>
      <c r="H293" s="4" t="s">
        <v>62</v>
      </c>
      <c r="I293" s="4" t="s">
        <v>62</v>
      </c>
      <c r="J293" s="4" t="s">
        <v>62</v>
      </c>
      <c r="K293" s="4" t="s">
        <v>62</v>
      </c>
      <c r="L293" s="4" t="s">
        <v>62</v>
      </c>
      <c r="M293" s="4" t="s">
        <v>62</v>
      </c>
      <c r="N293" s="4" t="s">
        <v>62</v>
      </c>
      <c r="O293" s="4" t="s">
        <v>62</v>
      </c>
      <c r="P293" s="4" t="s">
        <v>62</v>
      </c>
      <c r="Q293" s="4" t="s">
        <v>62</v>
      </c>
      <c r="R293" s="4" t="s">
        <v>62</v>
      </c>
      <c r="S293" s="4" t="s">
        <v>62</v>
      </c>
      <c r="T293" s="4" t="s">
        <v>62</v>
      </c>
      <c r="U293" s="4" t="s">
        <v>62</v>
      </c>
      <c r="V293" s="4" t="s">
        <v>62</v>
      </c>
      <c r="W293" s="4" t="s">
        <v>62</v>
      </c>
      <c r="X293" s="4" t="s">
        <v>62</v>
      </c>
      <c r="Y293" s="4" t="s">
        <v>62</v>
      </c>
      <c r="Z293" s="4" t="s">
        <v>62</v>
      </c>
      <c r="AA293" s="4" t="s">
        <v>62</v>
      </c>
      <c r="AB293" s="4" t="s">
        <v>62</v>
      </c>
      <c r="AC293" s="4" t="s">
        <v>62</v>
      </c>
      <c r="AD293" s="4" t="s">
        <v>62</v>
      </c>
      <c r="AE293" s="4" t="s">
        <v>62</v>
      </c>
      <c r="AF293" s="4" t="s">
        <v>62</v>
      </c>
      <c r="AG293" s="4" t="s">
        <v>62</v>
      </c>
      <c r="AH293" s="8"/>
    </row>
    <row r="294" spans="2:34">
      <c r="B294" s="82">
        <v>2</v>
      </c>
      <c r="C294" s="88" t="str">
        <f>LEFT(EmpGName02)&amp;" " &amp;EmpSName02</f>
        <v>K Stone</v>
      </c>
      <c r="D294" s="3" t="s">
        <v>62</v>
      </c>
      <c r="E294" s="3" t="s">
        <v>62</v>
      </c>
      <c r="F294" s="3" t="s">
        <v>62</v>
      </c>
      <c r="G294" s="3" t="s">
        <v>62</v>
      </c>
      <c r="H294" s="3" t="s">
        <v>62</v>
      </c>
      <c r="I294" s="3" t="s">
        <v>62</v>
      </c>
      <c r="J294" s="3" t="s">
        <v>62</v>
      </c>
      <c r="K294" s="3" t="s">
        <v>62</v>
      </c>
      <c r="L294" s="3" t="s">
        <v>62</v>
      </c>
      <c r="M294" s="3" t="s">
        <v>62</v>
      </c>
      <c r="N294" s="3" t="s">
        <v>62</v>
      </c>
      <c r="O294" s="3" t="s">
        <v>62</v>
      </c>
      <c r="P294" s="3" t="s">
        <v>62</v>
      </c>
      <c r="Q294" s="3" t="s">
        <v>62</v>
      </c>
      <c r="R294" s="3" t="s">
        <v>62</v>
      </c>
      <c r="S294" s="3" t="s">
        <v>62</v>
      </c>
      <c r="T294" s="3" t="s">
        <v>62</v>
      </c>
      <c r="U294" s="3" t="s">
        <v>62</v>
      </c>
      <c r="V294" s="3" t="s">
        <v>62</v>
      </c>
      <c r="W294" s="3" t="s">
        <v>62</v>
      </c>
      <c r="X294" s="3" t="s">
        <v>62</v>
      </c>
      <c r="Y294" s="3" t="s">
        <v>62</v>
      </c>
      <c r="Z294" s="3" t="s">
        <v>62</v>
      </c>
      <c r="AA294" s="3" t="s">
        <v>62</v>
      </c>
      <c r="AB294" s="3" t="s">
        <v>62</v>
      </c>
      <c r="AC294" s="3" t="s">
        <v>62</v>
      </c>
      <c r="AD294" s="3" t="s">
        <v>62</v>
      </c>
      <c r="AE294" s="3" t="s">
        <v>62</v>
      </c>
      <c r="AF294" s="3" t="s">
        <v>62</v>
      </c>
      <c r="AG294" s="3" t="s">
        <v>62</v>
      </c>
      <c r="AH294" s="8"/>
    </row>
    <row r="295" spans="2:34">
      <c r="B295" s="82">
        <v>3</v>
      </c>
      <c r="C295" s="87" t="str">
        <f>LEFT(EmpGName03)&amp;" " &amp;EmpSName03</f>
        <v>I Thelning</v>
      </c>
      <c r="D295" s="4" t="s">
        <v>62</v>
      </c>
      <c r="E295" s="4" t="s">
        <v>62</v>
      </c>
      <c r="F295" s="4" t="s">
        <v>62</v>
      </c>
      <c r="G295" s="4" t="s">
        <v>62</v>
      </c>
      <c r="H295" s="4" t="s">
        <v>62</v>
      </c>
      <c r="I295" s="4" t="s">
        <v>62</v>
      </c>
      <c r="J295" s="4" t="s">
        <v>62</v>
      </c>
      <c r="K295" s="4" t="s">
        <v>62</v>
      </c>
      <c r="L295" s="4" t="s">
        <v>62</v>
      </c>
      <c r="M295" s="4" t="s">
        <v>62</v>
      </c>
      <c r="N295" s="4" t="s">
        <v>62</v>
      </c>
      <c r="O295" s="4" t="s">
        <v>62</v>
      </c>
      <c r="P295" s="4" t="s">
        <v>62</v>
      </c>
      <c r="Q295" s="4" t="s">
        <v>62</v>
      </c>
      <c r="R295" s="4" t="s">
        <v>62</v>
      </c>
      <c r="S295" s="4" t="s">
        <v>62</v>
      </c>
      <c r="T295" s="4" t="s">
        <v>62</v>
      </c>
      <c r="U295" s="4" t="s">
        <v>62</v>
      </c>
      <c r="V295" s="4" t="s">
        <v>62</v>
      </c>
      <c r="W295" s="4" t="s">
        <v>62</v>
      </c>
      <c r="X295" s="4" t="s">
        <v>62</v>
      </c>
      <c r="Y295" s="4" t="s">
        <v>62</v>
      </c>
      <c r="Z295" s="4" t="s">
        <v>62</v>
      </c>
      <c r="AA295" s="4" t="s">
        <v>62</v>
      </c>
      <c r="AB295" s="4" t="s">
        <v>62</v>
      </c>
      <c r="AC295" s="4" t="s">
        <v>62</v>
      </c>
      <c r="AD295" s="4" t="s">
        <v>62</v>
      </c>
      <c r="AE295" s="4" t="s">
        <v>62</v>
      </c>
      <c r="AF295" s="4" t="s">
        <v>62</v>
      </c>
      <c r="AG295" s="4" t="s">
        <v>62</v>
      </c>
      <c r="AH295" s="8"/>
    </row>
    <row r="296" spans="2:34">
      <c r="B296" s="82">
        <v>4</v>
      </c>
      <c r="C296" s="88" t="str">
        <f>LEFT(EmpGName04)&amp;" " &amp;EmpSName04</f>
        <v>L King</v>
      </c>
      <c r="D296" s="3" t="s">
        <v>62</v>
      </c>
      <c r="E296" s="3" t="s">
        <v>62</v>
      </c>
      <c r="F296" s="3" t="s">
        <v>62</v>
      </c>
      <c r="G296" s="3" t="s">
        <v>62</v>
      </c>
      <c r="H296" s="3" t="s">
        <v>62</v>
      </c>
      <c r="I296" s="3" t="s">
        <v>62</v>
      </c>
      <c r="J296" s="3" t="s">
        <v>62</v>
      </c>
      <c r="K296" s="3" t="s">
        <v>62</v>
      </c>
      <c r="L296" s="3" t="s">
        <v>62</v>
      </c>
      <c r="M296" s="3" t="s">
        <v>62</v>
      </c>
      <c r="N296" s="3" t="s">
        <v>62</v>
      </c>
      <c r="O296" s="3" t="s">
        <v>62</v>
      </c>
      <c r="P296" s="3" t="s">
        <v>62</v>
      </c>
      <c r="Q296" s="3" t="s">
        <v>62</v>
      </c>
      <c r="R296" s="3" t="s">
        <v>62</v>
      </c>
      <c r="S296" s="3" t="s">
        <v>62</v>
      </c>
      <c r="T296" s="3" t="s">
        <v>62</v>
      </c>
      <c r="U296" s="3" t="s">
        <v>62</v>
      </c>
      <c r="V296" s="3" t="s">
        <v>62</v>
      </c>
      <c r="W296" s="3" t="s">
        <v>62</v>
      </c>
      <c r="X296" s="3" t="s">
        <v>62</v>
      </c>
      <c r="Y296" s="3" t="s">
        <v>62</v>
      </c>
      <c r="Z296" s="3" t="s">
        <v>62</v>
      </c>
      <c r="AA296" s="3" t="s">
        <v>62</v>
      </c>
      <c r="AB296" s="3" t="s">
        <v>62</v>
      </c>
      <c r="AC296" s="3" t="s">
        <v>62</v>
      </c>
      <c r="AD296" s="3" t="s">
        <v>62</v>
      </c>
      <c r="AE296" s="3" t="s">
        <v>62</v>
      </c>
      <c r="AF296" s="3" t="s">
        <v>62</v>
      </c>
      <c r="AG296" s="3" t="s">
        <v>62</v>
      </c>
      <c r="AH296" s="8"/>
    </row>
    <row r="297" spans="2:34">
      <c r="B297" s="82">
        <v>5</v>
      </c>
      <c r="C297" s="87" t="str">
        <f>LEFT(EmpGName05)&amp;" " &amp;EmpSName05</f>
        <v>D Castle</v>
      </c>
      <c r="D297" s="4" t="s">
        <v>62</v>
      </c>
      <c r="E297" s="4" t="s">
        <v>62</v>
      </c>
      <c r="F297" s="4" t="s">
        <v>62</v>
      </c>
      <c r="G297" s="4" t="s">
        <v>62</v>
      </c>
      <c r="H297" s="4" t="s">
        <v>62</v>
      </c>
      <c r="I297" s="4" t="s">
        <v>62</v>
      </c>
      <c r="J297" s="4" t="s">
        <v>62</v>
      </c>
      <c r="K297" s="4" t="s">
        <v>62</v>
      </c>
      <c r="L297" s="4" t="s">
        <v>62</v>
      </c>
      <c r="M297" s="4" t="s">
        <v>62</v>
      </c>
      <c r="N297" s="4" t="s">
        <v>62</v>
      </c>
      <c r="O297" s="4" t="s">
        <v>62</v>
      </c>
      <c r="P297" s="4" t="s">
        <v>62</v>
      </c>
      <c r="Q297" s="4" t="s">
        <v>62</v>
      </c>
      <c r="R297" s="4" t="s">
        <v>62</v>
      </c>
      <c r="S297" s="4" t="s">
        <v>62</v>
      </c>
      <c r="T297" s="4" t="s">
        <v>62</v>
      </c>
      <c r="U297" s="4" t="s">
        <v>62</v>
      </c>
      <c r="V297" s="4" t="s">
        <v>62</v>
      </c>
      <c r="W297" s="4" t="s">
        <v>62</v>
      </c>
      <c r="X297" s="4" t="s">
        <v>62</v>
      </c>
      <c r="Y297" s="4" t="s">
        <v>62</v>
      </c>
      <c r="Z297" s="4" t="s">
        <v>62</v>
      </c>
      <c r="AA297" s="4" t="s">
        <v>62</v>
      </c>
      <c r="AB297" s="4" t="s">
        <v>62</v>
      </c>
      <c r="AC297" s="4" t="s">
        <v>62</v>
      </c>
      <c r="AD297" s="4" t="s">
        <v>62</v>
      </c>
      <c r="AE297" s="4" t="s">
        <v>62</v>
      </c>
      <c r="AF297" s="4" t="s">
        <v>62</v>
      </c>
      <c r="AG297" s="4" t="s">
        <v>62</v>
      </c>
      <c r="AH297" s="8"/>
    </row>
    <row r="298" spans="2:34">
      <c r="B298" s="82">
        <v>6</v>
      </c>
      <c r="C298" s="88" t="str">
        <f>LEFT(EmpGName06)&amp;" " &amp;EmpSName06</f>
        <v>R Fielding</v>
      </c>
      <c r="D298" s="3" t="s">
        <v>62</v>
      </c>
      <c r="E298" s="3" t="s">
        <v>62</v>
      </c>
      <c r="F298" s="3" t="s">
        <v>62</v>
      </c>
      <c r="G298" s="3" t="s">
        <v>62</v>
      </c>
      <c r="H298" s="3" t="s">
        <v>62</v>
      </c>
      <c r="I298" s="3" t="s">
        <v>62</v>
      </c>
      <c r="J298" s="3" t="s">
        <v>62</v>
      </c>
      <c r="K298" s="3" t="s">
        <v>62</v>
      </c>
      <c r="L298" s="3" t="s">
        <v>62</v>
      </c>
      <c r="M298" s="3" t="s">
        <v>62</v>
      </c>
      <c r="N298" s="3" t="s">
        <v>62</v>
      </c>
      <c r="O298" s="3" t="s">
        <v>62</v>
      </c>
      <c r="P298" s="3" t="s">
        <v>62</v>
      </c>
      <c r="Q298" s="3" t="s">
        <v>62</v>
      </c>
      <c r="R298" s="3" t="s">
        <v>62</v>
      </c>
      <c r="S298" s="3" t="s">
        <v>62</v>
      </c>
      <c r="T298" s="3" t="s">
        <v>62</v>
      </c>
      <c r="U298" s="3" t="s">
        <v>62</v>
      </c>
      <c r="V298" s="3" t="s">
        <v>62</v>
      </c>
      <c r="W298" s="3" t="s">
        <v>62</v>
      </c>
      <c r="X298" s="3" t="s">
        <v>62</v>
      </c>
      <c r="Y298" s="3" t="s">
        <v>62</v>
      </c>
      <c r="Z298" s="3" t="s">
        <v>62</v>
      </c>
      <c r="AA298" s="3" t="s">
        <v>62</v>
      </c>
      <c r="AB298" s="3" t="s">
        <v>62</v>
      </c>
      <c r="AC298" s="3" t="s">
        <v>62</v>
      </c>
      <c r="AD298" s="3" t="s">
        <v>62</v>
      </c>
      <c r="AE298" s="3" t="s">
        <v>62</v>
      </c>
      <c r="AF298" s="3" t="s">
        <v>62</v>
      </c>
      <c r="AG298" s="3" t="s">
        <v>62</v>
      </c>
      <c r="AH298" s="8"/>
    </row>
    <row r="299" spans="2:34">
      <c r="B299" s="82">
        <v>7</v>
      </c>
      <c r="C299" s="87" t="str">
        <f>LEFT(EmpGName07)&amp;" " &amp;EmpSName07</f>
        <v>T Sorensen</v>
      </c>
      <c r="D299" s="4" t="s">
        <v>62</v>
      </c>
      <c r="E299" s="4" t="s">
        <v>62</v>
      </c>
      <c r="F299" s="4" t="s">
        <v>62</v>
      </c>
      <c r="G299" s="4" t="s">
        <v>62</v>
      </c>
      <c r="H299" s="4" t="s">
        <v>62</v>
      </c>
      <c r="I299" s="4" t="s">
        <v>62</v>
      </c>
      <c r="J299" s="4" t="s">
        <v>62</v>
      </c>
      <c r="K299" s="4" t="s">
        <v>62</v>
      </c>
      <c r="L299" s="4" t="s">
        <v>62</v>
      </c>
      <c r="M299" s="4" t="s">
        <v>62</v>
      </c>
      <c r="N299" s="4" t="s">
        <v>62</v>
      </c>
      <c r="O299" s="4" t="s">
        <v>62</v>
      </c>
      <c r="P299" s="4" t="s">
        <v>62</v>
      </c>
      <c r="Q299" s="4" t="s">
        <v>62</v>
      </c>
      <c r="R299" s="4" t="s">
        <v>62</v>
      </c>
      <c r="S299" s="4" t="s">
        <v>62</v>
      </c>
      <c r="T299" s="4" t="s">
        <v>62</v>
      </c>
      <c r="U299" s="4" t="s">
        <v>62</v>
      </c>
      <c r="V299" s="4" t="s">
        <v>62</v>
      </c>
      <c r="W299" s="4" t="s">
        <v>62</v>
      </c>
      <c r="X299" s="4" t="s">
        <v>62</v>
      </c>
      <c r="Y299" s="4" t="s">
        <v>62</v>
      </c>
      <c r="Z299" s="4" t="s">
        <v>62</v>
      </c>
      <c r="AA299" s="4" t="s">
        <v>62</v>
      </c>
      <c r="AB299" s="4" t="s">
        <v>62</v>
      </c>
      <c r="AC299" s="4" t="s">
        <v>62</v>
      </c>
      <c r="AD299" s="4" t="s">
        <v>62</v>
      </c>
      <c r="AE299" s="4" t="s">
        <v>62</v>
      </c>
      <c r="AF299" s="4" t="s">
        <v>62</v>
      </c>
      <c r="AG299" s="4" t="s">
        <v>62</v>
      </c>
      <c r="AH299" s="8"/>
    </row>
    <row r="300" spans="2:34">
      <c r="B300" s="82">
        <v>8</v>
      </c>
      <c r="C300" s="88" t="str">
        <f>LEFT(EmpGName08)&amp;" " &amp;EmpSName08</f>
        <v>C Horse</v>
      </c>
      <c r="D300" s="3" t="s">
        <v>62</v>
      </c>
      <c r="E300" s="3" t="s">
        <v>62</v>
      </c>
      <c r="F300" s="3" t="s">
        <v>62</v>
      </c>
      <c r="G300" s="3" t="s">
        <v>62</v>
      </c>
      <c r="H300" s="3" t="s">
        <v>62</v>
      </c>
      <c r="I300" s="3" t="s">
        <v>62</v>
      </c>
      <c r="J300" s="3" t="s">
        <v>62</v>
      </c>
      <c r="K300" s="3" t="s">
        <v>62</v>
      </c>
      <c r="L300" s="3" t="s">
        <v>62</v>
      </c>
      <c r="M300" s="3" t="s">
        <v>62</v>
      </c>
      <c r="N300" s="3" t="s">
        <v>62</v>
      </c>
      <c r="O300" s="3" t="s">
        <v>62</v>
      </c>
      <c r="P300" s="3" t="s">
        <v>62</v>
      </c>
      <c r="Q300" s="3" t="s">
        <v>62</v>
      </c>
      <c r="R300" s="3" t="s">
        <v>62</v>
      </c>
      <c r="S300" s="3" t="s">
        <v>62</v>
      </c>
      <c r="T300" s="3" t="s">
        <v>62</v>
      </c>
      <c r="U300" s="3" t="s">
        <v>62</v>
      </c>
      <c r="V300" s="3" t="s">
        <v>62</v>
      </c>
      <c r="W300" s="3" t="s">
        <v>62</v>
      </c>
      <c r="X300" s="3" t="s">
        <v>62</v>
      </c>
      <c r="Y300" s="3" t="s">
        <v>62</v>
      </c>
      <c r="Z300" s="3" t="s">
        <v>62</v>
      </c>
      <c r="AA300" s="3" t="s">
        <v>62</v>
      </c>
      <c r="AB300" s="3" t="s">
        <v>62</v>
      </c>
      <c r="AC300" s="3" t="s">
        <v>62</v>
      </c>
      <c r="AD300" s="3" t="s">
        <v>62</v>
      </c>
      <c r="AE300" s="3" t="s">
        <v>62</v>
      </c>
      <c r="AF300" s="3" t="s">
        <v>62</v>
      </c>
      <c r="AG300" s="3" t="s">
        <v>62</v>
      </c>
      <c r="AH300" s="8"/>
    </row>
    <row r="301" spans="2:34">
      <c r="B301" s="82">
        <v>9</v>
      </c>
      <c r="C301" s="87" t="str">
        <f>LEFT(EmpGName09)&amp;" " &amp;EmpSName09</f>
        <v xml:space="preserve">E Horse </v>
      </c>
      <c r="D301" s="4" t="s">
        <v>62</v>
      </c>
      <c r="E301" s="4" t="s">
        <v>62</v>
      </c>
      <c r="F301" s="4" t="s">
        <v>62</v>
      </c>
      <c r="G301" s="4" t="s">
        <v>62</v>
      </c>
      <c r="H301" s="4" t="s">
        <v>62</v>
      </c>
      <c r="I301" s="4" t="s">
        <v>62</v>
      </c>
      <c r="J301" s="4" t="s">
        <v>62</v>
      </c>
      <c r="K301" s="4" t="s">
        <v>62</v>
      </c>
      <c r="L301" s="4" t="s">
        <v>62</v>
      </c>
      <c r="M301" s="4" t="s">
        <v>62</v>
      </c>
      <c r="N301" s="4" t="s">
        <v>62</v>
      </c>
      <c r="O301" s="4" t="s">
        <v>62</v>
      </c>
      <c r="P301" s="4" t="s">
        <v>62</v>
      </c>
      <c r="Q301" s="4" t="s">
        <v>62</v>
      </c>
      <c r="R301" s="4" t="s">
        <v>62</v>
      </c>
      <c r="S301" s="4" t="s">
        <v>62</v>
      </c>
      <c r="T301" s="4" t="s">
        <v>62</v>
      </c>
      <c r="U301" s="4" t="s">
        <v>62</v>
      </c>
      <c r="V301" s="4" t="s">
        <v>62</v>
      </c>
      <c r="W301" s="4" t="s">
        <v>62</v>
      </c>
      <c r="X301" s="4" t="s">
        <v>62</v>
      </c>
      <c r="Y301" s="4" t="s">
        <v>62</v>
      </c>
      <c r="Z301" s="4" t="s">
        <v>62</v>
      </c>
      <c r="AA301" s="4" t="s">
        <v>62</v>
      </c>
      <c r="AB301" s="4" t="s">
        <v>62</v>
      </c>
      <c r="AC301" s="4" t="s">
        <v>62</v>
      </c>
      <c r="AD301" s="4" t="s">
        <v>62</v>
      </c>
      <c r="AE301" s="4" t="s">
        <v>62</v>
      </c>
      <c r="AF301" s="4" t="s">
        <v>62</v>
      </c>
      <c r="AG301" s="4" t="s">
        <v>62</v>
      </c>
      <c r="AH301" s="8"/>
    </row>
    <row r="302" spans="2:34">
      <c r="B302" s="140">
        <v>10</v>
      </c>
      <c r="C302" s="88" t="str">
        <f>LEFT(EmpGName10)&amp;" " &amp;EmpSName10</f>
        <v>J Smeegal</v>
      </c>
      <c r="D302" s="3" t="s">
        <v>62</v>
      </c>
      <c r="E302" s="3" t="s">
        <v>62</v>
      </c>
      <c r="F302" s="3" t="s">
        <v>62</v>
      </c>
      <c r="G302" s="3" t="s">
        <v>62</v>
      </c>
      <c r="H302" s="3" t="s">
        <v>62</v>
      </c>
      <c r="I302" s="3" t="s">
        <v>62</v>
      </c>
      <c r="J302" s="3" t="s">
        <v>62</v>
      </c>
      <c r="K302" s="3" t="s">
        <v>62</v>
      </c>
      <c r="L302" s="3" t="s">
        <v>62</v>
      </c>
      <c r="M302" s="3" t="s">
        <v>62</v>
      </c>
      <c r="N302" s="3" t="s">
        <v>62</v>
      </c>
      <c r="O302" s="3" t="s">
        <v>62</v>
      </c>
      <c r="P302" s="3" t="s">
        <v>62</v>
      </c>
      <c r="Q302" s="3" t="s">
        <v>62</v>
      </c>
      <c r="R302" s="3" t="s">
        <v>62</v>
      </c>
      <c r="S302" s="3" t="s">
        <v>62</v>
      </c>
      <c r="T302" s="3" t="s">
        <v>62</v>
      </c>
      <c r="U302" s="3" t="s">
        <v>62</v>
      </c>
      <c r="V302" s="3" t="s">
        <v>62</v>
      </c>
      <c r="W302" s="3" t="s">
        <v>62</v>
      </c>
      <c r="X302" s="3" t="s">
        <v>62</v>
      </c>
      <c r="Y302" s="3" t="s">
        <v>62</v>
      </c>
      <c r="Z302" s="3" t="s">
        <v>62</v>
      </c>
      <c r="AA302" s="3" t="s">
        <v>62</v>
      </c>
      <c r="AB302" s="3" t="s">
        <v>62</v>
      </c>
      <c r="AC302" s="3" t="s">
        <v>62</v>
      </c>
      <c r="AD302" s="3" t="s">
        <v>62</v>
      </c>
      <c r="AE302" s="3" t="s">
        <v>62</v>
      </c>
      <c r="AF302" s="3" t="s">
        <v>62</v>
      </c>
      <c r="AG302" s="3" t="s">
        <v>62</v>
      </c>
      <c r="AH302" s="73"/>
    </row>
    <row r="303" spans="2:34">
      <c r="B303" s="140">
        <v>11</v>
      </c>
      <c r="C303" s="87" t="str">
        <f>LEFT(EmpGName11)&amp;" " &amp;EmpSName11</f>
        <v>E Smeegal</v>
      </c>
      <c r="D303" s="4" t="s">
        <v>62</v>
      </c>
      <c r="E303" s="4" t="s">
        <v>62</v>
      </c>
      <c r="F303" s="4" t="s">
        <v>62</v>
      </c>
      <c r="G303" s="4" t="s">
        <v>62</v>
      </c>
      <c r="H303" s="4" t="s">
        <v>62</v>
      </c>
      <c r="I303" s="4" t="s">
        <v>62</v>
      </c>
      <c r="J303" s="4" t="s">
        <v>62</v>
      </c>
      <c r="K303" s="4" t="s">
        <v>62</v>
      </c>
      <c r="L303" s="4" t="s">
        <v>62</v>
      </c>
      <c r="M303" s="4" t="s">
        <v>62</v>
      </c>
      <c r="N303" s="4" t="s">
        <v>62</v>
      </c>
      <c r="O303" s="4" t="s">
        <v>62</v>
      </c>
      <c r="P303" s="4" t="s">
        <v>62</v>
      </c>
      <c r="Q303" s="4" t="s">
        <v>62</v>
      </c>
      <c r="R303" s="4" t="s">
        <v>62</v>
      </c>
      <c r="S303" s="4" t="s">
        <v>62</v>
      </c>
      <c r="T303" s="4" t="s">
        <v>62</v>
      </c>
      <c r="U303" s="4" t="s">
        <v>62</v>
      </c>
      <c r="V303" s="4" t="s">
        <v>62</v>
      </c>
      <c r="W303" s="4" t="s">
        <v>62</v>
      </c>
      <c r="X303" s="4" t="s">
        <v>62</v>
      </c>
      <c r="Y303" s="4" t="s">
        <v>62</v>
      </c>
      <c r="Z303" s="4" t="s">
        <v>62</v>
      </c>
      <c r="AA303" s="4" t="s">
        <v>62</v>
      </c>
      <c r="AB303" s="4" t="s">
        <v>62</v>
      </c>
      <c r="AC303" s="4" t="s">
        <v>62</v>
      </c>
      <c r="AD303" s="4" t="s">
        <v>62</v>
      </c>
      <c r="AE303" s="4" t="s">
        <v>62</v>
      </c>
      <c r="AF303" s="4" t="s">
        <v>62</v>
      </c>
      <c r="AG303" s="4" t="s">
        <v>62</v>
      </c>
      <c r="AH303" s="73"/>
    </row>
    <row r="304" spans="2:34">
      <c r="B304" s="140">
        <v>12</v>
      </c>
      <c r="C304" s="88" t="str">
        <f>LEFT(EmpGName12)&amp;" " &amp;EmpSName12</f>
        <v>J James</v>
      </c>
      <c r="D304" s="3" t="s">
        <v>62</v>
      </c>
      <c r="E304" s="3" t="s">
        <v>62</v>
      </c>
      <c r="F304" s="3" t="s">
        <v>62</v>
      </c>
      <c r="G304" s="3" t="s">
        <v>62</v>
      </c>
      <c r="H304" s="3" t="s">
        <v>62</v>
      </c>
      <c r="I304" s="3" t="s">
        <v>62</v>
      </c>
      <c r="J304" s="3" t="s">
        <v>62</v>
      </c>
      <c r="K304" s="3" t="s">
        <v>62</v>
      </c>
      <c r="L304" s="3" t="s">
        <v>62</v>
      </c>
      <c r="M304" s="3" t="s">
        <v>62</v>
      </c>
      <c r="N304" s="3" t="s">
        <v>62</v>
      </c>
      <c r="O304" s="3" t="s">
        <v>62</v>
      </c>
      <c r="P304" s="3" t="s">
        <v>62</v>
      </c>
      <c r="Q304" s="3" t="s">
        <v>62</v>
      </c>
      <c r="R304" s="3" t="s">
        <v>62</v>
      </c>
      <c r="S304" s="3" t="s">
        <v>62</v>
      </c>
      <c r="T304" s="3" t="s">
        <v>62</v>
      </c>
      <c r="U304" s="3" t="s">
        <v>62</v>
      </c>
      <c r="V304" s="3" t="s">
        <v>62</v>
      </c>
      <c r="W304" s="3" t="s">
        <v>62</v>
      </c>
      <c r="X304" s="3" t="s">
        <v>62</v>
      </c>
      <c r="Y304" s="3" t="s">
        <v>62</v>
      </c>
      <c r="Z304" s="3" t="s">
        <v>62</v>
      </c>
      <c r="AA304" s="3" t="s">
        <v>62</v>
      </c>
      <c r="AB304" s="3" t="s">
        <v>62</v>
      </c>
      <c r="AC304" s="3" t="s">
        <v>62</v>
      </c>
      <c r="AD304" s="3" t="s">
        <v>62</v>
      </c>
      <c r="AE304" s="3" t="s">
        <v>62</v>
      </c>
      <c r="AF304" s="3" t="s">
        <v>62</v>
      </c>
      <c r="AG304" s="3" t="s">
        <v>62</v>
      </c>
      <c r="AH304" s="73"/>
    </row>
    <row r="305" spans="2:34">
      <c r="B305" s="139">
        <v>13</v>
      </c>
      <c r="C305" s="87" t="str">
        <f>LEFT(EmpGName13)&amp;" " &amp;EmpSName13</f>
        <v>J Jack</v>
      </c>
      <c r="D305" s="4" t="s">
        <v>62</v>
      </c>
      <c r="E305" s="4" t="s">
        <v>62</v>
      </c>
      <c r="F305" s="4" t="s">
        <v>62</v>
      </c>
      <c r="G305" s="4" t="s">
        <v>62</v>
      </c>
      <c r="H305" s="4" t="s">
        <v>62</v>
      </c>
      <c r="I305" s="4" t="s">
        <v>62</v>
      </c>
      <c r="J305" s="4" t="s">
        <v>62</v>
      </c>
      <c r="K305" s="4" t="s">
        <v>62</v>
      </c>
      <c r="L305" s="4" t="s">
        <v>62</v>
      </c>
      <c r="M305" s="4" t="s">
        <v>62</v>
      </c>
      <c r="N305" s="4" t="s">
        <v>62</v>
      </c>
      <c r="O305" s="4" t="s">
        <v>62</v>
      </c>
      <c r="P305" s="4" t="s">
        <v>62</v>
      </c>
      <c r="Q305" s="4" t="s">
        <v>62</v>
      </c>
      <c r="R305" s="4" t="s">
        <v>62</v>
      </c>
      <c r="S305" s="4" t="s">
        <v>62</v>
      </c>
      <c r="T305" s="4" t="s">
        <v>62</v>
      </c>
      <c r="U305" s="4" t="s">
        <v>62</v>
      </c>
      <c r="V305" s="4" t="s">
        <v>62</v>
      </c>
      <c r="W305" s="4" t="s">
        <v>62</v>
      </c>
      <c r="X305" s="4" t="s">
        <v>62</v>
      </c>
      <c r="Y305" s="4" t="s">
        <v>62</v>
      </c>
      <c r="Z305" s="4" t="s">
        <v>62</v>
      </c>
      <c r="AA305" s="4" t="s">
        <v>62</v>
      </c>
      <c r="AB305" s="4" t="s">
        <v>62</v>
      </c>
      <c r="AC305" s="4" t="s">
        <v>62</v>
      </c>
      <c r="AD305" s="4" t="s">
        <v>62</v>
      </c>
      <c r="AE305" s="4" t="s">
        <v>62</v>
      </c>
      <c r="AF305" s="4" t="s">
        <v>62</v>
      </c>
      <c r="AG305" s="4" t="s">
        <v>62</v>
      </c>
      <c r="AH305" s="73"/>
    </row>
    <row r="306" spans="2:34">
      <c r="B306" s="139">
        <v>14</v>
      </c>
      <c r="C306" s="88" t="str">
        <f>LEFT(EmpGName14)&amp;" " &amp;EmpSName14</f>
        <v xml:space="preserve">J Jacky </v>
      </c>
      <c r="D306" s="3" t="s">
        <v>62</v>
      </c>
      <c r="E306" s="3" t="s">
        <v>62</v>
      </c>
      <c r="F306" s="3" t="s">
        <v>62</v>
      </c>
      <c r="G306" s="3" t="s">
        <v>62</v>
      </c>
      <c r="H306" s="3" t="s">
        <v>62</v>
      </c>
      <c r="I306" s="3" t="s">
        <v>62</v>
      </c>
      <c r="J306" s="3" t="s">
        <v>62</v>
      </c>
      <c r="K306" s="3" t="s">
        <v>62</v>
      </c>
      <c r="L306" s="3" t="s">
        <v>62</v>
      </c>
      <c r="M306" s="3" t="s">
        <v>62</v>
      </c>
      <c r="N306" s="3" t="s">
        <v>62</v>
      </c>
      <c r="O306" s="3" t="s">
        <v>62</v>
      </c>
      <c r="P306" s="3" t="s">
        <v>62</v>
      </c>
      <c r="Q306" s="3" t="s">
        <v>62</v>
      </c>
      <c r="R306" s="3" t="s">
        <v>62</v>
      </c>
      <c r="S306" s="3" t="s">
        <v>62</v>
      </c>
      <c r="T306" s="3" t="s">
        <v>62</v>
      </c>
      <c r="U306" s="3" t="s">
        <v>62</v>
      </c>
      <c r="V306" s="3" t="s">
        <v>62</v>
      </c>
      <c r="W306" s="3" t="s">
        <v>62</v>
      </c>
      <c r="X306" s="3" t="s">
        <v>62</v>
      </c>
      <c r="Y306" s="3" t="s">
        <v>62</v>
      </c>
      <c r="Z306" s="3" t="s">
        <v>62</v>
      </c>
      <c r="AA306" s="3" t="s">
        <v>62</v>
      </c>
      <c r="AB306" s="3" t="s">
        <v>62</v>
      </c>
      <c r="AC306" s="3" t="s">
        <v>62</v>
      </c>
      <c r="AD306" s="3" t="s">
        <v>62</v>
      </c>
      <c r="AE306" s="3" t="s">
        <v>62</v>
      </c>
      <c r="AF306" s="3" t="s">
        <v>62</v>
      </c>
      <c r="AG306" s="3" t="s">
        <v>62</v>
      </c>
      <c r="AH306" s="73"/>
    </row>
    <row r="307" spans="2:34">
      <c r="B307" s="139">
        <v>15</v>
      </c>
      <c r="C307" s="87" t="str">
        <f>LEFT(EmpGName15)&amp;" " &amp;EmpSName15</f>
        <v>J Friedle</v>
      </c>
      <c r="D307" s="4" t="s">
        <v>62</v>
      </c>
      <c r="E307" s="4" t="s">
        <v>62</v>
      </c>
      <c r="F307" s="4" t="s">
        <v>62</v>
      </c>
      <c r="G307" s="4" t="s">
        <v>62</v>
      </c>
      <c r="H307" s="4" t="s">
        <v>62</v>
      </c>
      <c r="I307" s="4" t="s">
        <v>62</v>
      </c>
      <c r="J307" s="4" t="s">
        <v>62</v>
      </c>
      <c r="K307" s="4" t="s">
        <v>62</v>
      </c>
      <c r="L307" s="4" t="s">
        <v>62</v>
      </c>
      <c r="M307" s="4" t="s">
        <v>62</v>
      </c>
      <c r="N307" s="4" t="s">
        <v>62</v>
      </c>
      <c r="O307" s="4" t="s">
        <v>62</v>
      </c>
      <c r="P307" s="4" t="s">
        <v>62</v>
      </c>
      <c r="Q307" s="4" t="s">
        <v>62</v>
      </c>
      <c r="R307" s="4" t="s">
        <v>62</v>
      </c>
      <c r="S307" s="4" t="s">
        <v>62</v>
      </c>
      <c r="T307" s="4" t="s">
        <v>62</v>
      </c>
      <c r="U307" s="4" t="s">
        <v>62</v>
      </c>
      <c r="V307" s="4" t="s">
        <v>62</v>
      </c>
      <c r="W307" s="4" t="s">
        <v>62</v>
      </c>
      <c r="X307" s="4" t="s">
        <v>62</v>
      </c>
      <c r="Y307" s="4" t="s">
        <v>62</v>
      </c>
      <c r="Z307" s="4" t="s">
        <v>62</v>
      </c>
      <c r="AA307" s="4" t="s">
        <v>62</v>
      </c>
      <c r="AB307" s="4" t="s">
        <v>62</v>
      </c>
      <c r="AC307" s="4" t="s">
        <v>62</v>
      </c>
      <c r="AD307" s="4" t="s">
        <v>62</v>
      </c>
      <c r="AE307" s="4" t="s">
        <v>62</v>
      </c>
      <c r="AF307" s="4" t="s">
        <v>62</v>
      </c>
      <c r="AG307" s="4" t="s">
        <v>62</v>
      </c>
      <c r="AH307" s="73"/>
    </row>
    <row r="308" spans="2:34">
      <c r="B308" s="139">
        <v>16</v>
      </c>
      <c r="C308" s="88" t="str">
        <f>LEFT(EmpGName16)&amp;" " &amp;EmpSName16</f>
        <v>J Friedle</v>
      </c>
      <c r="D308" s="3" t="s">
        <v>62</v>
      </c>
      <c r="E308" s="3" t="s">
        <v>62</v>
      </c>
      <c r="F308" s="3" t="s">
        <v>62</v>
      </c>
      <c r="G308" s="3" t="s">
        <v>62</v>
      </c>
      <c r="H308" s="3" t="s">
        <v>62</v>
      </c>
      <c r="I308" s="3" t="s">
        <v>62</v>
      </c>
      <c r="J308" s="3" t="s">
        <v>62</v>
      </c>
      <c r="K308" s="3" t="s">
        <v>62</v>
      </c>
      <c r="L308" s="3" t="s">
        <v>62</v>
      </c>
      <c r="M308" s="3" t="s">
        <v>62</v>
      </c>
      <c r="N308" s="3" t="s">
        <v>62</v>
      </c>
      <c r="O308" s="3" t="s">
        <v>62</v>
      </c>
      <c r="P308" s="3" t="s">
        <v>62</v>
      </c>
      <c r="Q308" s="3" t="s">
        <v>62</v>
      </c>
      <c r="R308" s="3" t="s">
        <v>62</v>
      </c>
      <c r="S308" s="3" t="s">
        <v>62</v>
      </c>
      <c r="T308" s="3" t="s">
        <v>62</v>
      </c>
      <c r="U308" s="3" t="s">
        <v>62</v>
      </c>
      <c r="V308" s="3" t="s">
        <v>62</v>
      </c>
      <c r="W308" s="3" t="s">
        <v>62</v>
      </c>
      <c r="X308" s="3" t="s">
        <v>62</v>
      </c>
      <c r="Y308" s="3" t="s">
        <v>62</v>
      </c>
      <c r="Z308" s="3" t="s">
        <v>62</v>
      </c>
      <c r="AA308" s="3" t="s">
        <v>62</v>
      </c>
      <c r="AB308" s="3" t="s">
        <v>62</v>
      </c>
      <c r="AC308" s="3" t="s">
        <v>62</v>
      </c>
      <c r="AD308" s="3" t="s">
        <v>62</v>
      </c>
      <c r="AE308" s="3" t="s">
        <v>62</v>
      </c>
      <c r="AF308" s="3" t="s">
        <v>62</v>
      </c>
      <c r="AG308" s="3" t="s">
        <v>62</v>
      </c>
      <c r="AH308" s="73"/>
    </row>
    <row r="309" spans="2:34">
      <c r="B309" s="139">
        <v>17</v>
      </c>
      <c r="C309" s="87" t="str">
        <f>LEFT(EmpGName17)&amp;" " &amp;EmpSName17</f>
        <v>J Smart</v>
      </c>
      <c r="D309" s="4" t="s">
        <v>62</v>
      </c>
      <c r="E309" s="4" t="s">
        <v>62</v>
      </c>
      <c r="F309" s="4" t="s">
        <v>62</v>
      </c>
      <c r="G309" s="4" t="s">
        <v>62</v>
      </c>
      <c r="H309" s="4" t="s">
        <v>62</v>
      </c>
      <c r="I309" s="4" t="s">
        <v>62</v>
      </c>
      <c r="J309" s="4" t="s">
        <v>62</v>
      </c>
      <c r="K309" s="4" t="s">
        <v>62</v>
      </c>
      <c r="L309" s="4" t="s">
        <v>62</v>
      </c>
      <c r="M309" s="4" t="s">
        <v>62</v>
      </c>
      <c r="N309" s="4" t="s">
        <v>62</v>
      </c>
      <c r="O309" s="4" t="s">
        <v>62</v>
      </c>
      <c r="P309" s="4" t="s">
        <v>62</v>
      </c>
      <c r="Q309" s="4" t="s">
        <v>62</v>
      </c>
      <c r="R309" s="4" t="s">
        <v>62</v>
      </c>
      <c r="S309" s="4" t="s">
        <v>62</v>
      </c>
      <c r="T309" s="4" t="s">
        <v>62</v>
      </c>
      <c r="U309" s="4" t="s">
        <v>62</v>
      </c>
      <c r="V309" s="4" t="s">
        <v>62</v>
      </c>
      <c r="W309" s="4" t="s">
        <v>62</v>
      </c>
      <c r="X309" s="4" t="s">
        <v>62</v>
      </c>
      <c r="Y309" s="4" t="s">
        <v>62</v>
      </c>
      <c r="Z309" s="4" t="s">
        <v>62</v>
      </c>
      <c r="AA309" s="4" t="s">
        <v>62</v>
      </c>
      <c r="AB309" s="4" t="s">
        <v>62</v>
      </c>
      <c r="AC309" s="4" t="s">
        <v>62</v>
      </c>
      <c r="AD309" s="4" t="s">
        <v>62</v>
      </c>
      <c r="AE309" s="4" t="s">
        <v>62</v>
      </c>
      <c r="AF309" s="4" t="s">
        <v>62</v>
      </c>
      <c r="AG309" s="4" t="s">
        <v>62</v>
      </c>
      <c r="AH309" s="73"/>
    </row>
    <row r="310" spans="2:34">
      <c r="B310" s="139">
        <v>18</v>
      </c>
      <c r="C310" s="88" t="str">
        <f>LEFT(EmpGName18)&amp;" " &amp;EmpSName18</f>
        <v>E Smart</v>
      </c>
      <c r="D310" s="3" t="s">
        <v>62</v>
      </c>
      <c r="E310" s="3" t="s">
        <v>62</v>
      </c>
      <c r="F310" s="3" t="s">
        <v>62</v>
      </c>
      <c r="G310" s="3" t="s">
        <v>62</v>
      </c>
      <c r="H310" s="3" t="s">
        <v>62</v>
      </c>
      <c r="I310" s="3" t="s">
        <v>62</v>
      </c>
      <c r="J310" s="3" t="s">
        <v>62</v>
      </c>
      <c r="K310" s="3" t="s">
        <v>62</v>
      </c>
      <c r="L310" s="3" t="s">
        <v>62</v>
      </c>
      <c r="M310" s="3" t="s">
        <v>62</v>
      </c>
      <c r="N310" s="3" t="s">
        <v>62</v>
      </c>
      <c r="O310" s="3" t="s">
        <v>62</v>
      </c>
      <c r="P310" s="3" t="s">
        <v>62</v>
      </c>
      <c r="Q310" s="3" t="s">
        <v>62</v>
      </c>
      <c r="R310" s="3" t="s">
        <v>62</v>
      </c>
      <c r="S310" s="3" t="s">
        <v>62</v>
      </c>
      <c r="T310" s="3" t="s">
        <v>62</v>
      </c>
      <c r="U310" s="3" t="s">
        <v>62</v>
      </c>
      <c r="V310" s="3" t="s">
        <v>62</v>
      </c>
      <c r="W310" s="3" t="s">
        <v>62</v>
      </c>
      <c r="X310" s="3" t="s">
        <v>62</v>
      </c>
      <c r="Y310" s="3" t="s">
        <v>62</v>
      </c>
      <c r="Z310" s="3" t="s">
        <v>62</v>
      </c>
      <c r="AA310" s="3" t="s">
        <v>62</v>
      </c>
      <c r="AB310" s="3" t="s">
        <v>62</v>
      </c>
      <c r="AC310" s="3" t="s">
        <v>62</v>
      </c>
      <c r="AD310" s="3" t="s">
        <v>62</v>
      </c>
      <c r="AE310" s="3" t="s">
        <v>62</v>
      </c>
      <c r="AF310" s="3" t="s">
        <v>62</v>
      </c>
      <c r="AG310" s="3" t="s">
        <v>62</v>
      </c>
      <c r="AH310" s="73"/>
    </row>
    <row r="311" spans="2:34" hidden="1">
      <c r="B311" s="139">
        <v>19</v>
      </c>
      <c r="C311" s="87" t="str">
        <f>LEFT(EmpGName19)&amp;" " &amp;EmpSName19</f>
        <v xml:space="preserve"> </v>
      </c>
      <c r="D311" s="4" t="s">
        <v>62</v>
      </c>
      <c r="E311" s="4" t="s">
        <v>62</v>
      </c>
      <c r="F311" s="4" t="s">
        <v>62</v>
      </c>
      <c r="G311" s="4" t="s">
        <v>62</v>
      </c>
      <c r="H311" s="4" t="s">
        <v>62</v>
      </c>
      <c r="I311" s="4" t="s">
        <v>62</v>
      </c>
      <c r="J311" s="4" t="s">
        <v>62</v>
      </c>
      <c r="K311" s="4" t="s">
        <v>62</v>
      </c>
      <c r="L311" s="4" t="s">
        <v>62</v>
      </c>
      <c r="M311" s="4" t="s">
        <v>62</v>
      </c>
      <c r="N311" s="4" t="s">
        <v>62</v>
      </c>
      <c r="O311" s="4" t="s">
        <v>62</v>
      </c>
      <c r="P311" s="4" t="s">
        <v>62</v>
      </c>
      <c r="Q311" s="4" t="s">
        <v>62</v>
      </c>
      <c r="R311" s="4" t="s">
        <v>62</v>
      </c>
      <c r="S311" s="4" t="s">
        <v>62</v>
      </c>
      <c r="T311" s="4" t="s">
        <v>62</v>
      </c>
      <c r="U311" s="4" t="s">
        <v>62</v>
      </c>
      <c r="V311" s="4" t="s">
        <v>62</v>
      </c>
      <c r="W311" s="4" t="s">
        <v>62</v>
      </c>
      <c r="X311" s="4" t="s">
        <v>62</v>
      </c>
      <c r="Y311" s="4" t="s">
        <v>62</v>
      </c>
      <c r="Z311" s="4" t="s">
        <v>62</v>
      </c>
      <c r="AA311" s="4" t="s">
        <v>62</v>
      </c>
      <c r="AB311" s="4" t="s">
        <v>62</v>
      </c>
      <c r="AC311" s="4" t="s">
        <v>62</v>
      </c>
      <c r="AD311" s="4" t="s">
        <v>62</v>
      </c>
      <c r="AE311" s="4" t="s">
        <v>62</v>
      </c>
      <c r="AF311" s="4" t="s">
        <v>62</v>
      </c>
      <c r="AG311" s="4" t="s">
        <v>62</v>
      </c>
      <c r="AH311" s="73"/>
    </row>
    <row r="312" spans="2:34" hidden="1">
      <c r="B312" s="139">
        <v>20</v>
      </c>
      <c r="C312" s="88" t="str">
        <f>LEFT(EmpGName20)&amp;" " &amp;EmpSName20</f>
        <v xml:space="preserve"> </v>
      </c>
      <c r="D312" s="3" t="s">
        <v>62</v>
      </c>
      <c r="E312" s="3" t="s">
        <v>62</v>
      </c>
      <c r="F312" s="3" t="s">
        <v>62</v>
      </c>
      <c r="G312" s="3" t="s">
        <v>62</v>
      </c>
      <c r="H312" s="3" t="s">
        <v>62</v>
      </c>
      <c r="I312" s="3" t="s">
        <v>62</v>
      </c>
      <c r="J312" s="3" t="s">
        <v>62</v>
      </c>
      <c r="K312" s="3" t="s">
        <v>62</v>
      </c>
      <c r="L312" s="3" t="s">
        <v>62</v>
      </c>
      <c r="M312" s="3" t="s">
        <v>62</v>
      </c>
      <c r="N312" s="3" t="s">
        <v>62</v>
      </c>
      <c r="O312" s="3" t="s">
        <v>62</v>
      </c>
      <c r="P312" s="3" t="s">
        <v>62</v>
      </c>
      <c r="Q312" s="3" t="s">
        <v>62</v>
      </c>
      <c r="R312" s="3" t="s">
        <v>62</v>
      </c>
      <c r="S312" s="3" t="s">
        <v>62</v>
      </c>
      <c r="T312" s="3" t="s">
        <v>62</v>
      </c>
      <c r="U312" s="3" t="s">
        <v>62</v>
      </c>
      <c r="V312" s="3" t="s">
        <v>62</v>
      </c>
      <c r="W312" s="3" t="s">
        <v>62</v>
      </c>
      <c r="X312" s="3" t="s">
        <v>62</v>
      </c>
      <c r="Y312" s="3" t="s">
        <v>62</v>
      </c>
      <c r="Z312" s="3" t="s">
        <v>62</v>
      </c>
      <c r="AA312" s="3" t="s">
        <v>62</v>
      </c>
      <c r="AB312" s="3" t="s">
        <v>62</v>
      </c>
      <c r="AC312" s="3" t="s">
        <v>62</v>
      </c>
      <c r="AD312" s="3" t="s">
        <v>62</v>
      </c>
      <c r="AE312" s="3" t="s">
        <v>62</v>
      </c>
      <c r="AF312" s="3" t="s">
        <v>62</v>
      </c>
      <c r="AG312" s="3" t="s">
        <v>62</v>
      </c>
      <c r="AH312" s="73"/>
    </row>
    <row r="313" spans="2:34" hidden="1">
      <c r="B313" s="139">
        <v>21</v>
      </c>
      <c r="C313" s="87" t="str">
        <f>LEFT(EmpGName21)&amp;" " &amp;EmpSName21</f>
        <v xml:space="preserve"> </v>
      </c>
      <c r="D313" s="4" t="s">
        <v>62</v>
      </c>
      <c r="E313" s="4" t="s">
        <v>62</v>
      </c>
      <c r="F313" s="4" t="s">
        <v>62</v>
      </c>
      <c r="G313" s="4" t="s">
        <v>62</v>
      </c>
      <c r="H313" s="4" t="s">
        <v>62</v>
      </c>
      <c r="I313" s="4" t="s">
        <v>62</v>
      </c>
      <c r="J313" s="4" t="s">
        <v>62</v>
      </c>
      <c r="K313" s="4" t="s">
        <v>62</v>
      </c>
      <c r="L313" s="4" t="s">
        <v>62</v>
      </c>
      <c r="M313" s="4" t="s">
        <v>62</v>
      </c>
      <c r="N313" s="4" t="s">
        <v>62</v>
      </c>
      <c r="O313" s="4" t="s">
        <v>62</v>
      </c>
      <c r="P313" s="4" t="s">
        <v>62</v>
      </c>
      <c r="Q313" s="4" t="s">
        <v>62</v>
      </c>
      <c r="R313" s="4" t="s">
        <v>62</v>
      </c>
      <c r="S313" s="4" t="s">
        <v>62</v>
      </c>
      <c r="T313" s="4" t="s">
        <v>62</v>
      </c>
      <c r="U313" s="4" t="s">
        <v>62</v>
      </c>
      <c r="V313" s="4" t="s">
        <v>62</v>
      </c>
      <c r="W313" s="4" t="s">
        <v>62</v>
      </c>
      <c r="X313" s="4" t="s">
        <v>62</v>
      </c>
      <c r="Y313" s="4" t="s">
        <v>62</v>
      </c>
      <c r="Z313" s="4" t="s">
        <v>62</v>
      </c>
      <c r="AA313" s="4" t="s">
        <v>62</v>
      </c>
      <c r="AB313" s="4" t="s">
        <v>62</v>
      </c>
      <c r="AC313" s="4" t="s">
        <v>62</v>
      </c>
      <c r="AD313" s="4" t="s">
        <v>62</v>
      </c>
      <c r="AE313" s="4" t="s">
        <v>62</v>
      </c>
      <c r="AF313" s="4" t="s">
        <v>62</v>
      </c>
      <c r="AG313" s="4" t="s">
        <v>62</v>
      </c>
      <c r="AH313" s="73"/>
    </row>
    <row r="314" spans="2:34" hidden="1">
      <c r="B314" s="139">
        <v>22</v>
      </c>
      <c r="C314" s="88" t="str">
        <f>LEFT(EmpGName22)&amp;" " &amp;EmpSName22</f>
        <v xml:space="preserve"> </v>
      </c>
      <c r="D314" s="3" t="s">
        <v>62</v>
      </c>
      <c r="E314" s="3" t="s">
        <v>62</v>
      </c>
      <c r="F314" s="3" t="s">
        <v>62</v>
      </c>
      <c r="G314" s="3" t="s">
        <v>62</v>
      </c>
      <c r="H314" s="3" t="s">
        <v>62</v>
      </c>
      <c r="I314" s="3" t="s">
        <v>62</v>
      </c>
      <c r="J314" s="3" t="s">
        <v>62</v>
      </c>
      <c r="K314" s="3" t="s">
        <v>62</v>
      </c>
      <c r="L314" s="3" t="s">
        <v>62</v>
      </c>
      <c r="M314" s="3" t="s">
        <v>62</v>
      </c>
      <c r="N314" s="3" t="s">
        <v>62</v>
      </c>
      <c r="O314" s="3" t="s">
        <v>62</v>
      </c>
      <c r="P314" s="3" t="s">
        <v>62</v>
      </c>
      <c r="Q314" s="3" t="s">
        <v>62</v>
      </c>
      <c r="R314" s="3" t="s">
        <v>62</v>
      </c>
      <c r="S314" s="3" t="s">
        <v>62</v>
      </c>
      <c r="T314" s="3" t="s">
        <v>62</v>
      </c>
      <c r="U314" s="3" t="s">
        <v>62</v>
      </c>
      <c r="V314" s="3" t="s">
        <v>62</v>
      </c>
      <c r="W314" s="3" t="s">
        <v>62</v>
      </c>
      <c r="X314" s="3" t="s">
        <v>62</v>
      </c>
      <c r="Y314" s="3" t="s">
        <v>62</v>
      </c>
      <c r="Z314" s="3" t="s">
        <v>62</v>
      </c>
      <c r="AA314" s="3" t="s">
        <v>62</v>
      </c>
      <c r="AB314" s="3" t="s">
        <v>62</v>
      </c>
      <c r="AC314" s="3" t="s">
        <v>62</v>
      </c>
      <c r="AD314" s="3" t="s">
        <v>62</v>
      </c>
      <c r="AE314" s="3" t="s">
        <v>62</v>
      </c>
      <c r="AF314" s="3" t="s">
        <v>62</v>
      </c>
      <c r="AG314" s="3" t="s">
        <v>62</v>
      </c>
      <c r="AH314" s="73"/>
    </row>
    <row r="315" spans="2:34" hidden="1">
      <c r="B315" s="139">
        <v>23</v>
      </c>
      <c r="C315" s="87" t="str">
        <f>LEFT(EmpGName23)&amp;" " &amp;EmpSName23</f>
        <v xml:space="preserve"> </v>
      </c>
      <c r="D315" s="4" t="s">
        <v>62</v>
      </c>
      <c r="E315" s="4" t="s">
        <v>62</v>
      </c>
      <c r="F315" s="4" t="s">
        <v>62</v>
      </c>
      <c r="G315" s="4" t="s">
        <v>62</v>
      </c>
      <c r="H315" s="4" t="s">
        <v>62</v>
      </c>
      <c r="I315" s="4" t="s">
        <v>62</v>
      </c>
      <c r="J315" s="4" t="s">
        <v>62</v>
      </c>
      <c r="K315" s="4" t="s">
        <v>62</v>
      </c>
      <c r="L315" s="4" t="s">
        <v>62</v>
      </c>
      <c r="M315" s="4" t="s">
        <v>62</v>
      </c>
      <c r="N315" s="4" t="s">
        <v>62</v>
      </c>
      <c r="O315" s="4" t="s">
        <v>62</v>
      </c>
      <c r="P315" s="4" t="s">
        <v>62</v>
      </c>
      <c r="Q315" s="4" t="s">
        <v>62</v>
      </c>
      <c r="R315" s="4" t="s">
        <v>62</v>
      </c>
      <c r="S315" s="4" t="s">
        <v>62</v>
      </c>
      <c r="T315" s="4" t="s">
        <v>62</v>
      </c>
      <c r="U315" s="4" t="s">
        <v>62</v>
      </c>
      <c r="V315" s="4" t="s">
        <v>62</v>
      </c>
      <c r="W315" s="4" t="s">
        <v>62</v>
      </c>
      <c r="X315" s="4" t="s">
        <v>62</v>
      </c>
      <c r="Y315" s="4" t="s">
        <v>62</v>
      </c>
      <c r="Z315" s="4" t="s">
        <v>62</v>
      </c>
      <c r="AA315" s="4" t="s">
        <v>62</v>
      </c>
      <c r="AB315" s="4" t="s">
        <v>62</v>
      </c>
      <c r="AC315" s="4" t="s">
        <v>62</v>
      </c>
      <c r="AD315" s="4" t="s">
        <v>62</v>
      </c>
      <c r="AE315" s="4" t="s">
        <v>62</v>
      </c>
      <c r="AF315" s="4" t="s">
        <v>62</v>
      </c>
      <c r="AG315" s="4" t="s">
        <v>62</v>
      </c>
      <c r="AH315" s="73"/>
    </row>
    <row r="316" spans="2:34" hidden="1">
      <c r="B316" s="139">
        <v>24</v>
      </c>
      <c r="C316" s="88" t="str">
        <f>LEFT(EmpGName24)&amp;" " &amp;EmpSName24</f>
        <v xml:space="preserve"> </v>
      </c>
      <c r="D316" s="3" t="s">
        <v>62</v>
      </c>
      <c r="E316" s="3" t="s">
        <v>62</v>
      </c>
      <c r="F316" s="3" t="s">
        <v>62</v>
      </c>
      <c r="G316" s="3" t="s">
        <v>62</v>
      </c>
      <c r="H316" s="3" t="s">
        <v>62</v>
      </c>
      <c r="I316" s="3" t="s">
        <v>62</v>
      </c>
      <c r="J316" s="3" t="s">
        <v>62</v>
      </c>
      <c r="K316" s="3" t="s">
        <v>62</v>
      </c>
      <c r="L316" s="3" t="s">
        <v>62</v>
      </c>
      <c r="M316" s="3" t="s">
        <v>62</v>
      </c>
      <c r="N316" s="3" t="s">
        <v>62</v>
      </c>
      <c r="O316" s="3" t="s">
        <v>62</v>
      </c>
      <c r="P316" s="3" t="s">
        <v>62</v>
      </c>
      <c r="Q316" s="3" t="s">
        <v>62</v>
      </c>
      <c r="R316" s="3" t="s">
        <v>62</v>
      </c>
      <c r="S316" s="3" t="s">
        <v>62</v>
      </c>
      <c r="T316" s="3" t="s">
        <v>62</v>
      </c>
      <c r="U316" s="3" t="s">
        <v>62</v>
      </c>
      <c r="V316" s="3" t="s">
        <v>62</v>
      </c>
      <c r="W316" s="3" t="s">
        <v>62</v>
      </c>
      <c r="X316" s="3" t="s">
        <v>62</v>
      </c>
      <c r="Y316" s="3" t="s">
        <v>62</v>
      </c>
      <c r="Z316" s="3" t="s">
        <v>62</v>
      </c>
      <c r="AA316" s="3" t="s">
        <v>62</v>
      </c>
      <c r="AB316" s="3" t="s">
        <v>62</v>
      </c>
      <c r="AC316" s="3" t="s">
        <v>62</v>
      </c>
      <c r="AD316" s="3" t="s">
        <v>62</v>
      </c>
      <c r="AE316" s="3" t="s">
        <v>62</v>
      </c>
      <c r="AF316" s="3" t="s">
        <v>62</v>
      </c>
      <c r="AG316" s="3" t="s">
        <v>62</v>
      </c>
      <c r="AH316" s="73"/>
    </row>
    <row r="317" spans="2:34" hidden="1">
      <c r="B317" s="139">
        <v>25</v>
      </c>
      <c r="C317" s="87" t="str">
        <f>LEFT(EmpGName25)&amp;" " &amp;EmpSName25</f>
        <v xml:space="preserve"> </v>
      </c>
      <c r="D317" s="4" t="s">
        <v>62</v>
      </c>
      <c r="E317" s="4" t="s">
        <v>62</v>
      </c>
      <c r="F317" s="4" t="s">
        <v>62</v>
      </c>
      <c r="G317" s="4" t="s">
        <v>62</v>
      </c>
      <c r="H317" s="4" t="s">
        <v>62</v>
      </c>
      <c r="I317" s="4" t="s">
        <v>62</v>
      </c>
      <c r="J317" s="4" t="s">
        <v>62</v>
      </c>
      <c r="K317" s="4" t="s">
        <v>62</v>
      </c>
      <c r="L317" s="4" t="s">
        <v>62</v>
      </c>
      <c r="M317" s="4" t="s">
        <v>62</v>
      </c>
      <c r="N317" s="4" t="s">
        <v>62</v>
      </c>
      <c r="O317" s="4" t="s">
        <v>62</v>
      </c>
      <c r="P317" s="4" t="s">
        <v>62</v>
      </c>
      <c r="Q317" s="4" t="s">
        <v>62</v>
      </c>
      <c r="R317" s="4" t="s">
        <v>62</v>
      </c>
      <c r="S317" s="4" t="s">
        <v>62</v>
      </c>
      <c r="T317" s="4" t="s">
        <v>62</v>
      </c>
      <c r="U317" s="4" t="s">
        <v>62</v>
      </c>
      <c r="V317" s="4" t="s">
        <v>62</v>
      </c>
      <c r="W317" s="4" t="s">
        <v>62</v>
      </c>
      <c r="X317" s="4" t="s">
        <v>62</v>
      </c>
      <c r="Y317" s="4" t="s">
        <v>62</v>
      </c>
      <c r="Z317" s="4" t="s">
        <v>62</v>
      </c>
      <c r="AA317" s="4" t="s">
        <v>62</v>
      </c>
      <c r="AB317" s="4" t="s">
        <v>62</v>
      </c>
      <c r="AC317" s="4" t="s">
        <v>62</v>
      </c>
      <c r="AD317" s="4" t="s">
        <v>62</v>
      </c>
      <c r="AE317" s="4" t="s">
        <v>62</v>
      </c>
      <c r="AF317" s="4" t="s">
        <v>62</v>
      </c>
      <c r="AG317" s="4" t="s">
        <v>62</v>
      </c>
      <c r="AH317" s="73"/>
    </row>
    <row r="318" spans="2:34" hidden="1">
      <c r="B318" s="139">
        <v>26</v>
      </c>
      <c r="C318" s="88" t="str">
        <f>LEFT(EmpGName26)&amp;" " &amp;EmpSName26</f>
        <v xml:space="preserve"> </v>
      </c>
      <c r="D318" s="3" t="s">
        <v>62</v>
      </c>
      <c r="E318" s="3" t="s">
        <v>62</v>
      </c>
      <c r="F318" s="3" t="s">
        <v>62</v>
      </c>
      <c r="G318" s="3" t="s">
        <v>62</v>
      </c>
      <c r="H318" s="3" t="s">
        <v>62</v>
      </c>
      <c r="I318" s="3" t="s">
        <v>62</v>
      </c>
      <c r="J318" s="3" t="s">
        <v>62</v>
      </c>
      <c r="K318" s="3" t="s">
        <v>62</v>
      </c>
      <c r="L318" s="3" t="s">
        <v>62</v>
      </c>
      <c r="M318" s="3" t="s">
        <v>62</v>
      </c>
      <c r="N318" s="3" t="s">
        <v>62</v>
      </c>
      <c r="O318" s="3" t="s">
        <v>62</v>
      </c>
      <c r="P318" s="3" t="s">
        <v>62</v>
      </c>
      <c r="Q318" s="3" t="s">
        <v>62</v>
      </c>
      <c r="R318" s="3" t="s">
        <v>62</v>
      </c>
      <c r="S318" s="3" t="s">
        <v>62</v>
      </c>
      <c r="T318" s="3" t="s">
        <v>62</v>
      </c>
      <c r="U318" s="3" t="s">
        <v>62</v>
      </c>
      <c r="V318" s="3" t="s">
        <v>62</v>
      </c>
      <c r="W318" s="3" t="s">
        <v>62</v>
      </c>
      <c r="X318" s="3" t="s">
        <v>62</v>
      </c>
      <c r="Y318" s="3" t="s">
        <v>62</v>
      </c>
      <c r="Z318" s="3" t="s">
        <v>62</v>
      </c>
      <c r="AA318" s="3" t="s">
        <v>62</v>
      </c>
      <c r="AB318" s="3" t="s">
        <v>62</v>
      </c>
      <c r="AC318" s="3" t="s">
        <v>62</v>
      </c>
      <c r="AD318" s="3" t="s">
        <v>62</v>
      </c>
      <c r="AE318" s="3" t="s">
        <v>62</v>
      </c>
      <c r="AF318" s="3" t="s">
        <v>62</v>
      </c>
      <c r="AG318" s="3" t="s">
        <v>62</v>
      </c>
      <c r="AH318" s="73"/>
    </row>
    <row r="319" spans="2:34" hidden="1">
      <c r="B319" s="139">
        <v>27</v>
      </c>
      <c r="C319" s="87" t="str">
        <f>LEFT(EmpGName27)&amp;" " &amp;EmpSName27</f>
        <v xml:space="preserve"> </v>
      </c>
      <c r="D319" s="4" t="s">
        <v>62</v>
      </c>
      <c r="E319" s="4" t="s">
        <v>62</v>
      </c>
      <c r="F319" s="4" t="s">
        <v>62</v>
      </c>
      <c r="G319" s="4" t="s">
        <v>62</v>
      </c>
      <c r="H319" s="4" t="s">
        <v>62</v>
      </c>
      <c r="I319" s="4" t="s">
        <v>62</v>
      </c>
      <c r="J319" s="4" t="s">
        <v>62</v>
      </c>
      <c r="K319" s="4" t="s">
        <v>62</v>
      </c>
      <c r="L319" s="4" t="s">
        <v>62</v>
      </c>
      <c r="M319" s="4" t="s">
        <v>62</v>
      </c>
      <c r="N319" s="4" t="s">
        <v>62</v>
      </c>
      <c r="O319" s="4" t="s">
        <v>62</v>
      </c>
      <c r="P319" s="4" t="s">
        <v>62</v>
      </c>
      <c r="Q319" s="4" t="s">
        <v>62</v>
      </c>
      <c r="R319" s="4" t="s">
        <v>62</v>
      </c>
      <c r="S319" s="4" t="s">
        <v>62</v>
      </c>
      <c r="T319" s="4" t="s">
        <v>62</v>
      </c>
      <c r="U319" s="4" t="s">
        <v>62</v>
      </c>
      <c r="V319" s="4" t="s">
        <v>62</v>
      </c>
      <c r="W319" s="4" t="s">
        <v>62</v>
      </c>
      <c r="X319" s="4" t="s">
        <v>62</v>
      </c>
      <c r="Y319" s="4" t="s">
        <v>62</v>
      </c>
      <c r="Z319" s="4" t="s">
        <v>62</v>
      </c>
      <c r="AA319" s="4" t="s">
        <v>62</v>
      </c>
      <c r="AB319" s="4" t="s">
        <v>62</v>
      </c>
      <c r="AC319" s="4" t="s">
        <v>62</v>
      </c>
      <c r="AD319" s="4" t="s">
        <v>62</v>
      </c>
      <c r="AE319" s="4" t="s">
        <v>62</v>
      </c>
      <c r="AF319" s="4" t="s">
        <v>62</v>
      </c>
      <c r="AG319" s="4" t="s">
        <v>62</v>
      </c>
      <c r="AH319" s="73"/>
    </row>
    <row r="320" spans="2:34" hidden="1">
      <c r="B320" s="178">
        <v>28</v>
      </c>
      <c r="C320" s="179" t="str">
        <f>LEFT(EmpGName28)&amp;" " &amp;EmpSName28</f>
        <v xml:space="preserve"> </v>
      </c>
      <c r="D320" s="177" t="s">
        <v>62</v>
      </c>
      <c r="E320" s="177" t="s">
        <v>62</v>
      </c>
      <c r="F320" s="177" t="s">
        <v>62</v>
      </c>
      <c r="G320" s="177" t="s">
        <v>62</v>
      </c>
      <c r="H320" s="177" t="s">
        <v>62</v>
      </c>
      <c r="I320" s="177" t="s">
        <v>62</v>
      </c>
      <c r="J320" s="177" t="s">
        <v>62</v>
      </c>
      <c r="K320" s="177" t="s">
        <v>62</v>
      </c>
      <c r="L320" s="177" t="s">
        <v>62</v>
      </c>
      <c r="M320" s="177" t="s">
        <v>62</v>
      </c>
      <c r="N320" s="177" t="s">
        <v>62</v>
      </c>
      <c r="O320" s="177" t="s">
        <v>62</v>
      </c>
      <c r="P320" s="177" t="s">
        <v>62</v>
      </c>
      <c r="Q320" s="177" t="s">
        <v>62</v>
      </c>
      <c r="R320" s="177" t="s">
        <v>62</v>
      </c>
      <c r="S320" s="177" t="s">
        <v>62</v>
      </c>
      <c r="T320" s="177" t="s">
        <v>62</v>
      </c>
      <c r="U320" s="177" t="s">
        <v>62</v>
      </c>
      <c r="V320" s="177" t="s">
        <v>62</v>
      </c>
      <c r="W320" s="177" t="s">
        <v>62</v>
      </c>
      <c r="X320" s="177" t="s">
        <v>62</v>
      </c>
      <c r="Y320" s="177" t="s">
        <v>62</v>
      </c>
      <c r="Z320" s="177" t="s">
        <v>62</v>
      </c>
      <c r="AA320" s="177" t="s">
        <v>62</v>
      </c>
      <c r="AB320" s="177" t="s">
        <v>62</v>
      </c>
      <c r="AC320" s="177" t="s">
        <v>62</v>
      </c>
      <c r="AD320" s="177" t="s">
        <v>62</v>
      </c>
      <c r="AE320" s="177" t="s">
        <v>62</v>
      </c>
      <c r="AF320" s="177" t="s">
        <v>62</v>
      </c>
      <c r="AG320" s="177" t="s">
        <v>62</v>
      </c>
      <c r="AH320" s="73"/>
    </row>
    <row r="321" spans="1:34">
      <c r="A321" s="20"/>
      <c r="AH321" s="2"/>
    </row>
    <row r="322" spans="1:34">
      <c r="C322" s="190" t="str">
        <f>CurYear</f>
        <v>2020</v>
      </c>
      <c r="D322" s="5" t="str">
        <f>LEFT(TEXT(D323&amp;"-"&amp;$C323&amp;"-"&amp; CurYear,"ddd"),2)</f>
        <v>Fr</v>
      </c>
      <c r="E322" s="5" t="str">
        <f t="shared" ref="E322:AF322" si="10">LEFT(TEXT(E323&amp;"-"&amp;$C323&amp;"-"&amp; CurYear,"ddd"),2)</f>
        <v>Sa</v>
      </c>
      <c r="F322" s="5" t="str">
        <f t="shared" si="10"/>
        <v>Su</v>
      </c>
      <c r="G322" s="5" t="str">
        <f t="shared" si="10"/>
        <v>Mo</v>
      </c>
      <c r="H322" s="5" t="str">
        <f t="shared" si="10"/>
        <v>Tu</v>
      </c>
      <c r="I322" s="5" t="str">
        <f t="shared" si="10"/>
        <v>We</v>
      </c>
      <c r="J322" s="5" t="str">
        <f t="shared" si="10"/>
        <v>Th</v>
      </c>
      <c r="K322" s="5" t="str">
        <f t="shared" si="10"/>
        <v>Fr</v>
      </c>
      <c r="L322" s="5" t="str">
        <f t="shared" si="10"/>
        <v>Sa</v>
      </c>
      <c r="M322" s="5" t="str">
        <f t="shared" si="10"/>
        <v>Su</v>
      </c>
      <c r="N322" s="5" t="str">
        <f t="shared" si="10"/>
        <v>Mo</v>
      </c>
      <c r="O322" s="5" t="str">
        <f t="shared" si="10"/>
        <v>Tu</v>
      </c>
      <c r="P322" s="5" t="str">
        <f t="shared" si="10"/>
        <v>We</v>
      </c>
      <c r="Q322" s="5" t="str">
        <f t="shared" si="10"/>
        <v>Th</v>
      </c>
      <c r="R322" s="5" t="str">
        <f t="shared" si="10"/>
        <v>Fr</v>
      </c>
      <c r="S322" s="5" t="str">
        <f t="shared" si="10"/>
        <v>Sa</v>
      </c>
      <c r="T322" s="5" t="str">
        <f t="shared" si="10"/>
        <v>Su</v>
      </c>
      <c r="U322" s="5" t="str">
        <f t="shared" si="10"/>
        <v>Mo</v>
      </c>
      <c r="V322" s="5" t="str">
        <f t="shared" si="10"/>
        <v>Tu</v>
      </c>
      <c r="W322" s="5" t="str">
        <f t="shared" si="10"/>
        <v>We</v>
      </c>
      <c r="X322" s="5" t="str">
        <f t="shared" si="10"/>
        <v>Th</v>
      </c>
      <c r="Y322" s="5" t="str">
        <f t="shared" si="10"/>
        <v>Fr</v>
      </c>
      <c r="Z322" s="5" t="str">
        <f t="shared" si="10"/>
        <v>Sa</v>
      </c>
      <c r="AA322" s="5" t="str">
        <f t="shared" si="10"/>
        <v>Su</v>
      </c>
      <c r="AB322" s="5" t="str">
        <f t="shared" si="10"/>
        <v>Mo</v>
      </c>
      <c r="AC322" s="5" t="str">
        <f t="shared" si="10"/>
        <v>Tu</v>
      </c>
      <c r="AD322" s="5" t="str">
        <f t="shared" si="10"/>
        <v>We</v>
      </c>
      <c r="AE322" s="5" t="str">
        <f t="shared" si="10"/>
        <v>Th</v>
      </c>
      <c r="AF322" s="5" t="str">
        <f t="shared" si="10"/>
        <v>Fr</v>
      </c>
      <c r="AG322" s="5" t="str">
        <f>LEFT(TEXT(AG323&amp;"-"&amp;$C323&amp;"-"&amp; CurYear,"ddd"),2)</f>
        <v>Sa</v>
      </c>
      <c r="AH322" s="5" t="str">
        <f>LEFT(TEXT(AH323&amp;"-"&amp;$C323&amp;"-"&amp; CurYear,"ddd"),2)</f>
        <v>Su</v>
      </c>
    </row>
    <row r="323" spans="1:34">
      <c r="B323" s="86"/>
      <c r="C323" s="191" t="s">
        <v>16</v>
      </c>
      <c r="D323" s="193">
        <v>1</v>
      </c>
      <c r="E323" s="193">
        <v>2</v>
      </c>
      <c r="F323" s="193">
        <v>3</v>
      </c>
      <c r="G323" s="193">
        <v>4</v>
      </c>
      <c r="H323" s="193">
        <v>5</v>
      </c>
      <c r="I323" s="192">
        <v>6</v>
      </c>
      <c r="J323" s="193">
        <v>7</v>
      </c>
      <c r="K323" s="197">
        <v>8</v>
      </c>
      <c r="L323" s="193">
        <v>9</v>
      </c>
      <c r="M323" s="193">
        <v>10</v>
      </c>
      <c r="N323" s="193">
        <v>11</v>
      </c>
      <c r="O323" s="193">
        <v>12</v>
      </c>
      <c r="P323" s="193">
        <v>13</v>
      </c>
      <c r="Q323" s="193">
        <v>14</v>
      </c>
      <c r="R323" s="193">
        <v>15</v>
      </c>
      <c r="S323" s="193">
        <v>16</v>
      </c>
      <c r="T323" s="193">
        <v>17</v>
      </c>
      <c r="U323" s="193">
        <v>18</v>
      </c>
      <c r="V323" s="193">
        <v>19</v>
      </c>
      <c r="W323" s="192">
        <v>20</v>
      </c>
      <c r="X323" s="193">
        <v>21</v>
      </c>
      <c r="Y323" s="193">
        <v>22</v>
      </c>
      <c r="Z323" s="193">
        <v>23</v>
      </c>
      <c r="AA323" s="193">
        <v>24</v>
      </c>
      <c r="AB323" s="193">
        <v>25</v>
      </c>
      <c r="AC323" s="193">
        <v>26</v>
      </c>
      <c r="AD323" s="193">
        <v>27</v>
      </c>
      <c r="AE323" s="193">
        <v>28</v>
      </c>
      <c r="AF323" s="193">
        <v>29</v>
      </c>
      <c r="AG323" s="193">
        <v>30</v>
      </c>
      <c r="AH323" s="193">
        <v>31</v>
      </c>
    </row>
    <row r="324" spans="1:34">
      <c r="B324" s="83">
        <v>1</v>
      </c>
      <c r="C324" s="87" t="str">
        <f>LEFT(EmpGName01)&amp;" " &amp; EmpSName01</f>
        <v>L Marampon</v>
      </c>
      <c r="D324" s="4" t="s">
        <v>62</v>
      </c>
      <c r="E324" s="4" t="s">
        <v>62</v>
      </c>
      <c r="F324" s="4" t="s">
        <v>62</v>
      </c>
      <c r="G324" s="4" t="s">
        <v>62</v>
      </c>
      <c r="H324" s="4" t="s">
        <v>62</v>
      </c>
      <c r="I324" s="4" t="s">
        <v>62</v>
      </c>
      <c r="J324" s="4" t="s">
        <v>62</v>
      </c>
      <c r="K324" s="4" t="s">
        <v>62</v>
      </c>
      <c r="L324" s="4" t="s">
        <v>62</v>
      </c>
      <c r="M324" s="4" t="s">
        <v>62</v>
      </c>
      <c r="N324" s="4" t="s">
        <v>62</v>
      </c>
      <c r="O324" s="4" t="s">
        <v>62</v>
      </c>
      <c r="P324" s="4" t="s">
        <v>62</v>
      </c>
      <c r="Q324" s="4" t="s">
        <v>62</v>
      </c>
      <c r="R324" s="4" t="s">
        <v>62</v>
      </c>
      <c r="S324" s="4" t="s">
        <v>62</v>
      </c>
      <c r="T324" s="4" t="s">
        <v>62</v>
      </c>
      <c r="U324" s="4" t="s">
        <v>62</v>
      </c>
      <c r="V324" s="4" t="s">
        <v>62</v>
      </c>
      <c r="W324" s="4" t="s">
        <v>62</v>
      </c>
      <c r="X324" s="4" t="s">
        <v>62</v>
      </c>
      <c r="Y324" s="4" t="s">
        <v>62</v>
      </c>
      <c r="Z324" s="4" t="s">
        <v>62</v>
      </c>
      <c r="AA324" s="4" t="s">
        <v>62</v>
      </c>
      <c r="AB324" s="4" t="s">
        <v>62</v>
      </c>
      <c r="AC324" s="4" t="s">
        <v>62</v>
      </c>
      <c r="AD324" s="4" t="s">
        <v>62</v>
      </c>
      <c r="AE324" s="4" t="s">
        <v>62</v>
      </c>
      <c r="AF324" s="4" t="s">
        <v>62</v>
      </c>
      <c r="AG324" s="4" t="s">
        <v>62</v>
      </c>
      <c r="AH324" s="4" t="s">
        <v>62</v>
      </c>
    </row>
    <row r="325" spans="1:34">
      <c r="B325" s="83">
        <v>2</v>
      </c>
      <c r="C325" s="88" t="str">
        <f>LEFT(EmpGName02)&amp;" " &amp;EmpSName02</f>
        <v>K Stone</v>
      </c>
      <c r="D325" s="3" t="s">
        <v>62</v>
      </c>
      <c r="E325" s="3" t="s">
        <v>62</v>
      </c>
      <c r="F325" s="3" t="s">
        <v>62</v>
      </c>
      <c r="G325" s="3" t="s">
        <v>62</v>
      </c>
      <c r="H325" s="3" t="s">
        <v>62</v>
      </c>
      <c r="I325" s="3" t="s">
        <v>62</v>
      </c>
      <c r="J325" s="3" t="s">
        <v>62</v>
      </c>
      <c r="K325" s="3" t="s">
        <v>62</v>
      </c>
      <c r="L325" s="3" t="s">
        <v>62</v>
      </c>
      <c r="M325" s="3" t="s">
        <v>62</v>
      </c>
      <c r="N325" s="3" t="s">
        <v>62</v>
      </c>
      <c r="O325" s="3" t="s">
        <v>62</v>
      </c>
      <c r="P325" s="3" t="s">
        <v>62</v>
      </c>
      <c r="Q325" s="3" t="s">
        <v>62</v>
      </c>
      <c r="R325" s="3" t="s">
        <v>62</v>
      </c>
      <c r="S325" s="3" t="s">
        <v>62</v>
      </c>
      <c r="T325" s="3" t="s">
        <v>62</v>
      </c>
      <c r="U325" s="3" t="s">
        <v>62</v>
      </c>
      <c r="V325" s="3" t="s">
        <v>62</v>
      </c>
      <c r="W325" s="3" t="s">
        <v>62</v>
      </c>
      <c r="X325" s="3" t="s">
        <v>62</v>
      </c>
      <c r="Y325" s="3" t="s">
        <v>62</v>
      </c>
      <c r="Z325" s="3" t="s">
        <v>62</v>
      </c>
      <c r="AA325" s="3" t="s">
        <v>62</v>
      </c>
      <c r="AB325" s="3" t="s">
        <v>62</v>
      </c>
      <c r="AC325" s="3" t="s">
        <v>62</v>
      </c>
      <c r="AD325" s="3" t="s">
        <v>62</v>
      </c>
      <c r="AE325" s="3" t="s">
        <v>62</v>
      </c>
      <c r="AF325" s="3" t="s">
        <v>62</v>
      </c>
      <c r="AG325" s="3" t="s">
        <v>62</v>
      </c>
      <c r="AH325" s="3" t="s">
        <v>62</v>
      </c>
    </row>
    <row r="326" spans="1:34">
      <c r="B326" s="83">
        <v>3</v>
      </c>
      <c r="C326" s="87" t="str">
        <f>LEFT(EmpGName03)&amp;" " &amp;EmpSName03</f>
        <v>I Thelning</v>
      </c>
      <c r="D326" s="4" t="s">
        <v>62</v>
      </c>
      <c r="E326" s="4" t="s">
        <v>62</v>
      </c>
      <c r="F326" s="4" t="s">
        <v>62</v>
      </c>
      <c r="G326" s="4" t="s">
        <v>62</v>
      </c>
      <c r="H326" s="4" t="s">
        <v>62</v>
      </c>
      <c r="I326" s="4" t="s">
        <v>62</v>
      </c>
      <c r="J326" s="4" t="s">
        <v>62</v>
      </c>
      <c r="K326" s="4" t="s">
        <v>62</v>
      </c>
      <c r="L326" s="4" t="s">
        <v>62</v>
      </c>
      <c r="M326" s="4" t="s">
        <v>62</v>
      </c>
      <c r="N326" s="4" t="s">
        <v>62</v>
      </c>
      <c r="O326" s="4" t="s">
        <v>62</v>
      </c>
      <c r="P326" s="4" t="s">
        <v>62</v>
      </c>
      <c r="Q326" s="4" t="s">
        <v>62</v>
      </c>
      <c r="R326" s="4" t="s">
        <v>62</v>
      </c>
      <c r="S326" s="4" t="s">
        <v>62</v>
      </c>
      <c r="T326" s="4" t="s">
        <v>62</v>
      </c>
      <c r="U326" s="4" t="s">
        <v>62</v>
      </c>
      <c r="V326" s="4" t="s">
        <v>62</v>
      </c>
      <c r="W326" s="4" t="s">
        <v>62</v>
      </c>
      <c r="X326" s="4" t="s">
        <v>62</v>
      </c>
      <c r="Y326" s="4" t="s">
        <v>62</v>
      </c>
      <c r="Z326" s="4" t="s">
        <v>62</v>
      </c>
      <c r="AA326" s="4" t="s">
        <v>62</v>
      </c>
      <c r="AB326" s="4" t="s">
        <v>62</v>
      </c>
      <c r="AC326" s="4" t="s">
        <v>62</v>
      </c>
      <c r="AD326" s="4" t="s">
        <v>62</v>
      </c>
      <c r="AE326" s="4" t="s">
        <v>62</v>
      </c>
      <c r="AF326" s="4" t="s">
        <v>62</v>
      </c>
      <c r="AG326" s="4" t="s">
        <v>62</v>
      </c>
      <c r="AH326" s="4" t="s">
        <v>62</v>
      </c>
    </row>
    <row r="327" spans="1:34">
      <c r="B327" s="83">
        <v>4</v>
      </c>
      <c r="C327" s="88" t="str">
        <f>LEFT(EmpGName04)&amp;" " &amp;EmpSName04</f>
        <v>L King</v>
      </c>
      <c r="D327" s="3" t="s">
        <v>62</v>
      </c>
      <c r="E327" s="3" t="s">
        <v>62</v>
      </c>
      <c r="F327" s="3" t="s">
        <v>62</v>
      </c>
      <c r="G327" s="3" t="s">
        <v>62</v>
      </c>
      <c r="H327" s="3" t="s">
        <v>62</v>
      </c>
      <c r="I327" s="3" t="s">
        <v>62</v>
      </c>
      <c r="J327" s="3" t="s">
        <v>62</v>
      </c>
      <c r="K327" s="3" t="s">
        <v>62</v>
      </c>
      <c r="L327" s="3" t="s">
        <v>62</v>
      </c>
      <c r="M327" s="3" t="s">
        <v>62</v>
      </c>
      <c r="N327" s="3" t="s">
        <v>62</v>
      </c>
      <c r="O327" s="3" t="s">
        <v>62</v>
      </c>
      <c r="P327" s="3" t="s">
        <v>62</v>
      </c>
      <c r="Q327" s="3" t="s">
        <v>62</v>
      </c>
      <c r="R327" s="3" t="s">
        <v>62</v>
      </c>
      <c r="S327" s="3" t="s">
        <v>62</v>
      </c>
      <c r="T327" s="3" t="s">
        <v>62</v>
      </c>
      <c r="U327" s="3" t="s">
        <v>62</v>
      </c>
      <c r="V327" s="3" t="s">
        <v>62</v>
      </c>
      <c r="W327" s="3" t="s">
        <v>62</v>
      </c>
      <c r="X327" s="3" t="s">
        <v>62</v>
      </c>
      <c r="Y327" s="3" t="s">
        <v>62</v>
      </c>
      <c r="Z327" s="3" t="s">
        <v>62</v>
      </c>
      <c r="AA327" s="3" t="s">
        <v>62</v>
      </c>
      <c r="AB327" s="3" t="s">
        <v>62</v>
      </c>
      <c r="AC327" s="3" t="s">
        <v>62</v>
      </c>
      <c r="AD327" s="3" t="s">
        <v>62</v>
      </c>
      <c r="AE327" s="3" t="s">
        <v>62</v>
      </c>
      <c r="AF327" s="3" t="s">
        <v>62</v>
      </c>
      <c r="AG327" s="3" t="s">
        <v>62</v>
      </c>
      <c r="AH327" s="3" t="s">
        <v>62</v>
      </c>
    </row>
    <row r="328" spans="1:34">
      <c r="B328" s="83">
        <v>5</v>
      </c>
      <c r="C328" s="87" t="str">
        <f>LEFT(EmpGName05)&amp;" " &amp;EmpSName05</f>
        <v>D Castle</v>
      </c>
      <c r="D328" s="4" t="s">
        <v>62</v>
      </c>
      <c r="E328" s="4" t="s">
        <v>62</v>
      </c>
      <c r="F328" s="4" t="s">
        <v>62</v>
      </c>
      <c r="G328" s="4" t="s">
        <v>62</v>
      </c>
      <c r="H328" s="4" t="s">
        <v>62</v>
      </c>
      <c r="I328" s="4" t="s">
        <v>62</v>
      </c>
      <c r="J328" s="4" t="s">
        <v>62</v>
      </c>
      <c r="K328" s="4" t="s">
        <v>62</v>
      </c>
      <c r="L328" s="4" t="s">
        <v>62</v>
      </c>
      <c r="M328" s="4" t="s">
        <v>62</v>
      </c>
      <c r="N328" s="4" t="s">
        <v>62</v>
      </c>
      <c r="O328" s="4" t="s">
        <v>62</v>
      </c>
      <c r="P328" s="4" t="s">
        <v>62</v>
      </c>
      <c r="Q328" s="4" t="s">
        <v>62</v>
      </c>
      <c r="R328" s="4" t="s">
        <v>62</v>
      </c>
      <c r="S328" s="4" t="s">
        <v>62</v>
      </c>
      <c r="T328" s="4" t="s">
        <v>62</v>
      </c>
      <c r="U328" s="4" t="s">
        <v>62</v>
      </c>
      <c r="V328" s="4" t="s">
        <v>62</v>
      </c>
      <c r="W328" s="4" t="s">
        <v>62</v>
      </c>
      <c r="X328" s="4" t="s">
        <v>62</v>
      </c>
      <c r="Y328" s="4" t="s">
        <v>62</v>
      </c>
      <c r="Z328" s="4" t="s">
        <v>62</v>
      </c>
      <c r="AA328" s="4" t="s">
        <v>62</v>
      </c>
      <c r="AB328" s="4" t="s">
        <v>62</v>
      </c>
      <c r="AC328" s="4" t="s">
        <v>62</v>
      </c>
      <c r="AD328" s="4" t="s">
        <v>62</v>
      </c>
      <c r="AE328" s="4" t="s">
        <v>62</v>
      </c>
      <c r="AF328" s="4" t="s">
        <v>62</v>
      </c>
      <c r="AG328" s="4" t="s">
        <v>62</v>
      </c>
      <c r="AH328" s="4" t="s">
        <v>62</v>
      </c>
    </row>
    <row r="329" spans="1:34">
      <c r="B329" s="83">
        <v>6</v>
      </c>
      <c r="C329" s="88" t="str">
        <f>LEFT(EmpGName06)&amp;" " &amp;EmpSName06</f>
        <v>R Fielding</v>
      </c>
      <c r="D329" s="3" t="s">
        <v>62</v>
      </c>
      <c r="E329" s="3" t="s">
        <v>62</v>
      </c>
      <c r="F329" s="3" t="s">
        <v>62</v>
      </c>
      <c r="G329" s="3" t="s">
        <v>62</v>
      </c>
      <c r="H329" s="3" t="s">
        <v>62</v>
      </c>
      <c r="I329" s="3" t="s">
        <v>62</v>
      </c>
      <c r="J329" s="3" t="s">
        <v>62</v>
      </c>
      <c r="K329" s="3" t="s">
        <v>62</v>
      </c>
      <c r="L329" s="3" t="s">
        <v>62</v>
      </c>
      <c r="M329" s="3" t="s">
        <v>62</v>
      </c>
      <c r="N329" s="3" t="s">
        <v>62</v>
      </c>
      <c r="O329" s="3" t="s">
        <v>62</v>
      </c>
      <c r="P329" s="3" t="s">
        <v>62</v>
      </c>
      <c r="Q329" s="3" t="s">
        <v>62</v>
      </c>
      <c r="R329" s="3" t="s">
        <v>62</v>
      </c>
      <c r="S329" s="3" t="s">
        <v>62</v>
      </c>
      <c r="T329" s="3" t="s">
        <v>62</v>
      </c>
      <c r="U329" s="3" t="s">
        <v>62</v>
      </c>
      <c r="V329" s="3" t="s">
        <v>62</v>
      </c>
      <c r="W329" s="3" t="s">
        <v>62</v>
      </c>
      <c r="X329" s="3" t="s">
        <v>62</v>
      </c>
      <c r="Y329" s="3" t="s">
        <v>62</v>
      </c>
      <c r="Z329" s="3" t="s">
        <v>62</v>
      </c>
      <c r="AA329" s="3" t="s">
        <v>62</v>
      </c>
      <c r="AB329" s="3" t="s">
        <v>62</v>
      </c>
      <c r="AC329" s="3" t="s">
        <v>62</v>
      </c>
      <c r="AD329" s="3" t="s">
        <v>62</v>
      </c>
      <c r="AE329" s="3" t="s">
        <v>62</v>
      </c>
      <c r="AF329" s="3" t="s">
        <v>62</v>
      </c>
      <c r="AG329" s="3" t="s">
        <v>62</v>
      </c>
      <c r="AH329" s="3" t="s">
        <v>62</v>
      </c>
    </row>
    <row r="330" spans="1:34">
      <c r="B330" s="83">
        <v>7</v>
      </c>
      <c r="C330" s="87" t="str">
        <f>LEFT(EmpGName07)&amp;" " &amp;EmpSName07</f>
        <v>T Sorensen</v>
      </c>
      <c r="D330" s="4" t="s">
        <v>62</v>
      </c>
      <c r="E330" s="4" t="s">
        <v>62</v>
      </c>
      <c r="F330" s="4" t="s">
        <v>62</v>
      </c>
      <c r="G330" s="4" t="s">
        <v>62</v>
      </c>
      <c r="H330" s="4" t="s">
        <v>62</v>
      </c>
      <c r="I330" s="4" t="s">
        <v>62</v>
      </c>
      <c r="J330" s="4" t="s">
        <v>62</v>
      </c>
      <c r="K330" s="4" t="s">
        <v>62</v>
      </c>
      <c r="L330" s="4" t="s">
        <v>62</v>
      </c>
      <c r="M330" s="4" t="s">
        <v>62</v>
      </c>
      <c r="N330" s="4" t="s">
        <v>62</v>
      </c>
      <c r="O330" s="4" t="s">
        <v>62</v>
      </c>
      <c r="P330" s="4" t="s">
        <v>62</v>
      </c>
      <c r="Q330" s="4" t="s">
        <v>62</v>
      </c>
      <c r="R330" s="4" t="s">
        <v>62</v>
      </c>
      <c r="S330" s="4" t="s">
        <v>62</v>
      </c>
      <c r="T330" s="4" t="s">
        <v>62</v>
      </c>
      <c r="U330" s="4" t="s">
        <v>62</v>
      </c>
      <c r="V330" s="4" t="s">
        <v>62</v>
      </c>
      <c r="W330" s="4" t="s">
        <v>62</v>
      </c>
      <c r="X330" s="4" t="s">
        <v>62</v>
      </c>
      <c r="Y330" s="4" t="s">
        <v>62</v>
      </c>
      <c r="Z330" s="4" t="s">
        <v>62</v>
      </c>
      <c r="AA330" s="4" t="s">
        <v>62</v>
      </c>
      <c r="AB330" s="4" t="s">
        <v>62</v>
      </c>
      <c r="AC330" s="4" t="s">
        <v>62</v>
      </c>
      <c r="AD330" s="4" t="s">
        <v>62</v>
      </c>
      <c r="AE330" s="4" t="s">
        <v>62</v>
      </c>
      <c r="AF330" s="4" t="s">
        <v>62</v>
      </c>
      <c r="AG330" s="4" t="s">
        <v>62</v>
      </c>
      <c r="AH330" s="4" t="s">
        <v>62</v>
      </c>
    </row>
    <row r="331" spans="1:34">
      <c r="B331" s="83">
        <v>8</v>
      </c>
      <c r="C331" s="88" t="str">
        <f>LEFT(EmpGName08)&amp;" " &amp;EmpSName08</f>
        <v>C Horse</v>
      </c>
      <c r="D331" s="3" t="s">
        <v>62</v>
      </c>
      <c r="E331" s="3" t="s">
        <v>62</v>
      </c>
      <c r="F331" s="3" t="s">
        <v>62</v>
      </c>
      <c r="G331" s="3" t="s">
        <v>62</v>
      </c>
      <c r="H331" s="3" t="s">
        <v>62</v>
      </c>
      <c r="I331" s="3" t="s">
        <v>62</v>
      </c>
      <c r="J331" s="3" t="s">
        <v>62</v>
      </c>
      <c r="K331" s="3" t="s">
        <v>62</v>
      </c>
      <c r="L331" s="3" t="s">
        <v>62</v>
      </c>
      <c r="M331" s="3" t="s">
        <v>62</v>
      </c>
      <c r="N331" s="3" t="s">
        <v>62</v>
      </c>
      <c r="O331" s="3" t="s">
        <v>62</v>
      </c>
      <c r="P331" s="3" t="s">
        <v>62</v>
      </c>
      <c r="Q331" s="3" t="s">
        <v>62</v>
      </c>
      <c r="R331" s="3" t="s">
        <v>62</v>
      </c>
      <c r="S331" s="3" t="s">
        <v>62</v>
      </c>
      <c r="T331" s="3" t="s">
        <v>62</v>
      </c>
      <c r="U331" s="3" t="s">
        <v>62</v>
      </c>
      <c r="V331" s="3" t="s">
        <v>62</v>
      </c>
      <c r="W331" s="3" t="s">
        <v>62</v>
      </c>
      <c r="X331" s="3" t="s">
        <v>62</v>
      </c>
      <c r="Y331" s="3" t="s">
        <v>62</v>
      </c>
      <c r="Z331" s="3" t="s">
        <v>62</v>
      </c>
      <c r="AA331" s="3" t="s">
        <v>62</v>
      </c>
      <c r="AB331" s="3" t="s">
        <v>62</v>
      </c>
      <c r="AC331" s="3" t="s">
        <v>62</v>
      </c>
      <c r="AD331" s="3" t="s">
        <v>62</v>
      </c>
      <c r="AE331" s="3" t="s">
        <v>62</v>
      </c>
      <c r="AF331" s="3" t="s">
        <v>62</v>
      </c>
      <c r="AG331" s="3" t="s">
        <v>62</v>
      </c>
      <c r="AH331" s="3" t="s">
        <v>62</v>
      </c>
    </row>
    <row r="332" spans="1:34">
      <c r="B332" s="83">
        <v>9</v>
      </c>
      <c r="C332" s="87" t="str">
        <f>LEFT(EmpGName09)&amp;" " &amp;EmpSName09</f>
        <v xml:space="preserve">E Horse </v>
      </c>
      <c r="D332" s="4" t="s">
        <v>62</v>
      </c>
      <c r="E332" s="4" t="s">
        <v>62</v>
      </c>
      <c r="F332" s="4" t="s">
        <v>62</v>
      </c>
      <c r="G332" s="4" t="s">
        <v>62</v>
      </c>
      <c r="H332" s="4" t="s">
        <v>62</v>
      </c>
      <c r="I332" s="4" t="s">
        <v>62</v>
      </c>
      <c r="J332" s="4" t="s">
        <v>62</v>
      </c>
      <c r="K332" s="4" t="s">
        <v>62</v>
      </c>
      <c r="L332" s="4" t="s">
        <v>62</v>
      </c>
      <c r="M332" s="4" t="s">
        <v>62</v>
      </c>
      <c r="N332" s="4" t="s">
        <v>62</v>
      </c>
      <c r="O332" s="4" t="s">
        <v>62</v>
      </c>
      <c r="P332" s="4" t="s">
        <v>62</v>
      </c>
      <c r="Q332" s="4" t="s">
        <v>62</v>
      </c>
      <c r="R332" s="4" t="s">
        <v>62</v>
      </c>
      <c r="S332" s="4" t="s">
        <v>62</v>
      </c>
      <c r="T332" s="4" t="s">
        <v>62</v>
      </c>
      <c r="U332" s="4" t="s">
        <v>62</v>
      </c>
      <c r="V332" s="4" t="s">
        <v>62</v>
      </c>
      <c r="W332" s="4" t="s">
        <v>62</v>
      </c>
      <c r="X332" s="4" t="s">
        <v>62</v>
      </c>
      <c r="Y332" s="4" t="s">
        <v>62</v>
      </c>
      <c r="Z332" s="4" t="s">
        <v>62</v>
      </c>
      <c r="AA332" s="4" t="s">
        <v>62</v>
      </c>
      <c r="AB332" s="4" t="s">
        <v>62</v>
      </c>
      <c r="AC332" s="4" t="s">
        <v>62</v>
      </c>
      <c r="AD332" s="4" t="s">
        <v>62</v>
      </c>
      <c r="AE332" s="4" t="s">
        <v>62</v>
      </c>
      <c r="AF332" s="4" t="s">
        <v>62</v>
      </c>
      <c r="AG332" s="4" t="s">
        <v>62</v>
      </c>
      <c r="AH332" s="4" t="s">
        <v>62</v>
      </c>
    </row>
    <row r="333" spans="1:34">
      <c r="B333" s="139">
        <v>10</v>
      </c>
      <c r="C333" s="88" t="str">
        <f>LEFT(EmpGName10)&amp;" " &amp;EmpSName10</f>
        <v>J Smeegal</v>
      </c>
      <c r="D333" s="3" t="s">
        <v>62</v>
      </c>
      <c r="E333" s="3" t="s">
        <v>62</v>
      </c>
      <c r="F333" s="3" t="s">
        <v>62</v>
      </c>
      <c r="G333" s="3" t="s">
        <v>62</v>
      </c>
      <c r="H333" s="3" t="s">
        <v>62</v>
      </c>
      <c r="I333" s="3" t="s">
        <v>62</v>
      </c>
      <c r="J333" s="3" t="s">
        <v>62</v>
      </c>
      <c r="K333" s="3" t="s">
        <v>62</v>
      </c>
      <c r="L333" s="3" t="s">
        <v>62</v>
      </c>
      <c r="M333" s="3" t="s">
        <v>62</v>
      </c>
      <c r="N333" s="3" t="s">
        <v>62</v>
      </c>
      <c r="O333" s="3" t="s">
        <v>62</v>
      </c>
      <c r="P333" s="3" t="s">
        <v>62</v>
      </c>
      <c r="Q333" s="3" t="s">
        <v>62</v>
      </c>
      <c r="R333" s="3" t="s">
        <v>62</v>
      </c>
      <c r="S333" s="3" t="s">
        <v>62</v>
      </c>
      <c r="T333" s="3" t="s">
        <v>62</v>
      </c>
      <c r="U333" s="3" t="s">
        <v>62</v>
      </c>
      <c r="V333" s="3" t="s">
        <v>62</v>
      </c>
      <c r="W333" s="3" t="s">
        <v>62</v>
      </c>
      <c r="X333" s="3" t="s">
        <v>62</v>
      </c>
      <c r="Y333" s="3" t="s">
        <v>62</v>
      </c>
      <c r="Z333" s="3" t="s">
        <v>62</v>
      </c>
      <c r="AA333" s="3" t="s">
        <v>62</v>
      </c>
      <c r="AB333" s="3" t="s">
        <v>62</v>
      </c>
      <c r="AC333" s="3" t="s">
        <v>62</v>
      </c>
      <c r="AD333" s="3" t="s">
        <v>62</v>
      </c>
      <c r="AE333" s="3" t="s">
        <v>62</v>
      </c>
      <c r="AF333" s="3" t="s">
        <v>62</v>
      </c>
      <c r="AG333" s="3" t="s">
        <v>62</v>
      </c>
      <c r="AH333" s="3" t="s">
        <v>62</v>
      </c>
    </row>
    <row r="334" spans="1:34">
      <c r="B334" s="139">
        <v>11</v>
      </c>
      <c r="C334" s="87" t="str">
        <f>LEFT(EmpGName11)&amp;" " &amp;EmpSName11</f>
        <v>E Smeegal</v>
      </c>
      <c r="D334" s="4" t="s">
        <v>62</v>
      </c>
      <c r="E334" s="4" t="s">
        <v>62</v>
      </c>
      <c r="F334" s="4" t="s">
        <v>62</v>
      </c>
      <c r="G334" s="4" t="s">
        <v>62</v>
      </c>
      <c r="H334" s="4" t="s">
        <v>62</v>
      </c>
      <c r="I334" s="4" t="s">
        <v>62</v>
      </c>
      <c r="J334" s="4" t="s">
        <v>62</v>
      </c>
      <c r="K334" s="4" t="s">
        <v>62</v>
      </c>
      <c r="L334" s="4" t="s">
        <v>62</v>
      </c>
      <c r="M334" s="4" t="s">
        <v>62</v>
      </c>
      <c r="N334" s="4" t="s">
        <v>62</v>
      </c>
      <c r="O334" s="4" t="s">
        <v>62</v>
      </c>
      <c r="P334" s="4" t="s">
        <v>62</v>
      </c>
      <c r="Q334" s="4" t="s">
        <v>62</v>
      </c>
      <c r="R334" s="4" t="s">
        <v>62</v>
      </c>
      <c r="S334" s="4" t="s">
        <v>62</v>
      </c>
      <c r="T334" s="4" t="s">
        <v>62</v>
      </c>
      <c r="U334" s="4" t="s">
        <v>62</v>
      </c>
      <c r="V334" s="4" t="s">
        <v>62</v>
      </c>
      <c r="W334" s="4" t="s">
        <v>62</v>
      </c>
      <c r="X334" s="4" t="s">
        <v>62</v>
      </c>
      <c r="Y334" s="4" t="s">
        <v>62</v>
      </c>
      <c r="Z334" s="4" t="s">
        <v>62</v>
      </c>
      <c r="AA334" s="4" t="s">
        <v>62</v>
      </c>
      <c r="AB334" s="4" t="s">
        <v>62</v>
      </c>
      <c r="AC334" s="4" t="s">
        <v>62</v>
      </c>
      <c r="AD334" s="4" t="s">
        <v>62</v>
      </c>
      <c r="AE334" s="4" t="s">
        <v>62</v>
      </c>
      <c r="AF334" s="4" t="s">
        <v>62</v>
      </c>
      <c r="AG334" s="4" t="s">
        <v>62</v>
      </c>
      <c r="AH334" s="4" t="s">
        <v>62</v>
      </c>
    </row>
    <row r="335" spans="1:34">
      <c r="B335" s="139">
        <v>12</v>
      </c>
      <c r="C335" s="88" t="str">
        <f>LEFT(EmpGName12)&amp;" " &amp;EmpSName12</f>
        <v>J James</v>
      </c>
      <c r="D335" s="3" t="s">
        <v>62</v>
      </c>
      <c r="E335" s="3" t="s">
        <v>62</v>
      </c>
      <c r="F335" s="3" t="s">
        <v>62</v>
      </c>
      <c r="G335" s="3" t="s">
        <v>62</v>
      </c>
      <c r="H335" s="3" t="s">
        <v>62</v>
      </c>
      <c r="I335" s="3" t="s">
        <v>62</v>
      </c>
      <c r="J335" s="3" t="s">
        <v>62</v>
      </c>
      <c r="K335" s="3" t="s">
        <v>62</v>
      </c>
      <c r="L335" s="3" t="s">
        <v>62</v>
      </c>
      <c r="M335" s="3" t="s">
        <v>62</v>
      </c>
      <c r="N335" s="3" t="s">
        <v>62</v>
      </c>
      <c r="O335" s="3" t="s">
        <v>62</v>
      </c>
      <c r="P335" s="3" t="s">
        <v>62</v>
      </c>
      <c r="Q335" s="3" t="s">
        <v>62</v>
      </c>
      <c r="R335" s="3" t="s">
        <v>62</v>
      </c>
      <c r="S335" s="3" t="s">
        <v>62</v>
      </c>
      <c r="T335" s="3" t="s">
        <v>62</v>
      </c>
      <c r="U335" s="3" t="s">
        <v>62</v>
      </c>
      <c r="V335" s="3" t="s">
        <v>62</v>
      </c>
      <c r="W335" s="3" t="s">
        <v>62</v>
      </c>
      <c r="X335" s="3" t="s">
        <v>62</v>
      </c>
      <c r="Y335" s="3" t="s">
        <v>62</v>
      </c>
      <c r="Z335" s="3" t="s">
        <v>62</v>
      </c>
      <c r="AA335" s="3" t="s">
        <v>62</v>
      </c>
      <c r="AB335" s="3" t="s">
        <v>62</v>
      </c>
      <c r="AC335" s="3" t="s">
        <v>62</v>
      </c>
      <c r="AD335" s="3" t="s">
        <v>62</v>
      </c>
      <c r="AE335" s="3" t="s">
        <v>62</v>
      </c>
      <c r="AF335" s="3" t="s">
        <v>62</v>
      </c>
      <c r="AG335" s="3" t="s">
        <v>62</v>
      </c>
      <c r="AH335" s="3" t="s">
        <v>62</v>
      </c>
    </row>
    <row r="336" spans="1:34">
      <c r="B336" s="139">
        <v>13</v>
      </c>
      <c r="C336" s="87" t="str">
        <f>LEFT(EmpGName13)&amp;" " &amp;EmpSName13</f>
        <v>J Jack</v>
      </c>
      <c r="D336" s="4" t="s">
        <v>62</v>
      </c>
      <c r="E336" s="4" t="s">
        <v>62</v>
      </c>
      <c r="F336" s="4" t="s">
        <v>62</v>
      </c>
      <c r="G336" s="4" t="s">
        <v>62</v>
      </c>
      <c r="H336" s="4" t="s">
        <v>62</v>
      </c>
      <c r="I336" s="4" t="s">
        <v>62</v>
      </c>
      <c r="J336" s="4" t="s">
        <v>62</v>
      </c>
      <c r="K336" s="4" t="s">
        <v>62</v>
      </c>
      <c r="L336" s="4" t="s">
        <v>62</v>
      </c>
      <c r="M336" s="4" t="s">
        <v>62</v>
      </c>
      <c r="N336" s="4" t="s">
        <v>62</v>
      </c>
      <c r="O336" s="4" t="s">
        <v>62</v>
      </c>
      <c r="P336" s="4" t="s">
        <v>62</v>
      </c>
      <c r="Q336" s="4" t="s">
        <v>62</v>
      </c>
      <c r="R336" s="4" t="s">
        <v>62</v>
      </c>
      <c r="S336" s="4" t="s">
        <v>62</v>
      </c>
      <c r="T336" s="4" t="s">
        <v>62</v>
      </c>
      <c r="U336" s="4" t="s">
        <v>62</v>
      </c>
      <c r="V336" s="4" t="s">
        <v>62</v>
      </c>
      <c r="W336" s="4" t="s">
        <v>62</v>
      </c>
      <c r="X336" s="4" t="s">
        <v>62</v>
      </c>
      <c r="Y336" s="4" t="s">
        <v>62</v>
      </c>
      <c r="Z336" s="4" t="s">
        <v>62</v>
      </c>
      <c r="AA336" s="4" t="s">
        <v>62</v>
      </c>
      <c r="AB336" s="4" t="s">
        <v>62</v>
      </c>
      <c r="AC336" s="4" t="s">
        <v>62</v>
      </c>
      <c r="AD336" s="4" t="s">
        <v>62</v>
      </c>
      <c r="AE336" s="4" t="s">
        <v>62</v>
      </c>
      <c r="AF336" s="4" t="s">
        <v>62</v>
      </c>
      <c r="AG336" s="4" t="s">
        <v>62</v>
      </c>
      <c r="AH336" s="4" t="s">
        <v>62</v>
      </c>
    </row>
    <row r="337" spans="2:34">
      <c r="B337" s="139">
        <v>14</v>
      </c>
      <c r="C337" s="88" t="str">
        <f>LEFT(EmpGName14)&amp;" " &amp;EmpSName14</f>
        <v xml:space="preserve">J Jacky </v>
      </c>
      <c r="D337" s="3" t="s">
        <v>62</v>
      </c>
      <c r="E337" s="3" t="s">
        <v>62</v>
      </c>
      <c r="F337" s="3" t="s">
        <v>62</v>
      </c>
      <c r="G337" s="3" t="s">
        <v>62</v>
      </c>
      <c r="H337" s="3" t="s">
        <v>62</v>
      </c>
      <c r="I337" s="3" t="s">
        <v>62</v>
      </c>
      <c r="J337" s="3" t="s">
        <v>62</v>
      </c>
      <c r="K337" s="3" t="s">
        <v>62</v>
      </c>
      <c r="L337" s="3" t="s">
        <v>62</v>
      </c>
      <c r="M337" s="3" t="s">
        <v>62</v>
      </c>
      <c r="N337" s="3" t="s">
        <v>62</v>
      </c>
      <c r="O337" s="3" t="s">
        <v>62</v>
      </c>
      <c r="P337" s="3" t="s">
        <v>62</v>
      </c>
      <c r="Q337" s="3" t="s">
        <v>62</v>
      </c>
      <c r="R337" s="3" t="s">
        <v>62</v>
      </c>
      <c r="S337" s="3" t="s">
        <v>62</v>
      </c>
      <c r="T337" s="3" t="s">
        <v>62</v>
      </c>
      <c r="U337" s="3" t="s">
        <v>62</v>
      </c>
      <c r="V337" s="3" t="s">
        <v>62</v>
      </c>
      <c r="W337" s="3" t="s">
        <v>62</v>
      </c>
      <c r="X337" s="3" t="s">
        <v>62</v>
      </c>
      <c r="Y337" s="3" t="s">
        <v>62</v>
      </c>
      <c r="Z337" s="3" t="s">
        <v>62</v>
      </c>
      <c r="AA337" s="3" t="s">
        <v>62</v>
      </c>
      <c r="AB337" s="3" t="s">
        <v>62</v>
      </c>
      <c r="AC337" s="3" t="s">
        <v>62</v>
      </c>
      <c r="AD337" s="3" t="s">
        <v>62</v>
      </c>
      <c r="AE337" s="3" t="s">
        <v>62</v>
      </c>
      <c r="AF337" s="3" t="s">
        <v>62</v>
      </c>
      <c r="AG337" s="3" t="s">
        <v>62</v>
      </c>
      <c r="AH337" s="3" t="s">
        <v>62</v>
      </c>
    </row>
    <row r="338" spans="2:34">
      <c r="B338" s="139">
        <v>15</v>
      </c>
      <c r="C338" s="87" t="str">
        <f>LEFT(EmpGName15)&amp;" " &amp;EmpSName15</f>
        <v>J Friedle</v>
      </c>
      <c r="D338" s="4" t="s">
        <v>62</v>
      </c>
      <c r="E338" s="4" t="s">
        <v>62</v>
      </c>
      <c r="F338" s="4" t="s">
        <v>62</v>
      </c>
      <c r="G338" s="4" t="s">
        <v>62</v>
      </c>
      <c r="H338" s="4" t="s">
        <v>62</v>
      </c>
      <c r="I338" s="4" t="s">
        <v>62</v>
      </c>
      <c r="J338" s="4" t="s">
        <v>62</v>
      </c>
      <c r="K338" s="4" t="s">
        <v>62</v>
      </c>
      <c r="L338" s="4" t="s">
        <v>62</v>
      </c>
      <c r="M338" s="4" t="s">
        <v>62</v>
      </c>
      <c r="N338" s="4" t="s">
        <v>62</v>
      </c>
      <c r="O338" s="4" t="s">
        <v>62</v>
      </c>
      <c r="P338" s="4" t="s">
        <v>62</v>
      </c>
      <c r="Q338" s="4" t="s">
        <v>62</v>
      </c>
      <c r="R338" s="4" t="s">
        <v>62</v>
      </c>
      <c r="S338" s="4" t="s">
        <v>62</v>
      </c>
      <c r="T338" s="4" t="s">
        <v>62</v>
      </c>
      <c r="U338" s="4" t="s">
        <v>62</v>
      </c>
      <c r="V338" s="4" t="s">
        <v>62</v>
      </c>
      <c r="W338" s="4" t="s">
        <v>62</v>
      </c>
      <c r="X338" s="4" t="s">
        <v>62</v>
      </c>
      <c r="Y338" s="4" t="s">
        <v>62</v>
      </c>
      <c r="Z338" s="4" t="s">
        <v>62</v>
      </c>
      <c r="AA338" s="4" t="s">
        <v>62</v>
      </c>
      <c r="AB338" s="4" t="s">
        <v>62</v>
      </c>
      <c r="AC338" s="4" t="s">
        <v>62</v>
      </c>
      <c r="AD338" s="4" t="s">
        <v>62</v>
      </c>
      <c r="AE338" s="4" t="s">
        <v>62</v>
      </c>
      <c r="AF338" s="4" t="s">
        <v>62</v>
      </c>
      <c r="AG338" s="4" t="s">
        <v>62</v>
      </c>
      <c r="AH338" s="4" t="s">
        <v>62</v>
      </c>
    </row>
    <row r="339" spans="2:34">
      <c r="B339" s="139">
        <v>16</v>
      </c>
      <c r="C339" s="88" t="str">
        <f>LEFT(EmpGName16)&amp;" " &amp;EmpSName16</f>
        <v>J Friedle</v>
      </c>
      <c r="D339" s="3" t="s">
        <v>62</v>
      </c>
      <c r="E339" s="3" t="s">
        <v>62</v>
      </c>
      <c r="F339" s="3" t="s">
        <v>62</v>
      </c>
      <c r="G339" s="3" t="s">
        <v>62</v>
      </c>
      <c r="H339" s="3" t="s">
        <v>62</v>
      </c>
      <c r="I339" s="3" t="s">
        <v>62</v>
      </c>
      <c r="J339" s="3" t="s">
        <v>62</v>
      </c>
      <c r="K339" s="3" t="s">
        <v>62</v>
      </c>
      <c r="L339" s="3" t="s">
        <v>62</v>
      </c>
      <c r="M339" s="3" t="s">
        <v>62</v>
      </c>
      <c r="N339" s="3" t="s">
        <v>62</v>
      </c>
      <c r="O339" s="3" t="s">
        <v>62</v>
      </c>
      <c r="P339" s="3" t="s">
        <v>62</v>
      </c>
      <c r="Q339" s="3" t="s">
        <v>62</v>
      </c>
      <c r="R339" s="3" t="s">
        <v>62</v>
      </c>
      <c r="S339" s="3" t="s">
        <v>62</v>
      </c>
      <c r="T339" s="3" t="s">
        <v>62</v>
      </c>
      <c r="U339" s="3" t="s">
        <v>62</v>
      </c>
      <c r="V339" s="3" t="s">
        <v>62</v>
      </c>
      <c r="W339" s="3" t="s">
        <v>62</v>
      </c>
      <c r="X339" s="3" t="s">
        <v>62</v>
      </c>
      <c r="Y339" s="3" t="s">
        <v>62</v>
      </c>
      <c r="Z339" s="3" t="s">
        <v>62</v>
      </c>
      <c r="AA339" s="3" t="s">
        <v>62</v>
      </c>
      <c r="AB339" s="3" t="s">
        <v>62</v>
      </c>
      <c r="AC339" s="3" t="s">
        <v>62</v>
      </c>
      <c r="AD339" s="3" t="s">
        <v>62</v>
      </c>
      <c r="AE339" s="3" t="s">
        <v>62</v>
      </c>
      <c r="AF339" s="3" t="s">
        <v>62</v>
      </c>
      <c r="AG339" s="3" t="s">
        <v>62</v>
      </c>
      <c r="AH339" s="3" t="s">
        <v>62</v>
      </c>
    </row>
    <row r="340" spans="2:34">
      <c r="B340" s="139">
        <v>17</v>
      </c>
      <c r="C340" s="87" t="str">
        <f>LEFT(EmpGName17)&amp;" " &amp;EmpSName17</f>
        <v>J Smart</v>
      </c>
      <c r="D340" s="4" t="s">
        <v>62</v>
      </c>
      <c r="E340" s="4" t="s">
        <v>62</v>
      </c>
      <c r="F340" s="4" t="s">
        <v>62</v>
      </c>
      <c r="G340" s="4" t="s">
        <v>62</v>
      </c>
      <c r="H340" s="4" t="s">
        <v>62</v>
      </c>
      <c r="I340" s="4" t="s">
        <v>62</v>
      </c>
      <c r="J340" s="4" t="s">
        <v>62</v>
      </c>
      <c r="K340" s="4" t="s">
        <v>62</v>
      </c>
      <c r="L340" s="4" t="s">
        <v>62</v>
      </c>
      <c r="M340" s="4" t="s">
        <v>62</v>
      </c>
      <c r="N340" s="4" t="s">
        <v>62</v>
      </c>
      <c r="O340" s="4" t="s">
        <v>62</v>
      </c>
      <c r="P340" s="4" t="s">
        <v>62</v>
      </c>
      <c r="Q340" s="4" t="s">
        <v>62</v>
      </c>
      <c r="R340" s="4" t="s">
        <v>62</v>
      </c>
      <c r="S340" s="4" t="s">
        <v>62</v>
      </c>
      <c r="T340" s="4" t="s">
        <v>62</v>
      </c>
      <c r="U340" s="4" t="s">
        <v>62</v>
      </c>
      <c r="V340" s="4" t="s">
        <v>62</v>
      </c>
      <c r="W340" s="4" t="s">
        <v>62</v>
      </c>
      <c r="X340" s="4" t="s">
        <v>62</v>
      </c>
      <c r="Y340" s="4" t="s">
        <v>62</v>
      </c>
      <c r="Z340" s="4" t="s">
        <v>62</v>
      </c>
      <c r="AA340" s="4" t="s">
        <v>62</v>
      </c>
      <c r="AB340" s="4" t="s">
        <v>62</v>
      </c>
      <c r="AC340" s="4" t="s">
        <v>62</v>
      </c>
      <c r="AD340" s="4" t="s">
        <v>62</v>
      </c>
      <c r="AE340" s="4" t="s">
        <v>62</v>
      </c>
      <c r="AF340" s="4" t="s">
        <v>62</v>
      </c>
      <c r="AG340" s="4" t="s">
        <v>62</v>
      </c>
      <c r="AH340" s="4" t="s">
        <v>62</v>
      </c>
    </row>
    <row r="341" spans="2:34">
      <c r="B341" s="139">
        <v>18</v>
      </c>
      <c r="C341" s="88" t="str">
        <f>LEFT(EmpGName18)&amp;" " &amp;EmpSName18</f>
        <v>E Smart</v>
      </c>
      <c r="D341" s="3" t="s">
        <v>62</v>
      </c>
      <c r="E341" s="3" t="s">
        <v>62</v>
      </c>
      <c r="F341" s="3" t="s">
        <v>62</v>
      </c>
      <c r="G341" s="3" t="s">
        <v>62</v>
      </c>
      <c r="H341" s="3" t="s">
        <v>62</v>
      </c>
      <c r="I341" s="3" t="s">
        <v>62</v>
      </c>
      <c r="J341" s="3" t="s">
        <v>62</v>
      </c>
      <c r="K341" s="3" t="s">
        <v>62</v>
      </c>
      <c r="L341" s="3" t="s">
        <v>62</v>
      </c>
      <c r="M341" s="3" t="s">
        <v>62</v>
      </c>
      <c r="N341" s="3" t="s">
        <v>62</v>
      </c>
      <c r="O341" s="3" t="s">
        <v>62</v>
      </c>
      <c r="P341" s="3" t="s">
        <v>62</v>
      </c>
      <c r="Q341" s="3" t="s">
        <v>62</v>
      </c>
      <c r="R341" s="3" t="s">
        <v>62</v>
      </c>
      <c r="S341" s="3" t="s">
        <v>62</v>
      </c>
      <c r="T341" s="3" t="s">
        <v>62</v>
      </c>
      <c r="U341" s="3" t="s">
        <v>62</v>
      </c>
      <c r="V341" s="3" t="s">
        <v>62</v>
      </c>
      <c r="W341" s="3" t="s">
        <v>62</v>
      </c>
      <c r="X341" s="3" t="s">
        <v>62</v>
      </c>
      <c r="Y341" s="3" t="s">
        <v>62</v>
      </c>
      <c r="Z341" s="3" t="s">
        <v>62</v>
      </c>
      <c r="AA341" s="3" t="s">
        <v>62</v>
      </c>
      <c r="AB341" s="3" t="s">
        <v>62</v>
      </c>
      <c r="AC341" s="3" t="s">
        <v>62</v>
      </c>
      <c r="AD341" s="3" t="s">
        <v>62</v>
      </c>
      <c r="AE341" s="3" t="s">
        <v>62</v>
      </c>
      <c r="AF341" s="3" t="s">
        <v>62</v>
      </c>
      <c r="AG341" s="3" t="s">
        <v>62</v>
      </c>
      <c r="AH341" s="3" t="s">
        <v>62</v>
      </c>
    </row>
    <row r="342" spans="2:34" hidden="1">
      <c r="B342" s="139">
        <v>19</v>
      </c>
      <c r="C342" s="87" t="str">
        <f>LEFT(EmpGName19)&amp;" " &amp;EmpSName19</f>
        <v xml:space="preserve"> </v>
      </c>
      <c r="D342" s="4" t="s">
        <v>62</v>
      </c>
      <c r="E342" s="4" t="s">
        <v>62</v>
      </c>
      <c r="F342" s="4" t="s">
        <v>62</v>
      </c>
      <c r="G342" s="4" t="s">
        <v>62</v>
      </c>
      <c r="H342" s="4" t="s">
        <v>62</v>
      </c>
      <c r="I342" s="4" t="s">
        <v>62</v>
      </c>
      <c r="J342" s="4" t="s">
        <v>62</v>
      </c>
      <c r="K342" s="4" t="s">
        <v>62</v>
      </c>
      <c r="L342" s="4" t="s">
        <v>62</v>
      </c>
      <c r="M342" s="4" t="s">
        <v>62</v>
      </c>
      <c r="N342" s="4" t="s">
        <v>62</v>
      </c>
      <c r="O342" s="4" t="s">
        <v>62</v>
      </c>
      <c r="P342" s="4" t="s">
        <v>62</v>
      </c>
      <c r="Q342" s="4" t="s">
        <v>62</v>
      </c>
      <c r="R342" s="4" t="s">
        <v>62</v>
      </c>
      <c r="S342" s="4" t="s">
        <v>62</v>
      </c>
      <c r="T342" s="4" t="s">
        <v>62</v>
      </c>
      <c r="U342" s="4" t="s">
        <v>62</v>
      </c>
      <c r="V342" s="4" t="s">
        <v>62</v>
      </c>
      <c r="W342" s="4" t="s">
        <v>62</v>
      </c>
      <c r="X342" s="4" t="s">
        <v>62</v>
      </c>
      <c r="Y342" s="4" t="s">
        <v>62</v>
      </c>
      <c r="Z342" s="4" t="s">
        <v>62</v>
      </c>
      <c r="AA342" s="4" t="s">
        <v>62</v>
      </c>
      <c r="AB342" s="4" t="s">
        <v>62</v>
      </c>
      <c r="AC342" s="4" t="s">
        <v>62</v>
      </c>
      <c r="AD342" s="4" t="s">
        <v>62</v>
      </c>
      <c r="AE342" s="4" t="s">
        <v>62</v>
      </c>
      <c r="AF342" s="4" t="s">
        <v>62</v>
      </c>
      <c r="AG342" s="4" t="s">
        <v>62</v>
      </c>
      <c r="AH342" s="4" t="s">
        <v>62</v>
      </c>
    </row>
    <row r="343" spans="2:34" hidden="1">
      <c r="B343" s="139">
        <v>20</v>
      </c>
      <c r="C343" s="88" t="str">
        <f>LEFT(EmpGName20)&amp;" " &amp;EmpSName20</f>
        <v xml:space="preserve"> </v>
      </c>
      <c r="D343" s="3" t="s">
        <v>62</v>
      </c>
      <c r="E343" s="3" t="s">
        <v>62</v>
      </c>
      <c r="F343" s="3" t="s">
        <v>62</v>
      </c>
      <c r="G343" s="3" t="s">
        <v>62</v>
      </c>
      <c r="H343" s="3" t="s">
        <v>62</v>
      </c>
      <c r="I343" s="3" t="s">
        <v>62</v>
      </c>
      <c r="J343" s="3" t="s">
        <v>62</v>
      </c>
      <c r="K343" s="3" t="s">
        <v>62</v>
      </c>
      <c r="L343" s="3" t="s">
        <v>62</v>
      </c>
      <c r="M343" s="3" t="s">
        <v>62</v>
      </c>
      <c r="N343" s="3" t="s">
        <v>62</v>
      </c>
      <c r="O343" s="3" t="s">
        <v>62</v>
      </c>
      <c r="P343" s="3" t="s">
        <v>62</v>
      </c>
      <c r="Q343" s="3" t="s">
        <v>62</v>
      </c>
      <c r="R343" s="3" t="s">
        <v>62</v>
      </c>
      <c r="S343" s="3" t="s">
        <v>62</v>
      </c>
      <c r="T343" s="3" t="s">
        <v>62</v>
      </c>
      <c r="U343" s="3" t="s">
        <v>62</v>
      </c>
      <c r="V343" s="3" t="s">
        <v>62</v>
      </c>
      <c r="W343" s="3" t="s">
        <v>62</v>
      </c>
      <c r="X343" s="3" t="s">
        <v>62</v>
      </c>
      <c r="Y343" s="3" t="s">
        <v>62</v>
      </c>
      <c r="Z343" s="3" t="s">
        <v>62</v>
      </c>
      <c r="AA343" s="3" t="s">
        <v>62</v>
      </c>
      <c r="AB343" s="3" t="s">
        <v>62</v>
      </c>
      <c r="AC343" s="3" t="s">
        <v>62</v>
      </c>
      <c r="AD343" s="3" t="s">
        <v>62</v>
      </c>
      <c r="AE343" s="3" t="s">
        <v>62</v>
      </c>
      <c r="AF343" s="3" t="s">
        <v>62</v>
      </c>
      <c r="AG343" s="3" t="s">
        <v>62</v>
      </c>
      <c r="AH343" s="3" t="s">
        <v>62</v>
      </c>
    </row>
    <row r="344" spans="2:34" hidden="1">
      <c r="B344" s="139">
        <v>21</v>
      </c>
      <c r="C344" s="87" t="str">
        <f>LEFT(EmpGName21)&amp;" " &amp;EmpSName21</f>
        <v xml:space="preserve"> </v>
      </c>
      <c r="D344" s="4" t="s">
        <v>62</v>
      </c>
      <c r="E344" s="4" t="s">
        <v>62</v>
      </c>
      <c r="F344" s="4" t="s">
        <v>62</v>
      </c>
      <c r="G344" s="4" t="s">
        <v>62</v>
      </c>
      <c r="H344" s="4" t="s">
        <v>62</v>
      </c>
      <c r="I344" s="4" t="s">
        <v>62</v>
      </c>
      <c r="J344" s="4" t="s">
        <v>62</v>
      </c>
      <c r="K344" s="4" t="s">
        <v>62</v>
      </c>
      <c r="L344" s="4" t="s">
        <v>62</v>
      </c>
      <c r="M344" s="4" t="s">
        <v>62</v>
      </c>
      <c r="N344" s="4" t="s">
        <v>62</v>
      </c>
      <c r="O344" s="4" t="s">
        <v>62</v>
      </c>
      <c r="P344" s="4" t="s">
        <v>62</v>
      </c>
      <c r="Q344" s="4" t="s">
        <v>62</v>
      </c>
      <c r="R344" s="4" t="s">
        <v>62</v>
      </c>
      <c r="S344" s="4" t="s">
        <v>62</v>
      </c>
      <c r="T344" s="4" t="s">
        <v>62</v>
      </c>
      <c r="U344" s="4" t="s">
        <v>62</v>
      </c>
      <c r="V344" s="4" t="s">
        <v>62</v>
      </c>
      <c r="W344" s="4" t="s">
        <v>62</v>
      </c>
      <c r="X344" s="4" t="s">
        <v>62</v>
      </c>
      <c r="Y344" s="4" t="s">
        <v>62</v>
      </c>
      <c r="Z344" s="4" t="s">
        <v>62</v>
      </c>
      <c r="AA344" s="4" t="s">
        <v>62</v>
      </c>
      <c r="AB344" s="4" t="s">
        <v>62</v>
      </c>
      <c r="AC344" s="4" t="s">
        <v>62</v>
      </c>
      <c r="AD344" s="4" t="s">
        <v>62</v>
      </c>
      <c r="AE344" s="4" t="s">
        <v>62</v>
      </c>
      <c r="AF344" s="4" t="s">
        <v>62</v>
      </c>
      <c r="AG344" s="4" t="s">
        <v>62</v>
      </c>
      <c r="AH344" s="4" t="s">
        <v>62</v>
      </c>
    </row>
    <row r="345" spans="2:34" hidden="1">
      <c r="B345" s="139">
        <v>22</v>
      </c>
      <c r="C345" s="88" t="str">
        <f>LEFT(EmpGName22)&amp;" " &amp;EmpSName22</f>
        <v xml:space="preserve"> </v>
      </c>
      <c r="D345" s="3" t="s">
        <v>62</v>
      </c>
      <c r="E345" s="3" t="s">
        <v>62</v>
      </c>
      <c r="F345" s="3" t="s">
        <v>62</v>
      </c>
      <c r="G345" s="3" t="s">
        <v>62</v>
      </c>
      <c r="H345" s="3" t="s">
        <v>62</v>
      </c>
      <c r="I345" s="3" t="s">
        <v>62</v>
      </c>
      <c r="J345" s="3" t="s">
        <v>62</v>
      </c>
      <c r="K345" s="3" t="s">
        <v>62</v>
      </c>
      <c r="L345" s="3" t="s">
        <v>62</v>
      </c>
      <c r="M345" s="3" t="s">
        <v>62</v>
      </c>
      <c r="N345" s="3" t="s">
        <v>62</v>
      </c>
      <c r="O345" s="3" t="s">
        <v>62</v>
      </c>
      <c r="P345" s="3" t="s">
        <v>62</v>
      </c>
      <c r="Q345" s="3" t="s">
        <v>62</v>
      </c>
      <c r="R345" s="3" t="s">
        <v>62</v>
      </c>
      <c r="S345" s="3" t="s">
        <v>62</v>
      </c>
      <c r="T345" s="3" t="s">
        <v>62</v>
      </c>
      <c r="U345" s="3" t="s">
        <v>62</v>
      </c>
      <c r="V345" s="3" t="s">
        <v>62</v>
      </c>
      <c r="W345" s="3" t="s">
        <v>62</v>
      </c>
      <c r="X345" s="3" t="s">
        <v>62</v>
      </c>
      <c r="Y345" s="3" t="s">
        <v>62</v>
      </c>
      <c r="Z345" s="3" t="s">
        <v>62</v>
      </c>
      <c r="AA345" s="3" t="s">
        <v>62</v>
      </c>
      <c r="AB345" s="3" t="s">
        <v>62</v>
      </c>
      <c r="AC345" s="3" t="s">
        <v>62</v>
      </c>
      <c r="AD345" s="3" t="s">
        <v>62</v>
      </c>
      <c r="AE345" s="3" t="s">
        <v>62</v>
      </c>
      <c r="AF345" s="3" t="s">
        <v>62</v>
      </c>
      <c r="AG345" s="3" t="s">
        <v>62</v>
      </c>
      <c r="AH345" s="3" t="s">
        <v>62</v>
      </c>
    </row>
    <row r="346" spans="2:34" hidden="1">
      <c r="B346" s="139">
        <v>23</v>
      </c>
      <c r="C346" s="87" t="str">
        <f>LEFT(EmpGName23)&amp;" " &amp;EmpSName23</f>
        <v xml:space="preserve"> </v>
      </c>
      <c r="D346" s="4" t="s">
        <v>62</v>
      </c>
      <c r="E346" s="4" t="s">
        <v>62</v>
      </c>
      <c r="F346" s="4" t="s">
        <v>62</v>
      </c>
      <c r="G346" s="4" t="s">
        <v>62</v>
      </c>
      <c r="H346" s="4" t="s">
        <v>62</v>
      </c>
      <c r="I346" s="4" t="s">
        <v>62</v>
      </c>
      <c r="J346" s="4" t="s">
        <v>62</v>
      </c>
      <c r="K346" s="4" t="s">
        <v>62</v>
      </c>
      <c r="L346" s="4" t="s">
        <v>62</v>
      </c>
      <c r="M346" s="4" t="s">
        <v>62</v>
      </c>
      <c r="N346" s="4" t="s">
        <v>62</v>
      </c>
      <c r="O346" s="4" t="s">
        <v>62</v>
      </c>
      <c r="P346" s="4" t="s">
        <v>62</v>
      </c>
      <c r="Q346" s="4" t="s">
        <v>62</v>
      </c>
      <c r="R346" s="4" t="s">
        <v>62</v>
      </c>
      <c r="S346" s="4" t="s">
        <v>62</v>
      </c>
      <c r="T346" s="4" t="s">
        <v>62</v>
      </c>
      <c r="U346" s="4" t="s">
        <v>62</v>
      </c>
      <c r="V346" s="4" t="s">
        <v>62</v>
      </c>
      <c r="W346" s="4" t="s">
        <v>62</v>
      </c>
      <c r="X346" s="4" t="s">
        <v>62</v>
      </c>
      <c r="Y346" s="4" t="s">
        <v>62</v>
      </c>
      <c r="Z346" s="4" t="s">
        <v>62</v>
      </c>
      <c r="AA346" s="4" t="s">
        <v>62</v>
      </c>
      <c r="AB346" s="4" t="s">
        <v>62</v>
      </c>
      <c r="AC346" s="4" t="s">
        <v>62</v>
      </c>
      <c r="AD346" s="4" t="s">
        <v>62</v>
      </c>
      <c r="AE346" s="4" t="s">
        <v>62</v>
      </c>
      <c r="AF346" s="4" t="s">
        <v>62</v>
      </c>
      <c r="AG346" s="4" t="s">
        <v>62</v>
      </c>
      <c r="AH346" s="4" t="s">
        <v>62</v>
      </c>
    </row>
    <row r="347" spans="2:34" hidden="1">
      <c r="B347" s="139">
        <v>24</v>
      </c>
      <c r="C347" s="88" t="str">
        <f>LEFT(EmpGName24)&amp;" " &amp;EmpSName24</f>
        <v xml:space="preserve"> </v>
      </c>
      <c r="D347" s="3" t="s">
        <v>62</v>
      </c>
      <c r="E347" s="3" t="s">
        <v>62</v>
      </c>
      <c r="F347" s="3" t="s">
        <v>62</v>
      </c>
      <c r="G347" s="3" t="s">
        <v>62</v>
      </c>
      <c r="H347" s="3" t="s">
        <v>62</v>
      </c>
      <c r="I347" s="3" t="s">
        <v>62</v>
      </c>
      <c r="J347" s="3" t="s">
        <v>62</v>
      </c>
      <c r="K347" s="3" t="s">
        <v>62</v>
      </c>
      <c r="L347" s="3" t="s">
        <v>62</v>
      </c>
      <c r="M347" s="3" t="s">
        <v>62</v>
      </c>
      <c r="N347" s="3" t="s">
        <v>62</v>
      </c>
      <c r="O347" s="3" t="s">
        <v>62</v>
      </c>
      <c r="P347" s="3" t="s">
        <v>62</v>
      </c>
      <c r="Q347" s="3" t="s">
        <v>62</v>
      </c>
      <c r="R347" s="3" t="s">
        <v>62</v>
      </c>
      <c r="S347" s="3" t="s">
        <v>62</v>
      </c>
      <c r="T347" s="3" t="s">
        <v>62</v>
      </c>
      <c r="U347" s="3" t="s">
        <v>62</v>
      </c>
      <c r="V347" s="3" t="s">
        <v>62</v>
      </c>
      <c r="W347" s="3" t="s">
        <v>62</v>
      </c>
      <c r="X347" s="3" t="s">
        <v>62</v>
      </c>
      <c r="Y347" s="3" t="s">
        <v>62</v>
      </c>
      <c r="Z347" s="3" t="s">
        <v>62</v>
      </c>
      <c r="AA347" s="3" t="s">
        <v>62</v>
      </c>
      <c r="AB347" s="3" t="s">
        <v>62</v>
      </c>
      <c r="AC347" s="3" t="s">
        <v>62</v>
      </c>
      <c r="AD347" s="3" t="s">
        <v>62</v>
      </c>
      <c r="AE347" s="3" t="s">
        <v>62</v>
      </c>
      <c r="AF347" s="3" t="s">
        <v>62</v>
      </c>
      <c r="AG347" s="3" t="s">
        <v>62</v>
      </c>
      <c r="AH347" s="3" t="s">
        <v>62</v>
      </c>
    </row>
    <row r="348" spans="2:34" hidden="1">
      <c r="B348" s="139">
        <v>25</v>
      </c>
      <c r="C348" s="87" t="str">
        <f>LEFT(EmpGName25)&amp;" " &amp;EmpSName25</f>
        <v xml:space="preserve"> </v>
      </c>
      <c r="D348" s="4" t="s">
        <v>62</v>
      </c>
      <c r="E348" s="4" t="s">
        <v>62</v>
      </c>
      <c r="F348" s="4" t="s">
        <v>62</v>
      </c>
      <c r="G348" s="4" t="s">
        <v>62</v>
      </c>
      <c r="H348" s="4" t="s">
        <v>62</v>
      </c>
      <c r="I348" s="4" t="s">
        <v>62</v>
      </c>
      <c r="J348" s="4" t="s">
        <v>62</v>
      </c>
      <c r="K348" s="4" t="s">
        <v>62</v>
      </c>
      <c r="L348" s="4" t="s">
        <v>62</v>
      </c>
      <c r="M348" s="4" t="s">
        <v>62</v>
      </c>
      <c r="N348" s="4" t="s">
        <v>62</v>
      </c>
      <c r="O348" s="4" t="s">
        <v>62</v>
      </c>
      <c r="P348" s="4" t="s">
        <v>62</v>
      </c>
      <c r="Q348" s="4" t="s">
        <v>62</v>
      </c>
      <c r="R348" s="4" t="s">
        <v>62</v>
      </c>
      <c r="S348" s="4" t="s">
        <v>62</v>
      </c>
      <c r="T348" s="4" t="s">
        <v>62</v>
      </c>
      <c r="U348" s="4" t="s">
        <v>62</v>
      </c>
      <c r="V348" s="4" t="s">
        <v>62</v>
      </c>
      <c r="W348" s="4" t="s">
        <v>62</v>
      </c>
      <c r="X348" s="4" t="s">
        <v>62</v>
      </c>
      <c r="Y348" s="4" t="s">
        <v>62</v>
      </c>
      <c r="Z348" s="4" t="s">
        <v>62</v>
      </c>
      <c r="AA348" s="4" t="s">
        <v>62</v>
      </c>
      <c r="AB348" s="4" t="s">
        <v>62</v>
      </c>
      <c r="AC348" s="4" t="s">
        <v>62</v>
      </c>
      <c r="AD348" s="4" t="s">
        <v>62</v>
      </c>
      <c r="AE348" s="4" t="s">
        <v>62</v>
      </c>
      <c r="AF348" s="4" t="s">
        <v>62</v>
      </c>
      <c r="AG348" s="4" t="s">
        <v>62</v>
      </c>
      <c r="AH348" s="4" t="s">
        <v>62</v>
      </c>
    </row>
    <row r="349" spans="2:34" hidden="1">
      <c r="B349" s="139">
        <v>26</v>
      </c>
      <c r="C349" s="88" t="str">
        <f>LEFT(EmpGName26)&amp;" " &amp;EmpSName26</f>
        <v xml:space="preserve"> </v>
      </c>
      <c r="D349" s="3" t="s">
        <v>62</v>
      </c>
      <c r="E349" s="3" t="s">
        <v>62</v>
      </c>
      <c r="F349" s="3" t="s">
        <v>62</v>
      </c>
      <c r="G349" s="3" t="s">
        <v>62</v>
      </c>
      <c r="H349" s="3" t="s">
        <v>62</v>
      </c>
      <c r="I349" s="3" t="s">
        <v>62</v>
      </c>
      <c r="J349" s="3" t="s">
        <v>62</v>
      </c>
      <c r="K349" s="3" t="s">
        <v>62</v>
      </c>
      <c r="L349" s="3" t="s">
        <v>62</v>
      </c>
      <c r="M349" s="3" t="s">
        <v>62</v>
      </c>
      <c r="N349" s="3" t="s">
        <v>62</v>
      </c>
      <c r="O349" s="3" t="s">
        <v>62</v>
      </c>
      <c r="P349" s="3" t="s">
        <v>62</v>
      </c>
      <c r="Q349" s="3" t="s">
        <v>62</v>
      </c>
      <c r="R349" s="3" t="s">
        <v>62</v>
      </c>
      <c r="S349" s="3" t="s">
        <v>62</v>
      </c>
      <c r="T349" s="3" t="s">
        <v>62</v>
      </c>
      <c r="U349" s="3" t="s">
        <v>62</v>
      </c>
      <c r="V349" s="3" t="s">
        <v>62</v>
      </c>
      <c r="W349" s="3" t="s">
        <v>62</v>
      </c>
      <c r="X349" s="3" t="s">
        <v>62</v>
      </c>
      <c r="Y349" s="3" t="s">
        <v>62</v>
      </c>
      <c r="Z349" s="3" t="s">
        <v>62</v>
      </c>
      <c r="AA349" s="3" t="s">
        <v>62</v>
      </c>
      <c r="AB349" s="3" t="s">
        <v>62</v>
      </c>
      <c r="AC349" s="3" t="s">
        <v>62</v>
      </c>
      <c r="AD349" s="3" t="s">
        <v>62</v>
      </c>
      <c r="AE349" s="3" t="s">
        <v>62</v>
      </c>
      <c r="AF349" s="3" t="s">
        <v>62</v>
      </c>
      <c r="AG349" s="3" t="s">
        <v>62</v>
      </c>
      <c r="AH349" s="3" t="s">
        <v>62</v>
      </c>
    </row>
    <row r="350" spans="2:34" hidden="1">
      <c r="B350" s="139">
        <v>27</v>
      </c>
      <c r="C350" s="87" t="str">
        <f>LEFT(EmpGName27)&amp;" " &amp;EmpSName27</f>
        <v xml:space="preserve"> </v>
      </c>
      <c r="D350" s="4" t="s">
        <v>62</v>
      </c>
      <c r="E350" s="4" t="s">
        <v>62</v>
      </c>
      <c r="F350" s="4" t="s">
        <v>62</v>
      </c>
      <c r="G350" s="4" t="s">
        <v>62</v>
      </c>
      <c r="H350" s="4" t="s">
        <v>62</v>
      </c>
      <c r="I350" s="4" t="s">
        <v>62</v>
      </c>
      <c r="J350" s="4" t="s">
        <v>62</v>
      </c>
      <c r="K350" s="4" t="s">
        <v>62</v>
      </c>
      <c r="L350" s="4" t="s">
        <v>62</v>
      </c>
      <c r="M350" s="4" t="s">
        <v>62</v>
      </c>
      <c r="N350" s="4" t="s">
        <v>62</v>
      </c>
      <c r="O350" s="4" t="s">
        <v>62</v>
      </c>
      <c r="P350" s="4" t="s">
        <v>62</v>
      </c>
      <c r="Q350" s="4" t="s">
        <v>62</v>
      </c>
      <c r="R350" s="4" t="s">
        <v>62</v>
      </c>
      <c r="S350" s="4" t="s">
        <v>62</v>
      </c>
      <c r="T350" s="4" t="s">
        <v>62</v>
      </c>
      <c r="U350" s="4" t="s">
        <v>62</v>
      </c>
      <c r="V350" s="4" t="s">
        <v>62</v>
      </c>
      <c r="W350" s="4" t="s">
        <v>62</v>
      </c>
      <c r="X350" s="4" t="s">
        <v>62</v>
      </c>
      <c r="Y350" s="4" t="s">
        <v>62</v>
      </c>
      <c r="Z350" s="4" t="s">
        <v>62</v>
      </c>
      <c r="AA350" s="4" t="s">
        <v>62</v>
      </c>
      <c r="AB350" s="4" t="s">
        <v>62</v>
      </c>
      <c r="AC350" s="4" t="s">
        <v>62</v>
      </c>
      <c r="AD350" s="4" t="s">
        <v>62</v>
      </c>
      <c r="AE350" s="4" t="s">
        <v>62</v>
      </c>
      <c r="AF350" s="4" t="s">
        <v>62</v>
      </c>
      <c r="AG350" s="4" t="s">
        <v>62</v>
      </c>
      <c r="AH350" s="4" t="s">
        <v>62</v>
      </c>
    </row>
    <row r="351" spans="2:34" hidden="1">
      <c r="B351" s="139">
        <v>28</v>
      </c>
      <c r="C351" s="88" t="str">
        <f>LEFT(EmpGName28)&amp;" " &amp;EmpSName28</f>
        <v xml:space="preserve"> </v>
      </c>
      <c r="D351" s="3" t="s">
        <v>62</v>
      </c>
      <c r="E351" s="3" t="s">
        <v>62</v>
      </c>
      <c r="F351" s="3" t="s">
        <v>62</v>
      </c>
      <c r="G351" s="3" t="s">
        <v>62</v>
      </c>
      <c r="H351" s="3" t="s">
        <v>62</v>
      </c>
      <c r="I351" s="3" t="s">
        <v>62</v>
      </c>
      <c r="J351" s="3" t="s">
        <v>62</v>
      </c>
      <c r="K351" s="3" t="s">
        <v>62</v>
      </c>
      <c r="L351" s="3" t="s">
        <v>62</v>
      </c>
      <c r="M351" s="3" t="s">
        <v>62</v>
      </c>
      <c r="N351" s="3" t="s">
        <v>62</v>
      </c>
      <c r="O351" s="3" t="s">
        <v>62</v>
      </c>
      <c r="P351" s="3" t="s">
        <v>62</v>
      </c>
      <c r="Q351" s="3" t="s">
        <v>62</v>
      </c>
      <c r="R351" s="3" t="s">
        <v>62</v>
      </c>
      <c r="S351" s="3" t="s">
        <v>62</v>
      </c>
      <c r="T351" s="3" t="s">
        <v>62</v>
      </c>
      <c r="U351" s="3" t="s">
        <v>62</v>
      </c>
      <c r="V351" s="3" t="s">
        <v>62</v>
      </c>
      <c r="W351" s="3" t="s">
        <v>62</v>
      </c>
      <c r="X351" s="3" t="s">
        <v>62</v>
      </c>
      <c r="Y351" s="3" t="s">
        <v>62</v>
      </c>
      <c r="Z351" s="3" t="s">
        <v>62</v>
      </c>
      <c r="AA351" s="3" t="s">
        <v>62</v>
      </c>
      <c r="AB351" s="3" t="s">
        <v>62</v>
      </c>
      <c r="AC351" s="3" t="s">
        <v>62</v>
      </c>
      <c r="AD351" s="3" t="s">
        <v>62</v>
      </c>
      <c r="AE351" s="3" t="s">
        <v>62</v>
      </c>
      <c r="AF351" s="3" t="s">
        <v>62</v>
      </c>
      <c r="AG351" s="3" t="s">
        <v>62</v>
      </c>
      <c r="AH351" s="3" t="s">
        <v>62</v>
      </c>
    </row>
    <row r="353" spans="2:34">
      <c r="C353" s="190" t="str">
        <f>CurYear</f>
        <v>2020</v>
      </c>
      <c r="D353" s="5" t="str">
        <f>LEFT(TEXT(D354&amp;"-"&amp;$C354&amp;"-"&amp;CurYear,"ddd"),2)</f>
        <v>Mo</v>
      </c>
      <c r="E353" s="5" t="str">
        <f t="shared" ref="E353:AF353" si="11">LEFT(TEXT(E354&amp;"-"&amp;$C354&amp;"-"&amp;CurYear,"ddd"),2)</f>
        <v>Tu</v>
      </c>
      <c r="F353" s="5" t="str">
        <f t="shared" si="11"/>
        <v>We</v>
      </c>
      <c r="G353" s="5" t="str">
        <f t="shared" si="11"/>
        <v>Th</v>
      </c>
      <c r="H353" s="5" t="str">
        <f t="shared" si="11"/>
        <v>Fr</v>
      </c>
      <c r="I353" s="5" t="str">
        <f t="shared" si="11"/>
        <v>Sa</v>
      </c>
      <c r="J353" s="5" t="str">
        <f t="shared" si="11"/>
        <v>Su</v>
      </c>
      <c r="K353" s="5" t="str">
        <f t="shared" si="11"/>
        <v>Mo</v>
      </c>
      <c r="L353" s="5" t="str">
        <f t="shared" si="11"/>
        <v>Tu</v>
      </c>
      <c r="M353" s="5" t="str">
        <f t="shared" si="11"/>
        <v>We</v>
      </c>
      <c r="N353" s="5" t="str">
        <f t="shared" si="11"/>
        <v>Th</v>
      </c>
      <c r="O353" s="5" t="str">
        <f t="shared" si="11"/>
        <v>Fr</v>
      </c>
      <c r="P353" s="5" t="str">
        <f t="shared" si="11"/>
        <v>Sa</v>
      </c>
      <c r="Q353" s="5" t="str">
        <f t="shared" si="11"/>
        <v>Su</v>
      </c>
      <c r="R353" s="5" t="str">
        <f t="shared" si="11"/>
        <v>Mo</v>
      </c>
      <c r="S353" s="5" t="str">
        <f t="shared" si="11"/>
        <v>Tu</v>
      </c>
      <c r="T353" s="5" t="str">
        <f t="shared" si="11"/>
        <v>We</v>
      </c>
      <c r="U353" s="5" t="str">
        <f t="shared" si="11"/>
        <v>Th</v>
      </c>
      <c r="V353" s="5" t="str">
        <f t="shared" si="11"/>
        <v>Fr</v>
      </c>
      <c r="W353" s="5" t="str">
        <f t="shared" si="11"/>
        <v>Sa</v>
      </c>
      <c r="X353" s="5" t="str">
        <f t="shared" si="11"/>
        <v>Su</v>
      </c>
      <c r="Y353" s="5" t="str">
        <f t="shared" si="11"/>
        <v>Mo</v>
      </c>
      <c r="Z353" s="5" t="str">
        <f t="shared" si="11"/>
        <v>Tu</v>
      </c>
      <c r="AA353" s="5" t="str">
        <f t="shared" si="11"/>
        <v>We</v>
      </c>
      <c r="AB353" s="5" t="str">
        <f t="shared" si="11"/>
        <v>Th</v>
      </c>
      <c r="AC353" s="5" t="str">
        <f t="shared" si="11"/>
        <v>Fr</v>
      </c>
      <c r="AD353" s="5" t="str">
        <f t="shared" si="11"/>
        <v>Sa</v>
      </c>
      <c r="AE353" s="5" t="str">
        <f t="shared" si="11"/>
        <v>Su</v>
      </c>
      <c r="AF353" s="5" t="str">
        <f t="shared" si="11"/>
        <v>Mo</v>
      </c>
      <c r="AG353" s="5" t="str">
        <f>LEFT(TEXT(AG354&amp;"-"&amp;$C354&amp;"-"&amp;CurYear,"ddd"),2)</f>
        <v>Tu</v>
      </c>
      <c r="AH353" s="5"/>
    </row>
    <row r="354" spans="2:34">
      <c r="B354" s="86"/>
      <c r="C354" s="191" t="s">
        <v>17</v>
      </c>
      <c r="D354" s="193">
        <v>1</v>
      </c>
      <c r="E354" s="193">
        <v>2</v>
      </c>
      <c r="F354" s="192">
        <v>3</v>
      </c>
      <c r="G354" s="193">
        <v>4</v>
      </c>
      <c r="H354" s="193">
        <v>5</v>
      </c>
      <c r="I354" s="193">
        <v>6</v>
      </c>
      <c r="J354" s="193">
        <v>7</v>
      </c>
      <c r="K354" s="193">
        <v>8</v>
      </c>
      <c r="L354" s="193">
        <v>9</v>
      </c>
      <c r="M354" s="193">
        <v>10</v>
      </c>
      <c r="N354" s="193">
        <v>11</v>
      </c>
      <c r="O354" s="193">
        <v>12</v>
      </c>
      <c r="P354" s="193">
        <v>13</v>
      </c>
      <c r="Q354" s="193">
        <v>14</v>
      </c>
      <c r="R354" s="193">
        <v>15</v>
      </c>
      <c r="S354" s="193">
        <v>16</v>
      </c>
      <c r="T354" s="192">
        <v>17</v>
      </c>
      <c r="U354" s="193">
        <v>18</v>
      </c>
      <c r="V354" s="193">
        <v>19</v>
      </c>
      <c r="W354" s="193">
        <v>20</v>
      </c>
      <c r="X354" s="193">
        <v>21</v>
      </c>
      <c r="Y354" s="193">
        <v>22</v>
      </c>
      <c r="Z354" s="193">
        <v>23</v>
      </c>
      <c r="AA354" s="193">
        <v>24</v>
      </c>
      <c r="AB354" s="193">
        <v>25</v>
      </c>
      <c r="AC354" s="193">
        <v>26</v>
      </c>
      <c r="AD354" s="193">
        <v>27</v>
      </c>
      <c r="AE354" s="193">
        <v>28</v>
      </c>
      <c r="AF354" s="193">
        <v>29</v>
      </c>
      <c r="AG354" s="193">
        <v>30</v>
      </c>
      <c r="AH354" s="90"/>
    </row>
    <row r="355" spans="2:34">
      <c r="B355" s="83">
        <v>1</v>
      </c>
      <c r="C355" s="87" t="str">
        <f>LEFT(EmpGName01)&amp;" " &amp; EmpSName01</f>
        <v>L Marampon</v>
      </c>
      <c r="D355" s="4" t="s">
        <v>62</v>
      </c>
      <c r="E355" s="4" t="s">
        <v>62</v>
      </c>
      <c r="F355" s="4" t="s">
        <v>62</v>
      </c>
      <c r="G355" s="4" t="s">
        <v>62</v>
      </c>
      <c r="H355" s="4" t="s">
        <v>62</v>
      </c>
      <c r="I355" s="4" t="s">
        <v>62</v>
      </c>
      <c r="J355" s="4" t="s">
        <v>62</v>
      </c>
      <c r="K355" s="4" t="s">
        <v>62</v>
      </c>
      <c r="L355" s="4" t="s">
        <v>62</v>
      </c>
      <c r="M355" s="4" t="s">
        <v>62</v>
      </c>
      <c r="N355" s="4" t="s">
        <v>62</v>
      </c>
      <c r="O355" s="4" t="s">
        <v>62</v>
      </c>
      <c r="P355" s="4" t="s">
        <v>62</v>
      </c>
      <c r="Q355" s="4" t="s">
        <v>62</v>
      </c>
      <c r="R355" s="4" t="s">
        <v>62</v>
      </c>
      <c r="S355" s="4" t="s">
        <v>62</v>
      </c>
      <c r="T355" s="4" t="s">
        <v>62</v>
      </c>
      <c r="U355" s="4" t="s">
        <v>62</v>
      </c>
      <c r="V355" s="4" t="s">
        <v>62</v>
      </c>
      <c r="W355" s="4" t="s">
        <v>62</v>
      </c>
      <c r="X355" s="4" t="s">
        <v>62</v>
      </c>
      <c r="Y355" s="4" t="s">
        <v>62</v>
      </c>
      <c r="Z355" s="4" t="s">
        <v>62</v>
      </c>
      <c r="AA355" s="4" t="s">
        <v>62</v>
      </c>
      <c r="AB355" s="4" t="s">
        <v>62</v>
      </c>
      <c r="AC355" s="4" t="s">
        <v>62</v>
      </c>
      <c r="AD355" s="4" t="s">
        <v>62</v>
      </c>
      <c r="AE355" s="4" t="s">
        <v>62</v>
      </c>
      <c r="AF355" s="4" t="s">
        <v>62</v>
      </c>
      <c r="AG355" s="4" t="s">
        <v>62</v>
      </c>
      <c r="AH355" s="8"/>
    </row>
    <row r="356" spans="2:34">
      <c r="B356" s="83">
        <v>2</v>
      </c>
      <c r="C356" s="88" t="str">
        <f>LEFT(EmpGName02)&amp;" " &amp;EmpSName02</f>
        <v>K Stone</v>
      </c>
      <c r="D356" s="3" t="s">
        <v>62</v>
      </c>
      <c r="E356" s="3" t="s">
        <v>62</v>
      </c>
      <c r="F356" s="3" t="s">
        <v>62</v>
      </c>
      <c r="G356" s="3" t="s">
        <v>62</v>
      </c>
      <c r="H356" s="3" t="s">
        <v>62</v>
      </c>
      <c r="I356" s="3" t="s">
        <v>62</v>
      </c>
      <c r="J356" s="3" t="s">
        <v>62</v>
      </c>
      <c r="K356" s="3" t="s">
        <v>62</v>
      </c>
      <c r="L356" s="3" t="s">
        <v>62</v>
      </c>
      <c r="M356" s="3" t="s">
        <v>62</v>
      </c>
      <c r="N356" s="3" t="s">
        <v>62</v>
      </c>
      <c r="O356" s="3" t="s">
        <v>62</v>
      </c>
      <c r="P356" s="3" t="s">
        <v>62</v>
      </c>
      <c r="Q356" s="3" t="s">
        <v>62</v>
      </c>
      <c r="R356" s="3" t="s">
        <v>62</v>
      </c>
      <c r="S356" s="3" t="s">
        <v>62</v>
      </c>
      <c r="T356" s="3" t="s">
        <v>62</v>
      </c>
      <c r="U356" s="3" t="s">
        <v>62</v>
      </c>
      <c r="V356" s="3" t="s">
        <v>62</v>
      </c>
      <c r="W356" s="3" t="s">
        <v>62</v>
      </c>
      <c r="X356" s="3" t="s">
        <v>62</v>
      </c>
      <c r="Y356" s="3" t="s">
        <v>62</v>
      </c>
      <c r="Z356" s="3" t="s">
        <v>62</v>
      </c>
      <c r="AA356" s="3" t="s">
        <v>62</v>
      </c>
      <c r="AB356" s="3" t="s">
        <v>62</v>
      </c>
      <c r="AC356" s="3" t="s">
        <v>62</v>
      </c>
      <c r="AD356" s="3" t="s">
        <v>62</v>
      </c>
      <c r="AE356" s="3" t="s">
        <v>62</v>
      </c>
      <c r="AF356" s="3" t="s">
        <v>62</v>
      </c>
      <c r="AG356" s="3" t="s">
        <v>62</v>
      </c>
      <c r="AH356" s="8"/>
    </row>
    <row r="357" spans="2:34">
      <c r="B357" s="83">
        <v>3</v>
      </c>
      <c r="C357" s="87" t="str">
        <f>LEFT(EmpGName03)&amp;" " &amp;EmpSName03</f>
        <v>I Thelning</v>
      </c>
      <c r="D357" s="4" t="s">
        <v>62</v>
      </c>
      <c r="E357" s="4" t="s">
        <v>62</v>
      </c>
      <c r="F357" s="4" t="s">
        <v>62</v>
      </c>
      <c r="G357" s="4" t="s">
        <v>62</v>
      </c>
      <c r="H357" s="4" t="s">
        <v>62</v>
      </c>
      <c r="I357" s="4" t="s">
        <v>62</v>
      </c>
      <c r="J357" s="4" t="s">
        <v>62</v>
      </c>
      <c r="K357" s="4" t="s">
        <v>62</v>
      </c>
      <c r="L357" s="4" t="s">
        <v>62</v>
      </c>
      <c r="M357" s="4" t="s">
        <v>62</v>
      </c>
      <c r="N357" s="4" t="s">
        <v>62</v>
      </c>
      <c r="O357" s="4" t="s">
        <v>62</v>
      </c>
      <c r="P357" s="4" t="s">
        <v>62</v>
      </c>
      <c r="Q357" s="4" t="s">
        <v>62</v>
      </c>
      <c r="R357" s="4" t="s">
        <v>62</v>
      </c>
      <c r="S357" s="4" t="s">
        <v>62</v>
      </c>
      <c r="T357" s="4" t="s">
        <v>62</v>
      </c>
      <c r="U357" s="4" t="s">
        <v>62</v>
      </c>
      <c r="V357" s="4" t="s">
        <v>62</v>
      </c>
      <c r="W357" s="4" t="s">
        <v>62</v>
      </c>
      <c r="X357" s="4" t="s">
        <v>62</v>
      </c>
      <c r="Y357" s="4" t="s">
        <v>62</v>
      </c>
      <c r="Z357" s="4" t="s">
        <v>62</v>
      </c>
      <c r="AA357" s="4" t="s">
        <v>62</v>
      </c>
      <c r="AB357" s="4" t="s">
        <v>62</v>
      </c>
      <c r="AC357" s="4" t="s">
        <v>62</v>
      </c>
      <c r="AD357" s="4" t="s">
        <v>62</v>
      </c>
      <c r="AE357" s="4" t="s">
        <v>62</v>
      </c>
      <c r="AF357" s="4" t="s">
        <v>62</v>
      </c>
      <c r="AG357" s="4" t="s">
        <v>62</v>
      </c>
      <c r="AH357" s="8"/>
    </row>
    <row r="358" spans="2:34">
      <c r="B358" s="83">
        <v>4</v>
      </c>
      <c r="C358" s="88" t="str">
        <f>LEFT(EmpGName04)&amp;" " &amp;EmpSName04</f>
        <v>L King</v>
      </c>
      <c r="D358" s="3" t="s">
        <v>62</v>
      </c>
      <c r="E358" s="3" t="s">
        <v>62</v>
      </c>
      <c r="F358" s="3" t="s">
        <v>62</v>
      </c>
      <c r="G358" s="3" t="s">
        <v>62</v>
      </c>
      <c r="H358" s="3" t="s">
        <v>62</v>
      </c>
      <c r="I358" s="3" t="s">
        <v>62</v>
      </c>
      <c r="J358" s="3" t="s">
        <v>62</v>
      </c>
      <c r="K358" s="3" t="s">
        <v>62</v>
      </c>
      <c r="L358" s="3" t="s">
        <v>62</v>
      </c>
      <c r="M358" s="3" t="s">
        <v>62</v>
      </c>
      <c r="N358" s="3" t="s">
        <v>62</v>
      </c>
      <c r="O358" s="3" t="s">
        <v>62</v>
      </c>
      <c r="P358" s="3" t="s">
        <v>62</v>
      </c>
      <c r="Q358" s="3" t="s">
        <v>62</v>
      </c>
      <c r="R358" s="3" t="s">
        <v>62</v>
      </c>
      <c r="S358" s="3" t="s">
        <v>62</v>
      </c>
      <c r="T358" s="3" t="s">
        <v>62</v>
      </c>
      <c r="U358" s="3" t="s">
        <v>62</v>
      </c>
      <c r="V358" s="3" t="s">
        <v>62</v>
      </c>
      <c r="W358" s="3" t="s">
        <v>62</v>
      </c>
      <c r="X358" s="3" t="s">
        <v>62</v>
      </c>
      <c r="Y358" s="3" t="s">
        <v>62</v>
      </c>
      <c r="Z358" s="3" t="s">
        <v>62</v>
      </c>
      <c r="AA358" s="3" t="s">
        <v>62</v>
      </c>
      <c r="AB358" s="3" t="s">
        <v>62</v>
      </c>
      <c r="AC358" s="3" t="s">
        <v>62</v>
      </c>
      <c r="AD358" s="3" t="s">
        <v>62</v>
      </c>
      <c r="AE358" s="3" t="s">
        <v>62</v>
      </c>
      <c r="AF358" s="3" t="s">
        <v>62</v>
      </c>
      <c r="AG358" s="3" t="s">
        <v>62</v>
      </c>
      <c r="AH358" s="8"/>
    </row>
    <row r="359" spans="2:34">
      <c r="B359" s="83">
        <v>5</v>
      </c>
      <c r="C359" s="87" t="str">
        <f>LEFT(EmpGName05)&amp;" " &amp;EmpSName05</f>
        <v>D Castle</v>
      </c>
      <c r="D359" s="4" t="s">
        <v>62</v>
      </c>
      <c r="E359" s="4" t="s">
        <v>62</v>
      </c>
      <c r="F359" s="4" t="s">
        <v>62</v>
      </c>
      <c r="G359" s="4" t="s">
        <v>62</v>
      </c>
      <c r="H359" s="4" t="s">
        <v>62</v>
      </c>
      <c r="I359" s="4" t="s">
        <v>62</v>
      </c>
      <c r="J359" s="4" t="s">
        <v>62</v>
      </c>
      <c r="K359" s="4" t="s">
        <v>62</v>
      </c>
      <c r="L359" s="4" t="s">
        <v>62</v>
      </c>
      <c r="M359" s="4" t="s">
        <v>62</v>
      </c>
      <c r="N359" s="4" t="s">
        <v>62</v>
      </c>
      <c r="O359" s="4" t="s">
        <v>62</v>
      </c>
      <c r="P359" s="4" t="s">
        <v>62</v>
      </c>
      <c r="Q359" s="4" t="s">
        <v>62</v>
      </c>
      <c r="R359" s="4" t="s">
        <v>62</v>
      </c>
      <c r="S359" s="4" t="s">
        <v>62</v>
      </c>
      <c r="T359" s="4" t="s">
        <v>62</v>
      </c>
      <c r="U359" s="4" t="s">
        <v>62</v>
      </c>
      <c r="V359" s="4" t="s">
        <v>62</v>
      </c>
      <c r="W359" s="4" t="s">
        <v>62</v>
      </c>
      <c r="X359" s="4" t="s">
        <v>62</v>
      </c>
      <c r="Y359" s="4" t="s">
        <v>62</v>
      </c>
      <c r="Z359" s="4" t="s">
        <v>62</v>
      </c>
      <c r="AA359" s="4" t="s">
        <v>62</v>
      </c>
      <c r="AB359" s="4" t="s">
        <v>62</v>
      </c>
      <c r="AC359" s="4" t="s">
        <v>62</v>
      </c>
      <c r="AD359" s="4" t="s">
        <v>62</v>
      </c>
      <c r="AE359" s="4" t="s">
        <v>62</v>
      </c>
      <c r="AF359" s="4" t="s">
        <v>62</v>
      </c>
      <c r="AG359" s="4" t="s">
        <v>62</v>
      </c>
      <c r="AH359" s="8"/>
    </row>
    <row r="360" spans="2:34">
      <c r="B360" s="83">
        <v>6</v>
      </c>
      <c r="C360" s="88" t="str">
        <f>LEFT(EmpGName06)&amp;" " &amp;EmpSName06</f>
        <v>R Fielding</v>
      </c>
      <c r="D360" s="3" t="s">
        <v>62</v>
      </c>
      <c r="E360" s="3" t="s">
        <v>62</v>
      </c>
      <c r="F360" s="3" t="s">
        <v>62</v>
      </c>
      <c r="G360" s="3" t="s">
        <v>62</v>
      </c>
      <c r="H360" s="3" t="s">
        <v>62</v>
      </c>
      <c r="I360" s="3" t="s">
        <v>62</v>
      </c>
      <c r="J360" s="3" t="s">
        <v>62</v>
      </c>
      <c r="K360" s="3" t="s">
        <v>62</v>
      </c>
      <c r="L360" s="3" t="s">
        <v>62</v>
      </c>
      <c r="M360" s="3" t="s">
        <v>62</v>
      </c>
      <c r="N360" s="3" t="s">
        <v>62</v>
      </c>
      <c r="O360" s="3" t="s">
        <v>62</v>
      </c>
      <c r="P360" s="3" t="s">
        <v>62</v>
      </c>
      <c r="Q360" s="3" t="s">
        <v>62</v>
      </c>
      <c r="R360" s="3" t="s">
        <v>62</v>
      </c>
      <c r="S360" s="3" t="s">
        <v>62</v>
      </c>
      <c r="T360" s="3" t="s">
        <v>62</v>
      </c>
      <c r="U360" s="3" t="s">
        <v>62</v>
      </c>
      <c r="V360" s="3" t="s">
        <v>62</v>
      </c>
      <c r="W360" s="3" t="s">
        <v>62</v>
      </c>
      <c r="X360" s="3" t="s">
        <v>62</v>
      </c>
      <c r="Y360" s="3" t="s">
        <v>62</v>
      </c>
      <c r="Z360" s="3" t="s">
        <v>62</v>
      </c>
      <c r="AA360" s="3" t="s">
        <v>62</v>
      </c>
      <c r="AB360" s="3" t="s">
        <v>62</v>
      </c>
      <c r="AC360" s="3" t="s">
        <v>62</v>
      </c>
      <c r="AD360" s="3" t="s">
        <v>62</v>
      </c>
      <c r="AE360" s="3" t="s">
        <v>62</v>
      </c>
      <c r="AF360" s="3" t="s">
        <v>62</v>
      </c>
      <c r="AG360" s="3" t="s">
        <v>62</v>
      </c>
      <c r="AH360" s="8"/>
    </row>
    <row r="361" spans="2:34">
      <c r="B361" s="83">
        <v>7</v>
      </c>
      <c r="C361" s="87" t="str">
        <f>LEFT(EmpGName07)&amp;" " &amp;EmpSName07</f>
        <v>T Sorensen</v>
      </c>
      <c r="D361" s="4" t="s">
        <v>62</v>
      </c>
      <c r="E361" s="4" t="s">
        <v>62</v>
      </c>
      <c r="F361" s="4" t="s">
        <v>62</v>
      </c>
      <c r="G361" s="4" t="s">
        <v>62</v>
      </c>
      <c r="H361" s="4" t="s">
        <v>62</v>
      </c>
      <c r="I361" s="4" t="s">
        <v>62</v>
      </c>
      <c r="J361" s="4" t="s">
        <v>62</v>
      </c>
      <c r="K361" s="4" t="s">
        <v>62</v>
      </c>
      <c r="L361" s="4" t="s">
        <v>62</v>
      </c>
      <c r="M361" s="4" t="s">
        <v>62</v>
      </c>
      <c r="N361" s="4" t="s">
        <v>62</v>
      </c>
      <c r="O361" s="4" t="s">
        <v>62</v>
      </c>
      <c r="P361" s="4" t="s">
        <v>62</v>
      </c>
      <c r="Q361" s="4" t="s">
        <v>62</v>
      </c>
      <c r="R361" s="4" t="s">
        <v>62</v>
      </c>
      <c r="S361" s="4" t="s">
        <v>62</v>
      </c>
      <c r="T361" s="4" t="s">
        <v>62</v>
      </c>
      <c r="U361" s="4" t="s">
        <v>62</v>
      </c>
      <c r="V361" s="4" t="s">
        <v>62</v>
      </c>
      <c r="W361" s="4" t="s">
        <v>62</v>
      </c>
      <c r="X361" s="4" t="s">
        <v>62</v>
      </c>
      <c r="Y361" s="4" t="s">
        <v>62</v>
      </c>
      <c r="Z361" s="4" t="s">
        <v>62</v>
      </c>
      <c r="AA361" s="4" t="s">
        <v>62</v>
      </c>
      <c r="AB361" s="4" t="s">
        <v>62</v>
      </c>
      <c r="AC361" s="4" t="s">
        <v>62</v>
      </c>
      <c r="AD361" s="4" t="s">
        <v>62</v>
      </c>
      <c r="AE361" s="4" t="s">
        <v>62</v>
      </c>
      <c r="AF361" s="4" t="s">
        <v>62</v>
      </c>
      <c r="AG361" s="4" t="s">
        <v>62</v>
      </c>
      <c r="AH361" s="8"/>
    </row>
    <row r="362" spans="2:34">
      <c r="B362" s="83">
        <v>8</v>
      </c>
      <c r="C362" s="88" t="str">
        <f>LEFT(EmpGName08)&amp;" " &amp;EmpSName08</f>
        <v>C Horse</v>
      </c>
      <c r="D362" s="3" t="s">
        <v>62</v>
      </c>
      <c r="E362" s="3" t="s">
        <v>62</v>
      </c>
      <c r="F362" s="3" t="s">
        <v>62</v>
      </c>
      <c r="G362" s="3" t="s">
        <v>62</v>
      </c>
      <c r="H362" s="3" t="s">
        <v>62</v>
      </c>
      <c r="I362" s="3" t="s">
        <v>62</v>
      </c>
      <c r="J362" s="3" t="s">
        <v>62</v>
      </c>
      <c r="K362" s="3" t="s">
        <v>62</v>
      </c>
      <c r="L362" s="3" t="s">
        <v>62</v>
      </c>
      <c r="M362" s="3" t="s">
        <v>62</v>
      </c>
      <c r="N362" s="3" t="s">
        <v>62</v>
      </c>
      <c r="O362" s="3" t="s">
        <v>62</v>
      </c>
      <c r="P362" s="3" t="s">
        <v>62</v>
      </c>
      <c r="Q362" s="3" t="s">
        <v>62</v>
      </c>
      <c r="R362" s="3" t="s">
        <v>62</v>
      </c>
      <c r="S362" s="3" t="s">
        <v>62</v>
      </c>
      <c r="T362" s="3" t="s">
        <v>62</v>
      </c>
      <c r="U362" s="3" t="s">
        <v>62</v>
      </c>
      <c r="V362" s="3" t="s">
        <v>62</v>
      </c>
      <c r="W362" s="3" t="s">
        <v>62</v>
      </c>
      <c r="X362" s="3" t="s">
        <v>62</v>
      </c>
      <c r="Y362" s="3" t="s">
        <v>62</v>
      </c>
      <c r="Z362" s="3" t="s">
        <v>62</v>
      </c>
      <c r="AA362" s="3" t="s">
        <v>62</v>
      </c>
      <c r="AB362" s="3" t="s">
        <v>62</v>
      </c>
      <c r="AC362" s="3" t="s">
        <v>62</v>
      </c>
      <c r="AD362" s="3" t="s">
        <v>62</v>
      </c>
      <c r="AE362" s="3" t="s">
        <v>62</v>
      </c>
      <c r="AF362" s="3" t="s">
        <v>62</v>
      </c>
      <c r="AG362" s="3" t="s">
        <v>62</v>
      </c>
      <c r="AH362" s="8"/>
    </row>
    <row r="363" spans="2:34">
      <c r="B363" s="83">
        <v>9</v>
      </c>
      <c r="C363" s="87" t="str">
        <f>LEFT(EmpGName09)&amp;" " &amp;EmpSName09</f>
        <v xml:space="preserve">E Horse </v>
      </c>
      <c r="D363" s="4" t="s">
        <v>62</v>
      </c>
      <c r="E363" s="4" t="s">
        <v>62</v>
      </c>
      <c r="F363" s="4" t="s">
        <v>62</v>
      </c>
      <c r="G363" s="4" t="s">
        <v>62</v>
      </c>
      <c r="H363" s="4" t="s">
        <v>62</v>
      </c>
      <c r="I363" s="4" t="s">
        <v>62</v>
      </c>
      <c r="J363" s="4" t="s">
        <v>62</v>
      </c>
      <c r="K363" s="4" t="s">
        <v>62</v>
      </c>
      <c r="L363" s="4" t="s">
        <v>62</v>
      </c>
      <c r="M363" s="4" t="s">
        <v>62</v>
      </c>
      <c r="N363" s="4" t="s">
        <v>62</v>
      </c>
      <c r="O363" s="4" t="s">
        <v>62</v>
      </c>
      <c r="P363" s="4" t="s">
        <v>62</v>
      </c>
      <c r="Q363" s="4" t="s">
        <v>62</v>
      </c>
      <c r="R363" s="4" t="s">
        <v>62</v>
      </c>
      <c r="S363" s="4" t="s">
        <v>62</v>
      </c>
      <c r="T363" s="4" t="s">
        <v>62</v>
      </c>
      <c r="U363" s="4" t="s">
        <v>62</v>
      </c>
      <c r="V363" s="4" t="s">
        <v>62</v>
      </c>
      <c r="W363" s="4" t="s">
        <v>62</v>
      </c>
      <c r="X363" s="4" t="s">
        <v>62</v>
      </c>
      <c r="Y363" s="4" t="s">
        <v>62</v>
      </c>
      <c r="Z363" s="4" t="s">
        <v>62</v>
      </c>
      <c r="AA363" s="4" t="s">
        <v>62</v>
      </c>
      <c r="AB363" s="4" t="s">
        <v>62</v>
      </c>
      <c r="AC363" s="4" t="s">
        <v>62</v>
      </c>
      <c r="AD363" s="4" t="s">
        <v>62</v>
      </c>
      <c r="AE363" s="4" t="s">
        <v>62</v>
      </c>
      <c r="AF363" s="4" t="s">
        <v>62</v>
      </c>
      <c r="AG363" s="4" t="s">
        <v>62</v>
      </c>
      <c r="AH363" s="8"/>
    </row>
    <row r="364" spans="2:34">
      <c r="B364" s="139">
        <v>10</v>
      </c>
      <c r="C364" s="88" t="str">
        <f>LEFT(EmpGName10)&amp;" " &amp;EmpSName10</f>
        <v>J Smeegal</v>
      </c>
      <c r="D364" s="3" t="s">
        <v>62</v>
      </c>
      <c r="E364" s="3" t="s">
        <v>62</v>
      </c>
      <c r="F364" s="3" t="s">
        <v>62</v>
      </c>
      <c r="G364" s="3" t="s">
        <v>62</v>
      </c>
      <c r="H364" s="3" t="s">
        <v>62</v>
      </c>
      <c r="I364" s="3" t="s">
        <v>62</v>
      </c>
      <c r="J364" s="3" t="s">
        <v>62</v>
      </c>
      <c r="K364" s="3" t="s">
        <v>62</v>
      </c>
      <c r="L364" s="3" t="s">
        <v>62</v>
      </c>
      <c r="M364" s="3" t="s">
        <v>62</v>
      </c>
      <c r="N364" s="3" t="s">
        <v>62</v>
      </c>
      <c r="O364" s="3" t="s">
        <v>62</v>
      </c>
      <c r="P364" s="3" t="s">
        <v>62</v>
      </c>
      <c r="Q364" s="3" t="s">
        <v>62</v>
      </c>
      <c r="R364" s="3" t="s">
        <v>62</v>
      </c>
      <c r="S364" s="3" t="s">
        <v>62</v>
      </c>
      <c r="T364" s="3" t="s">
        <v>62</v>
      </c>
      <c r="U364" s="3" t="s">
        <v>62</v>
      </c>
      <c r="V364" s="3" t="s">
        <v>62</v>
      </c>
      <c r="W364" s="3" t="s">
        <v>62</v>
      </c>
      <c r="X364" s="3" t="s">
        <v>62</v>
      </c>
      <c r="Y364" s="3" t="s">
        <v>62</v>
      </c>
      <c r="Z364" s="3" t="s">
        <v>62</v>
      </c>
      <c r="AA364" s="3" t="s">
        <v>62</v>
      </c>
      <c r="AB364" s="3" t="s">
        <v>62</v>
      </c>
      <c r="AC364" s="3" t="s">
        <v>62</v>
      </c>
      <c r="AD364" s="3" t="s">
        <v>62</v>
      </c>
      <c r="AE364" s="3" t="s">
        <v>62</v>
      </c>
      <c r="AF364" s="3" t="s">
        <v>62</v>
      </c>
      <c r="AG364" s="3" t="s">
        <v>62</v>
      </c>
      <c r="AH364" s="73"/>
    </row>
    <row r="365" spans="2:34">
      <c r="B365" s="139">
        <v>11</v>
      </c>
      <c r="C365" s="87" t="str">
        <f>LEFT(EmpGName11)&amp;" " &amp;EmpSName11</f>
        <v>E Smeegal</v>
      </c>
      <c r="D365" s="4" t="s">
        <v>62</v>
      </c>
      <c r="E365" s="4" t="s">
        <v>62</v>
      </c>
      <c r="F365" s="4" t="s">
        <v>62</v>
      </c>
      <c r="G365" s="4" t="s">
        <v>62</v>
      </c>
      <c r="H365" s="4" t="s">
        <v>62</v>
      </c>
      <c r="I365" s="4" t="s">
        <v>62</v>
      </c>
      <c r="J365" s="4" t="s">
        <v>62</v>
      </c>
      <c r="K365" s="4" t="s">
        <v>62</v>
      </c>
      <c r="L365" s="4" t="s">
        <v>62</v>
      </c>
      <c r="M365" s="4" t="s">
        <v>62</v>
      </c>
      <c r="N365" s="4" t="s">
        <v>62</v>
      </c>
      <c r="O365" s="4" t="s">
        <v>62</v>
      </c>
      <c r="P365" s="4" t="s">
        <v>62</v>
      </c>
      <c r="Q365" s="4" t="s">
        <v>62</v>
      </c>
      <c r="R365" s="4" t="s">
        <v>62</v>
      </c>
      <c r="S365" s="4" t="s">
        <v>62</v>
      </c>
      <c r="T365" s="4" t="s">
        <v>62</v>
      </c>
      <c r="U365" s="4" t="s">
        <v>62</v>
      </c>
      <c r="V365" s="4" t="s">
        <v>62</v>
      </c>
      <c r="W365" s="4" t="s">
        <v>62</v>
      </c>
      <c r="X365" s="4" t="s">
        <v>62</v>
      </c>
      <c r="Y365" s="4" t="s">
        <v>62</v>
      </c>
      <c r="Z365" s="4" t="s">
        <v>62</v>
      </c>
      <c r="AA365" s="4" t="s">
        <v>62</v>
      </c>
      <c r="AB365" s="4" t="s">
        <v>62</v>
      </c>
      <c r="AC365" s="4" t="s">
        <v>62</v>
      </c>
      <c r="AD365" s="4" t="s">
        <v>62</v>
      </c>
      <c r="AE365" s="4" t="s">
        <v>62</v>
      </c>
      <c r="AF365" s="4" t="s">
        <v>62</v>
      </c>
      <c r="AG365" s="4" t="s">
        <v>62</v>
      </c>
      <c r="AH365" s="73"/>
    </row>
    <row r="366" spans="2:34">
      <c r="B366" s="139">
        <v>12</v>
      </c>
      <c r="C366" s="88" t="str">
        <f>LEFT(EmpGName12)&amp;" " &amp;EmpSName12</f>
        <v>J James</v>
      </c>
      <c r="D366" s="3" t="s">
        <v>62</v>
      </c>
      <c r="E366" s="3" t="s">
        <v>62</v>
      </c>
      <c r="F366" s="3" t="s">
        <v>62</v>
      </c>
      <c r="G366" s="3" t="s">
        <v>62</v>
      </c>
      <c r="H366" s="3" t="s">
        <v>62</v>
      </c>
      <c r="I366" s="3" t="s">
        <v>62</v>
      </c>
      <c r="J366" s="3" t="s">
        <v>62</v>
      </c>
      <c r="K366" s="3" t="s">
        <v>62</v>
      </c>
      <c r="L366" s="3" t="s">
        <v>62</v>
      </c>
      <c r="M366" s="3" t="s">
        <v>62</v>
      </c>
      <c r="N366" s="3" t="s">
        <v>62</v>
      </c>
      <c r="O366" s="3" t="s">
        <v>62</v>
      </c>
      <c r="P366" s="3" t="s">
        <v>62</v>
      </c>
      <c r="Q366" s="3" t="s">
        <v>62</v>
      </c>
      <c r="R366" s="3" t="s">
        <v>62</v>
      </c>
      <c r="S366" s="3" t="s">
        <v>62</v>
      </c>
      <c r="T366" s="3" t="s">
        <v>62</v>
      </c>
      <c r="U366" s="3" t="s">
        <v>62</v>
      </c>
      <c r="V366" s="3" t="s">
        <v>62</v>
      </c>
      <c r="W366" s="3" t="s">
        <v>62</v>
      </c>
      <c r="X366" s="3" t="s">
        <v>62</v>
      </c>
      <c r="Y366" s="3" t="s">
        <v>62</v>
      </c>
      <c r="Z366" s="3" t="s">
        <v>62</v>
      </c>
      <c r="AA366" s="3" t="s">
        <v>62</v>
      </c>
      <c r="AB366" s="3" t="s">
        <v>62</v>
      </c>
      <c r="AC366" s="3" t="s">
        <v>62</v>
      </c>
      <c r="AD366" s="3" t="s">
        <v>62</v>
      </c>
      <c r="AE366" s="3" t="s">
        <v>62</v>
      </c>
      <c r="AF366" s="3" t="s">
        <v>62</v>
      </c>
      <c r="AG366" s="3" t="s">
        <v>62</v>
      </c>
      <c r="AH366" s="73"/>
    </row>
    <row r="367" spans="2:34">
      <c r="B367" s="139">
        <v>13</v>
      </c>
      <c r="C367" s="87" t="str">
        <f>LEFT(EmpGName13)&amp;" " &amp;EmpSName13</f>
        <v>J Jack</v>
      </c>
      <c r="D367" s="4" t="s">
        <v>62</v>
      </c>
      <c r="E367" s="4" t="s">
        <v>62</v>
      </c>
      <c r="F367" s="4" t="s">
        <v>62</v>
      </c>
      <c r="G367" s="4" t="s">
        <v>62</v>
      </c>
      <c r="H367" s="4" t="s">
        <v>62</v>
      </c>
      <c r="I367" s="4" t="s">
        <v>62</v>
      </c>
      <c r="J367" s="4" t="s">
        <v>62</v>
      </c>
      <c r="K367" s="4" t="s">
        <v>62</v>
      </c>
      <c r="L367" s="4" t="s">
        <v>62</v>
      </c>
      <c r="M367" s="4" t="s">
        <v>62</v>
      </c>
      <c r="N367" s="4" t="s">
        <v>62</v>
      </c>
      <c r="O367" s="4" t="s">
        <v>62</v>
      </c>
      <c r="P367" s="4" t="s">
        <v>62</v>
      </c>
      <c r="Q367" s="4" t="s">
        <v>62</v>
      </c>
      <c r="R367" s="4" t="s">
        <v>62</v>
      </c>
      <c r="S367" s="4" t="s">
        <v>62</v>
      </c>
      <c r="T367" s="4" t="s">
        <v>62</v>
      </c>
      <c r="U367" s="4" t="s">
        <v>62</v>
      </c>
      <c r="V367" s="4" t="s">
        <v>62</v>
      </c>
      <c r="W367" s="4" t="s">
        <v>62</v>
      </c>
      <c r="X367" s="4" t="s">
        <v>62</v>
      </c>
      <c r="Y367" s="4" t="s">
        <v>62</v>
      </c>
      <c r="Z367" s="4" t="s">
        <v>62</v>
      </c>
      <c r="AA367" s="4" t="s">
        <v>62</v>
      </c>
      <c r="AB367" s="4" t="s">
        <v>62</v>
      </c>
      <c r="AC367" s="4" t="s">
        <v>62</v>
      </c>
      <c r="AD367" s="4" t="s">
        <v>62</v>
      </c>
      <c r="AE367" s="4" t="s">
        <v>62</v>
      </c>
      <c r="AF367" s="4" t="s">
        <v>62</v>
      </c>
      <c r="AG367" s="4" t="s">
        <v>62</v>
      </c>
    </row>
    <row r="368" spans="2:34">
      <c r="B368" s="139">
        <v>14</v>
      </c>
      <c r="C368" s="88" t="str">
        <f>LEFT(EmpGName14)&amp;" " &amp;EmpSName14</f>
        <v xml:space="preserve">J Jacky </v>
      </c>
      <c r="D368" s="3" t="s">
        <v>62</v>
      </c>
      <c r="E368" s="3" t="s">
        <v>62</v>
      </c>
      <c r="F368" s="3" t="s">
        <v>62</v>
      </c>
      <c r="G368" s="3" t="s">
        <v>62</v>
      </c>
      <c r="H368" s="3" t="s">
        <v>62</v>
      </c>
      <c r="I368" s="3" t="s">
        <v>62</v>
      </c>
      <c r="J368" s="3" t="s">
        <v>62</v>
      </c>
      <c r="K368" s="3" t="s">
        <v>62</v>
      </c>
      <c r="L368" s="3" t="s">
        <v>62</v>
      </c>
      <c r="M368" s="3" t="s">
        <v>62</v>
      </c>
      <c r="N368" s="3" t="s">
        <v>62</v>
      </c>
      <c r="O368" s="3" t="s">
        <v>62</v>
      </c>
      <c r="P368" s="3" t="s">
        <v>62</v>
      </c>
      <c r="Q368" s="3" t="s">
        <v>62</v>
      </c>
      <c r="R368" s="3" t="s">
        <v>62</v>
      </c>
      <c r="S368" s="3" t="s">
        <v>62</v>
      </c>
      <c r="T368" s="3" t="s">
        <v>62</v>
      </c>
      <c r="U368" s="3" t="s">
        <v>62</v>
      </c>
      <c r="V368" s="3" t="s">
        <v>62</v>
      </c>
      <c r="W368" s="3" t="s">
        <v>62</v>
      </c>
      <c r="X368" s="3" t="s">
        <v>62</v>
      </c>
      <c r="Y368" s="3" t="s">
        <v>62</v>
      </c>
      <c r="Z368" s="3" t="s">
        <v>62</v>
      </c>
      <c r="AA368" s="3" t="s">
        <v>62</v>
      </c>
      <c r="AB368" s="3" t="s">
        <v>62</v>
      </c>
      <c r="AC368" s="3" t="s">
        <v>62</v>
      </c>
      <c r="AD368" s="3" t="s">
        <v>62</v>
      </c>
      <c r="AE368" s="3" t="s">
        <v>62</v>
      </c>
      <c r="AF368" s="3" t="s">
        <v>62</v>
      </c>
      <c r="AG368" s="3" t="s">
        <v>62</v>
      </c>
    </row>
    <row r="369" spans="2:33">
      <c r="B369" s="139">
        <v>15</v>
      </c>
      <c r="C369" s="87" t="str">
        <f>LEFT(EmpGName15)&amp;" " &amp;EmpSName15</f>
        <v>J Friedle</v>
      </c>
      <c r="D369" s="4" t="s">
        <v>62</v>
      </c>
      <c r="E369" s="4" t="s">
        <v>62</v>
      </c>
      <c r="F369" s="4" t="s">
        <v>62</v>
      </c>
      <c r="G369" s="4" t="s">
        <v>62</v>
      </c>
      <c r="H369" s="4" t="s">
        <v>62</v>
      </c>
      <c r="I369" s="4" t="s">
        <v>62</v>
      </c>
      <c r="J369" s="4" t="s">
        <v>62</v>
      </c>
      <c r="K369" s="4" t="s">
        <v>62</v>
      </c>
      <c r="L369" s="4" t="s">
        <v>62</v>
      </c>
      <c r="M369" s="4" t="s">
        <v>62</v>
      </c>
      <c r="N369" s="4" t="s">
        <v>62</v>
      </c>
      <c r="O369" s="4" t="s">
        <v>62</v>
      </c>
      <c r="P369" s="4" t="s">
        <v>62</v>
      </c>
      <c r="Q369" s="4" t="s">
        <v>62</v>
      </c>
      <c r="R369" s="4" t="s">
        <v>62</v>
      </c>
      <c r="S369" s="4" t="s">
        <v>62</v>
      </c>
      <c r="T369" s="4" t="s">
        <v>62</v>
      </c>
      <c r="U369" s="4" t="s">
        <v>62</v>
      </c>
      <c r="V369" s="4" t="s">
        <v>62</v>
      </c>
      <c r="W369" s="4" t="s">
        <v>62</v>
      </c>
      <c r="X369" s="4" t="s">
        <v>62</v>
      </c>
      <c r="Y369" s="4" t="s">
        <v>62</v>
      </c>
      <c r="Z369" s="4" t="s">
        <v>62</v>
      </c>
      <c r="AA369" s="4" t="s">
        <v>62</v>
      </c>
      <c r="AB369" s="4" t="s">
        <v>62</v>
      </c>
      <c r="AC369" s="4" t="s">
        <v>62</v>
      </c>
      <c r="AD369" s="4" t="s">
        <v>62</v>
      </c>
      <c r="AE369" s="4" t="s">
        <v>62</v>
      </c>
      <c r="AF369" s="4" t="s">
        <v>62</v>
      </c>
      <c r="AG369" s="4" t="s">
        <v>62</v>
      </c>
    </row>
    <row r="370" spans="2:33">
      <c r="B370" s="139">
        <v>16</v>
      </c>
      <c r="C370" s="88" t="str">
        <f>LEFT(EmpGName16)&amp;" " &amp;EmpSName16</f>
        <v>J Friedle</v>
      </c>
      <c r="D370" s="3" t="s">
        <v>62</v>
      </c>
      <c r="E370" s="3" t="s">
        <v>62</v>
      </c>
      <c r="F370" s="3" t="s">
        <v>62</v>
      </c>
      <c r="G370" s="3" t="s">
        <v>62</v>
      </c>
      <c r="H370" s="3" t="s">
        <v>62</v>
      </c>
      <c r="I370" s="3" t="s">
        <v>62</v>
      </c>
      <c r="J370" s="3" t="s">
        <v>62</v>
      </c>
      <c r="K370" s="3" t="s">
        <v>62</v>
      </c>
      <c r="L370" s="3" t="s">
        <v>62</v>
      </c>
      <c r="M370" s="3" t="s">
        <v>62</v>
      </c>
      <c r="N370" s="3" t="s">
        <v>62</v>
      </c>
      <c r="O370" s="3" t="s">
        <v>62</v>
      </c>
      <c r="P370" s="3" t="s">
        <v>62</v>
      </c>
      <c r="Q370" s="3" t="s">
        <v>62</v>
      </c>
      <c r="R370" s="3" t="s">
        <v>62</v>
      </c>
      <c r="S370" s="3" t="s">
        <v>62</v>
      </c>
      <c r="T370" s="3" t="s">
        <v>62</v>
      </c>
      <c r="U370" s="3" t="s">
        <v>62</v>
      </c>
      <c r="V370" s="3" t="s">
        <v>62</v>
      </c>
      <c r="W370" s="3" t="s">
        <v>62</v>
      </c>
      <c r="X370" s="3" t="s">
        <v>62</v>
      </c>
      <c r="Y370" s="3" t="s">
        <v>62</v>
      </c>
      <c r="Z370" s="3" t="s">
        <v>62</v>
      </c>
      <c r="AA370" s="3" t="s">
        <v>62</v>
      </c>
      <c r="AB370" s="3" t="s">
        <v>62</v>
      </c>
      <c r="AC370" s="3" t="s">
        <v>62</v>
      </c>
      <c r="AD370" s="3" t="s">
        <v>62</v>
      </c>
      <c r="AE370" s="3" t="s">
        <v>62</v>
      </c>
      <c r="AF370" s="3" t="s">
        <v>62</v>
      </c>
      <c r="AG370" s="3" t="s">
        <v>62</v>
      </c>
    </row>
    <row r="371" spans="2:33">
      <c r="B371" s="139">
        <v>17</v>
      </c>
      <c r="C371" s="87" t="str">
        <f>LEFT(EmpGName17)&amp;" " &amp;EmpSName17</f>
        <v>J Smart</v>
      </c>
      <c r="D371" s="4" t="s">
        <v>62</v>
      </c>
      <c r="E371" s="4" t="s">
        <v>62</v>
      </c>
      <c r="F371" s="4" t="s">
        <v>62</v>
      </c>
      <c r="G371" s="4" t="s">
        <v>62</v>
      </c>
      <c r="H371" s="4" t="s">
        <v>62</v>
      </c>
      <c r="I371" s="4" t="s">
        <v>62</v>
      </c>
      <c r="J371" s="4" t="s">
        <v>62</v>
      </c>
      <c r="K371" s="4" t="s">
        <v>62</v>
      </c>
      <c r="L371" s="4" t="s">
        <v>62</v>
      </c>
      <c r="M371" s="4" t="s">
        <v>62</v>
      </c>
      <c r="N371" s="4" t="s">
        <v>62</v>
      </c>
      <c r="O371" s="4" t="s">
        <v>62</v>
      </c>
      <c r="P371" s="4" t="s">
        <v>62</v>
      </c>
      <c r="Q371" s="4" t="s">
        <v>62</v>
      </c>
      <c r="R371" s="4" t="s">
        <v>62</v>
      </c>
      <c r="S371" s="4" t="s">
        <v>62</v>
      </c>
      <c r="T371" s="4" t="s">
        <v>62</v>
      </c>
      <c r="U371" s="4" t="s">
        <v>62</v>
      </c>
      <c r="V371" s="4" t="s">
        <v>62</v>
      </c>
      <c r="W371" s="4" t="s">
        <v>62</v>
      </c>
      <c r="X371" s="4" t="s">
        <v>62</v>
      </c>
      <c r="Y371" s="4" t="s">
        <v>62</v>
      </c>
      <c r="Z371" s="4" t="s">
        <v>62</v>
      </c>
      <c r="AA371" s="4" t="s">
        <v>62</v>
      </c>
      <c r="AB371" s="4" t="s">
        <v>62</v>
      </c>
      <c r="AC371" s="4" t="s">
        <v>62</v>
      </c>
      <c r="AD371" s="4" t="s">
        <v>62</v>
      </c>
      <c r="AE371" s="4" t="s">
        <v>62</v>
      </c>
      <c r="AF371" s="4" t="s">
        <v>62</v>
      </c>
      <c r="AG371" s="4" t="s">
        <v>62</v>
      </c>
    </row>
    <row r="372" spans="2:33">
      <c r="B372" s="139">
        <v>18</v>
      </c>
      <c r="C372" s="88" t="str">
        <f>LEFT(EmpGName18)&amp;" " &amp;EmpSName18</f>
        <v>E Smart</v>
      </c>
      <c r="D372" s="3" t="s">
        <v>62</v>
      </c>
      <c r="E372" s="3" t="s">
        <v>62</v>
      </c>
      <c r="F372" s="3" t="s">
        <v>62</v>
      </c>
      <c r="G372" s="3" t="s">
        <v>62</v>
      </c>
      <c r="H372" s="3" t="s">
        <v>62</v>
      </c>
      <c r="I372" s="3" t="s">
        <v>62</v>
      </c>
      <c r="J372" s="3" t="s">
        <v>62</v>
      </c>
      <c r="K372" s="3" t="s">
        <v>62</v>
      </c>
      <c r="L372" s="3" t="s">
        <v>62</v>
      </c>
      <c r="M372" s="3" t="s">
        <v>62</v>
      </c>
      <c r="N372" s="3" t="s">
        <v>62</v>
      </c>
      <c r="O372" s="3" t="s">
        <v>62</v>
      </c>
      <c r="P372" s="3" t="s">
        <v>62</v>
      </c>
      <c r="Q372" s="3" t="s">
        <v>62</v>
      </c>
      <c r="R372" s="3" t="s">
        <v>62</v>
      </c>
      <c r="S372" s="3" t="s">
        <v>62</v>
      </c>
      <c r="T372" s="3" t="s">
        <v>62</v>
      </c>
      <c r="U372" s="3" t="s">
        <v>62</v>
      </c>
      <c r="V372" s="3" t="s">
        <v>62</v>
      </c>
      <c r="W372" s="3" t="s">
        <v>62</v>
      </c>
      <c r="X372" s="3" t="s">
        <v>62</v>
      </c>
      <c r="Y372" s="3" t="s">
        <v>62</v>
      </c>
      <c r="Z372" s="3" t="s">
        <v>62</v>
      </c>
      <c r="AA372" s="3" t="s">
        <v>62</v>
      </c>
      <c r="AB372" s="3" t="s">
        <v>62</v>
      </c>
      <c r="AC372" s="3" t="s">
        <v>62</v>
      </c>
      <c r="AD372" s="3" t="s">
        <v>62</v>
      </c>
      <c r="AE372" s="3" t="s">
        <v>62</v>
      </c>
      <c r="AF372" s="3" t="s">
        <v>62</v>
      </c>
      <c r="AG372" s="3" t="s">
        <v>62</v>
      </c>
    </row>
    <row r="373" spans="2:33" hidden="1">
      <c r="B373" s="139">
        <v>19</v>
      </c>
      <c r="C373" s="87" t="str">
        <f>LEFT(EmpGName19)&amp;" " &amp;EmpSName19</f>
        <v xml:space="preserve"> </v>
      </c>
      <c r="D373" s="4" t="s">
        <v>62</v>
      </c>
      <c r="E373" s="4" t="s">
        <v>62</v>
      </c>
      <c r="F373" s="4" t="s">
        <v>62</v>
      </c>
      <c r="G373" s="4" t="s">
        <v>62</v>
      </c>
      <c r="H373" s="4" t="s">
        <v>62</v>
      </c>
      <c r="I373" s="4" t="s">
        <v>62</v>
      </c>
      <c r="J373" s="4" t="s">
        <v>62</v>
      </c>
      <c r="K373" s="4" t="s">
        <v>62</v>
      </c>
      <c r="L373" s="4" t="s">
        <v>62</v>
      </c>
      <c r="M373" s="4" t="s">
        <v>62</v>
      </c>
      <c r="N373" s="4" t="s">
        <v>62</v>
      </c>
      <c r="O373" s="4" t="s">
        <v>62</v>
      </c>
      <c r="P373" s="4" t="s">
        <v>62</v>
      </c>
      <c r="Q373" s="4" t="s">
        <v>62</v>
      </c>
      <c r="R373" s="4" t="s">
        <v>62</v>
      </c>
      <c r="S373" s="4" t="s">
        <v>62</v>
      </c>
      <c r="T373" s="4" t="s">
        <v>62</v>
      </c>
      <c r="U373" s="4" t="s">
        <v>62</v>
      </c>
      <c r="V373" s="4" t="s">
        <v>62</v>
      </c>
      <c r="W373" s="4" t="s">
        <v>62</v>
      </c>
      <c r="X373" s="4" t="s">
        <v>62</v>
      </c>
      <c r="Y373" s="4" t="s">
        <v>62</v>
      </c>
      <c r="Z373" s="4" t="s">
        <v>62</v>
      </c>
      <c r="AA373" s="4" t="s">
        <v>62</v>
      </c>
      <c r="AB373" s="4" t="s">
        <v>62</v>
      </c>
      <c r="AC373" s="4" t="s">
        <v>62</v>
      </c>
      <c r="AD373" s="4" t="s">
        <v>62</v>
      </c>
      <c r="AE373" s="4" t="s">
        <v>62</v>
      </c>
      <c r="AF373" s="4" t="s">
        <v>62</v>
      </c>
      <c r="AG373" s="4" t="s">
        <v>62</v>
      </c>
    </row>
    <row r="374" spans="2:33" hidden="1">
      <c r="B374" s="139">
        <v>20</v>
      </c>
      <c r="C374" s="88" t="str">
        <f>LEFT(EmpGName20)&amp;" " &amp;EmpSName20</f>
        <v xml:space="preserve"> </v>
      </c>
      <c r="D374" s="3" t="s">
        <v>62</v>
      </c>
      <c r="E374" s="3" t="s">
        <v>62</v>
      </c>
      <c r="F374" s="3" t="s">
        <v>62</v>
      </c>
      <c r="G374" s="3" t="s">
        <v>62</v>
      </c>
      <c r="H374" s="3" t="s">
        <v>62</v>
      </c>
      <c r="I374" s="3" t="s">
        <v>62</v>
      </c>
      <c r="J374" s="3" t="s">
        <v>62</v>
      </c>
      <c r="K374" s="3" t="s">
        <v>62</v>
      </c>
      <c r="L374" s="3" t="s">
        <v>62</v>
      </c>
      <c r="M374" s="3" t="s">
        <v>62</v>
      </c>
      <c r="N374" s="3" t="s">
        <v>62</v>
      </c>
      <c r="O374" s="3" t="s">
        <v>62</v>
      </c>
      <c r="P374" s="3" t="s">
        <v>62</v>
      </c>
      <c r="Q374" s="3" t="s">
        <v>62</v>
      </c>
      <c r="R374" s="3" t="s">
        <v>62</v>
      </c>
      <c r="S374" s="3" t="s">
        <v>62</v>
      </c>
      <c r="T374" s="3" t="s">
        <v>62</v>
      </c>
      <c r="U374" s="3" t="s">
        <v>62</v>
      </c>
      <c r="V374" s="3" t="s">
        <v>62</v>
      </c>
      <c r="W374" s="3" t="s">
        <v>62</v>
      </c>
      <c r="X374" s="3" t="s">
        <v>62</v>
      </c>
      <c r="Y374" s="3" t="s">
        <v>62</v>
      </c>
      <c r="Z374" s="3" t="s">
        <v>62</v>
      </c>
      <c r="AA374" s="3" t="s">
        <v>62</v>
      </c>
      <c r="AB374" s="3" t="s">
        <v>62</v>
      </c>
      <c r="AC374" s="3" t="s">
        <v>62</v>
      </c>
      <c r="AD374" s="3" t="s">
        <v>62</v>
      </c>
      <c r="AE374" s="3" t="s">
        <v>62</v>
      </c>
      <c r="AF374" s="3" t="s">
        <v>62</v>
      </c>
      <c r="AG374" s="3" t="s">
        <v>62</v>
      </c>
    </row>
    <row r="375" spans="2:33" hidden="1">
      <c r="B375" s="139">
        <v>21</v>
      </c>
      <c r="C375" s="87" t="str">
        <f>LEFT(EmpGName21)&amp;" " &amp;EmpSName21</f>
        <v xml:space="preserve"> </v>
      </c>
      <c r="D375" s="4" t="s">
        <v>62</v>
      </c>
      <c r="E375" s="4" t="s">
        <v>62</v>
      </c>
      <c r="F375" s="4" t="s">
        <v>62</v>
      </c>
      <c r="G375" s="4" t="s">
        <v>62</v>
      </c>
      <c r="H375" s="4" t="s">
        <v>62</v>
      </c>
      <c r="I375" s="4" t="s">
        <v>62</v>
      </c>
      <c r="J375" s="4" t="s">
        <v>62</v>
      </c>
      <c r="K375" s="4" t="s">
        <v>62</v>
      </c>
      <c r="L375" s="4" t="s">
        <v>62</v>
      </c>
      <c r="M375" s="4" t="s">
        <v>62</v>
      </c>
      <c r="N375" s="4" t="s">
        <v>62</v>
      </c>
      <c r="O375" s="4" t="s">
        <v>62</v>
      </c>
      <c r="P375" s="4" t="s">
        <v>62</v>
      </c>
      <c r="Q375" s="4" t="s">
        <v>62</v>
      </c>
      <c r="R375" s="4" t="s">
        <v>62</v>
      </c>
      <c r="S375" s="4" t="s">
        <v>62</v>
      </c>
      <c r="T375" s="4" t="s">
        <v>62</v>
      </c>
      <c r="U375" s="4" t="s">
        <v>62</v>
      </c>
      <c r="V375" s="4" t="s">
        <v>62</v>
      </c>
      <c r="W375" s="4" t="s">
        <v>62</v>
      </c>
      <c r="X375" s="4" t="s">
        <v>62</v>
      </c>
      <c r="Y375" s="4" t="s">
        <v>62</v>
      </c>
      <c r="Z375" s="4" t="s">
        <v>62</v>
      </c>
      <c r="AA375" s="4" t="s">
        <v>62</v>
      </c>
      <c r="AB375" s="4" t="s">
        <v>62</v>
      </c>
      <c r="AC375" s="4" t="s">
        <v>62</v>
      </c>
      <c r="AD375" s="4" t="s">
        <v>62</v>
      </c>
      <c r="AE375" s="4" t="s">
        <v>62</v>
      </c>
      <c r="AF375" s="4" t="s">
        <v>62</v>
      </c>
      <c r="AG375" s="4" t="s">
        <v>62</v>
      </c>
    </row>
    <row r="376" spans="2:33" hidden="1">
      <c r="B376" s="139">
        <v>22</v>
      </c>
      <c r="C376" s="88" t="str">
        <f>LEFT(EmpGName22)&amp;" " &amp;EmpSName22</f>
        <v xml:space="preserve"> </v>
      </c>
      <c r="D376" s="3" t="s">
        <v>62</v>
      </c>
      <c r="E376" s="3" t="s">
        <v>62</v>
      </c>
      <c r="F376" s="3" t="s">
        <v>62</v>
      </c>
      <c r="G376" s="3" t="s">
        <v>62</v>
      </c>
      <c r="H376" s="3" t="s">
        <v>62</v>
      </c>
      <c r="I376" s="3" t="s">
        <v>62</v>
      </c>
      <c r="J376" s="3" t="s">
        <v>62</v>
      </c>
      <c r="K376" s="3" t="s">
        <v>62</v>
      </c>
      <c r="L376" s="3" t="s">
        <v>62</v>
      </c>
      <c r="M376" s="3" t="s">
        <v>62</v>
      </c>
      <c r="N376" s="3" t="s">
        <v>62</v>
      </c>
      <c r="O376" s="3" t="s">
        <v>62</v>
      </c>
      <c r="P376" s="3" t="s">
        <v>62</v>
      </c>
      <c r="Q376" s="3" t="s">
        <v>62</v>
      </c>
      <c r="R376" s="3" t="s">
        <v>62</v>
      </c>
      <c r="S376" s="3" t="s">
        <v>62</v>
      </c>
      <c r="T376" s="3" t="s">
        <v>62</v>
      </c>
      <c r="U376" s="3" t="s">
        <v>62</v>
      </c>
      <c r="V376" s="3" t="s">
        <v>62</v>
      </c>
      <c r="W376" s="3" t="s">
        <v>62</v>
      </c>
      <c r="X376" s="3" t="s">
        <v>62</v>
      </c>
      <c r="Y376" s="3" t="s">
        <v>62</v>
      </c>
      <c r="Z376" s="3" t="s">
        <v>62</v>
      </c>
      <c r="AA376" s="3" t="s">
        <v>62</v>
      </c>
      <c r="AB376" s="3" t="s">
        <v>62</v>
      </c>
      <c r="AC376" s="3" t="s">
        <v>62</v>
      </c>
      <c r="AD376" s="3" t="s">
        <v>62</v>
      </c>
      <c r="AE376" s="3" t="s">
        <v>62</v>
      </c>
      <c r="AF376" s="3" t="s">
        <v>62</v>
      </c>
      <c r="AG376" s="3" t="s">
        <v>62</v>
      </c>
    </row>
    <row r="377" spans="2:33" hidden="1">
      <c r="B377" s="139">
        <v>23</v>
      </c>
      <c r="C377" s="87" t="str">
        <f>LEFT(EmpGName23)&amp;" " &amp;EmpSName23</f>
        <v xml:space="preserve"> </v>
      </c>
      <c r="D377" s="4" t="s">
        <v>62</v>
      </c>
      <c r="E377" s="4" t="s">
        <v>62</v>
      </c>
      <c r="F377" s="4" t="s">
        <v>62</v>
      </c>
      <c r="G377" s="4" t="s">
        <v>62</v>
      </c>
      <c r="H377" s="4" t="s">
        <v>62</v>
      </c>
      <c r="I377" s="4" t="s">
        <v>62</v>
      </c>
      <c r="J377" s="4" t="s">
        <v>62</v>
      </c>
      <c r="K377" s="4" t="s">
        <v>62</v>
      </c>
      <c r="L377" s="4" t="s">
        <v>62</v>
      </c>
      <c r="M377" s="4" t="s">
        <v>62</v>
      </c>
      <c r="N377" s="4" t="s">
        <v>62</v>
      </c>
      <c r="O377" s="4" t="s">
        <v>62</v>
      </c>
      <c r="P377" s="4" t="s">
        <v>62</v>
      </c>
      <c r="Q377" s="4" t="s">
        <v>62</v>
      </c>
      <c r="R377" s="4" t="s">
        <v>62</v>
      </c>
      <c r="S377" s="4" t="s">
        <v>62</v>
      </c>
      <c r="T377" s="4" t="s">
        <v>62</v>
      </c>
      <c r="U377" s="4" t="s">
        <v>62</v>
      </c>
      <c r="V377" s="4" t="s">
        <v>62</v>
      </c>
      <c r="W377" s="4" t="s">
        <v>62</v>
      </c>
      <c r="X377" s="4" t="s">
        <v>62</v>
      </c>
      <c r="Y377" s="4" t="s">
        <v>62</v>
      </c>
      <c r="Z377" s="4" t="s">
        <v>62</v>
      </c>
      <c r="AA377" s="4" t="s">
        <v>62</v>
      </c>
      <c r="AB377" s="4" t="s">
        <v>62</v>
      </c>
      <c r="AC377" s="4" t="s">
        <v>62</v>
      </c>
      <c r="AD377" s="4" t="s">
        <v>62</v>
      </c>
      <c r="AE377" s="4" t="s">
        <v>62</v>
      </c>
      <c r="AF377" s="4" t="s">
        <v>62</v>
      </c>
      <c r="AG377" s="4" t="s">
        <v>62</v>
      </c>
    </row>
    <row r="378" spans="2:33" hidden="1">
      <c r="B378" s="139">
        <v>24</v>
      </c>
      <c r="C378" s="88" t="str">
        <f>LEFT(EmpGName24)&amp;" " &amp;EmpSName24</f>
        <v xml:space="preserve"> </v>
      </c>
      <c r="D378" s="3" t="s">
        <v>62</v>
      </c>
      <c r="E378" s="3" t="s">
        <v>62</v>
      </c>
      <c r="F378" s="3" t="s">
        <v>62</v>
      </c>
      <c r="G378" s="3" t="s">
        <v>62</v>
      </c>
      <c r="H378" s="3" t="s">
        <v>62</v>
      </c>
      <c r="I378" s="3" t="s">
        <v>62</v>
      </c>
      <c r="J378" s="3" t="s">
        <v>62</v>
      </c>
      <c r="K378" s="3" t="s">
        <v>62</v>
      </c>
      <c r="L378" s="3" t="s">
        <v>62</v>
      </c>
      <c r="M378" s="3" t="s">
        <v>62</v>
      </c>
      <c r="N378" s="3" t="s">
        <v>62</v>
      </c>
      <c r="O378" s="3" t="s">
        <v>62</v>
      </c>
      <c r="P378" s="3" t="s">
        <v>62</v>
      </c>
      <c r="Q378" s="3" t="s">
        <v>62</v>
      </c>
      <c r="R378" s="3" t="s">
        <v>62</v>
      </c>
      <c r="S378" s="3" t="s">
        <v>62</v>
      </c>
      <c r="T378" s="3" t="s">
        <v>62</v>
      </c>
      <c r="U378" s="3" t="s">
        <v>62</v>
      </c>
      <c r="V378" s="3" t="s">
        <v>62</v>
      </c>
      <c r="W378" s="3" t="s">
        <v>62</v>
      </c>
      <c r="X378" s="3" t="s">
        <v>62</v>
      </c>
      <c r="Y378" s="3" t="s">
        <v>62</v>
      </c>
      <c r="Z378" s="3" t="s">
        <v>62</v>
      </c>
      <c r="AA378" s="3" t="s">
        <v>62</v>
      </c>
      <c r="AB378" s="3" t="s">
        <v>62</v>
      </c>
      <c r="AC378" s="3" t="s">
        <v>62</v>
      </c>
      <c r="AD378" s="3" t="s">
        <v>62</v>
      </c>
      <c r="AE378" s="3" t="s">
        <v>62</v>
      </c>
      <c r="AF378" s="3" t="s">
        <v>62</v>
      </c>
      <c r="AG378" s="3" t="s">
        <v>62</v>
      </c>
    </row>
    <row r="379" spans="2:33" hidden="1">
      <c r="B379" s="139">
        <v>25</v>
      </c>
      <c r="C379" s="87" t="str">
        <f>LEFT(EmpGName25)&amp;" " &amp;EmpSName25</f>
        <v xml:space="preserve"> </v>
      </c>
      <c r="D379" s="4" t="s">
        <v>62</v>
      </c>
      <c r="E379" s="4" t="s">
        <v>62</v>
      </c>
      <c r="F379" s="4" t="s">
        <v>62</v>
      </c>
      <c r="G379" s="4" t="s">
        <v>62</v>
      </c>
      <c r="H379" s="4" t="s">
        <v>62</v>
      </c>
      <c r="I379" s="4" t="s">
        <v>62</v>
      </c>
      <c r="J379" s="4" t="s">
        <v>62</v>
      </c>
      <c r="K379" s="4" t="s">
        <v>62</v>
      </c>
      <c r="L379" s="4" t="s">
        <v>62</v>
      </c>
      <c r="M379" s="4" t="s">
        <v>62</v>
      </c>
      <c r="N379" s="4" t="s">
        <v>62</v>
      </c>
      <c r="O379" s="4" t="s">
        <v>62</v>
      </c>
      <c r="P379" s="4" t="s">
        <v>62</v>
      </c>
      <c r="Q379" s="4" t="s">
        <v>62</v>
      </c>
      <c r="R379" s="4" t="s">
        <v>62</v>
      </c>
      <c r="S379" s="4" t="s">
        <v>62</v>
      </c>
      <c r="T379" s="4" t="s">
        <v>62</v>
      </c>
      <c r="U379" s="4" t="s">
        <v>62</v>
      </c>
      <c r="V379" s="4" t="s">
        <v>62</v>
      </c>
      <c r="W379" s="4" t="s">
        <v>62</v>
      </c>
      <c r="X379" s="4" t="s">
        <v>62</v>
      </c>
      <c r="Y379" s="4" t="s">
        <v>62</v>
      </c>
      <c r="Z379" s="4" t="s">
        <v>62</v>
      </c>
      <c r="AA379" s="4" t="s">
        <v>62</v>
      </c>
      <c r="AB379" s="4" t="s">
        <v>62</v>
      </c>
      <c r="AC379" s="4" t="s">
        <v>62</v>
      </c>
      <c r="AD379" s="4" t="s">
        <v>62</v>
      </c>
      <c r="AE379" s="4" t="s">
        <v>62</v>
      </c>
      <c r="AF379" s="4" t="s">
        <v>62</v>
      </c>
      <c r="AG379" s="4" t="s">
        <v>62</v>
      </c>
    </row>
    <row r="380" spans="2:33" hidden="1">
      <c r="B380" s="139">
        <v>26</v>
      </c>
      <c r="C380" s="88" t="str">
        <f>LEFT(EmpGName26)&amp;" " &amp;EmpSName26</f>
        <v xml:space="preserve"> </v>
      </c>
      <c r="D380" s="3" t="s">
        <v>62</v>
      </c>
      <c r="E380" s="3" t="s">
        <v>62</v>
      </c>
      <c r="F380" s="3" t="s">
        <v>62</v>
      </c>
      <c r="G380" s="3" t="s">
        <v>62</v>
      </c>
      <c r="H380" s="3" t="s">
        <v>62</v>
      </c>
      <c r="I380" s="3" t="s">
        <v>62</v>
      </c>
      <c r="J380" s="3" t="s">
        <v>62</v>
      </c>
      <c r="K380" s="3" t="s">
        <v>62</v>
      </c>
      <c r="L380" s="3" t="s">
        <v>62</v>
      </c>
      <c r="M380" s="3" t="s">
        <v>62</v>
      </c>
      <c r="N380" s="3" t="s">
        <v>62</v>
      </c>
      <c r="O380" s="3" t="s">
        <v>62</v>
      </c>
      <c r="P380" s="3" t="s">
        <v>62</v>
      </c>
      <c r="Q380" s="3" t="s">
        <v>62</v>
      </c>
      <c r="R380" s="3" t="s">
        <v>62</v>
      </c>
      <c r="S380" s="3" t="s">
        <v>62</v>
      </c>
      <c r="T380" s="3" t="s">
        <v>62</v>
      </c>
      <c r="U380" s="3" t="s">
        <v>62</v>
      </c>
      <c r="V380" s="3" t="s">
        <v>62</v>
      </c>
      <c r="W380" s="3" t="s">
        <v>62</v>
      </c>
      <c r="X380" s="3" t="s">
        <v>62</v>
      </c>
      <c r="Y380" s="3" t="s">
        <v>62</v>
      </c>
      <c r="Z380" s="3" t="s">
        <v>62</v>
      </c>
      <c r="AA380" s="3" t="s">
        <v>62</v>
      </c>
      <c r="AB380" s="3" t="s">
        <v>62</v>
      </c>
      <c r="AC380" s="3" t="s">
        <v>62</v>
      </c>
      <c r="AD380" s="3" t="s">
        <v>62</v>
      </c>
      <c r="AE380" s="3" t="s">
        <v>62</v>
      </c>
      <c r="AF380" s="3" t="s">
        <v>62</v>
      </c>
      <c r="AG380" s="3" t="s">
        <v>62</v>
      </c>
    </row>
    <row r="381" spans="2:33" hidden="1">
      <c r="B381" s="139">
        <v>27</v>
      </c>
      <c r="C381" s="87" t="str">
        <f>LEFT(EmpGName27)&amp;" " &amp;EmpSName27</f>
        <v xml:space="preserve"> </v>
      </c>
      <c r="D381" s="4" t="s">
        <v>62</v>
      </c>
      <c r="E381" s="4" t="s">
        <v>62</v>
      </c>
      <c r="F381" s="4" t="s">
        <v>62</v>
      </c>
      <c r="G381" s="4" t="s">
        <v>62</v>
      </c>
      <c r="H381" s="4" t="s">
        <v>62</v>
      </c>
      <c r="I381" s="4" t="s">
        <v>62</v>
      </c>
      <c r="J381" s="4" t="s">
        <v>62</v>
      </c>
      <c r="K381" s="4" t="s">
        <v>62</v>
      </c>
      <c r="L381" s="4" t="s">
        <v>62</v>
      </c>
      <c r="M381" s="4" t="s">
        <v>62</v>
      </c>
      <c r="N381" s="4" t="s">
        <v>62</v>
      </c>
      <c r="O381" s="4" t="s">
        <v>62</v>
      </c>
      <c r="P381" s="4" t="s">
        <v>62</v>
      </c>
      <c r="Q381" s="4" t="s">
        <v>62</v>
      </c>
      <c r="R381" s="4" t="s">
        <v>62</v>
      </c>
      <c r="S381" s="4" t="s">
        <v>62</v>
      </c>
      <c r="T381" s="4" t="s">
        <v>62</v>
      </c>
      <c r="U381" s="4" t="s">
        <v>62</v>
      </c>
      <c r="V381" s="4" t="s">
        <v>62</v>
      </c>
      <c r="W381" s="4" t="s">
        <v>62</v>
      </c>
      <c r="X381" s="4" t="s">
        <v>62</v>
      </c>
      <c r="Y381" s="4" t="s">
        <v>62</v>
      </c>
      <c r="Z381" s="4" t="s">
        <v>62</v>
      </c>
      <c r="AA381" s="4" t="s">
        <v>62</v>
      </c>
      <c r="AB381" s="4" t="s">
        <v>62</v>
      </c>
      <c r="AC381" s="4" t="s">
        <v>62</v>
      </c>
      <c r="AD381" s="4" t="s">
        <v>62</v>
      </c>
      <c r="AE381" s="4" t="s">
        <v>62</v>
      </c>
      <c r="AF381" s="4" t="s">
        <v>62</v>
      </c>
      <c r="AG381" s="4" t="s">
        <v>62</v>
      </c>
    </row>
    <row r="382" spans="2:33" hidden="1">
      <c r="B382" s="178">
        <v>28</v>
      </c>
      <c r="C382" s="179" t="str">
        <f>LEFT(EmpGName28)&amp;" " &amp;EmpSName28</f>
        <v xml:space="preserve"> </v>
      </c>
      <c r="D382" s="177" t="s">
        <v>62</v>
      </c>
      <c r="E382" s="177" t="s">
        <v>62</v>
      </c>
      <c r="F382" s="177" t="s">
        <v>62</v>
      </c>
      <c r="G382" s="177" t="s">
        <v>62</v>
      </c>
      <c r="H382" s="177" t="s">
        <v>62</v>
      </c>
      <c r="I382" s="177" t="s">
        <v>62</v>
      </c>
      <c r="J382" s="177" t="s">
        <v>62</v>
      </c>
      <c r="K382" s="177" t="s">
        <v>62</v>
      </c>
      <c r="L382" s="177" t="s">
        <v>62</v>
      </c>
      <c r="M382" s="177" t="s">
        <v>62</v>
      </c>
      <c r="N382" s="177" t="s">
        <v>62</v>
      </c>
      <c r="O382" s="177" t="s">
        <v>62</v>
      </c>
      <c r="P382" s="177" t="s">
        <v>62</v>
      </c>
      <c r="Q382" s="177" t="s">
        <v>62</v>
      </c>
      <c r="R382" s="177" t="s">
        <v>62</v>
      </c>
      <c r="S382" s="177" t="s">
        <v>62</v>
      </c>
      <c r="T382" s="177" t="s">
        <v>62</v>
      </c>
      <c r="U382" s="177" t="s">
        <v>62</v>
      </c>
      <c r="V382" s="177" t="s">
        <v>62</v>
      </c>
      <c r="W382" s="177" t="s">
        <v>62</v>
      </c>
      <c r="X382" s="177" t="s">
        <v>62</v>
      </c>
      <c r="Y382" s="177" t="s">
        <v>62</v>
      </c>
      <c r="Z382" s="177" t="s">
        <v>62</v>
      </c>
      <c r="AA382" s="177" t="s">
        <v>62</v>
      </c>
      <c r="AB382" s="177" t="s">
        <v>62</v>
      </c>
      <c r="AC382" s="177" t="s">
        <v>62</v>
      </c>
      <c r="AD382" s="177" t="s">
        <v>62</v>
      </c>
      <c r="AE382" s="177" t="s">
        <v>62</v>
      </c>
      <c r="AF382" s="177" t="s">
        <v>62</v>
      </c>
      <c r="AG382" s="177" t="s">
        <v>62</v>
      </c>
    </row>
  </sheetData>
  <sheetProtection sheet="1" objects="1" scenarios="1" selectLockedCells="1"/>
  <customSheetViews>
    <customSheetView guid="{AD9D0CFE-E6C4-49DD-B2D2-304A3BF30C6C}" scale="110" showGridLines="0" showRowCol="0" showRuler="0">
      <pane ySplit="5" topLeftCell="A12" activePane="bottomLeft" state="frozen"/>
      <selection pane="bottomLeft" activeCell="H14" sqref="H14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  <customSheetView guid="{9CC23DA7-DD7F-416D-ABE1-6A68EF4528AC}" scale="95" showGridLines="0" showRowCol="0" showRuler="0">
      <pane ySplit="5" topLeftCell="A6" activePane="bottomLeft" state="frozen"/>
      <selection pane="bottomLeft" activeCell="AH33" sqref="AH33"/>
    </customSheetView>
  </customSheetViews>
  <mergeCells count="3">
    <mergeCell ref="C4:D4"/>
    <mergeCell ref="J3:AD3"/>
    <mergeCell ref="J1:AD2"/>
  </mergeCells>
  <phoneticPr fontId="0" type="noConversion"/>
  <conditionalFormatting sqref="D14:AH25 D76:AG87 D138:AG149 D231:AF242 D293:AG304 D45:AH56 D107:AH118 D169:AH180 D200:AH211 D262:AH273 D324:AH335 D355:AG366">
    <cfRule type="cellIs" dxfId="1351" priority="1355" operator="equal">
      <formula>"AL"</formula>
    </cfRule>
    <cfRule type="cellIs" dxfId="1350" priority="1356" operator="equal">
      <formula>"NA"</formula>
    </cfRule>
    <cfRule type="cellIs" dxfId="1349" priority="1357" operator="equal">
      <formula>"SL"</formula>
    </cfRule>
    <cfRule type="cellIs" dxfId="1348" priority="1359" stopIfTrue="1" operator="equal">
      <formula>"X"</formula>
    </cfRule>
    <cfRule type="cellIs" dxfId="1347" priority="1360" operator="equal">
      <formula>"H"</formula>
    </cfRule>
  </conditionalFormatting>
  <conditionalFormatting sqref="D12:AH12 D43:AH43 D74:AG74 D105:AH105 D136:AG136 D167:AH167 D198:AH198 D229:AF229 D260:AH260 D291:AG291 D322:AH322 D353:AG353">
    <cfRule type="cellIs" dxfId="1346" priority="1354" stopIfTrue="1" operator="equal">
      <formula>"Tu"</formula>
    </cfRule>
  </conditionalFormatting>
  <conditionalFormatting sqref="D231:AF242 D293:AG304 D14:AH25 D76:AG87 D138:AG149 D45:AH56 D107:AH118 D169:AH180 D200:AH211 D262:AH273 D324:AH335 D355:AG366">
    <cfRule type="cellIs" dxfId="1345" priority="1352" operator="equal">
      <formula>"SP"</formula>
    </cfRule>
    <cfRule type="cellIs" dxfId="1344" priority="1353" operator="equal">
      <formula>"."</formula>
    </cfRule>
  </conditionalFormatting>
  <conditionalFormatting sqref="D26:AH26">
    <cfRule type="cellIs" dxfId="1343" priority="1347" operator="equal">
      <formula>"AL"</formula>
    </cfRule>
    <cfRule type="cellIs" dxfId="1342" priority="1348" operator="equal">
      <formula>"NA"</formula>
    </cfRule>
    <cfRule type="cellIs" dxfId="1341" priority="1349" operator="equal">
      <formula>"SL"</formula>
    </cfRule>
    <cfRule type="cellIs" dxfId="1340" priority="1350" stopIfTrue="1" operator="equal">
      <formula>"X"</formula>
    </cfRule>
    <cfRule type="cellIs" dxfId="1339" priority="1351" operator="equal">
      <formula>"H"</formula>
    </cfRule>
  </conditionalFormatting>
  <conditionalFormatting sqref="D26:AH26">
    <cfRule type="cellIs" dxfId="1338" priority="1345" operator="equal">
      <formula>"SP"</formula>
    </cfRule>
    <cfRule type="cellIs" dxfId="1337" priority="1346" operator="equal">
      <formula>"."</formula>
    </cfRule>
  </conditionalFormatting>
  <conditionalFormatting sqref="D28:AH28">
    <cfRule type="cellIs" dxfId="1336" priority="1340" operator="equal">
      <formula>"AL"</formula>
    </cfRule>
    <cfRule type="cellIs" dxfId="1335" priority="1341" operator="equal">
      <formula>"NA"</formula>
    </cfRule>
    <cfRule type="cellIs" dxfId="1334" priority="1342" operator="equal">
      <formula>"SL"</formula>
    </cfRule>
    <cfRule type="cellIs" dxfId="1333" priority="1343" stopIfTrue="1" operator="equal">
      <formula>"X"</formula>
    </cfRule>
    <cfRule type="cellIs" dxfId="1332" priority="1344" operator="equal">
      <formula>"H"</formula>
    </cfRule>
  </conditionalFormatting>
  <conditionalFormatting sqref="D28:AH28">
    <cfRule type="cellIs" dxfId="1331" priority="1338" operator="equal">
      <formula>"SP"</formula>
    </cfRule>
    <cfRule type="cellIs" dxfId="1330" priority="1339" operator="equal">
      <formula>"."</formula>
    </cfRule>
  </conditionalFormatting>
  <conditionalFormatting sqref="D30:AH30">
    <cfRule type="cellIs" dxfId="1329" priority="1333" operator="equal">
      <formula>"AL"</formula>
    </cfRule>
    <cfRule type="cellIs" dxfId="1328" priority="1334" operator="equal">
      <formula>"NA"</formula>
    </cfRule>
    <cfRule type="cellIs" dxfId="1327" priority="1335" operator="equal">
      <formula>"SL"</formula>
    </cfRule>
    <cfRule type="cellIs" dxfId="1326" priority="1336" stopIfTrue="1" operator="equal">
      <formula>"X"</formula>
    </cfRule>
    <cfRule type="cellIs" dxfId="1325" priority="1337" operator="equal">
      <formula>"H"</formula>
    </cfRule>
  </conditionalFormatting>
  <conditionalFormatting sqref="D30:AH30">
    <cfRule type="cellIs" dxfId="1324" priority="1331" operator="equal">
      <formula>"SP"</formula>
    </cfRule>
    <cfRule type="cellIs" dxfId="1323" priority="1332" operator="equal">
      <formula>"."</formula>
    </cfRule>
  </conditionalFormatting>
  <conditionalFormatting sqref="D32:AH32">
    <cfRule type="cellIs" dxfId="1322" priority="1326" operator="equal">
      <formula>"AL"</formula>
    </cfRule>
    <cfRule type="cellIs" dxfId="1321" priority="1327" operator="equal">
      <formula>"NA"</formula>
    </cfRule>
    <cfRule type="cellIs" dxfId="1320" priority="1328" operator="equal">
      <formula>"SL"</formula>
    </cfRule>
    <cfRule type="cellIs" dxfId="1319" priority="1329" stopIfTrue="1" operator="equal">
      <formula>"X"</formula>
    </cfRule>
    <cfRule type="cellIs" dxfId="1318" priority="1330" operator="equal">
      <formula>"H"</formula>
    </cfRule>
  </conditionalFormatting>
  <conditionalFormatting sqref="D32:AH32">
    <cfRule type="cellIs" dxfId="1317" priority="1324" operator="equal">
      <formula>"SP"</formula>
    </cfRule>
    <cfRule type="cellIs" dxfId="1316" priority="1325" operator="equal">
      <formula>"."</formula>
    </cfRule>
  </conditionalFormatting>
  <conditionalFormatting sqref="D34:AH34">
    <cfRule type="cellIs" dxfId="1315" priority="1319" operator="equal">
      <formula>"AL"</formula>
    </cfRule>
    <cfRule type="cellIs" dxfId="1314" priority="1320" operator="equal">
      <formula>"NA"</formula>
    </cfRule>
    <cfRule type="cellIs" dxfId="1313" priority="1321" operator="equal">
      <formula>"SL"</formula>
    </cfRule>
    <cfRule type="cellIs" dxfId="1312" priority="1322" stopIfTrue="1" operator="equal">
      <formula>"X"</formula>
    </cfRule>
    <cfRule type="cellIs" dxfId="1311" priority="1323" operator="equal">
      <formula>"H"</formula>
    </cfRule>
  </conditionalFormatting>
  <conditionalFormatting sqref="D34:AH34">
    <cfRule type="cellIs" dxfId="1310" priority="1317" operator="equal">
      <formula>"SP"</formula>
    </cfRule>
    <cfRule type="cellIs" dxfId="1309" priority="1318" operator="equal">
      <formula>"."</formula>
    </cfRule>
  </conditionalFormatting>
  <conditionalFormatting sqref="D36:AH36">
    <cfRule type="cellIs" dxfId="1308" priority="1312" operator="equal">
      <formula>"AL"</formula>
    </cfRule>
    <cfRule type="cellIs" dxfId="1307" priority="1313" operator="equal">
      <formula>"NA"</formula>
    </cfRule>
    <cfRule type="cellIs" dxfId="1306" priority="1314" operator="equal">
      <formula>"SL"</formula>
    </cfRule>
    <cfRule type="cellIs" dxfId="1305" priority="1315" stopIfTrue="1" operator="equal">
      <formula>"X"</formula>
    </cfRule>
    <cfRule type="cellIs" dxfId="1304" priority="1316" operator="equal">
      <formula>"H"</formula>
    </cfRule>
  </conditionalFormatting>
  <conditionalFormatting sqref="D36:AH36">
    <cfRule type="cellIs" dxfId="1303" priority="1310" operator="equal">
      <formula>"SP"</formula>
    </cfRule>
    <cfRule type="cellIs" dxfId="1302" priority="1311" operator="equal">
      <formula>"."</formula>
    </cfRule>
  </conditionalFormatting>
  <conditionalFormatting sqref="D38:AH38">
    <cfRule type="cellIs" dxfId="1301" priority="1305" operator="equal">
      <formula>"AL"</formula>
    </cfRule>
    <cfRule type="cellIs" dxfId="1300" priority="1306" operator="equal">
      <formula>"NA"</formula>
    </cfRule>
    <cfRule type="cellIs" dxfId="1299" priority="1307" operator="equal">
      <formula>"SL"</formula>
    </cfRule>
    <cfRule type="cellIs" dxfId="1298" priority="1308" stopIfTrue="1" operator="equal">
      <formula>"X"</formula>
    </cfRule>
    <cfRule type="cellIs" dxfId="1297" priority="1309" operator="equal">
      <formula>"H"</formula>
    </cfRule>
  </conditionalFormatting>
  <conditionalFormatting sqref="D38:AH38">
    <cfRule type="cellIs" dxfId="1296" priority="1303" operator="equal">
      <formula>"SP"</formula>
    </cfRule>
    <cfRule type="cellIs" dxfId="1295" priority="1304" operator="equal">
      <formula>"."</formula>
    </cfRule>
  </conditionalFormatting>
  <conditionalFormatting sqref="D40:AH40">
    <cfRule type="cellIs" dxfId="1294" priority="1298" operator="equal">
      <formula>"AL"</formula>
    </cfRule>
    <cfRule type="cellIs" dxfId="1293" priority="1299" operator="equal">
      <formula>"NA"</formula>
    </cfRule>
    <cfRule type="cellIs" dxfId="1292" priority="1300" operator="equal">
      <formula>"SL"</formula>
    </cfRule>
    <cfRule type="cellIs" dxfId="1291" priority="1301" stopIfTrue="1" operator="equal">
      <formula>"X"</formula>
    </cfRule>
    <cfRule type="cellIs" dxfId="1290" priority="1302" operator="equal">
      <formula>"H"</formula>
    </cfRule>
  </conditionalFormatting>
  <conditionalFormatting sqref="D40:AH40">
    <cfRule type="cellIs" dxfId="1289" priority="1296" operator="equal">
      <formula>"SP"</formula>
    </cfRule>
    <cfRule type="cellIs" dxfId="1288" priority="1297" operator="equal">
      <formula>"."</formula>
    </cfRule>
  </conditionalFormatting>
  <conditionalFormatting sqref="D27:AH27">
    <cfRule type="cellIs" dxfId="1287" priority="1284" operator="equal">
      <formula>"AL"</formula>
    </cfRule>
    <cfRule type="cellIs" dxfId="1286" priority="1285" operator="equal">
      <formula>"NA"</formula>
    </cfRule>
    <cfRule type="cellIs" dxfId="1285" priority="1286" operator="equal">
      <formula>"SL"</formula>
    </cfRule>
    <cfRule type="cellIs" dxfId="1284" priority="1287" stopIfTrue="1" operator="equal">
      <formula>"X"</formula>
    </cfRule>
    <cfRule type="cellIs" dxfId="1283" priority="1288" operator="equal">
      <formula>"H"</formula>
    </cfRule>
  </conditionalFormatting>
  <conditionalFormatting sqref="D27:AH27">
    <cfRule type="cellIs" dxfId="1282" priority="1282" operator="equal">
      <formula>"SP"</formula>
    </cfRule>
    <cfRule type="cellIs" dxfId="1281" priority="1283" operator="equal">
      <formula>"."</formula>
    </cfRule>
  </conditionalFormatting>
  <conditionalFormatting sqref="D29:AH29">
    <cfRule type="cellIs" dxfId="1280" priority="1277" operator="equal">
      <formula>"AL"</formula>
    </cfRule>
    <cfRule type="cellIs" dxfId="1279" priority="1278" operator="equal">
      <formula>"NA"</formula>
    </cfRule>
    <cfRule type="cellIs" dxfId="1278" priority="1279" operator="equal">
      <formula>"SL"</formula>
    </cfRule>
    <cfRule type="cellIs" dxfId="1277" priority="1280" stopIfTrue="1" operator="equal">
      <formula>"X"</formula>
    </cfRule>
    <cfRule type="cellIs" dxfId="1276" priority="1281" operator="equal">
      <formula>"H"</formula>
    </cfRule>
  </conditionalFormatting>
  <conditionalFormatting sqref="D29:AH29">
    <cfRule type="cellIs" dxfId="1275" priority="1275" operator="equal">
      <formula>"SP"</formula>
    </cfRule>
    <cfRule type="cellIs" dxfId="1274" priority="1276" operator="equal">
      <formula>"."</formula>
    </cfRule>
  </conditionalFormatting>
  <conditionalFormatting sqref="D31:AH31">
    <cfRule type="cellIs" dxfId="1273" priority="1270" operator="equal">
      <formula>"AL"</formula>
    </cfRule>
    <cfRule type="cellIs" dxfId="1272" priority="1271" operator="equal">
      <formula>"NA"</formula>
    </cfRule>
    <cfRule type="cellIs" dxfId="1271" priority="1272" operator="equal">
      <formula>"SL"</formula>
    </cfRule>
    <cfRule type="cellIs" dxfId="1270" priority="1273" stopIfTrue="1" operator="equal">
      <formula>"X"</formula>
    </cfRule>
    <cfRule type="cellIs" dxfId="1269" priority="1274" operator="equal">
      <formula>"H"</formula>
    </cfRule>
  </conditionalFormatting>
  <conditionalFormatting sqref="D31:AH31">
    <cfRule type="cellIs" dxfId="1268" priority="1268" operator="equal">
      <formula>"SP"</formula>
    </cfRule>
    <cfRule type="cellIs" dxfId="1267" priority="1269" operator="equal">
      <formula>"."</formula>
    </cfRule>
  </conditionalFormatting>
  <conditionalFormatting sqref="D33:AH33">
    <cfRule type="cellIs" dxfId="1266" priority="1263" operator="equal">
      <formula>"AL"</formula>
    </cfRule>
    <cfRule type="cellIs" dxfId="1265" priority="1264" operator="equal">
      <formula>"NA"</formula>
    </cfRule>
    <cfRule type="cellIs" dxfId="1264" priority="1265" operator="equal">
      <formula>"SL"</formula>
    </cfRule>
    <cfRule type="cellIs" dxfId="1263" priority="1266" stopIfTrue="1" operator="equal">
      <formula>"X"</formula>
    </cfRule>
    <cfRule type="cellIs" dxfId="1262" priority="1267" operator="equal">
      <formula>"H"</formula>
    </cfRule>
  </conditionalFormatting>
  <conditionalFormatting sqref="D33:AH33">
    <cfRule type="cellIs" dxfId="1261" priority="1261" operator="equal">
      <formula>"SP"</formula>
    </cfRule>
    <cfRule type="cellIs" dxfId="1260" priority="1262" operator="equal">
      <formula>"."</formula>
    </cfRule>
  </conditionalFormatting>
  <conditionalFormatting sqref="D35:AH35">
    <cfRule type="cellIs" dxfId="1259" priority="1256" operator="equal">
      <formula>"AL"</formula>
    </cfRule>
    <cfRule type="cellIs" dxfId="1258" priority="1257" operator="equal">
      <formula>"NA"</formula>
    </cfRule>
    <cfRule type="cellIs" dxfId="1257" priority="1258" operator="equal">
      <formula>"SL"</formula>
    </cfRule>
    <cfRule type="cellIs" dxfId="1256" priority="1259" stopIfTrue="1" operator="equal">
      <formula>"X"</formula>
    </cfRule>
    <cfRule type="cellIs" dxfId="1255" priority="1260" operator="equal">
      <formula>"H"</formula>
    </cfRule>
  </conditionalFormatting>
  <conditionalFormatting sqref="D35:AH35">
    <cfRule type="cellIs" dxfId="1254" priority="1254" operator="equal">
      <formula>"SP"</formula>
    </cfRule>
    <cfRule type="cellIs" dxfId="1253" priority="1255" operator="equal">
      <formula>"."</formula>
    </cfRule>
  </conditionalFormatting>
  <conditionalFormatting sqref="D37:AH37">
    <cfRule type="cellIs" dxfId="1252" priority="1249" operator="equal">
      <formula>"AL"</formula>
    </cfRule>
    <cfRule type="cellIs" dxfId="1251" priority="1250" operator="equal">
      <formula>"NA"</formula>
    </cfRule>
    <cfRule type="cellIs" dxfId="1250" priority="1251" operator="equal">
      <formula>"SL"</formula>
    </cfRule>
    <cfRule type="cellIs" dxfId="1249" priority="1252" stopIfTrue="1" operator="equal">
      <formula>"X"</formula>
    </cfRule>
    <cfRule type="cellIs" dxfId="1248" priority="1253" operator="equal">
      <formula>"H"</formula>
    </cfRule>
  </conditionalFormatting>
  <conditionalFormatting sqref="D37:AH37">
    <cfRule type="cellIs" dxfId="1247" priority="1247" operator="equal">
      <formula>"SP"</formula>
    </cfRule>
    <cfRule type="cellIs" dxfId="1246" priority="1248" operator="equal">
      <formula>"."</formula>
    </cfRule>
  </conditionalFormatting>
  <conditionalFormatting sqref="D39:AH39">
    <cfRule type="cellIs" dxfId="1245" priority="1242" operator="equal">
      <formula>"AL"</formula>
    </cfRule>
    <cfRule type="cellIs" dxfId="1244" priority="1243" operator="equal">
      <formula>"NA"</formula>
    </cfRule>
    <cfRule type="cellIs" dxfId="1243" priority="1244" operator="equal">
      <formula>"SL"</formula>
    </cfRule>
    <cfRule type="cellIs" dxfId="1242" priority="1245" stopIfTrue="1" operator="equal">
      <formula>"X"</formula>
    </cfRule>
    <cfRule type="cellIs" dxfId="1241" priority="1246" operator="equal">
      <formula>"H"</formula>
    </cfRule>
  </conditionalFormatting>
  <conditionalFormatting sqref="D39:AH39">
    <cfRule type="cellIs" dxfId="1240" priority="1240" operator="equal">
      <formula>"SP"</formula>
    </cfRule>
    <cfRule type="cellIs" dxfId="1239" priority="1241" operator="equal">
      <formula>"."</formula>
    </cfRule>
  </conditionalFormatting>
  <conditionalFormatting sqref="D41:AH41">
    <cfRule type="cellIs" dxfId="1238" priority="1235" operator="equal">
      <formula>"AL"</formula>
    </cfRule>
    <cfRule type="cellIs" dxfId="1237" priority="1236" operator="equal">
      <formula>"NA"</formula>
    </cfRule>
    <cfRule type="cellIs" dxfId="1236" priority="1237" operator="equal">
      <formula>"SL"</formula>
    </cfRule>
    <cfRule type="cellIs" dxfId="1235" priority="1238" stopIfTrue="1" operator="equal">
      <formula>"X"</formula>
    </cfRule>
    <cfRule type="cellIs" dxfId="1234" priority="1239" operator="equal">
      <formula>"H"</formula>
    </cfRule>
  </conditionalFormatting>
  <conditionalFormatting sqref="D41:AH41">
    <cfRule type="cellIs" dxfId="1233" priority="1233" operator="equal">
      <formula>"SP"</formula>
    </cfRule>
    <cfRule type="cellIs" dxfId="1232" priority="1234" operator="equal">
      <formula>"."</formula>
    </cfRule>
  </conditionalFormatting>
  <conditionalFormatting sqref="D57:AH57">
    <cfRule type="cellIs" dxfId="1231" priority="1228" operator="equal">
      <formula>"AL"</formula>
    </cfRule>
    <cfRule type="cellIs" dxfId="1230" priority="1229" operator="equal">
      <formula>"NA"</formula>
    </cfRule>
    <cfRule type="cellIs" dxfId="1229" priority="1230" operator="equal">
      <formula>"SL"</formula>
    </cfRule>
    <cfRule type="cellIs" dxfId="1228" priority="1231" stopIfTrue="1" operator="equal">
      <formula>"X"</formula>
    </cfRule>
    <cfRule type="cellIs" dxfId="1227" priority="1232" operator="equal">
      <formula>"H"</formula>
    </cfRule>
  </conditionalFormatting>
  <conditionalFormatting sqref="D57:AH57">
    <cfRule type="cellIs" dxfId="1226" priority="1226" operator="equal">
      <formula>"SP"</formula>
    </cfRule>
    <cfRule type="cellIs" dxfId="1225" priority="1227" operator="equal">
      <formula>"."</formula>
    </cfRule>
  </conditionalFormatting>
  <conditionalFormatting sqref="D59:AH59">
    <cfRule type="cellIs" dxfId="1224" priority="1221" operator="equal">
      <formula>"AL"</formula>
    </cfRule>
    <cfRule type="cellIs" dxfId="1223" priority="1222" operator="equal">
      <formula>"NA"</formula>
    </cfRule>
    <cfRule type="cellIs" dxfId="1222" priority="1223" operator="equal">
      <formula>"SL"</formula>
    </cfRule>
    <cfRule type="cellIs" dxfId="1221" priority="1224" stopIfTrue="1" operator="equal">
      <formula>"X"</formula>
    </cfRule>
    <cfRule type="cellIs" dxfId="1220" priority="1225" operator="equal">
      <formula>"H"</formula>
    </cfRule>
  </conditionalFormatting>
  <conditionalFormatting sqref="D59:AH59">
    <cfRule type="cellIs" dxfId="1219" priority="1219" operator="equal">
      <formula>"SP"</formula>
    </cfRule>
    <cfRule type="cellIs" dxfId="1218" priority="1220" operator="equal">
      <formula>"."</formula>
    </cfRule>
  </conditionalFormatting>
  <conditionalFormatting sqref="D61:AH61">
    <cfRule type="cellIs" dxfId="1217" priority="1214" operator="equal">
      <formula>"AL"</formula>
    </cfRule>
    <cfRule type="cellIs" dxfId="1216" priority="1215" operator="equal">
      <formula>"NA"</formula>
    </cfRule>
    <cfRule type="cellIs" dxfId="1215" priority="1216" operator="equal">
      <formula>"SL"</formula>
    </cfRule>
    <cfRule type="cellIs" dxfId="1214" priority="1217" stopIfTrue="1" operator="equal">
      <formula>"X"</formula>
    </cfRule>
    <cfRule type="cellIs" dxfId="1213" priority="1218" operator="equal">
      <formula>"H"</formula>
    </cfRule>
  </conditionalFormatting>
  <conditionalFormatting sqref="D61:AH61">
    <cfRule type="cellIs" dxfId="1212" priority="1212" operator="equal">
      <formula>"SP"</formula>
    </cfRule>
    <cfRule type="cellIs" dxfId="1211" priority="1213" operator="equal">
      <formula>"."</formula>
    </cfRule>
  </conditionalFormatting>
  <conditionalFormatting sqref="D63:AH63">
    <cfRule type="cellIs" dxfId="1210" priority="1207" operator="equal">
      <formula>"AL"</formula>
    </cfRule>
    <cfRule type="cellIs" dxfId="1209" priority="1208" operator="equal">
      <formula>"NA"</formula>
    </cfRule>
    <cfRule type="cellIs" dxfId="1208" priority="1209" operator="equal">
      <formula>"SL"</formula>
    </cfRule>
    <cfRule type="cellIs" dxfId="1207" priority="1210" stopIfTrue="1" operator="equal">
      <formula>"X"</formula>
    </cfRule>
    <cfRule type="cellIs" dxfId="1206" priority="1211" operator="equal">
      <formula>"H"</formula>
    </cfRule>
  </conditionalFormatting>
  <conditionalFormatting sqref="D63:AH63">
    <cfRule type="cellIs" dxfId="1205" priority="1205" operator="equal">
      <formula>"SP"</formula>
    </cfRule>
    <cfRule type="cellIs" dxfId="1204" priority="1206" operator="equal">
      <formula>"."</formula>
    </cfRule>
  </conditionalFormatting>
  <conditionalFormatting sqref="D65:AH65">
    <cfRule type="cellIs" dxfId="1203" priority="1200" operator="equal">
      <formula>"AL"</formula>
    </cfRule>
    <cfRule type="cellIs" dxfId="1202" priority="1201" operator="equal">
      <formula>"NA"</formula>
    </cfRule>
    <cfRule type="cellIs" dxfId="1201" priority="1202" operator="equal">
      <formula>"SL"</formula>
    </cfRule>
    <cfRule type="cellIs" dxfId="1200" priority="1203" stopIfTrue="1" operator="equal">
      <formula>"X"</formula>
    </cfRule>
    <cfRule type="cellIs" dxfId="1199" priority="1204" operator="equal">
      <formula>"H"</formula>
    </cfRule>
  </conditionalFormatting>
  <conditionalFormatting sqref="D65:AH65">
    <cfRule type="cellIs" dxfId="1198" priority="1198" operator="equal">
      <formula>"SP"</formula>
    </cfRule>
    <cfRule type="cellIs" dxfId="1197" priority="1199" operator="equal">
      <formula>"."</formula>
    </cfRule>
  </conditionalFormatting>
  <conditionalFormatting sqref="D67:AH67">
    <cfRule type="cellIs" dxfId="1196" priority="1193" operator="equal">
      <formula>"AL"</formula>
    </cfRule>
    <cfRule type="cellIs" dxfId="1195" priority="1194" operator="equal">
      <formula>"NA"</formula>
    </cfRule>
    <cfRule type="cellIs" dxfId="1194" priority="1195" operator="equal">
      <formula>"SL"</formula>
    </cfRule>
    <cfRule type="cellIs" dxfId="1193" priority="1196" stopIfTrue="1" operator="equal">
      <formula>"X"</formula>
    </cfRule>
    <cfRule type="cellIs" dxfId="1192" priority="1197" operator="equal">
      <formula>"H"</formula>
    </cfRule>
  </conditionalFormatting>
  <conditionalFormatting sqref="D67:AH67">
    <cfRule type="cellIs" dxfId="1191" priority="1191" operator="equal">
      <formula>"SP"</formula>
    </cfRule>
    <cfRule type="cellIs" dxfId="1190" priority="1192" operator="equal">
      <formula>"."</formula>
    </cfRule>
  </conditionalFormatting>
  <conditionalFormatting sqref="D69:AH69">
    <cfRule type="cellIs" dxfId="1189" priority="1186" operator="equal">
      <formula>"AL"</formula>
    </cfRule>
    <cfRule type="cellIs" dxfId="1188" priority="1187" operator="equal">
      <formula>"NA"</formula>
    </cfRule>
    <cfRule type="cellIs" dxfId="1187" priority="1188" operator="equal">
      <formula>"SL"</formula>
    </cfRule>
    <cfRule type="cellIs" dxfId="1186" priority="1189" stopIfTrue="1" operator="equal">
      <formula>"X"</formula>
    </cfRule>
    <cfRule type="cellIs" dxfId="1185" priority="1190" operator="equal">
      <formula>"H"</formula>
    </cfRule>
  </conditionalFormatting>
  <conditionalFormatting sqref="D69:AH69">
    <cfRule type="cellIs" dxfId="1184" priority="1184" operator="equal">
      <formula>"SP"</formula>
    </cfRule>
    <cfRule type="cellIs" dxfId="1183" priority="1185" operator="equal">
      <formula>"."</formula>
    </cfRule>
  </conditionalFormatting>
  <conditionalFormatting sqref="D71:AH71">
    <cfRule type="cellIs" dxfId="1182" priority="1179" operator="equal">
      <formula>"AL"</formula>
    </cfRule>
    <cfRule type="cellIs" dxfId="1181" priority="1180" operator="equal">
      <formula>"NA"</formula>
    </cfRule>
    <cfRule type="cellIs" dxfId="1180" priority="1181" operator="equal">
      <formula>"SL"</formula>
    </cfRule>
    <cfRule type="cellIs" dxfId="1179" priority="1182" stopIfTrue="1" operator="equal">
      <formula>"X"</formula>
    </cfRule>
    <cfRule type="cellIs" dxfId="1178" priority="1183" operator="equal">
      <formula>"H"</formula>
    </cfRule>
  </conditionalFormatting>
  <conditionalFormatting sqref="D71:AH71">
    <cfRule type="cellIs" dxfId="1177" priority="1177" operator="equal">
      <formula>"SP"</formula>
    </cfRule>
    <cfRule type="cellIs" dxfId="1176" priority="1178" operator="equal">
      <formula>"."</formula>
    </cfRule>
  </conditionalFormatting>
  <conditionalFormatting sqref="D58:AH58">
    <cfRule type="cellIs" dxfId="1175" priority="1172" operator="equal">
      <formula>"AL"</formula>
    </cfRule>
    <cfRule type="cellIs" dxfId="1174" priority="1173" operator="equal">
      <formula>"NA"</formula>
    </cfRule>
    <cfRule type="cellIs" dxfId="1173" priority="1174" operator="equal">
      <formula>"SL"</formula>
    </cfRule>
    <cfRule type="cellIs" dxfId="1172" priority="1175" stopIfTrue="1" operator="equal">
      <formula>"X"</formula>
    </cfRule>
    <cfRule type="cellIs" dxfId="1171" priority="1176" operator="equal">
      <formula>"H"</formula>
    </cfRule>
  </conditionalFormatting>
  <conditionalFormatting sqref="D58:AH58">
    <cfRule type="cellIs" dxfId="1170" priority="1170" operator="equal">
      <formula>"SP"</formula>
    </cfRule>
    <cfRule type="cellIs" dxfId="1169" priority="1171" operator="equal">
      <formula>"."</formula>
    </cfRule>
  </conditionalFormatting>
  <conditionalFormatting sqref="D60:AH60">
    <cfRule type="cellIs" dxfId="1168" priority="1165" operator="equal">
      <formula>"AL"</formula>
    </cfRule>
    <cfRule type="cellIs" dxfId="1167" priority="1166" operator="equal">
      <formula>"NA"</formula>
    </cfRule>
    <cfRule type="cellIs" dxfId="1166" priority="1167" operator="equal">
      <formula>"SL"</formula>
    </cfRule>
    <cfRule type="cellIs" dxfId="1165" priority="1168" stopIfTrue="1" operator="equal">
      <formula>"X"</formula>
    </cfRule>
    <cfRule type="cellIs" dxfId="1164" priority="1169" operator="equal">
      <formula>"H"</formula>
    </cfRule>
  </conditionalFormatting>
  <conditionalFormatting sqref="D60:AH60">
    <cfRule type="cellIs" dxfId="1163" priority="1163" operator="equal">
      <formula>"SP"</formula>
    </cfRule>
    <cfRule type="cellIs" dxfId="1162" priority="1164" operator="equal">
      <formula>"."</formula>
    </cfRule>
  </conditionalFormatting>
  <conditionalFormatting sqref="D62:AH62">
    <cfRule type="cellIs" dxfId="1161" priority="1158" operator="equal">
      <formula>"AL"</formula>
    </cfRule>
    <cfRule type="cellIs" dxfId="1160" priority="1159" operator="equal">
      <formula>"NA"</formula>
    </cfRule>
    <cfRule type="cellIs" dxfId="1159" priority="1160" operator="equal">
      <formula>"SL"</formula>
    </cfRule>
    <cfRule type="cellIs" dxfId="1158" priority="1161" stopIfTrue="1" operator="equal">
      <formula>"X"</formula>
    </cfRule>
    <cfRule type="cellIs" dxfId="1157" priority="1162" operator="equal">
      <formula>"H"</formula>
    </cfRule>
  </conditionalFormatting>
  <conditionalFormatting sqref="D62:AH62">
    <cfRule type="cellIs" dxfId="1156" priority="1156" operator="equal">
      <formula>"SP"</formula>
    </cfRule>
    <cfRule type="cellIs" dxfId="1155" priority="1157" operator="equal">
      <formula>"."</formula>
    </cfRule>
  </conditionalFormatting>
  <conditionalFormatting sqref="D64:AH64">
    <cfRule type="cellIs" dxfId="1154" priority="1151" operator="equal">
      <formula>"AL"</formula>
    </cfRule>
    <cfRule type="cellIs" dxfId="1153" priority="1152" operator="equal">
      <formula>"NA"</formula>
    </cfRule>
    <cfRule type="cellIs" dxfId="1152" priority="1153" operator="equal">
      <formula>"SL"</formula>
    </cfRule>
    <cfRule type="cellIs" dxfId="1151" priority="1154" stopIfTrue="1" operator="equal">
      <formula>"X"</formula>
    </cfRule>
    <cfRule type="cellIs" dxfId="1150" priority="1155" operator="equal">
      <formula>"H"</formula>
    </cfRule>
  </conditionalFormatting>
  <conditionalFormatting sqref="D64:AH64">
    <cfRule type="cellIs" dxfId="1149" priority="1149" operator="equal">
      <formula>"SP"</formula>
    </cfRule>
    <cfRule type="cellIs" dxfId="1148" priority="1150" operator="equal">
      <formula>"."</formula>
    </cfRule>
  </conditionalFormatting>
  <conditionalFormatting sqref="D66:AH66">
    <cfRule type="cellIs" dxfId="1147" priority="1144" operator="equal">
      <formula>"AL"</formula>
    </cfRule>
    <cfRule type="cellIs" dxfId="1146" priority="1145" operator="equal">
      <formula>"NA"</formula>
    </cfRule>
    <cfRule type="cellIs" dxfId="1145" priority="1146" operator="equal">
      <formula>"SL"</formula>
    </cfRule>
    <cfRule type="cellIs" dxfId="1144" priority="1147" stopIfTrue="1" operator="equal">
      <formula>"X"</formula>
    </cfRule>
    <cfRule type="cellIs" dxfId="1143" priority="1148" operator="equal">
      <formula>"H"</formula>
    </cfRule>
  </conditionalFormatting>
  <conditionalFormatting sqref="D66:AH66">
    <cfRule type="cellIs" dxfId="1142" priority="1142" operator="equal">
      <formula>"SP"</formula>
    </cfRule>
    <cfRule type="cellIs" dxfId="1141" priority="1143" operator="equal">
      <formula>"."</formula>
    </cfRule>
  </conditionalFormatting>
  <conditionalFormatting sqref="D68:AH68">
    <cfRule type="cellIs" dxfId="1140" priority="1137" operator="equal">
      <formula>"AL"</formula>
    </cfRule>
    <cfRule type="cellIs" dxfId="1139" priority="1138" operator="equal">
      <formula>"NA"</formula>
    </cfRule>
    <cfRule type="cellIs" dxfId="1138" priority="1139" operator="equal">
      <formula>"SL"</formula>
    </cfRule>
    <cfRule type="cellIs" dxfId="1137" priority="1140" stopIfTrue="1" operator="equal">
      <formula>"X"</formula>
    </cfRule>
    <cfRule type="cellIs" dxfId="1136" priority="1141" operator="equal">
      <formula>"H"</formula>
    </cfRule>
  </conditionalFormatting>
  <conditionalFormatting sqref="D68:AH68">
    <cfRule type="cellIs" dxfId="1135" priority="1135" operator="equal">
      <formula>"SP"</formula>
    </cfRule>
    <cfRule type="cellIs" dxfId="1134" priority="1136" operator="equal">
      <formula>"."</formula>
    </cfRule>
  </conditionalFormatting>
  <conditionalFormatting sqref="D70:AH70">
    <cfRule type="cellIs" dxfId="1133" priority="1130" operator="equal">
      <formula>"AL"</formula>
    </cfRule>
    <cfRule type="cellIs" dxfId="1132" priority="1131" operator="equal">
      <formula>"NA"</formula>
    </cfRule>
    <cfRule type="cellIs" dxfId="1131" priority="1132" operator="equal">
      <formula>"SL"</formula>
    </cfRule>
    <cfRule type="cellIs" dxfId="1130" priority="1133" stopIfTrue="1" operator="equal">
      <formula>"X"</formula>
    </cfRule>
    <cfRule type="cellIs" dxfId="1129" priority="1134" operator="equal">
      <formula>"H"</formula>
    </cfRule>
  </conditionalFormatting>
  <conditionalFormatting sqref="D70:AH70">
    <cfRule type="cellIs" dxfId="1128" priority="1128" operator="equal">
      <formula>"SP"</formula>
    </cfRule>
    <cfRule type="cellIs" dxfId="1127" priority="1129" operator="equal">
      <formula>"."</formula>
    </cfRule>
  </conditionalFormatting>
  <conditionalFormatting sqref="D72:AH72">
    <cfRule type="cellIs" dxfId="1126" priority="1123" operator="equal">
      <formula>"AL"</formula>
    </cfRule>
    <cfRule type="cellIs" dxfId="1125" priority="1124" operator="equal">
      <formula>"NA"</formula>
    </cfRule>
    <cfRule type="cellIs" dxfId="1124" priority="1125" operator="equal">
      <formula>"SL"</formula>
    </cfRule>
    <cfRule type="cellIs" dxfId="1123" priority="1126" stopIfTrue="1" operator="equal">
      <formula>"X"</formula>
    </cfRule>
    <cfRule type="cellIs" dxfId="1122" priority="1127" operator="equal">
      <formula>"H"</formula>
    </cfRule>
  </conditionalFormatting>
  <conditionalFormatting sqref="D72:AH72">
    <cfRule type="cellIs" dxfId="1121" priority="1121" operator="equal">
      <formula>"SP"</formula>
    </cfRule>
    <cfRule type="cellIs" dxfId="1120" priority="1122" operator="equal">
      <formula>"."</formula>
    </cfRule>
  </conditionalFormatting>
  <conditionalFormatting sqref="D103:AG104">
    <cfRule type="cellIs" dxfId="1119" priority="1009" operator="equal">
      <formula>"SP"</formula>
    </cfRule>
    <cfRule type="cellIs" dxfId="1118" priority="1010" operator="equal">
      <formula>"."</formula>
    </cfRule>
  </conditionalFormatting>
  <conditionalFormatting sqref="D88:AG88">
    <cfRule type="cellIs" dxfId="1117" priority="1116" operator="equal">
      <formula>"AL"</formula>
    </cfRule>
    <cfRule type="cellIs" dxfId="1116" priority="1117" operator="equal">
      <formula>"NA"</formula>
    </cfRule>
    <cfRule type="cellIs" dxfId="1115" priority="1118" operator="equal">
      <formula>"SL"</formula>
    </cfRule>
    <cfRule type="cellIs" dxfId="1114" priority="1119" stopIfTrue="1" operator="equal">
      <formula>"X"</formula>
    </cfRule>
    <cfRule type="cellIs" dxfId="1113" priority="1120" operator="equal">
      <formula>"H"</formula>
    </cfRule>
  </conditionalFormatting>
  <conditionalFormatting sqref="D88:AG88">
    <cfRule type="cellIs" dxfId="1112" priority="1114" operator="equal">
      <formula>"SP"</formula>
    </cfRule>
    <cfRule type="cellIs" dxfId="1111" priority="1115" operator="equal">
      <formula>"."</formula>
    </cfRule>
  </conditionalFormatting>
  <conditionalFormatting sqref="D90:AG90">
    <cfRule type="cellIs" dxfId="1110" priority="1109" operator="equal">
      <formula>"AL"</formula>
    </cfRule>
    <cfRule type="cellIs" dxfId="1109" priority="1110" operator="equal">
      <formula>"NA"</formula>
    </cfRule>
    <cfRule type="cellIs" dxfId="1108" priority="1111" operator="equal">
      <formula>"SL"</formula>
    </cfRule>
    <cfRule type="cellIs" dxfId="1107" priority="1112" stopIfTrue="1" operator="equal">
      <formula>"X"</formula>
    </cfRule>
    <cfRule type="cellIs" dxfId="1106" priority="1113" operator="equal">
      <formula>"H"</formula>
    </cfRule>
  </conditionalFormatting>
  <conditionalFormatting sqref="D90:AG90">
    <cfRule type="cellIs" dxfId="1105" priority="1107" operator="equal">
      <formula>"SP"</formula>
    </cfRule>
    <cfRule type="cellIs" dxfId="1104" priority="1108" operator="equal">
      <formula>"."</formula>
    </cfRule>
  </conditionalFormatting>
  <conditionalFormatting sqref="D92:AG92">
    <cfRule type="cellIs" dxfId="1103" priority="1102" operator="equal">
      <formula>"AL"</formula>
    </cfRule>
    <cfRule type="cellIs" dxfId="1102" priority="1103" operator="equal">
      <formula>"NA"</formula>
    </cfRule>
    <cfRule type="cellIs" dxfId="1101" priority="1104" operator="equal">
      <formula>"SL"</formula>
    </cfRule>
    <cfRule type="cellIs" dxfId="1100" priority="1105" stopIfTrue="1" operator="equal">
      <formula>"X"</formula>
    </cfRule>
    <cfRule type="cellIs" dxfId="1099" priority="1106" operator="equal">
      <formula>"H"</formula>
    </cfRule>
  </conditionalFormatting>
  <conditionalFormatting sqref="D92:AG92">
    <cfRule type="cellIs" dxfId="1098" priority="1100" operator="equal">
      <formula>"SP"</formula>
    </cfRule>
    <cfRule type="cellIs" dxfId="1097" priority="1101" operator="equal">
      <formula>"."</formula>
    </cfRule>
  </conditionalFormatting>
  <conditionalFormatting sqref="D94:AG94">
    <cfRule type="cellIs" dxfId="1096" priority="1095" operator="equal">
      <formula>"AL"</formula>
    </cfRule>
    <cfRule type="cellIs" dxfId="1095" priority="1096" operator="equal">
      <formula>"NA"</formula>
    </cfRule>
    <cfRule type="cellIs" dxfId="1094" priority="1097" operator="equal">
      <formula>"SL"</formula>
    </cfRule>
    <cfRule type="cellIs" dxfId="1093" priority="1098" stopIfTrue="1" operator="equal">
      <formula>"X"</formula>
    </cfRule>
    <cfRule type="cellIs" dxfId="1092" priority="1099" operator="equal">
      <formula>"H"</formula>
    </cfRule>
  </conditionalFormatting>
  <conditionalFormatting sqref="D94:AG94">
    <cfRule type="cellIs" dxfId="1091" priority="1093" operator="equal">
      <formula>"SP"</formula>
    </cfRule>
    <cfRule type="cellIs" dxfId="1090" priority="1094" operator="equal">
      <formula>"."</formula>
    </cfRule>
  </conditionalFormatting>
  <conditionalFormatting sqref="D96:AG96">
    <cfRule type="cellIs" dxfId="1089" priority="1088" operator="equal">
      <formula>"AL"</formula>
    </cfRule>
    <cfRule type="cellIs" dxfId="1088" priority="1089" operator="equal">
      <formula>"NA"</formula>
    </cfRule>
    <cfRule type="cellIs" dxfId="1087" priority="1090" operator="equal">
      <formula>"SL"</formula>
    </cfRule>
    <cfRule type="cellIs" dxfId="1086" priority="1091" stopIfTrue="1" operator="equal">
      <formula>"X"</formula>
    </cfRule>
    <cfRule type="cellIs" dxfId="1085" priority="1092" operator="equal">
      <formula>"H"</formula>
    </cfRule>
  </conditionalFormatting>
  <conditionalFormatting sqref="D96:AG96">
    <cfRule type="cellIs" dxfId="1084" priority="1086" operator="equal">
      <formula>"SP"</formula>
    </cfRule>
    <cfRule type="cellIs" dxfId="1083" priority="1087" operator="equal">
      <formula>"."</formula>
    </cfRule>
  </conditionalFormatting>
  <conditionalFormatting sqref="D98:AG98">
    <cfRule type="cellIs" dxfId="1082" priority="1081" operator="equal">
      <formula>"AL"</formula>
    </cfRule>
    <cfRule type="cellIs" dxfId="1081" priority="1082" operator="equal">
      <formula>"NA"</formula>
    </cfRule>
    <cfRule type="cellIs" dxfId="1080" priority="1083" operator="equal">
      <formula>"SL"</formula>
    </cfRule>
    <cfRule type="cellIs" dxfId="1079" priority="1084" stopIfTrue="1" operator="equal">
      <formula>"X"</formula>
    </cfRule>
    <cfRule type="cellIs" dxfId="1078" priority="1085" operator="equal">
      <formula>"H"</formula>
    </cfRule>
  </conditionalFormatting>
  <conditionalFormatting sqref="D98:AG98">
    <cfRule type="cellIs" dxfId="1077" priority="1079" operator="equal">
      <formula>"SP"</formula>
    </cfRule>
    <cfRule type="cellIs" dxfId="1076" priority="1080" operator="equal">
      <formula>"."</formula>
    </cfRule>
  </conditionalFormatting>
  <conditionalFormatting sqref="D100:AG100">
    <cfRule type="cellIs" dxfId="1075" priority="1074" operator="equal">
      <formula>"AL"</formula>
    </cfRule>
    <cfRule type="cellIs" dxfId="1074" priority="1075" operator="equal">
      <formula>"NA"</formula>
    </cfRule>
    <cfRule type="cellIs" dxfId="1073" priority="1076" operator="equal">
      <formula>"SL"</formula>
    </cfRule>
    <cfRule type="cellIs" dxfId="1072" priority="1077" stopIfTrue="1" operator="equal">
      <formula>"X"</formula>
    </cfRule>
    <cfRule type="cellIs" dxfId="1071" priority="1078" operator="equal">
      <formula>"H"</formula>
    </cfRule>
  </conditionalFormatting>
  <conditionalFormatting sqref="D100:AG100">
    <cfRule type="cellIs" dxfId="1070" priority="1072" operator="equal">
      <formula>"SP"</formula>
    </cfRule>
    <cfRule type="cellIs" dxfId="1069" priority="1073" operator="equal">
      <formula>"."</formula>
    </cfRule>
  </conditionalFormatting>
  <conditionalFormatting sqref="D102:AG102">
    <cfRule type="cellIs" dxfId="1068" priority="1067" operator="equal">
      <formula>"AL"</formula>
    </cfRule>
    <cfRule type="cellIs" dxfId="1067" priority="1068" operator="equal">
      <formula>"NA"</formula>
    </cfRule>
    <cfRule type="cellIs" dxfId="1066" priority="1069" operator="equal">
      <formula>"SL"</formula>
    </cfRule>
    <cfRule type="cellIs" dxfId="1065" priority="1070" stopIfTrue="1" operator="equal">
      <formula>"X"</formula>
    </cfRule>
    <cfRule type="cellIs" dxfId="1064" priority="1071" operator="equal">
      <formula>"H"</formula>
    </cfRule>
  </conditionalFormatting>
  <conditionalFormatting sqref="D102:AG102">
    <cfRule type="cellIs" dxfId="1063" priority="1065" operator="equal">
      <formula>"SP"</formula>
    </cfRule>
    <cfRule type="cellIs" dxfId="1062" priority="1066" operator="equal">
      <formula>"."</formula>
    </cfRule>
  </conditionalFormatting>
  <conditionalFormatting sqref="D89:AG89">
    <cfRule type="cellIs" dxfId="1061" priority="1060" operator="equal">
      <formula>"AL"</formula>
    </cfRule>
    <cfRule type="cellIs" dxfId="1060" priority="1061" operator="equal">
      <formula>"NA"</formula>
    </cfRule>
    <cfRule type="cellIs" dxfId="1059" priority="1062" operator="equal">
      <formula>"SL"</formula>
    </cfRule>
    <cfRule type="cellIs" dxfId="1058" priority="1063" stopIfTrue="1" operator="equal">
      <formula>"X"</formula>
    </cfRule>
    <cfRule type="cellIs" dxfId="1057" priority="1064" operator="equal">
      <formula>"H"</formula>
    </cfRule>
  </conditionalFormatting>
  <conditionalFormatting sqref="D89:AG89">
    <cfRule type="cellIs" dxfId="1056" priority="1058" operator="equal">
      <formula>"SP"</formula>
    </cfRule>
    <cfRule type="cellIs" dxfId="1055" priority="1059" operator="equal">
      <formula>"."</formula>
    </cfRule>
  </conditionalFormatting>
  <conditionalFormatting sqref="D91:AG91">
    <cfRule type="cellIs" dxfId="1054" priority="1053" operator="equal">
      <formula>"AL"</formula>
    </cfRule>
    <cfRule type="cellIs" dxfId="1053" priority="1054" operator="equal">
      <formula>"NA"</formula>
    </cfRule>
    <cfRule type="cellIs" dxfId="1052" priority="1055" operator="equal">
      <formula>"SL"</formula>
    </cfRule>
    <cfRule type="cellIs" dxfId="1051" priority="1056" stopIfTrue="1" operator="equal">
      <formula>"X"</formula>
    </cfRule>
    <cfRule type="cellIs" dxfId="1050" priority="1057" operator="equal">
      <formula>"H"</formula>
    </cfRule>
  </conditionalFormatting>
  <conditionalFormatting sqref="D91:AG91">
    <cfRule type="cellIs" dxfId="1049" priority="1051" operator="equal">
      <formula>"SP"</formula>
    </cfRule>
    <cfRule type="cellIs" dxfId="1048" priority="1052" operator="equal">
      <formula>"."</formula>
    </cfRule>
  </conditionalFormatting>
  <conditionalFormatting sqref="D93:AG93">
    <cfRule type="cellIs" dxfId="1047" priority="1046" operator="equal">
      <formula>"AL"</formula>
    </cfRule>
    <cfRule type="cellIs" dxfId="1046" priority="1047" operator="equal">
      <formula>"NA"</formula>
    </cfRule>
    <cfRule type="cellIs" dxfId="1045" priority="1048" operator="equal">
      <formula>"SL"</formula>
    </cfRule>
    <cfRule type="cellIs" dxfId="1044" priority="1049" stopIfTrue="1" operator="equal">
      <formula>"X"</formula>
    </cfRule>
    <cfRule type="cellIs" dxfId="1043" priority="1050" operator="equal">
      <formula>"H"</formula>
    </cfRule>
  </conditionalFormatting>
  <conditionalFormatting sqref="D93:AG93">
    <cfRule type="cellIs" dxfId="1042" priority="1044" operator="equal">
      <formula>"SP"</formula>
    </cfRule>
    <cfRule type="cellIs" dxfId="1041" priority="1045" operator="equal">
      <formula>"."</formula>
    </cfRule>
  </conditionalFormatting>
  <conditionalFormatting sqref="D95:AG95">
    <cfRule type="cellIs" dxfId="1040" priority="1039" operator="equal">
      <formula>"AL"</formula>
    </cfRule>
    <cfRule type="cellIs" dxfId="1039" priority="1040" operator="equal">
      <formula>"NA"</formula>
    </cfRule>
    <cfRule type="cellIs" dxfId="1038" priority="1041" operator="equal">
      <formula>"SL"</formula>
    </cfRule>
    <cfRule type="cellIs" dxfId="1037" priority="1042" stopIfTrue="1" operator="equal">
      <formula>"X"</formula>
    </cfRule>
    <cfRule type="cellIs" dxfId="1036" priority="1043" operator="equal">
      <formula>"H"</formula>
    </cfRule>
  </conditionalFormatting>
  <conditionalFormatting sqref="D95:AG95">
    <cfRule type="cellIs" dxfId="1035" priority="1037" operator="equal">
      <formula>"SP"</formula>
    </cfRule>
    <cfRule type="cellIs" dxfId="1034" priority="1038" operator="equal">
      <formula>"."</formula>
    </cfRule>
  </conditionalFormatting>
  <conditionalFormatting sqref="D97:AG97">
    <cfRule type="cellIs" dxfId="1033" priority="1032" operator="equal">
      <formula>"AL"</formula>
    </cfRule>
    <cfRule type="cellIs" dxfId="1032" priority="1033" operator="equal">
      <formula>"NA"</formula>
    </cfRule>
    <cfRule type="cellIs" dxfId="1031" priority="1034" operator="equal">
      <formula>"SL"</formula>
    </cfRule>
    <cfRule type="cellIs" dxfId="1030" priority="1035" stopIfTrue="1" operator="equal">
      <formula>"X"</formula>
    </cfRule>
    <cfRule type="cellIs" dxfId="1029" priority="1036" operator="equal">
      <formula>"H"</formula>
    </cfRule>
  </conditionalFormatting>
  <conditionalFormatting sqref="D97:AG97">
    <cfRule type="cellIs" dxfId="1028" priority="1030" operator="equal">
      <formula>"SP"</formula>
    </cfRule>
    <cfRule type="cellIs" dxfId="1027" priority="1031" operator="equal">
      <formula>"."</formula>
    </cfRule>
  </conditionalFormatting>
  <conditionalFormatting sqref="D99:AG99">
    <cfRule type="cellIs" dxfId="1026" priority="1025" operator="equal">
      <formula>"AL"</formula>
    </cfRule>
    <cfRule type="cellIs" dxfId="1025" priority="1026" operator="equal">
      <formula>"NA"</formula>
    </cfRule>
    <cfRule type="cellIs" dxfId="1024" priority="1027" operator="equal">
      <formula>"SL"</formula>
    </cfRule>
    <cfRule type="cellIs" dxfId="1023" priority="1028" stopIfTrue="1" operator="equal">
      <formula>"X"</formula>
    </cfRule>
    <cfRule type="cellIs" dxfId="1022" priority="1029" operator="equal">
      <formula>"H"</formula>
    </cfRule>
  </conditionalFormatting>
  <conditionalFormatting sqref="D99:AG99">
    <cfRule type="cellIs" dxfId="1021" priority="1023" operator="equal">
      <formula>"SP"</formula>
    </cfRule>
    <cfRule type="cellIs" dxfId="1020" priority="1024" operator="equal">
      <formula>"."</formula>
    </cfRule>
  </conditionalFormatting>
  <conditionalFormatting sqref="D101:AG101">
    <cfRule type="cellIs" dxfId="1019" priority="1018" operator="equal">
      <formula>"AL"</formula>
    </cfRule>
    <cfRule type="cellIs" dxfId="1018" priority="1019" operator="equal">
      <formula>"NA"</formula>
    </cfRule>
    <cfRule type="cellIs" dxfId="1017" priority="1020" operator="equal">
      <formula>"SL"</formula>
    </cfRule>
    <cfRule type="cellIs" dxfId="1016" priority="1021" stopIfTrue="1" operator="equal">
      <formula>"X"</formula>
    </cfRule>
    <cfRule type="cellIs" dxfId="1015" priority="1022" operator="equal">
      <formula>"H"</formula>
    </cfRule>
  </conditionalFormatting>
  <conditionalFormatting sqref="D101:AG101">
    <cfRule type="cellIs" dxfId="1014" priority="1016" operator="equal">
      <formula>"SP"</formula>
    </cfRule>
    <cfRule type="cellIs" dxfId="1013" priority="1017" operator="equal">
      <formula>"."</formula>
    </cfRule>
  </conditionalFormatting>
  <conditionalFormatting sqref="D103:AG104">
    <cfRule type="cellIs" dxfId="1012" priority="1011" operator="equal">
      <formula>"AL"</formula>
    </cfRule>
    <cfRule type="cellIs" dxfId="1011" priority="1012" operator="equal">
      <formula>"NA"</formula>
    </cfRule>
    <cfRule type="cellIs" dxfId="1010" priority="1013" operator="equal">
      <formula>"SL"</formula>
    </cfRule>
    <cfRule type="cellIs" dxfId="1009" priority="1014" stopIfTrue="1" operator="equal">
      <formula>"X"</formula>
    </cfRule>
    <cfRule type="cellIs" dxfId="1008" priority="1015" operator="equal">
      <formula>"H"</formula>
    </cfRule>
  </conditionalFormatting>
  <conditionalFormatting sqref="D119:AH119">
    <cfRule type="cellIs" dxfId="1007" priority="1004" operator="equal">
      <formula>"AL"</formula>
    </cfRule>
    <cfRule type="cellIs" dxfId="1006" priority="1005" operator="equal">
      <formula>"NA"</formula>
    </cfRule>
    <cfRule type="cellIs" dxfId="1005" priority="1006" operator="equal">
      <formula>"SL"</formula>
    </cfRule>
    <cfRule type="cellIs" dxfId="1004" priority="1007" stopIfTrue="1" operator="equal">
      <formula>"X"</formula>
    </cfRule>
    <cfRule type="cellIs" dxfId="1003" priority="1008" operator="equal">
      <formula>"H"</formula>
    </cfRule>
  </conditionalFormatting>
  <conditionalFormatting sqref="D119:AH119">
    <cfRule type="cellIs" dxfId="1002" priority="1002" operator="equal">
      <formula>"SP"</formula>
    </cfRule>
    <cfRule type="cellIs" dxfId="1001" priority="1003" operator="equal">
      <formula>"."</formula>
    </cfRule>
  </conditionalFormatting>
  <conditionalFormatting sqref="D121:AH121">
    <cfRule type="cellIs" dxfId="1000" priority="997" operator="equal">
      <formula>"AL"</formula>
    </cfRule>
    <cfRule type="cellIs" dxfId="999" priority="998" operator="equal">
      <formula>"NA"</formula>
    </cfRule>
    <cfRule type="cellIs" dxfId="998" priority="999" operator="equal">
      <formula>"SL"</formula>
    </cfRule>
    <cfRule type="cellIs" dxfId="997" priority="1000" stopIfTrue="1" operator="equal">
      <formula>"X"</formula>
    </cfRule>
    <cfRule type="cellIs" dxfId="996" priority="1001" operator="equal">
      <formula>"H"</formula>
    </cfRule>
  </conditionalFormatting>
  <conditionalFormatting sqref="D121:AH121">
    <cfRule type="cellIs" dxfId="995" priority="995" operator="equal">
      <formula>"SP"</formula>
    </cfRule>
    <cfRule type="cellIs" dxfId="994" priority="996" operator="equal">
      <formula>"."</formula>
    </cfRule>
  </conditionalFormatting>
  <conditionalFormatting sqref="D123:AH123">
    <cfRule type="cellIs" dxfId="993" priority="990" operator="equal">
      <formula>"AL"</formula>
    </cfRule>
    <cfRule type="cellIs" dxfId="992" priority="991" operator="equal">
      <formula>"NA"</formula>
    </cfRule>
    <cfRule type="cellIs" dxfId="991" priority="992" operator="equal">
      <formula>"SL"</formula>
    </cfRule>
    <cfRule type="cellIs" dxfId="990" priority="993" stopIfTrue="1" operator="equal">
      <formula>"X"</formula>
    </cfRule>
    <cfRule type="cellIs" dxfId="989" priority="994" operator="equal">
      <formula>"H"</formula>
    </cfRule>
  </conditionalFormatting>
  <conditionalFormatting sqref="D123:AH123">
    <cfRule type="cellIs" dxfId="988" priority="988" operator="equal">
      <formula>"SP"</formula>
    </cfRule>
    <cfRule type="cellIs" dxfId="987" priority="989" operator="equal">
      <formula>"."</formula>
    </cfRule>
  </conditionalFormatting>
  <conditionalFormatting sqref="D125:AH125">
    <cfRule type="cellIs" dxfId="986" priority="983" operator="equal">
      <formula>"AL"</formula>
    </cfRule>
    <cfRule type="cellIs" dxfId="985" priority="984" operator="equal">
      <formula>"NA"</formula>
    </cfRule>
    <cfRule type="cellIs" dxfId="984" priority="985" operator="equal">
      <formula>"SL"</formula>
    </cfRule>
    <cfRule type="cellIs" dxfId="983" priority="986" stopIfTrue="1" operator="equal">
      <formula>"X"</formula>
    </cfRule>
    <cfRule type="cellIs" dxfId="982" priority="987" operator="equal">
      <formula>"H"</formula>
    </cfRule>
  </conditionalFormatting>
  <conditionalFormatting sqref="D125:AH125">
    <cfRule type="cellIs" dxfId="981" priority="981" operator="equal">
      <formula>"SP"</formula>
    </cfRule>
    <cfRule type="cellIs" dxfId="980" priority="982" operator="equal">
      <formula>"."</formula>
    </cfRule>
  </conditionalFormatting>
  <conditionalFormatting sqref="D127:AH127">
    <cfRule type="cellIs" dxfId="979" priority="976" operator="equal">
      <formula>"AL"</formula>
    </cfRule>
    <cfRule type="cellIs" dxfId="978" priority="977" operator="equal">
      <formula>"NA"</formula>
    </cfRule>
    <cfRule type="cellIs" dxfId="977" priority="978" operator="equal">
      <formula>"SL"</formula>
    </cfRule>
    <cfRule type="cellIs" dxfId="976" priority="979" stopIfTrue="1" operator="equal">
      <formula>"X"</formula>
    </cfRule>
    <cfRule type="cellIs" dxfId="975" priority="980" operator="equal">
      <formula>"H"</formula>
    </cfRule>
  </conditionalFormatting>
  <conditionalFormatting sqref="D127:AH127">
    <cfRule type="cellIs" dxfId="974" priority="974" operator="equal">
      <formula>"SP"</formula>
    </cfRule>
    <cfRule type="cellIs" dxfId="973" priority="975" operator="equal">
      <formula>"."</formula>
    </cfRule>
  </conditionalFormatting>
  <conditionalFormatting sqref="D129:AH129">
    <cfRule type="cellIs" dxfId="972" priority="969" operator="equal">
      <formula>"AL"</formula>
    </cfRule>
    <cfRule type="cellIs" dxfId="971" priority="970" operator="equal">
      <formula>"NA"</formula>
    </cfRule>
    <cfRule type="cellIs" dxfId="970" priority="971" operator="equal">
      <formula>"SL"</formula>
    </cfRule>
    <cfRule type="cellIs" dxfId="969" priority="972" stopIfTrue="1" operator="equal">
      <formula>"X"</formula>
    </cfRule>
    <cfRule type="cellIs" dxfId="968" priority="973" operator="equal">
      <formula>"H"</formula>
    </cfRule>
  </conditionalFormatting>
  <conditionalFormatting sqref="D129:AH129">
    <cfRule type="cellIs" dxfId="967" priority="967" operator="equal">
      <formula>"SP"</formula>
    </cfRule>
    <cfRule type="cellIs" dxfId="966" priority="968" operator="equal">
      <formula>"."</formula>
    </cfRule>
  </conditionalFormatting>
  <conditionalFormatting sqref="D131:AH131">
    <cfRule type="cellIs" dxfId="965" priority="962" operator="equal">
      <formula>"AL"</formula>
    </cfRule>
    <cfRule type="cellIs" dxfId="964" priority="963" operator="equal">
      <formula>"NA"</formula>
    </cfRule>
    <cfRule type="cellIs" dxfId="963" priority="964" operator="equal">
      <formula>"SL"</formula>
    </cfRule>
    <cfRule type="cellIs" dxfId="962" priority="965" stopIfTrue="1" operator="equal">
      <formula>"X"</formula>
    </cfRule>
    <cfRule type="cellIs" dxfId="961" priority="966" operator="equal">
      <formula>"H"</formula>
    </cfRule>
  </conditionalFormatting>
  <conditionalFormatting sqref="D131:AH131">
    <cfRule type="cellIs" dxfId="960" priority="960" operator="equal">
      <formula>"SP"</formula>
    </cfRule>
    <cfRule type="cellIs" dxfId="959" priority="961" operator="equal">
      <formula>"."</formula>
    </cfRule>
  </conditionalFormatting>
  <conditionalFormatting sqref="D133:AH133">
    <cfRule type="cellIs" dxfId="958" priority="955" operator="equal">
      <formula>"AL"</formula>
    </cfRule>
    <cfRule type="cellIs" dxfId="957" priority="956" operator="equal">
      <formula>"NA"</formula>
    </cfRule>
    <cfRule type="cellIs" dxfId="956" priority="957" operator="equal">
      <formula>"SL"</formula>
    </cfRule>
    <cfRule type="cellIs" dxfId="955" priority="958" stopIfTrue="1" operator="equal">
      <formula>"X"</formula>
    </cfRule>
    <cfRule type="cellIs" dxfId="954" priority="959" operator="equal">
      <formula>"H"</formula>
    </cfRule>
  </conditionalFormatting>
  <conditionalFormatting sqref="D133:AH133">
    <cfRule type="cellIs" dxfId="953" priority="953" operator="equal">
      <formula>"SP"</formula>
    </cfRule>
    <cfRule type="cellIs" dxfId="952" priority="954" operator="equal">
      <formula>"."</formula>
    </cfRule>
  </conditionalFormatting>
  <conditionalFormatting sqref="D120:AH120">
    <cfRule type="cellIs" dxfId="951" priority="948" operator="equal">
      <formula>"AL"</formula>
    </cfRule>
    <cfRule type="cellIs" dxfId="950" priority="949" operator="equal">
      <formula>"NA"</formula>
    </cfRule>
    <cfRule type="cellIs" dxfId="949" priority="950" operator="equal">
      <formula>"SL"</formula>
    </cfRule>
    <cfRule type="cellIs" dxfId="948" priority="951" stopIfTrue="1" operator="equal">
      <formula>"X"</formula>
    </cfRule>
    <cfRule type="cellIs" dxfId="947" priority="952" operator="equal">
      <formula>"H"</formula>
    </cfRule>
  </conditionalFormatting>
  <conditionalFormatting sqref="D120:AH120">
    <cfRule type="cellIs" dxfId="946" priority="946" operator="equal">
      <formula>"SP"</formula>
    </cfRule>
    <cfRule type="cellIs" dxfId="945" priority="947" operator="equal">
      <formula>"."</formula>
    </cfRule>
  </conditionalFormatting>
  <conditionalFormatting sqref="D122:AH122">
    <cfRule type="cellIs" dxfId="944" priority="941" operator="equal">
      <formula>"AL"</formula>
    </cfRule>
    <cfRule type="cellIs" dxfId="943" priority="942" operator="equal">
      <formula>"NA"</formula>
    </cfRule>
    <cfRule type="cellIs" dxfId="942" priority="943" operator="equal">
      <formula>"SL"</formula>
    </cfRule>
    <cfRule type="cellIs" dxfId="941" priority="944" stopIfTrue="1" operator="equal">
      <formula>"X"</formula>
    </cfRule>
    <cfRule type="cellIs" dxfId="940" priority="945" operator="equal">
      <formula>"H"</formula>
    </cfRule>
  </conditionalFormatting>
  <conditionalFormatting sqref="D122:AH122">
    <cfRule type="cellIs" dxfId="939" priority="939" operator="equal">
      <formula>"SP"</formula>
    </cfRule>
    <cfRule type="cellIs" dxfId="938" priority="940" operator="equal">
      <formula>"."</formula>
    </cfRule>
  </conditionalFormatting>
  <conditionalFormatting sqref="D124:AH124">
    <cfRule type="cellIs" dxfId="937" priority="934" operator="equal">
      <formula>"AL"</formula>
    </cfRule>
    <cfRule type="cellIs" dxfId="936" priority="935" operator="equal">
      <formula>"NA"</formula>
    </cfRule>
    <cfRule type="cellIs" dxfId="935" priority="936" operator="equal">
      <formula>"SL"</formula>
    </cfRule>
    <cfRule type="cellIs" dxfId="934" priority="937" stopIfTrue="1" operator="equal">
      <formula>"X"</formula>
    </cfRule>
    <cfRule type="cellIs" dxfId="933" priority="938" operator="equal">
      <formula>"H"</formula>
    </cfRule>
  </conditionalFormatting>
  <conditionalFormatting sqref="D124:AH124">
    <cfRule type="cellIs" dxfId="932" priority="932" operator="equal">
      <formula>"SP"</formula>
    </cfRule>
    <cfRule type="cellIs" dxfId="931" priority="933" operator="equal">
      <formula>"."</formula>
    </cfRule>
  </conditionalFormatting>
  <conditionalFormatting sqref="D126:AH126">
    <cfRule type="cellIs" dxfId="930" priority="927" operator="equal">
      <formula>"AL"</formula>
    </cfRule>
    <cfRule type="cellIs" dxfId="929" priority="928" operator="equal">
      <formula>"NA"</formula>
    </cfRule>
    <cfRule type="cellIs" dxfId="928" priority="929" operator="equal">
      <formula>"SL"</formula>
    </cfRule>
    <cfRule type="cellIs" dxfId="927" priority="930" stopIfTrue="1" operator="equal">
      <formula>"X"</formula>
    </cfRule>
    <cfRule type="cellIs" dxfId="926" priority="931" operator="equal">
      <formula>"H"</formula>
    </cfRule>
  </conditionalFormatting>
  <conditionalFormatting sqref="D126:AH126">
    <cfRule type="cellIs" dxfId="925" priority="925" operator="equal">
      <formula>"SP"</formula>
    </cfRule>
    <cfRule type="cellIs" dxfId="924" priority="926" operator="equal">
      <formula>"."</formula>
    </cfRule>
  </conditionalFormatting>
  <conditionalFormatting sqref="D128:AH128">
    <cfRule type="cellIs" dxfId="923" priority="920" operator="equal">
      <formula>"AL"</formula>
    </cfRule>
    <cfRule type="cellIs" dxfId="922" priority="921" operator="equal">
      <formula>"NA"</formula>
    </cfRule>
    <cfRule type="cellIs" dxfId="921" priority="922" operator="equal">
      <formula>"SL"</formula>
    </cfRule>
    <cfRule type="cellIs" dxfId="920" priority="923" stopIfTrue="1" operator="equal">
      <formula>"X"</formula>
    </cfRule>
    <cfRule type="cellIs" dxfId="919" priority="924" operator="equal">
      <formula>"H"</formula>
    </cfRule>
  </conditionalFormatting>
  <conditionalFormatting sqref="D128:AH128">
    <cfRule type="cellIs" dxfId="918" priority="918" operator="equal">
      <formula>"SP"</formula>
    </cfRule>
    <cfRule type="cellIs" dxfId="917" priority="919" operator="equal">
      <formula>"."</formula>
    </cfRule>
  </conditionalFormatting>
  <conditionalFormatting sqref="D130:AH130">
    <cfRule type="cellIs" dxfId="916" priority="913" operator="equal">
      <formula>"AL"</formula>
    </cfRule>
    <cfRule type="cellIs" dxfId="915" priority="914" operator="equal">
      <formula>"NA"</formula>
    </cfRule>
    <cfRule type="cellIs" dxfId="914" priority="915" operator="equal">
      <formula>"SL"</formula>
    </cfRule>
    <cfRule type="cellIs" dxfId="913" priority="916" stopIfTrue="1" operator="equal">
      <formula>"X"</formula>
    </cfRule>
    <cfRule type="cellIs" dxfId="912" priority="917" operator="equal">
      <formula>"H"</formula>
    </cfRule>
  </conditionalFormatting>
  <conditionalFormatting sqref="D130:AH130">
    <cfRule type="cellIs" dxfId="911" priority="911" operator="equal">
      <formula>"SP"</formula>
    </cfRule>
    <cfRule type="cellIs" dxfId="910" priority="912" operator="equal">
      <formula>"."</formula>
    </cfRule>
  </conditionalFormatting>
  <conditionalFormatting sqref="D132:AH132">
    <cfRule type="cellIs" dxfId="909" priority="906" operator="equal">
      <formula>"AL"</formula>
    </cfRule>
    <cfRule type="cellIs" dxfId="908" priority="907" operator="equal">
      <formula>"NA"</formula>
    </cfRule>
    <cfRule type="cellIs" dxfId="907" priority="908" operator="equal">
      <formula>"SL"</formula>
    </cfRule>
    <cfRule type="cellIs" dxfId="906" priority="909" stopIfTrue="1" operator="equal">
      <formula>"X"</formula>
    </cfRule>
    <cfRule type="cellIs" dxfId="905" priority="910" operator="equal">
      <formula>"H"</formula>
    </cfRule>
  </conditionalFormatting>
  <conditionalFormatting sqref="D132:AH132">
    <cfRule type="cellIs" dxfId="904" priority="904" operator="equal">
      <formula>"SP"</formula>
    </cfRule>
    <cfRule type="cellIs" dxfId="903" priority="905" operator="equal">
      <formula>"."</formula>
    </cfRule>
  </conditionalFormatting>
  <conditionalFormatting sqref="D134:AH134">
    <cfRule type="cellIs" dxfId="902" priority="899" operator="equal">
      <formula>"AL"</formula>
    </cfRule>
    <cfRule type="cellIs" dxfId="901" priority="900" operator="equal">
      <formula>"NA"</formula>
    </cfRule>
    <cfRule type="cellIs" dxfId="900" priority="901" operator="equal">
      <formula>"SL"</formula>
    </cfRule>
    <cfRule type="cellIs" dxfId="899" priority="902" stopIfTrue="1" operator="equal">
      <formula>"X"</formula>
    </cfRule>
    <cfRule type="cellIs" dxfId="898" priority="903" operator="equal">
      <formula>"H"</formula>
    </cfRule>
  </conditionalFormatting>
  <conditionalFormatting sqref="D134:AH134">
    <cfRule type="cellIs" dxfId="897" priority="897" operator="equal">
      <formula>"SP"</formula>
    </cfRule>
    <cfRule type="cellIs" dxfId="896" priority="898" operator="equal">
      <formula>"."</formula>
    </cfRule>
  </conditionalFormatting>
  <conditionalFormatting sqref="D165:AG166">
    <cfRule type="cellIs" dxfId="895" priority="785" operator="equal">
      <formula>"SP"</formula>
    </cfRule>
    <cfRule type="cellIs" dxfId="894" priority="786" operator="equal">
      <formula>"."</formula>
    </cfRule>
  </conditionalFormatting>
  <conditionalFormatting sqref="D150:AG150">
    <cfRule type="cellIs" dxfId="893" priority="892" operator="equal">
      <formula>"AL"</formula>
    </cfRule>
    <cfRule type="cellIs" dxfId="892" priority="893" operator="equal">
      <formula>"NA"</formula>
    </cfRule>
    <cfRule type="cellIs" dxfId="891" priority="894" operator="equal">
      <formula>"SL"</formula>
    </cfRule>
    <cfRule type="cellIs" dxfId="890" priority="895" stopIfTrue="1" operator="equal">
      <formula>"X"</formula>
    </cfRule>
    <cfRule type="cellIs" dxfId="889" priority="896" operator="equal">
      <formula>"H"</formula>
    </cfRule>
  </conditionalFormatting>
  <conditionalFormatting sqref="D150:AG150">
    <cfRule type="cellIs" dxfId="888" priority="890" operator="equal">
      <formula>"SP"</formula>
    </cfRule>
    <cfRule type="cellIs" dxfId="887" priority="891" operator="equal">
      <formula>"."</formula>
    </cfRule>
  </conditionalFormatting>
  <conditionalFormatting sqref="D152:AG152">
    <cfRule type="cellIs" dxfId="886" priority="885" operator="equal">
      <formula>"AL"</formula>
    </cfRule>
    <cfRule type="cellIs" dxfId="885" priority="886" operator="equal">
      <formula>"NA"</formula>
    </cfRule>
    <cfRule type="cellIs" dxfId="884" priority="887" operator="equal">
      <formula>"SL"</formula>
    </cfRule>
    <cfRule type="cellIs" dxfId="883" priority="888" stopIfTrue="1" operator="equal">
      <formula>"X"</formula>
    </cfRule>
    <cfRule type="cellIs" dxfId="882" priority="889" operator="equal">
      <formula>"H"</formula>
    </cfRule>
  </conditionalFormatting>
  <conditionalFormatting sqref="D152:AG152">
    <cfRule type="cellIs" dxfId="881" priority="883" operator="equal">
      <formula>"SP"</formula>
    </cfRule>
    <cfRule type="cellIs" dxfId="880" priority="884" operator="equal">
      <formula>"."</formula>
    </cfRule>
  </conditionalFormatting>
  <conditionalFormatting sqref="D154:AG154">
    <cfRule type="cellIs" dxfId="879" priority="878" operator="equal">
      <formula>"AL"</formula>
    </cfRule>
    <cfRule type="cellIs" dxfId="878" priority="879" operator="equal">
      <formula>"NA"</formula>
    </cfRule>
    <cfRule type="cellIs" dxfId="877" priority="880" operator="equal">
      <formula>"SL"</formula>
    </cfRule>
    <cfRule type="cellIs" dxfId="876" priority="881" stopIfTrue="1" operator="equal">
      <formula>"X"</formula>
    </cfRule>
    <cfRule type="cellIs" dxfId="875" priority="882" operator="equal">
      <formula>"H"</formula>
    </cfRule>
  </conditionalFormatting>
  <conditionalFormatting sqref="D154:AG154">
    <cfRule type="cellIs" dxfId="874" priority="876" operator="equal">
      <formula>"SP"</formula>
    </cfRule>
    <cfRule type="cellIs" dxfId="873" priority="877" operator="equal">
      <formula>"."</formula>
    </cfRule>
  </conditionalFormatting>
  <conditionalFormatting sqref="D156:AG156">
    <cfRule type="cellIs" dxfId="872" priority="871" operator="equal">
      <formula>"AL"</formula>
    </cfRule>
    <cfRule type="cellIs" dxfId="871" priority="872" operator="equal">
      <formula>"NA"</formula>
    </cfRule>
    <cfRule type="cellIs" dxfId="870" priority="873" operator="equal">
      <formula>"SL"</formula>
    </cfRule>
    <cfRule type="cellIs" dxfId="869" priority="874" stopIfTrue="1" operator="equal">
      <formula>"X"</formula>
    </cfRule>
    <cfRule type="cellIs" dxfId="868" priority="875" operator="equal">
      <formula>"H"</formula>
    </cfRule>
  </conditionalFormatting>
  <conditionalFormatting sqref="D156:AG156">
    <cfRule type="cellIs" dxfId="867" priority="869" operator="equal">
      <formula>"SP"</formula>
    </cfRule>
    <cfRule type="cellIs" dxfId="866" priority="870" operator="equal">
      <formula>"."</formula>
    </cfRule>
  </conditionalFormatting>
  <conditionalFormatting sqref="D158:AG158">
    <cfRule type="cellIs" dxfId="865" priority="864" operator="equal">
      <formula>"AL"</formula>
    </cfRule>
    <cfRule type="cellIs" dxfId="864" priority="865" operator="equal">
      <formula>"NA"</formula>
    </cfRule>
    <cfRule type="cellIs" dxfId="863" priority="866" operator="equal">
      <formula>"SL"</formula>
    </cfRule>
    <cfRule type="cellIs" dxfId="862" priority="867" stopIfTrue="1" operator="equal">
      <formula>"X"</formula>
    </cfRule>
    <cfRule type="cellIs" dxfId="861" priority="868" operator="equal">
      <formula>"H"</formula>
    </cfRule>
  </conditionalFormatting>
  <conditionalFormatting sqref="D158:AG158">
    <cfRule type="cellIs" dxfId="860" priority="862" operator="equal">
      <formula>"SP"</formula>
    </cfRule>
    <cfRule type="cellIs" dxfId="859" priority="863" operator="equal">
      <formula>"."</formula>
    </cfRule>
  </conditionalFormatting>
  <conditionalFormatting sqref="D160:AG160">
    <cfRule type="cellIs" dxfId="858" priority="857" operator="equal">
      <formula>"AL"</formula>
    </cfRule>
    <cfRule type="cellIs" dxfId="857" priority="858" operator="equal">
      <formula>"NA"</formula>
    </cfRule>
    <cfRule type="cellIs" dxfId="856" priority="859" operator="equal">
      <formula>"SL"</formula>
    </cfRule>
    <cfRule type="cellIs" dxfId="855" priority="860" stopIfTrue="1" operator="equal">
      <formula>"X"</formula>
    </cfRule>
    <cfRule type="cellIs" dxfId="854" priority="861" operator="equal">
      <formula>"H"</formula>
    </cfRule>
  </conditionalFormatting>
  <conditionalFormatting sqref="D160:AG160">
    <cfRule type="cellIs" dxfId="853" priority="855" operator="equal">
      <formula>"SP"</formula>
    </cfRule>
    <cfRule type="cellIs" dxfId="852" priority="856" operator="equal">
      <formula>"."</formula>
    </cfRule>
  </conditionalFormatting>
  <conditionalFormatting sqref="D162:AG162">
    <cfRule type="cellIs" dxfId="851" priority="850" operator="equal">
      <formula>"AL"</formula>
    </cfRule>
    <cfRule type="cellIs" dxfId="850" priority="851" operator="equal">
      <formula>"NA"</formula>
    </cfRule>
    <cfRule type="cellIs" dxfId="849" priority="852" operator="equal">
      <formula>"SL"</formula>
    </cfRule>
    <cfRule type="cellIs" dxfId="848" priority="853" stopIfTrue="1" operator="equal">
      <formula>"X"</formula>
    </cfRule>
    <cfRule type="cellIs" dxfId="847" priority="854" operator="equal">
      <formula>"H"</formula>
    </cfRule>
  </conditionalFormatting>
  <conditionalFormatting sqref="D162:AG162">
    <cfRule type="cellIs" dxfId="846" priority="848" operator="equal">
      <formula>"SP"</formula>
    </cfRule>
    <cfRule type="cellIs" dxfId="845" priority="849" operator="equal">
      <formula>"."</formula>
    </cfRule>
  </conditionalFormatting>
  <conditionalFormatting sqref="D164:AG164">
    <cfRule type="cellIs" dxfId="844" priority="843" operator="equal">
      <formula>"AL"</formula>
    </cfRule>
    <cfRule type="cellIs" dxfId="843" priority="844" operator="equal">
      <formula>"NA"</formula>
    </cfRule>
    <cfRule type="cellIs" dxfId="842" priority="845" operator="equal">
      <formula>"SL"</formula>
    </cfRule>
    <cfRule type="cellIs" dxfId="841" priority="846" stopIfTrue="1" operator="equal">
      <formula>"X"</formula>
    </cfRule>
    <cfRule type="cellIs" dxfId="840" priority="847" operator="equal">
      <formula>"H"</formula>
    </cfRule>
  </conditionalFormatting>
  <conditionalFormatting sqref="D164:AG164">
    <cfRule type="cellIs" dxfId="839" priority="841" operator="equal">
      <formula>"SP"</formula>
    </cfRule>
    <cfRule type="cellIs" dxfId="838" priority="842" operator="equal">
      <formula>"."</formula>
    </cfRule>
  </conditionalFormatting>
  <conditionalFormatting sqref="D151:AG151">
    <cfRule type="cellIs" dxfId="837" priority="836" operator="equal">
      <formula>"AL"</formula>
    </cfRule>
    <cfRule type="cellIs" dxfId="836" priority="837" operator="equal">
      <formula>"NA"</formula>
    </cfRule>
    <cfRule type="cellIs" dxfId="835" priority="838" operator="equal">
      <formula>"SL"</formula>
    </cfRule>
    <cfRule type="cellIs" dxfId="834" priority="839" stopIfTrue="1" operator="equal">
      <formula>"X"</formula>
    </cfRule>
    <cfRule type="cellIs" dxfId="833" priority="840" operator="equal">
      <formula>"H"</formula>
    </cfRule>
  </conditionalFormatting>
  <conditionalFormatting sqref="D151:AG151">
    <cfRule type="cellIs" dxfId="832" priority="834" operator="equal">
      <formula>"SP"</formula>
    </cfRule>
    <cfRule type="cellIs" dxfId="831" priority="835" operator="equal">
      <formula>"."</formula>
    </cfRule>
  </conditionalFormatting>
  <conditionalFormatting sqref="D153:AG153">
    <cfRule type="cellIs" dxfId="830" priority="829" operator="equal">
      <formula>"AL"</formula>
    </cfRule>
    <cfRule type="cellIs" dxfId="829" priority="830" operator="equal">
      <formula>"NA"</formula>
    </cfRule>
    <cfRule type="cellIs" dxfId="828" priority="831" operator="equal">
      <formula>"SL"</formula>
    </cfRule>
    <cfRule type="cellIs" dxfId="827" priority="832" stopIfTrue="1" operator="equal">
      <formula>"X"</formula>
    </cfRule>
    <cfRule type="cellIs" dxfId="826" priority="833" operator="equal">
      <formula>"H"</formula>
    </cfRule>
  </conditionalFormatting>
  <conditionalFormatting sqref="D153:AG153">
    <cfRule type="cellIs" dxfId="825" priority="827" operator="equal">
      <formula>"SP"</formula>
    </cfRule>
    <cfRule type="cellIs" dxfId="824" priority="828" operator="equal">
      <formula>"."</formula>
    </cfRule>
  </conditionalFormatting>
  <conditionalFormatting sqref="D155:AG155">
    <cfRule type="cellIs" dxfId="823" priority="822" operator="equal">
      <formula>"AL"</formula>
    </cfRule>
    <cfRule type="cellIs" dxfId="822" priority="823" operator="equal">
      <formula>"NA"</formula>
    </cfRule>
    <cfRule type="cellIs" dxfId="821" priority="824" operator="equal">
      <formula>"SL"</formula>
    </cfRule>
    <cfRule type="cellIs" dxfId="820" priority="825" stopIfTrue="1" operator="equal">
      <formula>"X"</formula>
    </cfRule>
    <cfRule type="cellIs" dxfId="819" priority="826" operator="equal">
      <formula>"H"</formula>
    </cfRule>
  </conditionalFormatting>
  <conditionalFormatting sqref="D155:AG155">
    <cfRule type="cellIs" dxfId="818" priority="820" operator="equal">
      <formula>"SP"</formula>
    </cfRule>
    <cfRule type="cellIs" dxfId="817" priority="821" operator="equal">
      <formula>"."</formula>
    </cfRule>
  </conditionalFormatting>
  <conditionalFormatting sqref="D157:AG157">
    <cfRule type="cellIs" dxfId="816" priority="815" operator="equal">
      <formula>"AL"</formula>
    </cfRule>
    <cfRule type="cellIs" dxfId="815" priority="816" operator="equal">
      <formula>"NA"</formula>
    </cfRule>
    <cfRule type="cellIs" dxfId="814" priority="817" operator="equal">
      <formula>"SL"</formula>
    </cfRule>
    <cfRule type="cellIs" dxfId="813" priority="818" stopIfTrue="1" operator="equal">
      <formula>"X"</formula>
    </cfRule>
    <cfRule type="cellIs" dxfId="812" priority="819" operator="equal">
      <formula>"H"</formula>
    </cfRule>
  </conditionalFormatting>
  <conditionalFormatting sqref="D157:AG157">
    <cfRule type="cellIs" dxfId="811" priority="813" operator="equal">
      <formula>"SP"</formula>
    </cfRule>
    <cfRule type="cellIs" dxfId="810" priority="814" operator="equal">
      <formula>"."</formula>
    </cfRule>
  </conditionalFormatting>
  <conditionalFormatting sqref="D159:AG159">
    <cfRule type="cellIs" dxfId="809" priority="808" operator="equal">
      <formula>"AL"</formula>
    </cfRule>
    <cfRule type="cellIs" dxfId="808" priority="809" operator="equal">
      <formula>"NA"</formula>
    </cfRule>
    <cfRule type="cellIs" dxfId="807" priority="810" operator="equal">
      <formula>"SL"</formula>
    </cfRule>
    <cfRule type="cellIs" dxfId="806" priority="811" stopIfTrue="1" operator="equal">
      <formula>"X"</formula>
    </cfRule>
    <cfRule type="cellIs" dxfId="805" priority="812" operator="equal">
      <formula>"H"</formula>
    </cfRule>
  </conditionalFormatting>
  <conditionalFormatting sqref="D159:AG159">
    <cfRule type="cellIs" dxfId="804" priority="806" operator="equal">
      <formula>"SP"</formula>
    </cfRule>
    <cfRule type="cellIs" dxfId="803" priority="807" operator="equal">
      <formula>"."</formula>
    </cfRule>
  </conditionalFormatting>
  <conditionalFormatting sqref="D161:AG161">
    <cfRule type="cellIs" dxfId="802" priority="801" operator="equal">
      <formula>"AL"</formula>
    </cfRule>
    <cfRule type="cellIs" dxfId="801" priority="802" operator="equal">
      <formula>"NA"</formula>
    </cfRule>
    <cfRule type="cellIs" dxfId="800" priority="803" operator="equal">
      <formula>"SL"</formula>
    </cfRule>
    <cfRule type="cellIs" dxfId="799" priority="804" stopIfTrue="1" operator="equal">
      <formula>"X"</formula>
    </cfRule>
    <cfRule type="cellIs" dxfId="798" priority="805" operator="equal">
      <formula>"H"</formula>
    </cfRule>
  </conditionalFormatting>
  <conditionalFormatting sqref="D161:AG161">
    <cfRule type="cellIs" dxfId="797" priority="799" operator="equal">
      <formula>"SP"</formula>
    </cfRule>
    <cfRule type="cellIs" dxfId="796" priority="800" operator="equal">
      <formula>"."</formula>
    </cfRule>
  </conditionalFormatting>
  <conditionalFormatting sqref="D163:AG163">
    <cfRule type="cellIs" dxfId="795" priority="794" operator="equal">
      <formula>"AL"</formula>
    </cfRule>
    <cfRule type="cellIs" dxfId="794" priority="795" operator="equal">
      <formula>"NA"</formula>
    </cfRule>
    <cfRule type="cellIs" dxfId="793" priority="796" operator="equal">
      <formula>"SL"</formula>
    </cfRule>
    <cfRule type="cellIs" dxfId="792" priority="797" stopIfTrue="1" operator="equal">
      <formula>"X"</formula>
    </cfRule>
    <cfRule type="cellIs" dxfId="791" priority="798" operator="equal">
      <formula>"H"</formula>
    </cfRule>
  </conditionalFormatting>
  <conditionalFormatting sqref="D163:AG163">
    <cfRule type="cellIs" dxfId="790" priority="792" operator="equal">
      <formula>"SP"</formula>
    </cfRule>
    <cfRule type="cellIs" dxfId="789" priority="793" operator="equal">
      <formula>"."</formula>
    </cfRule>
  </conditionalFormatting>
  <conditionalFormatting sqref="D165:AG166">
    <cfRule type="cellIs" dxfId="788" priority="787" operator="equal">
      <formula>"AL"</formula>
    </cfRule>
    <cfRule type="cellIs" dxfId="787" priority="788" operator="equal">
      <formula>"NA"</formula>
    </cfRule>
    <cfRule type="cellIs" dxfId="786" priority="789" operator="equal">
      <formula>"SL"</formula>
    </cfRule>
    <cfRule type="cellIs" dxfId="785" priority="790" stopIfTrue="1" operator="equal">
      <formula>"X"</formula>
    </cfRule>
    <cfRule type="cellIs" dxfId="784" priority="791" operator="equal">
      <formula>"H"</formula>
    </cfRule>
  </conditionalFormatting>
  <conditionalFormatting sqref="D181:AH181">
    <cfRule type="cellIs" dxfId="783" priority="780" operator="equal">
      <formula>"AL"</formula>
    </cfRule>
    <cfRule type="cellIs" dxfId="782" priority="781" operator="equal">
      <formula>"NA"</formula>
    </cfRule>
    <cfRule type="cellIs" dxfId="781" priority="782" operator="equal">
      <formula>"SL"</formula>
    </cfRule>
    <cfRule type="cellIs" dxfId="780" priority="783" stopIfTrue="1" operator="equal">
      <formula>"X"</formula>
    </cfRule>
    <cfRule type="cellIs" dxfId="779" priority="784" operator="equal">
      <formula>"H"</formula>
    </cfRule>
  </conditionalFormatting>
  <conditionalFormatting sqref="D181:AH181">
    <cfRule type="cellIs" dxfId="778" priority="778" operator="equal">
      <formula>"SP"</formula>
    </cfRule>
    <cfRule type="cellIs" dxfId="777" priority="779" operator="equal">
      <formula>"."</formula>
    </cfRule>
  </conditionalFormatting>
  <conditionalFormatting sqref="D183:AH183">
    <cfRule type="cellIs" dxfId="776" priority="773" operator="equal">
      <formula>"AL"</formula>
    </cfRule>
    <cfRule type="cellIs" dxfId="775" priority="774" operator="equal">
      <formula>"NA"</formula>
    </cfRule>
    <cfRule type="cellIs" dxfId="774" priority="775" operator="equal">
      <formula>"SL"</formula>
    </cfRule>
    <cfRule type="cellIs" dxfId="773" priority="776" stopIfTrue="1" operator="equal">
      <formula>"X"</formula>
    </cfRule>
    <cfRule type="cellIs" dxfId="772" priority="777" operator="equal">
      <formula>"H"</formula>
    </cfRule>
  </conditionalFormatting>
  <conditionalFormatting sqref="D183:AH183">
    <cfRule type="cellIs" dxfId="771" priority="771" operator="equal">
      <formula>"SP"</formula>
    </cfRule>
    <cfRule type="cellIs" dxfId="770" priority="772" operator="equal">
      <formula>"."</formula>
    </cfRule>
  </conditionalFormatting>
  <conditionalFormatting sqref="D185:AH185">
    <cfRule type="cellIs" dxfId="769" priority="766" operator="equal">
      <formula>"AL"</formula>
    </cfRule>
    <cfRule type="cellIs" dxfId="768" priority="767" operator="equal">
      <formula>"NA"</formula>
    </cfRule>
    <cfRule type="cellIs" dxfId="767" priority="768" operator="equal">
      <formula>"SL"</formula>
    </cfRule>
    <cfRule type="cellIs" dxfId="766" priority="769" stopIfTrue="1" operator="equal">
      <formula>"X"</formula>
    </cfRule>
    <cfRule type="cellIs" dxfId="765" priority="770" operator="equal">
      <formula>"H"</formula>
    </cfRule>
  </conditionalFormatting>
  <conditionalFormatting sqref="D185:AH185">
    <cfRule type="cellIs" dxfId="764" priority="764" operator="equal">
      <formula>"SP"</formula>
    </cfRule>
    <cfRule type="cellIs" dxfId="763" priority="765" operator="equal">
      <formula>"."</formula>
    </cfRule>
  </conditionalFormatting>
  <conditionalFormatting sqref="D187:AH187">
    <cfRule type="cellIs" dxfId="762" priority="759" operator="equal">
      <formula>"AL"</formula>
    </cfRule>
    <cfRule type="cellIs" dxfId="761" priority="760" operator="equal">
      <formula>"NA"</formula>
    </cfRule>
    <cfRule type="cellIs" dxfId="760" priority="761" operator="equal">
      <formula>"SL"</formula>
    </cfRule>
    <cfRule type="cellIs" dxfId="759" priority="762" stopIfTrue="1" operator="equal">
      <formula>"X"</formula>
    </cfRule>
    <cfRule type="cellIs" dxfId="758" priority="763" operator="equal">
      <formula>"H"</formula>
    </cfRule>
  </conditionalFormatting>
  <conditionalFormatting sqref="D187:AH187">
    <cfRule type="cellIs" dxfId="757" priority="757" operator="equal">
      <formula>"SP"</formula>
    </cfRule>
    <cfRule type="cellIs" dxfId="756" priority="758" operator="equal">
      <formula>"."</formula>
    </cfRule>
  </conditionalFormatting>
  <conditionalFormatting sqref="D189:AH189">
    <cfRule type="cellIs" dxfId="755" priority="752" operator="equal">
      <formula>"AL"</formula>
    </cfRule>
    <cfRule type="cellIs" dxfId="754" priority="753" operator="equal">
      <formula>"NA"</formula>
    </cfRule>
    <cfRule type="cellIs" dxfId="753" priority="754" operator="equal">
      <formula>"SL"</formula>
    </cfRule>
    <cfRule type="cellIs" dxfId="752" priority="755" stopIfTrue="1" operator="equal">
      <formula>"X"</formula>
    </cfRule>
    <cfRule type="cellIs" dxfId="751" priority="756" operator="equal">
      <formula>"H"</formula>
    </cfRule>
  </conditionalFormatting>
  <conditionalFormatting sqref="D189:AH189">
    <cfRule type="cellIs" dxfId="750" priority="750" operator="equal">
      <formula>"SP"</formula>
    </cfRule>
    <cfRule type="cellIs" dxfId="749" priority="751" operator="equal">
      <formula>"."</formula>
    </cfRule>
  </conditionalFormatting>
  <conditionalFormatting sqref="D191:AH191">
    <cfRule type="cellIs" dxfId="748" priority="745" operator="equal">
      <formula>"AL"</formula>
    </cfRule>
    <cfRule type="cellIs" dxfId="747" priority="746" operator="equal">
      <formula>"NA"</formula>
    </cfRule>
    <cfRule type="cellIs" dxfId="746" priority="747" operator="equal">
      <formula>"SL"</formula>
    </cfRule>
    <cfRule type="cellIs" dxfId="745" priority="748" stopIfTrue="1" operator="equal">
      <formula>"X"</formula>
    </cfRule>
    <cfRule type="cellIs" dxfId="744" priority="749" operator="equal">
      <formula>"H"</formula>
    </cfRule>
  </conditionalFormatting>
  <conditionalFormatting sqref="D191:AH191">
    <cfRule type="cellIs" dxfId="743" priority="743" operator="equal">
      <formula>"SP"</formula>
    </cfRule>
    <cfRule type="cellIs" dxfId="742" priority="744" operator="equal">
      <formula>"."</formula>
    </cfRule>
  </conditionalFormatting>
  <conditionalFormatting sqref="D193:AH193">
    <cfRule type="cellIs" dxfId="741" priority="738" operator="equal">
      <formula>"AL"</formula>
    </cfRule>
    <cfRule type="cellIs" dxfId="740" priority="739" operator="equal">
      <formula>"NA"</formula>
    </cfRule>
    <cfRule type="cellIs" dxfId="739" priority="740" operator="equal">
      <formula>"SL"</formula>
    </cfRule>
    <cfRule type="cellIs" dxfId="738" priority="741" stopIfTrue="1" operator="equal">
      <formula>"X"</formula>
    </cfRule>
    <cfRule type="cellIs" dxfId="737" priority="742" operator="equal">
      <formula>"H"</formula>
    </cfRule>
  </conditionalFormatting>
  <conditionalFormatting sqref="D193:AH193">
    <cfRule type="cellIs" dxfId="736" priority="736" operator="equal">
      <formula>"SP"</formula>
    </cfRule>
    <cfRule type="cellIs" dxfId="735" priority="737" operator="equal">
      <formula>"."</formula>
    </cfRule>
  </conditionalFormatting>
  <conditionalFormatting sqref="D195:AH195">
    <cfRule type="cellIs" dxfId="734" priority="731" operator="equal">
      <formula>"AL"</formula>
    </cfRule>
    <cfRule type="cellIs" dxfId="733" priority="732" operator="equal">
      <formula>"NA"</formula>
    </cfRule>
    <cfRule type="cellIs" dxfId="732" priority="733" operator="equal">
      <formula>"SL"</formula>
    </cfRule>
    <cfRule type="cellIs" dxfId="731" priority="734" stopIfTrue="1" operator="equal">
      <formula>"X"</formula>
    </cfRule>
    <cfRule type="cellIs" dxfId="730" priority="735" operator="equal">
      <formula>"H"</formula>
    </cfRule>
  </conditionalFormatting>
  <conditionalFormatting sqref="D195:AH195">
    <cfRule type="cellIs" dxfId="729" priority="729" operator="equal">
      <formula>"SP"</formula>
    </cfRule>
    <cfRule type="cellIs" dxfId="728" priority="730" operator="equal">
      <formula>"."</formula>
    </cfRule>
  </conditionalFormatting>
  <conditionalFormatting sqref="D182:AH182">
    <cfRule type="cellIs" dxfId="727" priority="724" operator="equal">
      <formula>"AL"</formula>
    </cfRule>
    <cfRule type="cellIs" dxfId="726" priority="725" operator="equal">
      <formula>"NA"</formula>
    </cfRule>
    <cfRule type="cellIs" dxfId="725" priority="726" operator="equal">
      <formula>"SL"</formula>
    </cfRule>
    <cfRule type="cellIs" dxfId="724" priority="727" stopIfTrue="1" operator="equal">
      <formula>"X"</formula>
    </cfRule>
    <cfRule type="cellIs" dxfId="723" priority="728" operator="equal">
      <formula>"H"</formula>
    </cfRule>
  </conditionalFormatting>
  <conditionalFormatting sqref="D182:AH182">
    <cfRule type="cellIs" dxfId="722" priority="722" operator="equal">
      <formula>"SP"</formula>
    </cfRule>
    <cfRule type="cellIs" dxfId="721" priority="723" operator="equal">
      <formula>"."</formula>
    </cfRule>
  </conditionalFormatting>
  <conditionalFormatting sqref="D184:AH184">
    <cfRule type="cellIs" dxfId="720" priority="717" operator="equal">
      <formula>"AL"</formula>
    </cfRule>
    <cfRule type="cellIs" dxfId="719" priority="718" operator="equal">
      <formula>"NA"</formula>
    </cfRule>
    <cfRule type="cellIs" dxfId="718" priority="719" operator="equal">
      <formula>"SL"</formula>
    </cfRule>
    <cfRule type="cellIs" dxfId="717" priority="720" stopIfTrue="1" operator="equal">
      <formula>"X"</formula>
    </cfRule>
    <cfRule type="cellIs" dxfId="716" priority="721" operator="equal">
      <formula>"H"</formula>
    </cfRule>
  </conditionalFormatting>
  <conditionalFormatting sqref="D184:AH184">
    <cfRule type="cellIs" dxfId="715" priority="715" operator="equal">
      <formula>"SP"</formula>
    </cfRule>
    <cfRule type="cellIs" dxfId="714" priority="716" operator="equal">
      <formula>"."</formula>
    </cfRule>
  </conditionalFormatting>
  <conditionalFormatting sqref="D186:AH186">
    <cfRule type="cellIs" dxfId="713" priority="710" operator="equal">
      <formula>"AL"</formula>
    </cfRule>
    <cfRule type="cellIs" dxfId="712" priority="711" operator="equal">
      <formula>"NA"</formula>
    </cfRule>
    <cfRule type="cellIs" dxfId="711" priority="712" operator="equal">
      <formula>"SL"</formula>
    </cfRule>
    <cfRule type="cellIs" dxfId="710" priority="713" stopIfTrue="1" operator="equal">
      <formula>"X"</formula>
    </cfRule>
    <cfRule type="cellIs" dxfId="709" priority="714" operator="equal">
      <formula>"H"</formula>
    </cfRule>
  </conditionalFormatting>
  <conditionalFormatting sqref="D186:AH186">
    <cfRule type="cellIs" dxfId="708" priority="708" operator="equal">
      <formula>"SP"</formula>
    </cfRule>
    <cfRule type="cellIs" dxfId="707" priority="709" operator="equal">
      <formula>"."</formula>
    </cfRule>
  </conditionalFormatting>
  <conditionalFormatting sqref="D188:AH188">
    <cfRule type="cellIs" dxfId="706" priority="703" operator="equal">
      <formula>"AL"</formula>
    </cfRule>
    <cfRule type="cellIs" dxfId="705" priority="704" operator="equal">
      <formula>"NA"</formula>
    </cfRule>
    <cfRule type="cellIs" dxfId="704" priority="705" operator="equal">
      <formula>"SL"</formula>
    </cfRule>
    <cfRule type="cellIs" dxfId="703" priority="706" stopIfTrue="1" operator="equal">
      <formula>"X"</formula>
    </cfRule>
    <cfRule type="cellIs" dxfId="702" priority="707" operator="equal">
      <formula>"H"</formula>
    </cfRule>
  </conditionalFormatting>
  <conditionalFormatting sqref="D188:AH188">
    <cfRule type="cellIs" dxfId="701" priority="701" operator="equal">
      <formula>"SP"</formula>
    </cfRule>
    <cfRule type="cellIs" dxfId="700" priority="702" operator="equal">
      <formula>"."</formula>
    </cfRule>
  </conditionalFormatting>
  <conditionalFormatting sqref="D190:AH190">
    <cfRule type="cellIs" dxfId="699" priority="696" operator="equal">
      <formula>"AL"</formula>
    </cfRule>
    <cfRule type="cellIs" dxfId="698" priority="697" operator="equal">
      <formula>"NA"</formula>
    </cfRule>
    <cfRule type="cellIs" dxfId="697" priority="698" operator="equal">
      <formula>"SL"</formula>
    </cfRule>
    <cfRule type="cellIs" dxfId="696" priority="699" stopIfTrue="1" operator="equal">
      <formula>"X"</formula>
    </cfRule>
    <cfRule type="cellIs" dxfId="695" priority="700" operator="equal">
      <formula>"H"</formula>
    </cfRule>
  </conditionalFormatting>
  <conditionalFormatting sqref="D190:AH190">
    <cfRule type="cellIs" dxfId="694" priority="694" operator="equal">
      <formula>"SP"</formula>
    </cfRule>
    <cfRule type="cellIs" dxfId="693" priority="695" operator="equal">
      <formula>"."</formula>
    </cfRule>
  </conditionalFormatting>
  <conditionalFormatting sqref="D192:AH192">
    <cfRule type="cellIs" dxfId="692" priority="689" operator="equal">
      <formula>"AL"</formula>
    </cfRule>
    <cfRule type="cellIs" dxfId="691" priority="690" operator="equal">
      <formula>"NA"</formula>
    </cfRule>
    <cfRule type="cellIs" dxfId="690" priority="691" operator="equal">
      <formula>"SL"</formula>
    </cfRule>
    <cfRule type="cellIs" dxfId="689" priority="692" stopIfTrue="1" operator="equal">
      <formula>"X"</formula>
    </cfRule>
    <cfRule type="cellIs" dxfId="688" priority="693" operator="equal">
      <formula>"H"</formula>
    </cfRule>
  </conditionalFormatting>
  <conditionalFormatting sqref="D192:AH192">
    <cfRule type="cellIs" dxfId="687" priority="687" operator="equal">
      <formula>"SP"</formula>
    </cfRule>
    <cfRule type="cellIs" dxfId="686" priority="688" operator="equal">
      <formula>"."</formula>
    </cfRule>
  </conditionalFormatting>
  <conditionalFormatting sqref="D194:AH194">
    <cfRule type="cellIs" dxfId="685" priority="682" operator="equal">
      <formula>"AL"</formula>
    </cfRule>
    <cfRule type="cellIs" dxfId="684" priority="683" operator="equal">
      <formula>"NA"</formula>
    </cfRule>
    <cfRule type="cellIs" dxfId="683" priority="684" operator="equal">
      <formula>"SL"</formula>
    </cfRule>
    <cfRule type="cellIs" dxfId="682" priority="685" stopIfTrue="1" operator="equal">
      <formula>"X"</formula>
    </cfRule>
    <cfRule type="cellIs" dxfId="681" priority="686" operator="equal">
      <formula>"H"</formula>
    </cfRule>
  </conditionalFormatting>
  <conditionalFormatting sqref="D194:AH194">
    <cfRule type="cellIs" dxfId="680" priority="680" operator="equal">
      <formula>"SP"</formula>
    </cfRule>
    <cfRule type="cellIs" dxfId="679" priority="681" operator="equal">
      <formula>"."</formula>
    </cfRule>
  </conditionalFormatting>
  <conditionalFormatting sqref="D196:AH196">
    <cfRule type="cellIs" dxfId="678" priority="675" operator="equal">
      <formula>"AL"</formula>
    </cfRule>
    <cfRule type="cellIs" dxfId="677" priority="676" operator="equal">
      <formula>"NA"</formula>
    </cfRule>
    <cfRule type="cellIs" dxfId="676" priority="677" operator="equal">
      <formula>"SL"</formula>
    </cfRule>
    <cfRule type="cellIs" dxfId="675" priority="678" stopIfTrue="1" operator="equal">
      <formula>"X"</formula>
    </cfRule>
    <cfRule type="cellIs" dxfId="674" priority="679" operator="equal">
      <formula>"H"</formula>
    </cfRule>
  </conditionalFormatting>
  <conditionalFormatting sqref="D196:AH196">
    <cfRule type="cellIs" dxfId="673" priority="673" operator="equal">
      <formula>"SP"</formula>
    </cfRule>
    <cfRule type="cellIs" dxfId="672" priority="674" operator="equal">
      <formula>"."</formula>
    </cfRule>
  </conditionalFormatting>
  <conditionalFormatting sqref="D212:AH212">
    <cfRule type="cellIs" dxfId="671" priority="668" operator="equal">
      <formula>"AL"</formula>
    </cfRule>
    <cfRule type="cellIs" dxfId="670" priority="669" operator="equal">
      <formula>"NA"</formula>
    </cfRule>
    <cfRule type="cellIs" dxfId="669" priority="670" operator="equal">
      <formula>"SL"</formula>
    </cfRule>
    <cfRule type="cellIs" dxfId="668" priority="671" stopIfTrue="1" operator="equal">
      <formula>"X"</formula>
    </cfRule>
    <cfRule type="cellIs" dxfId="667" priority="672" operator="equal">
      <formula>"H"</formula>
    </cfRule>
  </conditionalFormatting>
  <conditionalFormatting sqref="D212:AH212">
    <cfRule type="cellIs" dxfId="666" priority="666" operator="equal">
      <formula>"SP"</formula>
    </cfRule>
    <cfRule type="cellIs" dxfId="665" priority="667" operator="equal">
      <formula>"."</formula>
    </cfRule>
  </conditionalFormatting>
  <conditionalFormatting sqref="D214:AH214">
    <cfRule type="cellIs" dxfId="664" priority="661" operator="equal">
      <formula>"AL"</formula>
    </cfRule>
    <cfRule type="cellIs" dxfId="663" priority="662" operator="equal">
      <formula>"NA"</formula>
    </cfRule>
    <cfRule type="cellIs" dxfId="662" priority="663" operator="equal">
      <formula>"SL"</formula>
    </cfRule>
    <cfRule type="cellIs" dxfId="661" priority="664" stopIfTrue="1" operator="equal">
      <formula>"X"</formula>
    </cfRule>
    <cfRule type="cellIs" dxfId="660" priority="665" operator="equal">
      <formula>"H"</formula>
    </cfRule>
  </conditionalFormatting>
  <conditionalFormatting sqref="D214:AH214">
    <cfRule type="cellIs" dxfId="659" priority="659" operator="equal">
      <formula>"SP"</formula>
    </cfRule>
    <cfRule type="cellIs" dxfId="658" priority="660" operator="equal">
      <formula>"."</formula>
    </cfRule>
  </conditionalFormatting>
  <conditionalFormatting sqref="D216:AH216">
    <cfRule type="cellIs" dxfId="657" priority="654" operator="equal">
      <formula>"AL"</formula>
    </cfRule>
    <cfRule type="cellIs" dxfId="656" priority="655" operator="equal">
      <formula>"NA"</formula>
    </cfRule>
    <cfRule type="cellIs" dxfId="655" priority="656" operator="equal">
      <formula>"SL"</formula>
    </cfRule>
    <cfRule type="cellIs" dxfId="654" priority="657" stopIfTrue="1" operator="equal">
      <formula>"X"</formula>
    </cfRule>
    <cfRule type="cellIs" dxfId="653" priority="658" operator="equal">
      <formula>"H"</formula>
    </cfRule>
  </conditionalFormatting>
  <conditionalFormatting sqref="D216:AH216">
    <cfRule type="cellIs" dxfId="652" priority="652" operator="equal">
      <formula>"SP"</formula>
    </cfRule>
    <cfRule type="cellIs" dxfId="651" priority="653" operator="equal">
      <formula>"."</formula>
    </cfRule>
  </conditionalFormatting>
  <conditionalFormatting sqref="D218:AH218">
    <cfRule type="cellIs" dxfId="650" priority="647" operator="equal">
      <formula>"AL"</formula>
    </cfRule>
    <cfRule type="cellIs" dxfId="649" priority="648" operator="equal">
      <formula>"NA"</formula>
    </cfRule>
    <cfRule type="cellIs" dxfId="648" priority="649" operator="equal">
      <formula>"SL"</formula>
    </cfRule>
    <cfRule type="cellIs" dxfId="647" priority="650" stopIfTrue="1" operator="equal">
      <formula>"X"</formula>
    </cfRule>
    <cfRule type="cellIs" dxfId="646" priority="651" operator="equal">
      <formula>"H"</formula>
    </cfRule>
  </conditionalFormatting>
  <conditionalFormatting sqref="D218:AH218">
    <cfRule type="cellIs" dxfId="645" priority="645" operator="equal">
      <formula>"SP"</formula>
    </cfRule>
    <cfRule type="cellIs" dxfId="644" priority="646" operator="equal">
      <formula>"."</formula>
    </cfRule>
  </conditionalFormatting>
  <conditionalFormatting sqref="D220:AH220">
    <cfRule type="cellIs" dxfId="643" priority="640" operator="equal">
      <formula>"AL"</formula>
    </cfRule>
    <cfRule type="cellIs" dxfId="642" priority="641" operator="equal">
      <formula>"NA"</formula>
    </cfRule>
    <cfRule type="cellIs" dxfId="641" priority="642" operator="equal">
      <formula>"SL"</formula>
    </cfRule>
    <cfRule type="cellIs" dxfId="640" priority="643" stopIfTrue="1" operator="equal">
      <formula>"X"</formula>
    </cfRule>
    <cfRule type="cellIs" dxfId="639" priority="644" operator="equal">
      <formula>"H"</formula>
    </cfRule>
  </conditionalFormatting>
  <conditionalFormatting sqref="D220:AH220">
    <cfRule type="cellIs" dxfId="638" priority="638" operator="equal">
      <formula>"SP"</formula>
    </cfRule>
    <cfRule type="cellIs" dxfId="637" priority="639" operator="equal">
      <formula>"."</formula>
    </cfRule>
  </conditionalFormatting>
  <conditionalFormatting sqref="D222:AH222">
    <cfRule type="cellIs" dxfId="636" priority="633" operator="equal">
      <formula>"AL"</formula>
    </cfRule>
    <cfRule type="cellIs" dxfId="635" priority="634" operator="equal">
      <formula>"NA"</formula>
    </cfRule>
    <cfRule type="cellIs" dxfId="634" priority="635" operator="equal">
      <formula>"SL"</formula>
    </cfRule>
    <cfRule type="cellIs" dxfId="633" priority="636" stopIfTrue="1" operator="equal">
      <formula>"X"</formula>
    </cfRule>
    <cfRule type="cellIs" dxfId="632" priority="637" operator="equal">
      <formula>"H"</formula>
    </cfRule>
  </conditionalFormatting>
  <conditionalFormatting sqref="D222:AH222">
    <cfRule type="cellIs" dxfId="631" priority="631" operator="equal">
      <formula>"SP"</formula>
    </cfRule>
    <cfRule type="cellIs" dxfId="630" priority="632" operator="equal">
      <formula>"."</formula>
    </cfRule>
  </conditionalFormatting>
  <conditionalFormatting sqref="D224:AH224">
    <cfRule type="cellIs" dxfId="629" priority="626" operator="equal">
      <formula>"AL"</formula>
    </cfRule>
    <cfRule type="cellIs" dxfId="628" priority="627" operator="equal">
      <formula>"NA"</formula>
    </cfRule>
    <cfRule type="cellIs" dxfId="627" priority="628" operator="equal">
      <formula>"SL"</formula>
    </cfRule>
    <cfRule type="cellIs" dxfId="626" priority="629" stopIfTrue="1" operator="equal">
      <formula>"X"</formula>
    </cfRule>
    <cfRule type="cellIs" dxfId="625" priority="630" operator="equal">
      <formula>"H"</formula>
    </cfRule>
  </conditionalFormatting>
  <conditionalFormatting sqref="D224:AH224">
    <cfRule type="cellIs" dxfId="624" priority="624" operator="equal">
      <formula>"SP"</formula>
    </cfRule>
    <cfRule type="cellIs" dxfId="623" priority="625" operator="equal">
      <formula>"."</formula>
    </cfRule>
  </conditionalFormatting>
  <conditionalFormatting sqref="D226:AH226">
    <cfRule type="cellIs" dxfId="622" priority="619" operator="equal">
      <formula>"AL"</formula>
    </cfRule>
    <cfRule type="cellIs" dxfId="621" priority="620" operator="equal">
      <formula>"NA"</formula>
    </cfRule>
    <cfRule type="cellIs" dxfId="620" priority="621" operator="equal">
      <formula>"SL"</formula>
    </cfRule>
    <cfRule type="cellIs" dxfId="619" priority="622" stopIfTrue="1" operator="equal">
      <formula>"X"</formula>
    </cfRule>
    <cfRule type="cellIs" dxfId="618" priority="623" operator="equal">
      <formula>"H"</formula>
    </cfRule>
  </conditionalFormatting>
  <conditionalFormatting sqref="D226:AH226">
    <cfRule type="cellIs" dxfId="617" priority="617" operator="equal">
      <formula>"SP"</formula>
    </cfRule>
    <cfRule type="cellIs" dxfId="616" priority="618" operator="equal">
      <formula>"."</formula>
    </cfRule>
  </conditionalFormatting>
  <conditionalFormatting sqref="D213:AH213">
    <cfRule type="cellIs" dxfId="615" priority="612" operator="equal">
      <formula>"AL"</formula>
    </cfRule>
    <cfRule type="cellIs" dxfId="614" priority="613" operator="equal">
      <formula>"NA"</formula>
    </cfRule>
    <cfRule type="cellIs" dxfId="613" priority="614" operator="equal">
      <formula>"SL"</formula>
    </cfRule>
    <cfRule type="cellIs" dxfId="612" priority="615" stopIfTrue="1" operator="equal">
      <formula>"X"</formula>
    </cfRule>
    <cfRule type="cellIs" dxfId="611" priority="616" operator="equal">
      <formula>"H"</formula>
    </cfRule>
  </conditionalFormatting>
  <conditionalFormatting sqref="D213:AH213">
    <cfRule type="cellIs" dxfId="610" priority="610" operator="equal">
      <formula>"SP"</formula>
    </cfRule>
    <cfRule type="cellIs" dxfId="609" priority="611" operator="equal">
      <formula>"."</formula>
    </cfRule>
  </conditionalFormatting>
  <conditionalFormatting sqref="D215:AH215">
    <cfRule type="cellIs" dxfId="608" priority="605" operator="equal">
      <formula>"AL"</formula>
    </cfRule>
    <cfRule type="cellIs" dxfId="607" priority="606" operator="equal">
      <formula>"NA"</formula>
    </cfRule>
    <cfRule type="cellIs" dxfId="606" priority="607" operator="equal">
      <formula>"SL"</formula>
    </cfRule>
    <cfRule type="cellIs" dxfId="605" priority="608" stopIfTrue="1" operator="equal">
      <formula>"X"</formula>
    </cfRule>
    <cfRule type="cellIs" dxfId="604" priority="609" operator="equal">
      <formula>"H"</formula>
    </cfRule>
  </conditionalFormatting>
  <conditionalFormatting sqref="D215:AH215">
    <cfRule type="cellIs" dxfId="603" priority="603" operator="equal">
      <formula>"SP"</formula>
    </cfRule>
    <cfRule type="cellIs" dxfId="602" priority="604" operator="equal">
      <formula>"."</formula>
    </cfRule>
  </conditionalFormatting>
  <conditionalFormatting sqref="D217:AH217">
    <cfRule type="cellIs" dxfId="601" priority="598" operator="equal">
      <formula>"AL"</formula>
    </cfRule>
    <cfRule type="cellIs" dxfId="600" priority="599" operator="equal">
      <formula>"NA"</formula>
    </cfRule>
    <cfRule type="cellIs" dxfId="599" priority="600" operator="equal">
      <formula>"SL"</formula>
    </cfRule>
    <cfRule type="cellIs" dxfId="598" priority="601" stopIfTrue="1" operator="equal">
      <formula>"X"</formula>
    </cfRule>
    <cfRule type="cellIs" dxfId="597" priority="602" operator="equal">
      <formula>"H"</formula>
    </cfRule>
  </conditionalFormatting>
  <conditionalFormatting sqref="D217:AH217">
    <cfRule type="cellIs" dxfId="596" priority="596" operator="equal">
      <formula>"SP"</formula>
    </cfRule>
    <cfRule type="cellIs" dxfId="595" priority="597" operator="equal">
      <formula>"."</formula>
    </cfRule>
  </conditionalFormatting>
  <conditionalFormatting sqref="D219:AH219">
    <cfRule type="cellIs" dxfId="594" priority="591" operator="equal">
      <formula>"AL"</formula>
    </cfRule>
    <cfRule type="cellIs" dxfId="593" priority="592" operator="equal">
      <formula>"NA"</formula>
    </cfRule>
    <cfRule type="cellIs" dxfId="592" priority="593" operator="equal">
      <formula>"SL"</formula>
    </cfRule>
    <cfRule type="cellIs" dxfId="591" priority="594" stopIfTrue="1" operator="equal">
      <formula>"X"</formula>
    </cfRule>
    <cfRule type="cellIs" dxfId="590" priority="595" operator="equal">
      <formula>"H"</formula>
    </cfRule>
  </conditionalFormatting>
  <conditionalFormatting sqref="D219:AH219">
    <cfRule type="cellIs" dxfId="589" priority="589" operator="equal">
      <formula>"SP"</formula>
    </cfRule>
    <cfRule type="cellIs" dxfId="588" priority="590" operator="equal">
      <formula>"."</formula>
    </cfRule>
  </conditionalFormatting>
  <conditionalFormatting sqref="D221:AH221">
    <cfRule type="cellIs" dxfId="587" priority="584" operator="equal">
      <formula>"AL"</formula>
    </cfRule>
    <cfRule type="cellIs" dxfId="586" priority="585" operator="equal">
      <formula>"NA"</formula>
    </cfRule>
    <cfRule type="cellIs" dxfId="585" priority="586" operator="equal">
      <formula>"SL"</formula>
    </cfRule>
    <cfRule type="cellIs" dxfId="584" priority="587" stopIfTrue="1" operator="equal">
      <formula>"X"</formula>
    </cfRule>
    <cfRule type="cellIs" dxfId="583" priority="588" operator="equal">
      <formula>"H"</formula>
    </cfRule>
  </conditionalFormatting>
  <conditionalFormatting sqref="D221:AH221">
    <cfRule type="cellIs" dxfId="582" priority="582" operator="equal">
      <formula>"SP"</formula>
    </cfRule>
    <cfRule type="cellIs" dxfId="581" priority="583" operator="equal">
      <formula>"."</formula>
    </cfRule>
  </conditionalFormatting>
  <conditionalFormatting sqref="D223:AH223">
    <cfRule type="cellIs" dxfId="580" priority="577" operator="equal">
      <formula>"AL"</formula>
    </cfRule>
    <cfRule type="cellIs" dxfId="579" priority="578" operator="equal">
      <formula>"NA"</formula>
    </cfRule>
    <cfRule type="cellIs" dxfId="578" priority="579" operator="equal">
      <formula>"SL"</formula>
    </cfRule>
    <cfRule type="cellIs" dxfId="577" priority="580" stopIfTrue="1" operator="equal">
      <formula>"X"</formula>
    </cfRule>
    <cfRule type="cellIs" dxfId="576" priority="581" operator="equal">
      <formula>"H"</formula>
    </cfRule>
  </conditionalFormatting>
  <conditionalFormatting sqref="D223:AH223">
    <cfRule type="cellIs" dxfId="575" priority="575" operator="equal">
      <formula>"SP"</formula>
    </cfRule>
    <cfRule type="cellIs" dxfId="574" priority="576" operator="equal">
      <formula>"."</formula>
    </cfRule>
  </conditionalFormatting>
  <conditionalFormatting sqref="D225:AH225">
    <cfRule type="cellIs" dxfId="573" priority="570" operator="equal">
      <formula>"AL"</formula>
    </cfRule>
    <cfRule type="cellIs" dxfId="572" priority="571" operator="equal">
      <formula>"NA"</formula>
    </cfRule>
    <cfRule type="cellIs" dxfId="571" priority="572" operator="equal">
      <formula>"SL"</formula>
    </cfRule>
    <cfRule type="cellIs" dxfId="570" priority="573" stopIfTrue="1" operator="equal">
      <formula>"X"</formula>
    </cfRule>
    <cfRule type="cellIs" dxfId="569" priority="574" operator="equal">
      <formula>"H"</formula>
    </cfRule>
  </conditionalFormatting>
  <conditionalFormatting sqref="D225:AH225">
    <cfRule type="cellIs" dxfId="568" priority="568" operator="equal">
      <formula>"SP"</formula>
    </cfRule>
    <cfRule type="cellIs" dxfId="567" priority="569" operator="equal">
      <formula>"."</formula>
    </cfRule>
  </conditionalFormatting>
  <conditionalFormatting sqref="D227:AH227">
    <cfRule type="cellIs" dxfId="566" priority="563" operator="equal">
      <formula>"AL"</formula>
    </cfRule>
    <cfRule type="cellIs" dxfId="565" priority="564" operator="equal">
      <formula>"NA"</formula>
    </cfRule>
    <cfRule type="cellIs" dxfId="564" priority="565" operator="equal">
      <formula>"SL"</formula>
    </cfRule>
    <cfRule type="cellIs" dxfId="563" priority="566" stopIfTrue="1" operator="equal">
      <formula>"X"</formula>
    </cfRule>
    <cfRule type="cellIs" dxfId="562" priority="567" operator="equal">
      <formula>"H"</formula>
    </cfRule>
  </conditionalFormatting>
  <conditionalFormatting sqref="D227:AH227">
    <cfRule type="cellIs" dxfId="561" priority="561" operator="equal">
      <formula>"SP"</formula>
    </cfRule>
    <cfRule type="cellIs" dxfId="560" priority="562" operator="equal">
      <formula>"."</formula>
    </cfRule>
  </conditionalFormatting>
  <conditionalFormatting sqref="D243:AF243">
    <cfRule type="cellIs" dxfId="559" priority="556" operator="equal">
      <formula>"AL"</formula>
    </cfRule>
    <cfRule type="cellIs" dxfId="558" priority="557" operator="equal">
      <formula>"NA"</formula>
    </cfRule>
    <cfRule type="cellIs" dxfId="557" priority="558" operator="equal">
      <formula>"SL"</formula>
    </cfRule>
    <cfRule type="cellIs" dxfId="556" priority="559" stopIfTrue="1" operator="equal">
      <formula>"X"</formula>
    </cfRule>
    <cfRule type="cellIs" dxfId="555" priority="560" operator="equal">
      <formula>"H"</formula>
    </cfRule>
  </conditionalFormatting>
  <conditionalFormatting sqref="D243:AF243">
    <cfRule type="cellIs" dxfId="554" priority="554" operator="equal">
      <formula>"SP"</formula>
    </cfRule>
    <cfRule type="cellIs" dxfId="553" priority="555" operator="equal">
      <formula>"."</formula>
    </cfRule>
  </conditionalFormatting>
  <conditionalFormatting sqref="D245:AF245">
    <cfRule type="cellIs" dxfId="552" priority="549" operator="equal">
      <formula>"AL"</formula>
    </cfRule>
    <cfRule type="cellIs" dxfId="551" priority="550" operator="equal">
      <formula>"NA"</formula>
    </cfRule>
    <cfRule type="cellIs" dxfId="550" priority="551" operator="equal">
      <formula>"SL"</formula>
    </cfRule>
    <cfRule type="cellIs" dxfId="549" priority="552" stopIfTrue="1" operator="equal">
      <formula>"X"</formula>
    </cfRule>
    <cfRule type="cellIs" dxfId="548" priority="553" operator="equal">
      <formula>"H"</formula>
    </cfRule>
  </conditionalFormatting>
  <conditionalFormatting sqref="D245:AF245">
    <cfRule type="cellIs" dxfId="547" priority="547" operator="equal">
      <formula>"SP"</formula>
    </cfRule>
    <cfRule type="cellIs" dxfId="546" priority="548" operator="equal">
      <formula>"."</formula>
    </cfRule>
  </conditionalFormatting>
  <conditionalFormatting sqref="D247:AF247">
    <cfRule type="cellIs" dxfId="545" priority="542" operator="equal">
      <formula>"AL"</formula>
    </cfRule>
    <cfRule type="cellIs" dxfId="544" priority="543" operator="equal">
      <formula>"NA"</formula>
    </cfRule>
    <cfRule type="cellIs" dxfId="543" priority="544" operator="equal">
      <formula>"SL"</formula>
    </cfRule>
    <cfRule type="cellIs" dxfId="542" priority="545" stopIfTrue="1" operator="equal">
      <formula>"X"</formula>
    </cfRule>
    <cfRule type="cellIs" dxfId="541" priority="546" operator="equal">
      <formula>"H"</formula>
    </cfRule>
  </conditionalFormatting>
  <conditionalFormatting sqref="D247:AF247">
    <cfRule type="cellIs" dxfId="540" priority="540" operator="equal">
      <formula>"SP"</formula>
    </cfRule>
    <cfRule type="cellIs" dxfId="539" priority="541" operator="equal">
      <formula>"."</formula>
    </cfRule>
  </conditionalFormatting>
  <conditionalFormatting sqref="D249:AF249">
    <cfRule type="cellIs" dxfId="538" priority="535" operator="equal">
      <formula>"AL"</formula>
    </cfRule>
    <cfRule type="cellIs" dxfId="537" priority="536" operator="equal">
      <formula>"NA"</formula>
    </cfRule>
    <cfRule type="cellIs" dxfId="536" priority="537" operator="equal">
      <formula>"SL"</formula>
    </cfRule>
    <cfRule type="cellIs" dxfId="535" priority="538" stopIfTrue="1" operator="equal">
      <formula>"X"</formula>
    </cfRule>
    <cfRule type="cellIs" dxfId="534" priority="539" operator="equal">
      <formula>"H"</formula>
    </cfRule>
  </conditionalFormatting>
  <conditionalFormatting sqref="D249:AF249">
    <cfRule type="cellIs" dxfId="533" priority="533" operator="equal">
      <formula>"SP"</formula>
    </cfRule>
    <cfRule type="cellIs" dxfId="532" priority="534" operator="equal">
      <formula>"."</formula>
    </cfRule>
  </conditionalFormatting>
  <conditionalFormatting sqref="D251:AF251">
    <cfRule type="cellIs" dxfId="531" priority="528" operator="equal">
      <formula>"AL"</formula>
    </cfRule>
    <cfRule type="cellIs" dxfId="530" priority="529" operator="equal">
      <formula>"NA"</formula>
    </cfRule>
    <cfRule type="cellIs" dxfId="529" priority="530" operator="equal">
      <formula>"SL"</formula>
    </cfRule>
    <cfRule type="cellIs" dxfId="528" priority="531" stopIfTrue="1" operator="equal">
      <formula>"X"</formula>
    </cfRule>
    <cfRule type="cellIs" dxfId="527" priority="532" operator="equal">
      <formula>"H"</formula>
    </cfRule>
  </conditionalFormatting>
  <conditionalFormatting sqref="D251:AF251">
    <cfRule type="cellIs" dxfId="526" priority="526" operator="equal">
      <formula>"SP"</formula>
    </cfRule>
    <cfRule type="cellIs" dxfId="525" priority="527" operator="equal">
      <formula>"."</formula>
    </cfRule>
  </conditionalFormatting>
  <conditionalFormatting sqref="D253:AF253">
    <cfRule type="cellIs" dxfId="524" priority="521" operator="equal">
      <formula>"AL"</formula>
    </cfRule>
    <cfRule type="cellIs" dxfId="523" priority="522" operator="equal">
      <formula>"NA"</formula>
    </cfRule>
    <cfRule type="cellIs" dxfId="522" priority="523" operator="equal">
      <formula>"SL"</formula>
    </cfRule>
    <cfRule type="cellIs" dxfId="521" priority="524" stopIfTrue="1" operator="equal">
      <formula>"X"</formula>
    </cfRule>
    <cfRule type="cellIs" dxfId="520" priority="525" operator="equal">
      <formula>"H"</formula>
    </cfRule>
  </conditionalFormatting>
  <conditionalFormatting sqref="D253:AF253">
    <cfRule type="cellIs" dxfId="519" priority="519" operator="equal">
      <formula>"SP"</formula>
    </cfRule>
    <cfRule type="cellIs" dxfId="518" priority="520" operator="equal">
      <formula>"."</formula>
    </cfRule>
  </conditionalFormatting>
  <conditionalFormatting sqref="D255:AF255">
    <cfRule type="cellIs" dxfId="517" priority="514" operator="equal">
      <formula>"AL"</formula>
    </cfRule>
    <cfRule type="cellIs" dxfId="516" priority="515" operator="equal">
      <formula>"NA"</formula>
    </cfRule>
    <cfRule type="cellIs" dxfId="515" priority="516" operator="equal">
      <formula>"SL"</formula>
    </cfRule>
    <cfRule type="cellIs" dxfId="514" priority="517" stopIfTrue="1" operator="equal">
      <formula>"X"</formula>
    </cfRule>
    <cfRule type="cellIs" dxfId="513" priority="518" operator="equal">
      <formula>"H"</formula>
    </cfRule>
  </conditionalFormatting>
  <conditionalFormatting sqref="D255:AF255">
    <cfRule type="cellIs" dxfId="512" priority="512" operator="equal">
      <formula>"SP"</formula>
    </cfRule>
    <cfRule type="cellIs" dxfId="511" priority="513" operator="equal">
      <formula>"."</formula>
    </cfRule>
  </conditionalFormatting>
  <conditionalFormatting sqref="D257:AF257">
    <cfRule type="cellIs" dxfId="510" priority="507" operator="equal">
      <formula>"AL"</formula>
    </cfRule>
    <cfRule type="cellIs" dxfId="509" priority="508" operator="equal">
      <formula>"NA"</formula>
    </cfRule>
    <cfRule type="cellIs" dxfId="508" priority="509" operator="equal">
      <formula>"SL"</formula>
    </cfRule>
    <cfRule type="cellIs" dxfId="507" priority="510" stopIfTrue="1" operator="equal">
      <formula>"X"</formula>
    </cfRule>
    <cfRule type="cellIs" dxfId="506" priority="511" operator="equal">
      <formula>"H"</formula>
    </cfRule>
  </conditionalFormatting>
  <conditionalFormatting sqref="D257:AF257">
    <cfRule type="cellIs" dxfId="505" priority="505" operator="equal">
      <formula>"SP"</formula>
    </cfRule>
    <cfRule type="cellIs" dxfId="504" priority="506" operator="equal">
      <formula>"."</formula>
    </cfRule>
  </conditionalFormatting>
  <conditionalFormatting sqref="D244:AF244">
    <cfRule type="cellIs" dxfId="503" priority="500" operator="equal">
      <formula>"AL"</formula>
    </cfRule>
    <cfRule type="cellIs" dxfId="502" priority="501" operator="equal">
      <formula>"NA"</formula>
    </cfRule>
    <cfRule type="cellIs" dxfId="501" priority="502" operator="equal">
      <formula>"SL"</formula>
    </cfRule>
    <cfRule type="cellIs" dxfId="500" priority="503" stopIfTrue="1" operator="equal">
      <formula>"X"</formula>
    </cfRule>
    <cfRule type="cellIs" dxfId="499" priority="504" operator="equal">
      <formula>"H"</formula>
    </cfRule>
  </conditionalFormatting>
  <conditionalFormatting sqref="D244:AF244">
    <cfRule type="cellIs" dxfId="498" priority="498" operator="equal">
      <formula>"SP"</formula>
    </cfRule>
    <cfRule type="cellIs" dxfId="497" priority="499" operator="equal">
      <formula>"."</formula>
    </cfRule>
  </conditionalFormatting>
  <conditionalFormatting sqref="D246:AF246">
    <cfRule type="cellIs" dxfId="496" priority="493" operator="equal">
      <formula>"AL"</formula>
    </cfRule>
    <cfRule type="cellIs" dxfId="495" priority="494" operator="equal">
      <formula>"NA"</formula>
    </cfRule>
    <cfRule type="cellIs" dxfId="494" priority="495" operator="equal">
      <formula>"SL"</formula>
    </cfRule>
    <cfRule type="cellIs" dxfId="493" priority="496" stopIfTrue="1" operator="equal">
      <formula>"X"</formula>
    </cfRule>
    <cfRule type="cellIs" dxfId="492" priority="497" operator="equal">
      <formula>"H"</formula>
    </cfRule>
  </conditionalFormatting>
  <conditionalFormatting sqref="D246:AF246">
    <cfRule type="cellIs" dxfId="491" priority="491" operator="equal">
      <formula>"SP"</formula>
    </cfRule>
    <cfRule type="cellIs" dxfId="490" priority="492" operator="equal">
      <formula>"."</formula>
    </cfRule>
  </conditionalFormatting>
  <conditionalFormatting sqref="D248:AF248">
    <cfRule type="cellIs" dxfId="489" priority="486" operator="equal">
      <formula>"AL"</formula>
    </cfRule>
    <cfRule type="cellIs" dxfId="488" priority="487" operator="equal">
      <formula>"NA"</formula>
    </cfRule>
    <cfRule type="cellIs" dxfId="487" priority="488" operator="equal">
      <formula>"SL"</formula>
    </cfRule>
    <cfRule type="cellIs" dxfId="486" priority="489" stopIfTrue="1" operator="equal">
      <formula>"X"</formula>
    </cfRule>
    <cfRule type="cellIs" dxfId="485" priority="490" operator="equal">
      <formula>"H"</formula>
    </cfRule>
  </conditionalFormatting>
  <conditionalFormatting sqref="D248:AF248">
    <cfRule type="cellIs" dxfId="484" priority="484" operator="equal">
      <formula>"SP"</formula>
    </cfRule>
    <cfRule type="cellIs" dxfId="483" priority="485" operator="equal">
      <formula>"."</formula>
    </cfRule>
  </conditionalFormatting>
  <conditionalFormatting sqref="D250:AF250">
    <cfRule type="cellIs" dxfId="482" priority="479" operator="equal">
      <formula>"AL"</formula>
    </cfRule>
    <cfRule type="cellIs" dxfId="481" priority="480" operator="equal">
      <formula>"NA"</formula>
    </cfRule>
    <cfRule type="cellIs" dxfId="480" priority="481" operator="equal">
      <formula>"SL"</formula>
    </cfRule>
    <cfRule type="cellIs" dxfId="479" priority="482" stopIfTrue="1" operator="equal">
      <formula>"X"</formula>
    </cfRule>
    <cfRule type="cellIs" dxfId="478" priority="483" operator="equal">
      <formula>"H"</formula>
    </cfRule>
  </conditionalFormatting>
  <conditionalFormatting sqref="D250:AF250">
    <cfRule type="cellIs" dxfId="477" priority="477" operator="equal">
      <formula>"SP"</formula>
    </cfRule>
    <cfRule type="cellIs" dxfId="476" priority="478" operator="equal">
      <formula>"."</formula>
    </cfRule>
  </conditionalFormatting>
  <conditionalFormatting sqref="D252:AF252">
    <cfRule type="cellIs" dxfId="475" priority="472" operator="equal">
      <formula>"AL"</formula>
    </cfRule>
    <cfRule type="cellIs" dxfId="474" priority="473" operator="equal">
      <formula>"NA"</formula>
    </cfRule>
    <cfRule type="cellIs" dxfId="473" priority="474" operator="equal">
      <formula>"SL"</formula>
    </cfRule>
    <cfRule type="cellIs" dxfId="472" priority="475" stopIfTrue="1" operator="equal">
      <formula>"X"</formula>
    </cfRule>
    <cfRule type="cellIs" dxfId="471" priority="476" operator="equal">
      <formula>"H"</formula>
    </cfRule>
  </conditionalFormatting>
  <conditionalFormatting sqref="D252:AF252">
    <cfRule type="cellIs" dxfId="470" priority="470" operator="equal">
      <formula>"SP"</formula>
    </cfRule>
    <cfRule type="cellIs" dxfId="469" priority="471" operator="equal">
      <formula>"."</formula>
    </cfRule>
  </conditionalFormatting>
  <conditionalFormatting sqref="D254:AF254">
    <cfRule type="cellIs" dxfId="468" priority="465" operator="equal">
      <formula>"AL"</formula>
    </cfRule>
    <cfRule type="cellIs" dxfId="467" priority="466" operator="equal">
      <formula>"NA"</formula>
    </cfRule>
    <cfRule type="cellIs" dxfId="466" priority="467" operator="equal">
      <formula>"SL"</formula>
    </cfRule>
    <cfRule type="cellIs" dxfId="465" priority="468" stopIfTrue="1" operator="equal">
      <formula>"X"</formula>
    </cfRule>
    <cfRule type="cellIs" dxfId="464" priority="469" operator="equal">
      <formula>"H"</formula>
    </cfRule>
  </conditionalFormatting>
  <conditionalFormatting sqref="D254:AF254">
    <cfRule type="cellIs" dxfId="463" priority="463" operator="equal">
      <formula>"SP"</formula>
    </cfRule>
    <cfRule type="cellIs" dxfId="462" priority="464" operator="equal">
      <formula>"."</formula>
    </cfRule>
  </conditionalFormatting>
  <conditionalFormatting sqref="D256:AF256">
    <cfRule type="cellIs" dxfId="461" priority="458" operator="equal">
      <formula>"AL"</formula>
    </cfRule>
    <cfRule type="cellIs" dxfId="460" priority="459" operator="equal">
      <formula>"NA"</formula>
    </cfRule>
    <cfRule type="cellIs" dxfId="459" priority="460" operator="equal">
      <formula>"SL"</formula>
    </cfRule>
    <cfRule type="cellIs" dxfId="458" priority="461" stopIfTrue="1" operator="equal">
      <formula>"X"</formula>
    </cfRule>
    <cfRule type="cellIs" dxfId="457" priority="462" operator="equal">
      <formula>"H"</formula>
    </cfRule>
  </conditionalFormatting>
  <conditionalFormatting sqref="D256:AF256">
    <cfRule type="cellIs" dxfId="456" priority="456" operator="equal">
      <formula>"SP"</formula>
    </cfRule>
    <cfRule type="cellIs" dxfId="455" priority="457" operator="equal">
      <formula>"."</formula>
    </cfRule>
  </conditionalFormatting>
  <conditionalFormatting sqref="D258:AF259">
    <cfRule type="cellIs" dxfId="454" priority="451" operator="equal">
      <formula>"AL"</formula>
    </cfRule>
    <cfRule type="cellIs" dxfId="453" priority="452" operator="equal">
      <formula>"NA"</formula>
    </cfRule>
    <cfRule type="cellIs" dxfId="452" priority="453" operator="equal">
      <formula>"SL"</formula>
    </cfRule>
    <cfRule type="cellIs" dxfId="451" priority="454" stopIfTrue="1" operator="equal">
      <formula>"X"</formula>
    </cfRule>
    <cfRule type="cellIs" dxfId="450" priority="455" operator="equal">
      <formula>"H"</formula>
    </cfRule>
  </conditionalFormatting>
  <conditionalFormatting sqref="D258:AF259">
    <cfRule type="cellIs" dxfId="449" priority="449" operator="equal">
      <formula>"SP"</formula>
    </cfRule>
    <cfRule type="cellIs" dxfId="448" priority="450" operator="equal">
      <formula>"."</formula>
    </cfRule>
  </conditionalFormatting>
  <conditionalFormatting sqref="D274:AH274">
    <cfRule type="cellIs" dxfId="447" priority="444" operator="equal">
      <formula>"AL"</formula>
    </cfRule>
    <cfRule type="cellIs" dxfId="446" priority="445" operator="equal">
      <formula>"NA"</formula>
    </cfRule>
    <cfRule type="cellIs" dxfId="445" priority="446" operator="equal">
      <formula>"SL"</formula>
    </cfRule>
    <cfRule type="cellIs" dxfId="444" priority="447" stopIfTrue="1" operator="equal">
      <formula>"X"</formula>
    </cfRule>
    <cfRule type="cellIs" dxfId="443" priority="448" operator="equal">
      <formula>"H"</formula>
    </cfRule>
  </conditionalFormatting>
  <conditionalFormatting sqref="D274:AH274">
    <cfRule type="cellIs" dxfId="442" priority="442" operator="equal">
      <formula>"SP"</formula>
    </cfRule>
    <cfRule type="cellIs" dxfId="441" priority="443" operator="equal">
      <formula>"."</formula>
    </cfRule>
  </conditionalFormatting>
  <conditionalFormatting sqref="D276:AH276">
    <cfRule type="cellIs" dxfId="440" priority="437" operator="equal">
      <formula>"AL"</formula>
    </cfRule>
    <cfRule type="cellIs" dxfId="439" priority="438" operator="equal">
      <formula>"NA"</formula>
    </cfRule>
    <cfRule type="cellIs" dxfId="438" priority="439" operator="equal">
      <formula>"SL"</formula>
    </cfRule>
    <cfRule type="cellIs" dxfId="437" priority="440" stopIfTrue="1" operator="equal">
      <formula>"X"</formula>
    </cfRule>
    <cfRule type="cellIs" dxfId="436" priority="441" operator="equal">
      <formula>"H"</formula>
    </cfRule>
  </conditionalFormatting>
  <conditionalFormatting sqref="D276:AH276">
    <cfRule type="cellIs" dxfId="435" priority="435" operator="equal">
      <formula>"SP"</formula>
    </cfRule>
    <cfRule type="cellIs" dxfId="434" priority="436" operator="equal">
      <formula>"."</formula>
    </cfRule>
  </conditionalFormatting>
  <conditionalFormatting sqref="D278:AH278">
    <cfRule type="cellIs" dxfId="433" priority="430" operator="equal">
      <formula>"AL"</formula>
    </cfRule>
    <cfRule type="cellIs" dxfId="432" priority="431" operator="equal">
      <formula>"NA"</formula>
    </cfRule>
    <cfRule type="cellIs" dxfId="431" priority="432" operator="equal">
      <formula>"SL"</formula>
    </cfRule>
    <cfRule type="cellIs" dxfId="430" priority="433" stopIfTrue="1" operator="equal">
      <formula>"X"</formula>
    </cfRule>
    <cfRule type="cellIs" dxfId="429" priority="434" operator="equal">
      <formula>"H"</formula>
    </cfRule>
  </conditionalFormatting>
  <conditionalFormatting sqref="D278:AH278">
    <cfRule type="cellIs" dxfId="428" priority="428" operator="equal">
      <formula>"SP"</formula>
    </cfRule>
    <cfRule type="cellIs" dxfId="427" priority="429" operator="equal">
      <formula>"."</formula>
    </cfRule>
  </conditionalFormatting>
  <conditionalFormatting sqref="D280:AH280">
    <cfRule type="cellIs" dxfId="426" priority="423" operator="equal">
      <formula>"AL"</formula>
    </cfRule>
    <cfRule type="cellIs" dxfId="425" priority="424" operator="equal">
      <formula>"NA"</formula>
    </cfRule>
    <cfRule type="cellIs" dxfId="424" priority="425" operator="equal">
      <formula>"SL"</formula>
    </cfRule>
    <cfRule type="cellIs" dxfId="423" priority="426" stopIfTrue="1" operator="equal">
      <formula>"X"</formula>
    </cfRule>
    <cfRule type="cellIs" dxfId="422" priority="427" operator="equal">
      <formula>"H"</formula>
    </cfRule>
  </conditionalFormatting>
  <conditionalFormatting sqref="D280:AH280">
    <cfRule type="cellIs" dxfId="421" priority="421" operator="equal">
      <formula>"SP"</formula>
    </cfRule>
    <cfRule type="cellIs" dxfId="420" priority="422" operator="equal">
      <formula>"."</formula>
    </cfRule>
  </conditionalFormatting>
  <conditionalFormatting sqref="D282:AH282">
    <cfRule type="cellIs" dxfId="419" priority="416" operator="equal">
      <formula>"AL"</formula>
    </cfRule>
    <cfRule type="cellIs" dxfId="418" priority="417" operator="equal">
      <formula>"NA"</formula>
    </cfRule>
    <cfRule type="cellIs" dxfId="417" priority="418" operator="equal">
      <formula>"SL"</formula>
    </cfRule>
    <cfRule type="cellIs" dxfId="416" priority="419" stopIfTrue="1" operator="equal">
      <formula>"X"</formula>
    </cfRule>
    <cfRule type="cellIs" dxfId="415" priority="420" operator="equal">
      <formula>"H"</formula>
    </cfRule>
  </conditionalFormatting>
  <conditionalFormatting sqref="D282:AH282">
    <cfRule type="cellIs" dxfId="414" priority="414" operator="equal">
      <formula>"SP"</formula>
    </cfRule>
    <cfRule type="cellIs" dxfId="413" priority="415" operator="equal">
      <formula>"."</formula>
    </cfRule>
  </conditionalFormatting>
  <conditionalFormatting sqref="D284:AH284">
    <cfRule type="cellIs" dxfId="412" priority="409" operator="equal">
      <formula>"AL"</formula>
    </cfRule>
    <cfRule type="cellIs" dxfId="411" priority="410" operator="equal">
      <formula>"NA"</formula>
    </cfRule>
    <cfRule type="cellIs" dxfId="410" priority="411" operator="equal">
      <formula>"SL"</formula>
    </cfRule>
    <cfRule type="cellIs" dxfId="409" priority="412" stopIfTrue="1" operator="equal">
      <formula>"X"</formula>
    </cfRule>
    <cfRule type="cellIs" dxfId="408" priority="413" operator="equal">
      <formula>"H"</formula>
    </cfRule>
  </conditionalFormatting>
  <conditionalFormatting sqref="D284:AH284">
    <cfRule type="cellIs" dxfId="407" priority="407" operator="equal">
      <formula>"SP"</formula>
    </cfRule>
    <cfRule type="cellIs" dxfId="406" priority="408" operator="equal">
      <formula>"."</formula>
    </cfRule>
  </conditionalFormatting>
  <conditionalFormatting sqref="D286:AH286">
    <cfRule type="cellIs" dxfId="405" priority="402" operator="equal">
      <formula>"AL"</formula>
    </cfRule>
    <cfRule type="cellIs" dxfId="404" priority="403" operator="equal">
      <formula>"NA"</formula>
    </cfRule>
    <cfRule type="cellIs" dxfId="403" priority="404" operator="equal">
      <formula>"SL"</formula>
    </cfRule>
    <cfRule type="cellIs" dxfId="402" priority="405" stopIfTrue="1" operator="equal">
      <formula>"X"</formula>
    </cfRule>
    <cfRule type="cellIs" dxfId="401" priority="406" operator="equal">
      <formula>"H"</formula>
    </cfRule>
  </conditionalFormatting>
  <conditionalFormatting sqref="D286:AH286">
    <cfRule type="cellIs" dxfId="400" priority="400" operator="equal">
      <formula>"SP"</formula>
    </cfRule>
    <cfRule type="cellIs" dxfId="399" priority="401" operator="equal">
      <formula>"."</formula>
    </cfRule>
  </conditionalFormatting>
  <conditionalFormatting sqref="D288:AH288">
    <cfRule type="cellIs" dxfId="398" priority="395" operator="equal">
      <formula>"AL"</formula>
    </cfRule>
    <cfRule type="cellIs" dxfId="397" priority="396" operator="equal">
      <formula>"NA"</formula>
    </cfRule>
    <cfRule type="cellIs" dxfId="396" priority="397" operator="equal">
      <formula>"SL"</formula>
    </cfRule>
    <cfRule type="cellIs" dxfId="395" priority="398" stopIfTrue="1" operator="equal">
      <formula>"X"</formula>
    </cfRule>
    <cfRule type="cellIs" dxfId="394" priority="399" operator="equal">
      <formula>"H"</formula>
    </cfRule>
  </conditionalFormatting>
  <conditionalFormatting sqref="D288:AH288">
    <cfRule type="cellIs" dxfId="393" priority="393" operator="equal">
      <formula>"SP"</formula>
    </cfRule>
    <cfRule type="cellIs" dxfId="392" priority="394" operator="equal">
      <formula>"."</formula>
    </cfRule>
  </conditionalFormatting>
  <conditionalFormatting sqref="D275:AH275">
    <cfRule type="cellIs" dxfId="391" priority="388" operator="equal">
      <formula>"AL"</formula>
    </cfRule>
    <cfRule type="cellIs" dxfId="390" priority="389" operator="equal">
      <formula>"NA"</formula>
    </cfRule>
    <cfRule type="cellIs" dxfId="389" priority="390" operator="equal">
      <formula>"SL"</formula>
    </cfRule>
    <cfRule type="cellIs" dxfId="388" priority="391" stopIfTrue="1" operator="equal">
      <formula>"X"</formula>
    </cfRule>
    <cfRule type="cellIs" dxfId="387" priority="392" operator="equal">
      <formula>"H"</formula>
    </cfRule>
  </conditionalFormatting>
  <conditionalFormatting sqref="D275:AH275">
    <cfRule type="cellIs" dxfId="386" priority="386" operator="equal">
      <formula>"SP"</formula>
    </cfRule>
    <cfRule type="cellIs" dxfId="385" priority="387" operator="equal">
      <formula>"."</formula>
    </cfRule>
  </conditionalFormatting>
  <conditionalFormatting sqref="D277:AH277">
    <cfRule type="cellIs" dxfId="384" priority="381" operator="equal">
      <formula>"AL"</formula>
    </cfRule>
    <cfRule type="cellIs" dxfId="383" priority="382" operator="equal">
      <formula>"NA"</formula>
    </cfRule>
    <cfRule type="cellIs" dxfId="382" priority="383" operator="equal">
      <formula>"SL"</formula>
    </cfRule>
    <cfRule type="cellIs" dxfId="381" priority="384" stopIfTrue="1" operator="equal">
      <formula>"X"</formula>
    </cfRule>
    <cfRule type="cellIs" dxfId="380" priority="385" operator="equal">
      <formula>"H"</formula>
    </cfRule>
  </conditionalFormatting>
  <conditionalFormatting sqref="D277:AH277">
    <cfRule type="cellIs" dxfId="379" priority="379" operator="equal">
      <formula>"SP"</formula>
    </cfRule>
    <cfRule type="cellIs" dxfId="378" priority="380" operator="equal">
      <formula>"."</formula>
    </cfRule>
  </conditionalFormatting>
  <conditionalFormatting sqref="D279:AH279">
    <cfRule type="cellIs" dxfId="377" priority="374" operator="equal">
      <formula>"AL"</formula>
    </cfRule>
    <cfRule type="cellIs" dxfId="376" priority="375" operator="equal">
      <formula>"NA"</formula>
    </cfRule>
    <cfRule type="cellIs" dxfId="375" priority="376" operator="equal">
      <formula>"SL"</formula>
    </cfRule>
    <cfRule type="cellIs" dxfId="374" priority="377" stopIfTrue="1" operator="equal">
      <formula>"X"</formula>
    </cfRule>
    <cfRule type="cellIs" dxfId="373" priority="378" operator="equal">
      <formula>"H"</formula>
    </cfRule>
  </conditionalFormatting>
  <conditionalFormatting sqref="D279:AH279">
    <cfRule type="cellIs" dxfId="372" priority="372" operator="equal">
      <formula>"SP"</formula>
    </cfRule>
    <cfRule type="cellIs" dxfId="371" priority="373" operator="equal">
      <formula>"."</formula>
    </cfRule>
  </conditionalFormatting>
  <conditionalFormatting sqref="D281:AH281">
    <cfRule type="cellIs" dxfId="370" priority="367" operator="equal">
      <formula>"AL"</formula>
    </cfRule>
    <cfRule type="cellIs" dxfId="369" priority="368" operator="equal">
      <formula>"NA"</formula>
    </cfRule>
    <cfRule type="cellIs" dxfId="368" priority="369" operator="equal">
      <formula>"SL"</formula>
    </cfRule>
    <cfRule type="cellIs" dxfId="367" priority="370" stopIfTrue="1" operator="equal">
      <formula>"X"</formula>
    </cfRule>
    <cfRule type="cellIs" dxfId="366" priority="371" operator="equal">
      <formula>"H"</formula>
    </cfRule>
  </conditionalFormatting>
  <conditionalFormatting sqref="D281:AH281">
    <cfRule type="cellIs" dxfId="365" priority="365" operator="equal">
      <formula>"SP"</formula>
    </cfRule>
    <cfRule type="cellIs" dxfId="364" priority="366" operator="equal">
      <formula>"."</formula>
    </cfRule>
  </conditionalFormatting>
  <conditionalFormatting sqref="D283:AH283">
    <cfRule type="cellIs" dxfId="363" priority="360" operator="equal">
      <formula>"AL"</formula>
    </cfRule>
    <cfRule type="cellIs" dxfId="362" priority="361" operator="equal">
      <formula>"NA"</formula>
    </cfRule>
    <cfRule type="cellIs" dxfId="361" priority="362" operator="equal">
      <formula>"SL"</formula>
    </cfRule>
    <cfRule type="cellIs" dxfId="360" priority="363" stopIfTrue="1" operator="equal">
      <formula>"X"</formula>
    </cfRule>
    <cfRule type="cellIs" dxfId="359" priority="364" operator="equal">
      <formula>"H"</formula>
    </cfRule>
  </conditionalFormatting>
  <conditionalFormatting sqref="D283:AH283">
    <cfRule type="cellIs" dxfId="358" priority="358" operator="equal">
      <formula>"SP"</formula>
    </cfRule>
    <cfRule type="cellIs" dxfId="357" priority="359" operator="equal">
      <formula>"."</formula>
    </cfRule>
  </conditionalFormatting>
  <conditionalFormatting sqref="D285:AH285">
    <cfRule type="cellIs" dxfId="356" priority="353" operator="equal">
      <formula>"AL"</formula>
    </cfRule>
    <cfRule type="cellIs" dxfId="355" priority="354" operator="equal">
      <formula>"NA"</formula>
    </cfRule>
    <cfRule type="cellIs" dxfId="354" priority="355" operator="equal">
      <formula>"SL"</formula>
    </cfRule>
    <cfRule type="cellIs" dxfId="353" priority="356" stopIfTrue="1" operator="equal">
      <formula>"X"</formula>
    </cfRule>
    <cfRule type="cellIs" dxfId="352" priority="357" operator="equal">
      <formula>"H"</formula>
    </cfRule>
  </conditionalFormatting>
  <conditionalFormatting sqref="D285:AH285">
    <cfRule type="cellIs" dxfId="351" priority="351" operator="equal">
      <formula>"SP"</formula>
    </cfRule>
    <cfRule type="cellIs" dxfId="350" priority="352" operator="equal">
      <formula>"."</formula>
    </cfRule>
  </conditionalFormatting>
  <conditionalFormatting sqref="D287:AH287">
    <cfRule type="cellIs" dxfId="349" priority="346" operator="equal">
      <formula>"AL"</formula>
    </cfRule>
    <cfRule type="cellIs" dxfId="348" priority="347" operator="equal">
      <formula>"NA"</formula>
    </cfRule>
    <cfRule type="cellIs" dxfId="347" priority="348" operator="equal">
      <formula>"SL"</formula>
    </cfRule>
    <cfRule type="cellIs" dxfId="346" priority="349" stopIfTrue="1" operator="equal">
      <formula>"X"</formula>
    </cfRule>
    <cfRule type="cellIs" dxfId="345" priority="350" operator="equal">
      <formula>"H"</formula>
    </cfRule>
  </conditionalFormatting>
  <conditionalFormatting sqref="D287:AH287">
    <cfRule type="cellIs" dxfId="344" priority="344" operator="equal">
      <formula>"SP"</formula>
    </cfRule>
    <cfRule type="cellIs" dxfId="343" priority="345" operator="equal">
      <formula>"."</formula>
    </cfRule>
  </conditionalFormatting>
  <conditionalFormatting sqref="D289:AH289">
    <cfRule type="cellIs" dxfId="342" priority="339" operator="equal">
      <formula>"AL"</formula>
    </cfRule>
    <cfRule type="cellIs" dxfId="341" priority="340" operator="equal">
      <formula>"NA"</formula>
    </cfRule>
    <cfRule type="cellIs" dxfId="340" priority="341" operator="equal">
      <formula>"SL"</formula>
    </cfRule>
    <cfRule type="cellIs" dxfId="339" priority="342" stopIfTrue="1" operator="equal">
      <formula>"X"</formula>
    </cfRule>
    <cfRule type="cellIs" dxfId="338" priority="343" operator="equal">
      <formula>"H"</formula>
    </cfRule>
  </conditionalFormatting>
  <conditionalFormatting sqref="D289:AH289">
    <cfRule type="cellIs" dxfId="337" priority="337" operator="equal">
      <formula>"SP"</formula>
    </cfRule>
    <cfRule type="cellIs" dxfId="336" priority="338" operator="equal">
      <formula>"."</formula>
    </cfRule>
  </conditionalFormatting>
  <conditionalFormatting sqref="D320:AG320">
    <cfRule type="cellIs" dxfId="335" priority="225" operator="equal">
      <formula>"SP"</formula>
    </cfRule>
    <cfRule type="cellIs" dxfId="334" priority="226" operator="equal">
      <formula>"."</formula>
    </cfRule>
  </conditionalFormatting>
  <conditionalFormatting sqref="D305:AG305">
    <cfRule type="cellIs" dxfId="333" priority="332" operator="equal">
      <formula>"AL"</formula>
    </cfRule>
    <cfRule type="cellIs" dxfId="332" priority="333" operator="equal">
      <formula>"NA"</formula>
    </cfRule>
    <cfRule type="cellIs" dxfId="331" priority="334" operator="equal">
      <formula>"SL"</formula>
    </cfRule>
    <cfRule type="cellIs" dxfId="330" priority="335" stopIfTrue="1" operator="equal">
      <formula>"X"</formula>
    </cfRule>
    <cfRule type="cellIs" dxfId="329" priority="336" operator="equal">
      <formula>"H"</formula>
    </cfRule>
  </conditionalFormatting>
  <conditionalFormatting sqref="D305:AG305">
    <cfRule type="cellIs" dxfId="328" priority="330" operator="equal">
      <formula>"SP"</formula>
    </cfRule>
    <cfRule type="cellIs" dxfId="327" priority="331" operator="equal">
      <formula>"."</formula>
    </cfRule>
  </conditionalFormatting>
  <conditionalFormatting sqref="D307:AG307">
    <cfRule type="cellIs" dxfId="326" priority="325" operator="equal">
      <formula>"AL"</formula>
    </cfRule>
    <cfRule type="cellIs" dxfId="325" priority="326" operator="equal">
      <formula>"NA"</formula>
    </cfRule>
    <cfRule type="cellIs" dxfId="324" priority="327" operator="equal">
      <formula>"SL"</formula>
    </cfRule>
    <cfRule type="cellIs" dxfId="323" priority="328" stopIfTrue="1" operator="equal">
      <formula>"X"</formula>
    </cfRule>
    <cfRule type="cellIs" dxfId="322" priority="329" operator="equal">
      <formula>"H"</formula>
    </cfRule>
  </conditionalFormatting>
  <conditionalFormatting sqref="D307:AG307">
    <cfRule type="cellIs" dxfId="321" priority="323" operator="equal">
      <formula>"SP"</formula>
    </cfRule>
    <cfRule type="cellIs" dxfId="320" priority="324" operator="equal">
      <formula>"."</formula>
    </cfRule>
  </conditionalFormatting>
  <conditionalFormatting sqref="D309:AG309">
    <cfRule type="cellIs" dxfId="319" priority="318" operator="equal">
      <formula>"AL"</formula>
    </cfRule>
    <cfRule type="cellIs" dxfId="318" priority="319" operator="equal">
      <formula>"NA"</formula>
    </cfRule>
    <cfRule type="cellIs" dxfId="317" priority="320" operator="equal">
      <formula>"SL"</formula>
    </cfRule>
    <cfRule type="cellIs" dxfId="316" priority="321" stopIfTrue="1" operator="equal">
      <formula>"X"</formula>
    </cfRule>
    <cfRule type="cellIs" dxfId="315" priority="322" operator="equal">
      <formula>"H"</formula>
    </cfRule>
  </conditionalFormatting>
  <conditionalFormatting sqref="D309:AG309">
    <cfRule type="cellIs" dxfId="314" priority="316" operator="equal">
      <formula>"SP"</formula>
    </cfRule>
    <cfRule type="cellIs" dxfId="313" priority="317" operator="equal">
      <formula>"."</formula>
    </cfRule>
  </conditionalFormatting>
  <conditionalFormatting sqref="D311:AG311">
    <cfRule type="cellIs" dxfId="312" priority="311" operator="equal">
      <formula>"AL"</formula>
    </cfRule>
    <cfRule type="cellIs" dxfId="311" priority="312" operator="equal">
      <formula>"NA"</formula>
    </cfRule>
    <cfRule type="cellIs" dxfId="310" priority="313" operator="equal">
      <formula>"SL"</formula>
    </cfRule>
    <cfRule type="cellIs" dxfId="309" priority="314" stopIfTrue="1" operator="equal">
      <formula>"X"</formula>
    </cfRule>
    <cfRule type="cellIs" dxfId="308" priority="315" operator="equal">
      <formula>"H"</formula>
    </cfRule>
  </conditionalFormatting>
  <conditionalFormatting sqref="D311:AG311">
    <cfRule type="cellIs" dxfId="307" priority="309" operator="equal">
      <formula>"SP"</formula>
    </cfRule>
    <cfRule type="cellIs" dxfId="306" priority="310" operator="equal">
      <formula>"."</formula>
    </cfRule>
  </conditionalFormatting>
  <conditionalFormatting sqref="D313:AG313">
    <cfRule type="cellIs" dxfId="305" priority="304" operator="equal">
      <formula>"AL"</formula>
    </cfRule>
    <cfRule type="cellIs" dxfId="304" priority="305" operator="equal">
      <formula>"NA"</formula>
    </cfRule>
    <cfRule type="cellIs" dxfId="303" priority="306" operator="equal">
      <formula>"SL"</formula>
    </cfRule>
    <cfRule type="cellIs" dxfId="302" priority="307" stopIfTrue="1" operator="equal">
      <formula>"X"</formula>
    </cfRule>
    <cfRule type="cellIs" dxfId="301" priority="308" operator="equal">
      <formula>"H"</formula>
    </cfRule>
  </conditionalFormatting>
  <conditionalFormatting sqref="D313:AG313">
    <cfRule type="cellIs" dxfId="300" priority="302" operator="equal">
      <formula>"SP"</formula>
    </cfRule>
    <cfRule type="cellIs" dxfId="299" priority="303" operator="equal">
      <formula>"."</formula>
    </cfRule>
  </conditionalFormatting>
  <conditionalFormatting sqref="D315:AG315">
    <cfRule type="cellIs" dxfId="298" priority="297" operator="equal">
      <formula>"AL"</formula>
    </cfRule>
    <cfRule type="cellIs" dxfId="297" priority="298" operator="equal">
      <formula>"NA"</formula>
    </cfRule>
    <cfRule type="cellIs" dxfId="296" priority="299" operator="equal">
      <formula>"SL"</formula>
    </cfRule>
    <cfRule type="cellIs" dxfId="295" priority="300" stopIfTrue="1" operator="equal">
      <formula>"X"</formula>
    </cfRule>
    <cfRule type="cellIs" dxfId="294" priority="301" operator="equal">
      <formula>"H"</formula>
    </cfRule>
  </conditionalFormatting>
  <conditionalFormatting sqref="D315:AG315">
    <cfRule type="cellIs" dxfId="293" priority="295" operator="equal">
      <formula>"SP"</formula>
    </cfRule>
    <cfRule type="cellIs" dxfId="292" priority="296" operator="equal">
      <formula>"."</formula>
    </cfRule>
  </conditionalFormatting>
  <conditionalFormatting sqref="D317:AG317">
    <cfRule type="cellIs" dxfId="291" priority="290" operator="equal">
      <formula>"AL"</formula>
    </cfRule>
    <cfRule type="cellIs" dxfId="290" priority="291" operator="equal">
      <formula>"NA"</formula>
    </cfRule>
    <cfRule type="cellIs" dxfId="289" priority="292" operator="equal">
      <formula>"SL"</formula>
    </cfRule>
    <cfRule type="cellIs" dxfId="288" priority="293" stopIfTrue="1" operator="equal">
      <formula>"X"</formula>
    </cfRule>
    <cfRule type="cellIs" dxfId="287" priority="294" operator="equal">
      <formula>"H"</formula>
    </cfRule>
  </conditionalFormatting>
  <conditionalFormatting sqref="D317:AG317">
    <cfRule type="cellIs" dxfId="286" priority="288" operator="equal">
      <formula>"SP"</formula>
    </cfRule>
    <cfRule type="cellIs" dxfId="285" priority="289" operator="equal">
      <formula>"."</formula>
    </cfRule>
  </conditionalFormatting>
  <conditionalFormatting sqref="D319:AG319">
    <cfRule type="cellIs" dxfId="284" priority="283" operator="equal">
      <formula>"AL"</formula>
    </cfRule>
    <cfRule type="cellIs" dxfId="283" priority="284" operator="equal">
      <formula>"NA"</formula>
    </cfRule>
    <cfRule type="cellIs" dxfId="282" priority="285" operator="equal">
      <formula>"SL"</formula>
    </cfRule>
    <cfRule type="cellIs" dxfId="281" priority="286" stopIfTrue="1" operator="equal">
      <formula>"X"</formula>
    </cfRule>
    <cfRule type="cellIs" dxfId="280" priority="287" operator="equal">
      <formula>"H"</formula>
    </cfRule>
  </conditionalFormatting>
  <conditionalFormatting sqref="D319:AG319">
    <cfRule type="cellIs" dxfId="279" priority="281" operator="equal">
      <formula>"SP"</formula>
    </cfRule>
    <cfRule type="cellIs" dxfId="278" priority="282" operator="equal">
      <formula>"."</formula>
    </cfRule>
  </conditionalFormatting>
  <conditionalFormatting sqref="D306:AG306">
    <cfRule type="cellIs" dxfId="277" priority="276" operator="equal">
      <formula>"AL"</formula>
    </cfRule>
    <cfRule type="cellIs" dxfId="276" priority="277" operator="equal">
      <formula>"NA"</formula>
    </cfRule>
    <cfRule type="cellIs" dxfId="275" priority="278" operator="equal">
      <formula>"SL"</formula>
    </cfRule>
    <cfRule type="cellIs" dxfId="274" priority="279" stopIfTrue="1" operator="equal">
      <formula>"X"</formula>
    </cfRule>
    <cfRule type="cellIs" dxfId="273" priority="280" operator="equal">
      <formula>"H"</formula>
    </cfRule>
  </conditionalFormatting>
  <conditionalFormatting sqref="D306:AG306">
    <cfRule type="cellIs" dxfId="272" priority="274" operator="equal">
      <formula>"SP"</formula>
    </cfRule>
    <cfRule type="cellIs" dxfId="271" priority="275" operator="equal">
      <formula>"."</formula>
    </cfRule>
  </conditionalFormatting>
  <conditionalFormatting sqref="D308:AG308">
    <cfRule type="cellIs" dxfId="270" priority="269" operator="equal">
      <formula>"AL"</formula>
    </cfRule>
    <cfRule type="cellIs" dxfId="269" priority="270" operator="equal">
      <formula>"NA"</formula>
    </cfRule>
    <cfRule type="cellIs" dxfId="268" priority="271" operator="equal">
      <formula>"SL"</formula>
    </cfRule>
    <cfRule type="cellIs" dxfId="267" priority="272" stopIfTrue="1" operator="equal">
      <formula>"X"</formula>
    </cfRule>
    <cfRule type="cellIs" dxfId="266" priority="273" operator="equal">
      <formula>"H"</formula>
    </cfRule>
  </conditionalFormatting>
  <conditionalFormatting sqref="D308:AG308">
    <cfRule type="cellIs" dxfId="265" priority="267" operator="equal">
      <formula>"SP"</formula>
    </cfRule>
    <cfRule type="cellIs" dxfId="264" priority="268" operator="equal">
      <formula>"."</formula>
    </cfRule>
  </conditionalFormatting>
  <conditionalFormatting sqref="D310:AG310">
    <cfRule type="cellIs" dxfId="263" priority="262" operator="equal">
      <formula>"AL"</formula>
    </cfRule>
    <cfRule type="cellIs" dxfId="262" priority="263" operator="equal">
      <formula>"NA"</formula>
    </cfRule>
    <cfRule type="cellIs" dxfId="261" priority="264" operator="equal">
      <formula>"SL"</formula>
    </cfRule>
    <cfRule type="cellIs" dxfId="260" priority="265" stopIfTrue="1" operator="equal">
      <formula>"X"</formula>
    </cfRule>
    <cfRule type="cellIs" dxfId="259" priority="266" operator="equal">
      <formula>"H"</formula>
    </cfRule>
  </conditionalFormatting>
  <conditionalFormatting sqref="D310:AG310">
    <cfRule type="cellIs" dxfId="258" priority="260" operator="equal">
      <formula>"SP"</formula>
    </cfRule>
    <cfRule type="cellIs" dxfId="257" priority="261" operator="equal">
      <formula>"."</formula>
    </cfRule>
  </conditionalFormatting>
  <conditionalFormatting sqref="D312:AG312">
    <cfRule type="cellIs" dxfId="256" priority="255" operator="equal">
      <formula>"AL"</formula>
    </cfRule>
    <cfRule type="cellIs" dxfId="255" priority="256" operator="equal">
      <formula>"NA"</formula>
    </cfRule>
    <cfRule type="cellIs" dxfId="254" priority="257" operator="equal">
      <formula>"SL"</formula>
    </cfRule>
    <cfRule type="cellIs" dxfId="253" priority="258" stopIfTrue="1" operator="equal">
      <formula>"X"</formula>
    </cfRule>
    <cfRule type="cellIs" dxfId="252" priority="259" operator="equal">
      <formula>"H"</formula>
    </cfRule>
  </conditionalFormatting>
  <conditionalFormatting sqref="D312:AG312">
    <cfRule type="cellIs" dxfId="251" priority="253" operator="equal">
      <formula>"SP"</formula>
    </cfRule>
    <cfRule type="cellIs" dxfId="250" priority="254" operator="equal">
      <formula>"."</formula>
    </cfRule>
  </conditionalFormatting>
  <conditionalFormatting sqref="D314:AG314">
    <cfRule type="cellIs" dxfId="249" priority="248" operator="equal">
      <formula>"AL"</formula>
    </cfRule>
    <cfRule type="cellIs" dxfId="248" priority="249" operator="equal">
      <formula>"NA"</formula>
    </cfRule>
    <cfRule type="cellIs" dxfId="247" priority="250" operator="equal">
      <formula>"SL"</formula>
    </cfRule>
    <cfRule type="cellIs" dxfId="246" priority="251" stopIfTrue="1" operator="equal">
      <formula>"X"</formula>
    </cfRule>
    <cfRule type="cellIs" dxfId="245" priority="252" operator="equal">
      <formula>"H"</formula>
    </cfRule>
  </conditionalFormatting>
  <conditionalFormatting sqref="D314:AG314">
    <cfRule type="cellIs" dxfId="244" priority="246" operator="equal">
      <formula>"SP"</formula>
    </cfRule>
    <cfRule type="cellIs" dxfId="243" priority="247" operator="equal">
      <formula>"."</formula>
    </cfRule>
  </conditionalFormatting>
  <conditionalFormatting sqref="D316:AG316">
    <cfRule type="cellIs" dxfId="242" priority="241" operator="equal">
      <formula>"AL"</formula>
    </cfRule>
    <cfRule type="cellIs" dxfId="241" priority="242" operator="equal">
      <formula>"NA"</formula>
    </cfRule>
    <cfRule type="cellIs" dxfId="240" priority="243" operator="equal">
      <formula>"SL"</formula>
    </cfRule>
    <cfRule type="cellIs" dxfId="239" priority="244" stopIfTrue="1" operator="equal">
      <formula>"X"</formula>
    </cfRule>
    <cfRule type="cellIs" dxfId="238" priority="245" operator="equal">
      <formula>"H"</formula>
    </cfRule>
  </conditionalFormatting>
  <conditionalFormatting sqref="D316:AG316">
    <cfRule type="cellIs" dxfId="237" priority="239" operator="equal">
      <formula>"SP"</formula>
    </cfRule>
    <cfRule type="cellIs" dxfId="236" priority="240" operator="equal">
      <formula>"."</formula>
    </cfRule>
  </conditionalFormatting>
  <conditionalFormatting sqref="D318:AG318">
    <cfRule type="cellIs" dxfId="235" priority="234" operator="equal">
      <formula>"AL"</formula>
    </cfRule>
    <cfRule type="cellIs" dxfId="234" priority="235" operator="equal">
      <formula>"NA"</formula>
    </cfRule>
    <cfRule type="cellIs" dxfId="233" priority="236" operator="equal">
      <formula>"SL"</formula>
    </cfRule>
    <cfRule type="cellIs" dxfId="232" priority="237" stopIfTrue="1" operator="equal">
      <formula>"X"</formula>
    </cfRule>
    <cfRule type="cellIs" dxfId="231" priority="238" operator="equal">
      <formula>"H"</formula>
    </cfRule>
  </conditionalFormatting>
  <conditionalFormatting sqref="D318:AG318">
    <cfRule type="cellIs" dxfId="230" priority="232" operator="equal">
      <formula>"SP"</formula>
    </cfRule>
    <cfRule type="cellIs" dxfId="229" priority="233" operator="equal">
      <formula>"."</formula>
    </cfRule>
  </conditionalFormatting>
  <conditionalFormatting sqref="D320:AG320">
    <cfRule type="cellIs" dxfId="228" priority="227" operator="equal">
      <formula>"AL"</formula>
    </cfRule>
    <cfRule type="cellIs" dxfId="227" priority="228" operator="equal">
      <formula>"NA"</formula>
    </cfRule>
    <cfRule type="cellIs" dxfId="226" priority="229" operator="equal">
      <formula>"SL"</formula>
    </cfRule>
    <cfRule type="cellIs" dxfId="225" priority="230" stopIfTrue="1" operator="equal">
      <formula>"X"</formula>
    </cfRule>
    <cfRule type="cellIs" dxfId="224" priority="231" operator="equal">
      <formula>"H"</formula>
    </cfRule>
  </conditionalFormatting>
  <conditionalFormatting sqref="D336:AH336">
    <cfRule type="cellIs" dxfId="223" priority="220" operator="equal">
      <formula>"AL"</formula>
    </cfRule>
    <cfRule type="cellIs" dxfId="222" priority="221" operator="equal">
      <formula>"NA"</formula>
    </cfRule>
    <cfRule type="cellIs" dxfId="221" priority="222" operator="equal">
      <formula>"SL"</formula>
    </cfRule>
    <cfRule type="cellIs" dxfId="220" priority="223" stopIfTrue="1" operator="equal">
      <formula>"X"</formula>
    </cfRule>
    <cfRule type="cellIs" dxfId="219" priority="224" operator="equal">
      <formula>"H"</formula>
    </cfRule>
  </conditionalFormatting>
  <conditionalFormatting sqref="D336:AH336">
    <cfRule type="cellIs" dxfId="218" priority="218" operator="equal">
      <formula>"SP"</formula>
    </cfRule>
    <cfRule type="cellIs" dxfId="217" priority="219" operator="equal">
      <formula>"."</formula>
    </cfRule>
  </conditionalFormatting>
  <conditionalFormatting sqref="D338:AH338">
    <cfRule type="cellIs" dxfId="216" priority="213" operator="equal">
      <formula>"AL"</formula>
    </cfRule>
    <cfRule type="cellIs" dxfId="215" priority="214" operator="equal">
      <formula>"NA"</formula>
    </cfRule>
    <cfRule type="cellIs" dxfId="214" priority="215" operator="equal">
      <formula>"SL"</formula>
    </cfRule>
    <cfRule type="cellIs" dxfId="213" priority="216" stopIfTrue="1" operator="equal">
      <formula>"X"</formula>
    </cfRule>
    <cfRule type="cellIs" dxfId="212" priority="217" operator="equal">
      <formula>"H"</formula>
    </cfRule>
  </conditionalFormatting>
  <conditionalFormatting sqref="D338:AH338">
    <cfRule type="cellIs" dxfId="211" priority="211" operator="equal">
      <formula>"SP"</formula>
    </cfRule>
    <cfRule type="cellIs" dxfId="210" priority="212" operator="equal">
      <formula>"."</formula>
    </cfRule>
  </conditionalFormatting>
  <conditionalFormatting sqref="D340:AH340">
    <cfRule type="cellIs" dxfId="209" priority="206" operator="equal">
      <formula>"AL"</formula>
    </cfRule>
    <cfRule type="cellIs" dxfId="208" priority="207" operator="equal">
      <formula>"NA"</formula>
    </cfRule>
    <cfRule type="cellIs" dxfId="207" priority="208" operator="equal">
      <formula>"SL"</formula>
    </cfRule>
    <cfRule type="cellIs" dxfId="206" priority="209" stopIfTrue="1" operator="equal">
      <formula>"X"</formula>
    </cfRule>
    <cfRule type="cellIs" dxfId="205" priority="210" operator="equal">
      <formula>"H"</formula>
    </cfRule>
  </conditionalFormatting>
  <conditionalFormatting sqref="D340:AH340">
    <cfRule type="cellIs" dxfId="204" priority="204" operator="equal">
      <formula>"SP"</formula>
    </cfRule>
    <cfRule type="cellIs" dxfId="203" priority="205" operator="equal">
      <formula>"."</formula>
    </cfRule>
  </conditionalFormatting>
  <conditionalFormatting sqref="D342:AH342">
    <cfRule type="cellIs" dxfId="202" priority="199" operator="equal">
      <formula>"AL"</formula>
    </cfRule>
    <cfRule type="cellIs" dxfId="201" priority="200" operator="equal">
      <formula>"NA"</formula>
    </cfRule>
    <cfRule type="cellIs" dxfId="200" priority="201" operator="equal">
      <formula>"SL"</formula>
    </cfRule>
    <cfRule type="cellIs" dxfId="199" priority="202" stopIfTrue="1" operator="equal">
      <formula>"X"</formula>
    </cfRule>
    <cfRule type="cellIs" dxfId="198" priority="203" operator="equal">
      <formula>"H"</formula>
    </cfRule>
  </conditionalFormatting>
  <conditionalFormatting sqref="D342:AH342">
    <cfRule type="cellIs" dxfId="197" priority="197" operator="equal">
      <formula>"SP"</formula>
    </cfRule>
    <cfRule type="cellIs" dxfId="196" priority="198" operator="equal">
      <formula>"."</formula>
    </cfRule>
  </conditionalFormatting>
  <conditionalFormatting sqref="D344:AH344">
    <cfRule type="cellIs" dxfId="195" priority="192" operator="equal">
      <formula>"AL"</formula>
    </cfRule>
    <cfRule type="cellIs" dxfId="194" priority="193" operator="equal">
      <formula>"NA"</formula>
    </cfRule>
    <cfRule type="cellIs" dxfId="193" priority="194" operator="equal">
      <formula>"SL"</formula>
    </cfRule>
    <cfRule type="cellIs" dxfId="192" priority="195" stopIfTrue="1" operator="equal">
      <formula>"X"</formula>
    </cfRule>
    <cfRule type="cellIs" dxfId="191" priority="196" operator="equal">
      <formula>"H"</formula>
    </cfRule>
  </conditionalFormatting>
  <conditionalFormatting sqref="D344:AH344">
    <cfRule type="cellIs" dxfId="190" priority="190" operator="equal">
      <formula>"SP"</formula>
    </cfRule>
    <cfRule type="cellIs" dxfId="189" priority="191" operator="equal">
      <formula>"."</formula>
    </cfRule>
  </conditionalFormatting>
  <conditionalFormatting sqref="D346:AH346">
    <cfRule type="cellIs" dxfId="188" priority="185" operator="equal">
      <formula>"AL"</formula>
    </cfRule>
    <cfRule type="cellIs" dxfId="187" priority="186" operator="equal">
      <formula>"NA"</formula>
    </cfRule>
    <cfRule type="cellIs" dxfId="186" priority="187" operator="equal">
      <formula>"SL"</formula>
    </cfRule>
    <cfRule type="cellIs" dxfId="185" priority="188" stopIfTrue="1" operator="equal">
      <formula>"X"</formula>
    </cfRule>
    <cfRule type="cellIs" dxfId="184" priority="189" operator="equal">
      <formula>"H"</formula>
    </cfRule>
  </conditionalFormatting>
  <conditionalFormatting sqref="D346:AH346">
    <cfRule type="cellIs" dxfId="183" priority="183" operator="equal">
      <formula>"SP"</formula>
    </cfRule>
    <cfRule type="cellIs" dxfId="182" priority="184" operator="equal">
      <formula>"."</formula>
    </cfRule>
  </conditionalFormatting>
  <conditionalFormatting sqref="D348:AH348">
    <cfRule type="cellIs" dxfId="181" priority="178" operator="equal">
      <formula>"AL"</formula>
    </cfRule>
    <cfRule type="cellIs" dxfId="180" priority="179" operator="equal">
      <formula>"NA"</formula>
    </cfRule>
    <cfRule type="cellIs" dxfId="179" priority="180" operator="equal">
      <formula>"SL"</formula>
    </cfRule>
    <cfRule type="cellIs" dxfId="178" priority="181" stopIfTrue="1" operator="equal">
      <formula>"X"</formula>
    </cfRule>
    <cfRule type="cellIs" dxfId="177" priority="182" operator="equal">
      <formula>"H"</formula>
    </cfRule>
  </conditionalFormatting>
  <conditionalFormatting sqref="D348:AH348">
    <cfRule type="cellIs" dxfId="176" priority="176" operator="equal">
      <formula>"SP"</formula>
    </cfRule>
    <cfRule type="cellIs" dxfId="175" priority="177" operator="equal">
      <formula>"."</formula>
    </cfRule>
  </conditionalFormatting>
  <conditionalFormatting sqref="D350:AH350">
    <cfRule type="cellIs" dxfId="174" priority="171" operator="equal">
      <formula>"AL"</formula>
    </cfRule>
    <cfRule type="cellIs" dxfId="173" priority="172" operator="equal">
      <formula>"NA"</formula>
    </cfRule>
    <cfRule type="cellIs" dxfId="172" priority="173" operator="equal">
      <formula>"SL"</formula>
    </cfRule>
    <cfRule type="cellIs" dxfId="171" priority="174" stopIfTrue="1" operator="equal">
      <formula>"X"</formula>
    </cfRule>
    <cfRule type="cellIs" dxfId="170" priority="175" operator="equal">
      <formula>"H"</formula>
    </cfRule>
  </conditionalFormatting>
  <conditionalFormatting sqref="D350:AH350">
    <cfRule type="cellIs" dxfId="169" priority="169" operator="equal">
      <formula>"SP"</formula>
    </cfRule>
    <cfRule type="cellIs" dxfId="168" priority="170" operator="equal">
      <formula>"."</formula>
    </cfRule>
  </conditionalFormatting>
  <conditionalFormatting sqref="D337:AH337">
    <cfRule type="cellIs" dxfId="167" priority="164" operator="equal">
      <formula>"AL"</formula>
    </cfRule>
    <cfRule type="cellIs" dxfId="166" priority="165" operator="equal">
      <formula>"NA"</formula>
    </cfRule>
    <cfRule type="cellIs" dxfId="165" priority="166" operator="equal">
      <formula>"SL"</formula>
    </cfRule>
    <cfRule type="cellIs" dxfId="164" priority="167" stopIfTrue="1" operator="equal">
      <formula>"X"</formula>
    </cfRule>
    <cfRule type="cellIs" dxfId="163" priority="168" operator="equal">
      <formula>"H"</formula>
    </cfRule>
  </conditionalFormatting>
  <conditionalFormatting sqref="D337:AH337">
    <cfRule type="cellIs" dxfId="162" priority="162" operator="equal">
      <formula>"SP"</formula>
    </cfRule>
    <cfRule type="cellIs" dxfId="161" priority="163" operator="equal">
      <formula>"."</formula>
    </cfRule>
  </conditionalFormatting>
  <conditionalFormatting sqref="D339:AH339">
    <cfRule type="cellIs" dxfId="160" priority="157" operator="equal">
      <formula>"AL"</formula>
    </cfRule>
    <cfRule type="cellIs" dxfId="159" priority="158" operator="equal">
      <formula>"NA"</formula>
    </cfRule>
    <cfRule type="cellIs" dxfId="158" priority="159" operator="equal">
      <formula>"SL"</formula>
    </cfRule>
    <cfRule type="cellIs" dxfId="157" priority="160" stopIfTrue="1" operator="equal">
      <formula>"X"</formula>
    </cfRule>
    <cfRule type="cellIs" dxfId="156" priority="161" operator="equal">
      <formula>"H"</formula>
    </cfRule>
  </conditionalFormatting>
  <conditionalFormatting sqref="D339:AH339">
    <cfRule type="cellIs" dxfId="155" priority="155" operator="equal">
      <formula>"SP"</formula>
    </cfRule>
    <cfRule type="cellIs" dxfId="154" priority="156" operator="equal">
      <formula>"."</formula>
    </cfRule>
  </conditionalFormatting>
  <conditionalFormatting sqref="D341:AH341">
    <cfRule type="cellIs" dxfId="153" priority="150" operator="equal">
      <formula>"AL"</formula>
    </cfRule>
    <cfRule type="cellIs" dxfId="152" priority="151" operator="equal">
      <formula>"NA"</formula>
    </cfRule>
    <cfRule type="cellIs" dxfId="151" priority="152" operator="equal">
      <formula>"SL"</formula>
    </cfRule>
    <cfRule type="cellIs" dxfId="150" priority="153" stopIfTrue="1" operator="equal">
      <formula>"X"</formula>
    </cfRule>
    <cfRule type="cellIs" dxfId="149" priority="154" operator="equal">
      <formula>"H"</formula>
    </cfRule>
  </conditionalFormatting>
  <conditionalFormatting sqref="D341:AH341">
    <cfRule type="cellIs" dxfId="148" priority="148" operator="equal">
      <formula>"SP"</formula>
    </cfRule>
    <cfRule type="cellIs" dxfId="147" priority="149" operator="equal">
      <formula>"."</formula>
    </cfRule>
  </conditionalFormatting>
  <conditionalFormatting sqref="D343:AH343">
    <cfRule type="cellIs" dxfId="146" priority="143" operator="equal">
      <formula>"AL"</formula>
    </cfRule>
    <cfRule type="cellIs" dxfId="145" priority="144" operator="equal">
      <formula>"NA"</formula>
    </cfRule>
    <cfRule type="cellIs" dxfId="144" priority="145" operator="equal">
      <formula>"SL"</formula>
    </cfRule>
    <cfRule type="cellIs" dxfId="143" priority="146" stopIfTrue="1" operator="equal">
      <formula>"X"</formula>
    </cfRule>
    <cfRule type="cellIs" dxfId="142" priority="147" operator="equal">
      <formula>"H"</formula>
    </cfRule>
  </conditionalFormatting>
  <conditionalFormatting sqref="D343:AH343">
    <cfRule type="cellIs" dxfId="141" priority="141" operator="equal">
      <formula>"SP"</formula>
    </cfRule>
    <cfRule type="cellIs" dxfId="140" priority="142" operator="equal">
      <formula>"."</formula>
    </cfRule>
  </conditionalFormatting>
  <conditionalFormatting sqref="D345:AH345">
    <cfRule type="cellIs" dxfId="139" priority="136" operator="equal">
      <formula>"AL"</formula>
    </cfRule>
    <cfRule type="cellIs" dxfId="138" priority="137" operator="equal">
      <formula>"NA"</formula>
    </cfRule>
    <cfRule type="cellIs" dxfId="137" priority="138" operator="equal">
      <formula>"SL"</formula>
    </cfRule>
    <cfRule type="cellIs" dxfId="136" priority="139" stopIfTrue="1" operator="equal">
      <formula>"X"</formula>
    </cfRule>
    <cfRule type="cellIs" dxfId="135" priority="140" operator="equal">
      <formula>"H"</formula>
    </cfRule>
  </conditionalFormatting>
  <conditionalFormatting sqref="D345:AH345">
    <cfRule type="cellIs" dxfId="134" priority="134" operator="equal">
      <formula>"SP"</formula>
    </cfRule>
    <cfRule type="cellIs" dxfId="133" priority="135" operator="equal">
      <formula>"."</formula>
    </cfRule>
  </conditionalFormatting>
  <conditionalFormatting sqref="D347:AH347">
    <cfRule type="cellIs" dxfId="132" priority="129" operator="equal">
      <formula>"AL"</formula>
    </cfRule>
    <cfRule type="cellIs" dxfId="131" priority="130" operator="equal">
      <formula>"NA"</formula>
    </cfRule>
    <cfRule type="cellIs" dxfId="130" priority="131" operator="equal">
      <formula>"SL"</formula>
    </cfRule>
    <cfRule type="cellIs" dxfId="129" priority="132" stopIfTrue="1" operator="equal">
      <formula>"X"</formula>
    </cfRule>
    <cfRule type="cellIs" dxfId="128" priority="133" operator="equal">
      <formula>"H"</formula>
    </cfRule>
  </conditionalFormatting>
  <conditionalFormatting sqref="D347:AH347">
    <cfRule type="cellIs" dxfId="127" priority="127" operator="equal">
      <formula>"SP"</formula>
    </cfRule>
    <cfRule type="cellIs" dxfId="126" priority="128" operator="equal">
      <formula>"."</formula>
    </cfRule>
  </conditionalFormatting>
  <conditionalFormatting sqref="D349:AH349">
    <cfRule type="cellIs" dxfId="125" priority="122" operator="equal">
      <formula>"AL"</formula>
    </cfRule>
    <cfRule type="cellIs" dxfId="124" priority="123" operator="equal">
      <formula>"NA"</formula>
    </cfRule>
    <cfRule type="cellIs" dxfId="123" priority="124" operator="equal">
      <formula>"SL"</formula>
    </cfRule>
    <cfRule type="cellIs" dxfId="122" priority="125" stopIfTrue="1" operator="equal">
      <formula>"X"</formula>
    </cfRule>
    <cfRule type="cellIs" dxfId="121" priority="126" operator="equal">
      <formula>"H"</formula>
    </cfRule>
  </conditionalFormatting>
  <conditionalFormatting sqref="D349:AH349">
    <cfRule type="cellIs" dxfId="120" priority="120" operator="equal">
      <formula>"SP"</formula>
    </cfRule>
    <cfRule type="cellIs" dxfId="119" priority="121" operator="equal">
      <formula>"."</formula>
    </cfRule>
  </conditionalFormatting>
  <conditionalFormatting sqref="D351:AH351">
    <cfRule type="cellIs" dxfId="118" priority="115" operator="equal">
      <formula>"AL"</formula>
    </cfRule>
    <cfRule type="cellIs" dxfId="117" priority="116" operator="equal">
      <formula>"NA"</formula>
    </cfRule>
    <cfRule type="cellIs" dxfId="116" priority="117" operator="equal">
      <formula>"SL"</formula>
    </cfRule>
    <cfRule type="cellIs" dxfId="115" priority="118" stopIfTrue="1" operator="equal">
      <formula>"X"</formula>
    </cfRule>
    <cfRule type="cellIs" dxfId="114" priority="119" operator="equal">
      <formula>"H"</formula>
    </cfRule>
  </conditionalFormatting>
  <conditionalFormatting sqref="D351:AH351">
    <cfRule type="cellIs" dxfId="113" priority="113" operator="equal">
      <formula>"SP"</formula>
    </cfRule>
    <cfRule type="cellIs" dxfId="112" priority="114" operator="equal">
      <formula>"."</formula>
    </cfRule>
  </conditionalFormatting>
  <conditionalFormatting sqref="D382:AG382">
    <cfRule type="cellIs" dxfId="111" priority="1" operator="equal">
      <formula>"SP"</formula>
    </cfRule>
    <cfRule type="cellIs" dxfId="110" priority="2" operator="equal">
      <formula>"."</formula>
    </cfRule>
  </conditionalFormatting>
  <conditionalFormatting sqref="D367:AG367">
    <cfRule type="cellIs" dxfId="109" priority="108" operator="equal">
      <formula>"AL"</formula>
    </cfRule>
    <cfRule type="cellIs" dxfId="108" priority="109" operator="equal">
      <formula>"NA"</formula>
    </cfRule>
    <cfRule type="cellIs" dxfId="107" priority="110" operator="equal">
      <formula>"SL"</formula>
    </cfRule>
    <cfRule type="cellIs" dxfId="106" priority="111" stopIfTrue="1" operator="equal">
      <formula>"X"</formula>
    </cfRule>
    <cfRule type="cellIs" dxfId="105" priority="112" operator="equal">
      <formula>"H"</formula>
    </cfRule>
  </conditionalFormatting>
  <conditionalFormatting sqref="D367:AG367">
    <cfRule type="cellIs" dxfId="104" priority="106" operator="equal">
      <formula>"SP"</formula>
    </cfRule>
    <cfRule type="cellIs" dxfId="103" priority="107" operator="equal">
      <formula>"."</formula>
    </cfRule>
  </conditionalFormatting>
  <conditionalFormatting sqref="D369:AG369">
    <cfRule type="cellIs" dxfId="102" priority="101" operator="equal">
      <formula>"AL"</formula>
    </cfRule>
    <cfRule type="cellIs" dxfId="101" priority="102" operator="equal">
      <formula>"NA"</formula>
    </cfRule>
    <cfRule type="cellIs" dxfId="100" priority="103" operator="equal">
      <formula>"SL"</formula>
    </cfRule>
    <cfRule type="cellIs" dxfId="99" priority="104" stopIfTrue="1" operator="equal">
      <formula>"X"</formula>
    </cfRule>
    <cfRule type="cellIs" dxfId="98" priority="105" operator="equal">
      <formula>"H"</formula>
    </cfRule>
  </conditionalFormatting>
  <conditionalFormatting sqref="D369:AG369">
    <cfRule type="cellIs" dxfId="97" priority="99" operator="equal">
      <formula>"SP"</formula>
    </cfRule>
    <cfRule type="cellIs" dxfId="96" priority="100" operator="equal">
      <formula>"."</formula>
    </cfRule>
  </conditionalFormatting>
  <conditionalFormatting sqref="D371:AG371">
    <cfRule type="cellIs" dxfId="95" priority="94" operator="equal">
      <formula>"AL"</formula>
    </cfRule>
    <cfRule type="cellIs" dxfId="94" priority="95" operator="equal">
      <formula>"NA"</formula>
    </cfRule>
    <cfRule type="cellIs" dxfId="93" priority="96" operator="equal">
      <formula>"SL"</formula>
    </cfRule>
    <cfRule type="cellIs" dxfId="92" priority="97" stopIfTrue="1" operator="equal">
      <formula>"X"</formula>
    </cfRule>
    <cfRule type="cellIs" dxfId="91" priority="98" operator="equal">
      <formula>"H"</formula>
    </cfRule>
  </conditionalFormatting>
  <conditionalFormatting sqref="D371:AG371">
    <cfRule type="cellIs" dxfId="90" priority="92" operator="equal">
      <formula>"SP"</formula>
    </cfRule>
    <cfRule type="cellIs" dxfId="89" priority="93" operator="equal">
      <formula>"."</formula>
    </cfRule>
  </conditionalFormatting>
  <conditionalFormatting sqref="D373:AG373">
    <cfRule type="cellIs" dxfId="88" priority="87" operator="equal">
      <formula>"AL"</formula>
    </cfRule>
    <cfRule type="cellIs" dxfId="87" priority="88" operator="equal">
      <formula>"NA"</formula>
    </cfRule>
    <cfRule type="cellIs" dxfId="86" priority="89" operator="equal">
      <formula>"SL"</formula>
    </cfRule>
    <cfRule type="cellIs" dxfId="85" priority="90" stopIfTrue="1" operator="equal">
      <formula>"X"</formula>
    </cfRule>
    <cfRule type="cellIs" dxfId="84" priority="91" operator="equal">
      <formula>"H"</formula>
    </cfRule>
  </conditionalFormatting>
  <conditionalFormatting sqref="D373:AG373">
    <cfRule type="cellIs" dxfId="83" priority="85" operator="equal">
      <formula>"SP"</formula>
    </cfRule>
    <cfRule type="cellIs" dxfId="82" priority="86" operator="equal">
      <formula>"."</formula>
    </cfRule>
  </conditionalFormatting>
  <conditionalFormatting sqref="D375:AG375">
    <cfRule type="cellIs" dxfId="81" priority="80" operator="equal">
      <formula>"AL"</formula>
    </cfRule>
    <cfRule type="cellIs" dxfId="80" priority="81" operator="equal">
      <formula>"NA"</formula>
    </cfRule>
    <cfRule type="cellIs" dxfId="79" priority="82" operator="equal">
      <formula>"SL"</formula>
    </cfRule>
    <cfRule type="cellIs" dxfId="78" priority="83" stopIfTrue="1" operator="equal">
      <formula>"X"</formula>
    </cfRule>
    <cfRule type="cellIs" dxfId="77" priority="84" operator="equal">
      <formula>"H"</formula>
    </cfRule>
  </conditionalFormatting>
  <conditionalFormatting sqref="D375:AG375">
    <cfRule type="cellIs" dxfId="76" priority="78" operator="equal">
      <formula>"SP"</formula>
    </cfRule>
    <cfRule type="cellIs" dxfId="75" priority="79" operator="equal">
      <formula>"."</formula>
    </cfRule>
  </conditionalFormatting>
  <conditionalFormatting sqref="D377:AG377">
    <cfRule type="cellIs" dxfId="74" priority="73" operator="equal">
      <formula>"AL"</formula>
    </cfRule>
    <cfRule type="cellIs" dxfId="73" priority="74" operator="equal">
      <formula>"NA"</formula>
    </cfRule>
    <cfRule type="cellIs" dxfId="72" priority="75" operator="equal">
      <formula>"SL"</formula>
    </cfRule>
    <cfRule type="cellIs" dxfId="71" priority="76" stopIfTrue="1" operator="equal">
      <formula>"X"</formula>
    </cfRule>
    <cfRule type="cellIs" dxfId="70" priority="77" operator="equal">
      <formula>"H"</formula>
    </cfRule>
  </conditionalFormatting>
  <conditionalFormatting sqref="D377:AG377">
    <cfRule type="cellIs" dxfId="69" priority="71" operator="equal">
      <formula>"SP"</formula>
    </cfRule>
    <cfRule type="cellIs" dxfId="68" priority="72" operator="equal">
      <formula>"."</formula>
    </cfRule>
  </conditionalFormatting>
  <conditionalFormatting sqref="D379:AG379">
    <cfRule type="cellIs" dxfId="67" priority="66" operator="equal">
      <formula>"AL"</formula>
    </cfRule>
    <cfRule type="cellIs" dxfId="66" priority="67" operator="equal">
      <formula>"NA"</formula>
    </cfRule>
    <cfRule type="cellIs" dxfId="65" priority="68" operator="equal">
      <formula>"SL"</formula>
    </cfRule>
    <cfRule type="cellIs" dxfId="64" priority="69" stopIfTrue="1" operator="equal">
      <formula>"X"</formula>
    </cfRule>
    <cfRule type="cellIs" dxfId="63" priority="70" operator="equal">
      <formula>"H"</formula>
    </cfRule>
  </conditionalFormatting>
  <conditionalFormatting sqref="D379:AG379">
    <cfRule type="cellIs" dxfId="62" priority="64" operator="equal">
      <formula>"SP"</formula>
    </cfRule>
    <cfRule type="cellIs" dxfId="61" priority="65" operator="equal">
      <formula>"."</formula>
    </cfRule>
  </conditionalFormatting>
  <conditionalFormatting sqref="D381:AG381">
    <cfRule type="cellIs" dxfId="60" priority="59" operator="equal">
      <formula>"AL"</formula>
    </cfRule>
    <cfRule type="cellIs" dxfId="59" priority="60" operator="equal">
      <formula>"NA"</formula>
    </cfRule>
    <cfRule type="cellIs" dxfId="58" priority="61" operator="equal">
      <formula>"SL"</formula>
    </cfRule>
    <cfRule type="cellIs" dxfId="57" priority="62" stopIfTrue="1" operator="equal">
      <formula>"X"</formula>
    </cfRule>
    <cfRule type="cellIs" dxfId="56" priority="63" operator="equal">
      <formula>"H"</formula>
    </cfRule>
  </conditionalFormatting>
  <conditionalFormatting sqref="D381:AG381">
    <cfRule type="cellIs" dxfId="55" priority="57" operator="equal">
      <formula>"SP"</formula>
    </cfRule>
    <cfRule type="cellIs" dxfId="54" priority="58" operator="equal">
      <formula>"."</formula>
    </cfRule>
  </conditionalFormatting>
  <conditionalFormatting sqref="D368:AG368">
    <cfRule type="cellIs" dxfId="53" priority="52" operator="equal">
      <formula>"AL"</formula>
    </cfRule>
    <cfRule type="cellIs" dxfId="52" priority="53" operator="equal">
      <formula>"NA"</formula>
    </cfRule>
    <cfRule type="cellIs" dxfId="51" priority="54" operator="equal">
      <formula>"SL"</formula>
    </cfRule>
    <cfRule type="cellIs" dxfId="50" priority="55" stopIfTrue="1" operator="equal">
      <formula>"X"</formula>
    </cfRule>
    <cfRule type="cellIs" dxfId="49" priority="56" operator="equal">
      <formula>"H"</formula>
    </cfRule>
  </conditionalFormatting>
  <conditionalFormatting sqref="D368:AG368">
    <cfRule type="cellIs" dxfId="48" priority="50" operator="equal">
      <formula>"SP"</formula>
    </cfRule>
    <cfRule type="cellIs" dxfId="47" priority="51" operator="equal">
      <formula>"."</formula>
    </cfRule>
  </conditionalFormatting>
  <conditionalFormatting sqref="D370:AG370">
    <cfRule type="cellIs" dxfId="46" priority="45" operator="equal">
      <formula>"AL"</formula>
    </cfRule>
    <cfRule type="cellIs" dxfId="45" priority="46" operator="equal">
      <formula>"NA"</formula>
    </cfRule>
    <cfRule type="cellIs" dxfId="44" priority="47" operator="equal">
      <formula>"SL"</formula>
    </cfRule>
    <cfRule type="cellIs" dxfId="43" priority="48" stopIfTrue="1" operator="equal">
      <formula>"X"</formula>
    </cfRule>
    <cfRule type="cellIs" dxfId="42" priority="49" operator="equal">
      <formula>"H"</formula>
    </cfRule>
  </conditionalFormatting>
  <conditionalFormatting sqref="D370:AG370">
    <cfRule type="cellIs" dxfId="41" priority="43" operator="equal">
      <formula>"SP"</formula>
    </cfRule>
    <cfRule type="cellIs" dxfId="40" priority="44" operator="equal">
      <formula>"."</formula>
    </cfRule>
  </conditionalFormatting>
  <conditionalFormatting sqref="D372:AG372">
    <cfRule type="cellIs" dxfId="39" priority="38" operator="equal">
      <formula>"AL"</formula>
    </cfRule>
    <cfRule type="cellIs" dxfId="38" priority="39" operator="equal">
      <formula>"NA"</formula>
    </cfRule>
    <cfRule type="cellIs" dxfId="37" priority="40" operator="equal">
      <formula>"SL"</formula>
    </cfRule>
    <cfRule type="cellIs" dxfId="36" priority="41" stopIfTrue="1" operator="equal">
      <formula>"X"</formula>
    </cfRule>
    <cfRule type="cellIs" dxfId="35" priority="42" operator="equal">
      <formula>"H"</formula>
    </cfRule>
  </conditionalFormatting>
  <conditionalFormatting sqref="D372:AG372">
    <cfRule type="cellIs" dxfId="34" priority="36" operator="equal">
      <formula>"SP"</formula>
    </cfRule>
    <cfRule type="cellIs" dxfId="33" priority="37" operator="equal">
      <formula>"."</formula>
    </cfRule>
  </conditionalFormatting>
  <conditionalFormatting sqref="D374:AG374">
    <cfRule type="cellIs" dxfId="32" priority="31" operator="equal">
      <formula>"AL"</formula>
    </cfRule>
    <cfRule type="cellIs" dxfId="31" priority="32" operator="equal">
      <formula>"NA"</formula>
    </cfRule>
    <cfRule type="cellIs" dxfId="30" priority="33" operator="equal">
      <formula>"SL"</formula>
    </cfRule>
    <cfRule type="cellIs" dxfId="29" priority="34" stopIfTrue="1" operator="equal">
      <formula>"X"</formula>
    </cfRule>
    <cfRule type="cellIs" dxfId="28" priority="35" operator="equal">
      <formula>"H"</formula>
    </cfRule>
  </conditionalFormatting>
  <conditionalFormatting sqref="D374:AG374">
    <cfRule type="cellIs" dxfId="27" priority="29" operator="equal">
      <formula>"SP"</formula>
    </cfRule>
    <cfRule type="cellIs" dxfId="26" priority="30" operator="equal">
      <formula>"."</formula>
    </cfRule>
  </conditionalFormatting>
  <conditionalFormatting sqref="D376:AG376">
    <cfRule type="cellIs" dxfId="25" priority="24" operator="equal">
      <formula>"AL"</formula>
    </cfRule>
    <cfRule type="cellIs" dxfId="24" priority="25" operator="equal">
      <formula>"NA"</formula>
    </cfRule>
    <cfRule type="cellIs" dxfId="23" priority="26" operator="equal">
      <formula>"SL"</formula>
    </cfRule>
    <cfRule type="cellIs" dxfId="22" priority="27" stopIfTrue="1" operator="equal">
      <formula>"X"</formula>
    </cfRule>
    <cfRule type="cellIs" dxfId="21" priority="28" operator="equal">
      <formula>"H"</formula>
    </cfRule>
  </conditionalFormatting>
  <conditionalFormatting sqref="D376:AG376">
    <cfRule type="cellIs" dxfId="20" priority="22" operator="equal">
      <formula>"SP"</formula>
    </cfRule>
    <cfRule type="cellIs" dxfId="19" priority="23" operator="equal">
      <formula>"."</formula>
    </cfRule>
  </conditionalFormatting>
  <conditionalFormatting sqref="D378:AG378">
    <cfRule type="cellIs" dxfId="18" priority="17" operator="equal">
      <formula>"AL"</formula>
    </cfRule>
    <cfRule type="cellIs" dxfId="17" priority="18" operator="equal">
      <formula>"NA"</formula>
    </cfRule>
    <cfRule type="cellIs" dxfId="16" priority="19" operator="equal">
      <formula>"SL"</formula>
    </cfRule>
    <cfRule type="cellIs" dxfId="15" priority="20" stopIfTrue="1" operator="equal">
      <formula>"X"</formula>
    </cfRule>
    <cfRule type="cellIs" dxfId="14" priority="21" operator="equal">
      <formula>"H"</formula>
    </cfRule>
  </conditionalFormatting>
  <conditionalFormatting sqref="D378:AG378">
    <cfRule type="cellIs" dxfId="13" priority="15" operator="equal">
      <formula>"SP"</formula>
    </cfRule>
    <cfRule type="cellIs" dxfId="12" priority="16" operator="equal">
      <formula>"."</formula>
    </cfRule>
  </conditionalFormatting>
  <conditionalFormatting sqref="D380:AG380">
    <cfRule type="cellIs" dxfId="11" priority="10" operator="equal">
      <formula>"AL"</formula>
    </cfRule>
    <cfRule type="cellIs" dxfId="10" priority="11" operator="equal">
      <formula>"NA"</formula>
    </cfRule>
    <cfRule type="cellIs" dxfId="9" priority="12" operator="equal">
      <formula>"SL"</formula>
    </cfRule>
    <cfRule type="cellIs" dxfId="8" priority="13" stopIfTrue="1" operator="equal">
      <formula>"X"</formula>
    </cfRule>
    <cfRule type="cellIs" dxfId="7" priority="14" operator="equal">
      <formula>"H"</formula>
    </cfRule>
  </conditionalFormatting>
  <conditionalFormatting sqref="D380:AG380">
    <cfRule type="cellIs" dxfId="6" priority="8" operator="equal">
      <formula>"SP"</formula>
    </cfRule>
    <cfRule type="cellIs" dxfId="5" priority="9" operator="equal">
      <formula>"."</formula>
    </cfRule>
  </conditionalFormatting>
  <conditionalFormatting sqref="D382:AG382">
    <cfRule type="cellIs" dxfId="4" priority="3" operator="equal">
      <formula>"AL"</formula>
    </cfRule>
    <cfRule type="cellIs" dxfId="3" priority="4" operator="equal">
      <formula>"NA"</formula>
    </cfRule>
    <cfRule type="cellIs" dxfId="2" priority="5" operator="equal">
      <formula>"SL"</formula>
    </cfRule>
    <cfRule type="cellIs" dxfId="1" priority="6" stopIfTrue="1" operator="equal">
      <formula>"X"</formula>
    </cfRule>
    <cfRule type="cellIs" dxfId="0" priority="7" operator="equal">
      <formula>"H"</formula>
    </cfRule>
  </conditionalFormatting>
  <dataValidations count="4">
    <dataValidation type="list" allowBlank="1" showInputMessage="1" showErrorMessage="1" sqref="AH293:AH320 AH355:AH366 AG231:AH259">
      <formula1>Shifts</formula1>
    </dataValidation>
    <dataValidation type="list" allowBlank="1" showDropDown="1" showInputMessage="1" showErrorMessage="1" sqref="D228:AH228">
      <formula1>Shifts</formula1>
    </dataValidation>
    <dataValidation type="list" allowBlank="1" showInputMessage="1" showErrorMessage="1" errorTitle="Invalid Entry" error="Entry can be D,A,N,H,RO,SL,AL,NA or blank only!" sqref="D212:AH227 D26:AH41 D305:AG320 D57:AH72 D243:AF258 D119:AH134 D88:AG103 D181:AH196 D274:AH289 D336:AH351 D367:AG382 D150:AG165">
      <formula1>Shifts</formula1>
    </dataValidation>
    <dataValidation type="list" allowBlank="1" showDropDown="1" showInputMessage="1" showErrorMessage="1" errorTitle="Invalid Entry" error="Entry can be D,A,N,H,RO,SL,AL,NA or blank only!" sqref="D200:AH211 D231:AF242 D262:AH273 D293:AG304 D324:AH335 D355:AG366 D14:AH25 D45:AH56 D76:AG87 D107:AH118 D138:AG149 D169:AH180">
      <formula1>Shifts</formula1>
    </dataValidation>
  </dataValidations>
  <pageMargins left="0.55000000000000004" right="0.23" top="0.5" bottom="0.48" header="0.5" footer="0.5"/>
  <pageSetup paperSize="9" scale="75" orientation="portrait" horizontalDpi="4294967293" verticalDpi="4294967293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111" r:id="rId5" name="optSpecial">
          <controlPr defaultSize="0" autoLine="0" r:id="rId6">
            <anchor moveWithCells="1">
              <from>
                <xdr:col>21</xdr:col>
                <xdr:colOff>60960</xdr:colOff>
                <xdr:row>10</xdr:row>
                <xdr:rowOff>0</xdr:rowOff>
              </from>
              <to>
                <xdr:col>26</xdr:col>
                <xdr:colOff>83820</xdr:colOff>
                <xdr:row>11</xdr:row>
                <xdr:rowOff>38100</xdr:rowOff>
              </to>
            </anchor>
          </controlPr>
        </control>
      </mc:Choice>
      <mc:Fallback>
        <control shapeId="1111" r:id="rId5" name="optSpecial"/>
      </mc:Fallback>
    </mc:AlternateContent>
    <mc:AlternateContent xmlns:mc="http://schemas.openxmlformats.org/markup-compatibility/2006">
      <mc:Choice Requires="x14">
        <control shapeId="1110" r:id="rId7" name="optHeatPolicy">
          <controlPr defaultSize="0" autoLine="0" r:id="rId8">
            <anchor moveWithCells="1">
              <from>
                <xdr:col>27</xdr:col>
                <xdr:colOff>182880</xdr:colOff>
                <xdr:row>10</xdr:row>
                <xdr:rowOff>0</xdr:rowOff>
              </from>
              <to>
                <xdr:col>33</xdr:col>
                <xdr:colOff>53340</xdr:colOff>
                <xdr:row>11</xdr:row>
                <xdr:rowOff>30480</xdr:rowOff>
              </to>
            </anchor>
          </controlPr>
        </control>
      </mc:Choice>
      <mc:Fallback>
        <control shapeId="1110" r:id="rId7" name="optHeatPolicy"/>
      </mc:Fallback>
    </mc:AlternateContent>
    <mc:AlternateContent xmlns:mc="http://schemas.openxmlformats.org/markup-compatibility/2006">
      <mc:Choice Requires="x14">
        <control shapeId="1026" r:id="rId9" name="optDay">
          <controlPr defaultSize="0" print="0" autoLine="0" r:id="rId10">
            <anchor moveWithCells="1">
              <from>
                <xdr:col>15</xdr:col>
                <xdr:colOff>30480</xdr:colOff>
                <xdr:row>10</xdr:row>
                <xdr:rowOff>0</xdr:rowOff>
              </from>
              <to>
                <xdr:col>18</xdr:col>
                <xdr:colOff>7620</xdr:colOff>
                <xdr:row>11</xdr:row>
                <xdr:rowOff>53340</xdr:rowOff>
              </to>
            </anchor>
          </controlPr>
        </control>
      </mc:Choice>
      <mc:Fallback>
        <control shapeId="1026" r:id="rId9" name="optDay"/>
      </mc:Fallback>
    </mc:AlternateContent>
    <mc:AlternateContent xmlns:mc="http://schemas.openxmlformats.org/markup-compatibility/2006">
      <mc:Choice Requires="x14">
        <control shapeId="1027" r:id="rId11" name="optAfterNoon">
          <controlPr defaultSize="0" print="0" autoLine="0" r:id="rId12">
            <anchor moveWithCells="1">
              <from>
                <xdr:col>21</xdr:col>
                <xdr:colOff>60960</xdr:colOff>
                <xdr:row>10</xdr:row>
                <xdr:rowOff>0</xdr:rowOff>
              </from>
              <to>
                <xdr:col>26</xdr:col>
                <xdr:colOff>83820</xdr:colOff>
                <xdr:row>11</xdr:row>
                <xdr:rowOff>38100</xdr:rowOff>
              </to>
            </anchor>
          </controlPr>
        </control>
      </mc:Choice>
      <mc:Fallback>
        <control shapeId="1027" r:id="rId11" name="optAfterNoon"/>
      </mc:Fallback>
    </mc:AlternateContent>
    <mc:AlternateContent xmlns:mc="http://schemas.openxmlformats.org/markup-compatibility/2006">
      <mc:Choice Requires="x14">
        <control shapeId="1028" r:id="rId13" name="optNight">
          <controlPr defaultSize="0" autoLine="0" r:id="rId14">
            <anchor moveWithCells="1">
              <from>
                <xdr:col>9</xdr:col>
                <xdr:colOff>114300</xdr:colOff>
                <xdr:row>10</xdr:row>
                <xdr:rowOff>0</xdr:rowOff>
              </from>
              <to>
                <xdr:col>12</xdr:col>
                <xdr:colOff>160020</xdr:colOff>
                <xdr:row>11</xdr:row>
                <xdr:rowOff>38100</xdr:rowOff>
              </to>
            </anchor>
          </controlPr>
        </control>
      </mc:Choice>
      <mc:Fallback>
        <control shapeId="1028" r:id="rId13" name="optNight"/>
      </mc:Fallback>
    </mc:AlternateContent>
    <mc:AlternateContent xmlns:mc="http://schemas.openxmlformats.org/markup-compatibility/2006">
      <mc:Choice Requires="x14">
        <control shapeId="1029" r:id="rId15" name="optRDO">
          <controlPr defaultSize="0" print="0" autoLine="0" r:id="rId16">
            <anchor moveWithCells="1">
              <from>
                <xdr:col>4</xdr:col>
                <xdr:colOff>99060</xdr:colOff>
                <xdr:row>10</xdr:row>
                <xdr:rowOff>0</xdr:rowOff>
              </from>
              <to>
                <xdr:col>7</xdr:col>
                <xdr:colOff>60960</xdr:colOff>
                <xdr:row>11</xdr:row>
                <xdr:rowOff>38100</xdr:rowOff>
              </to>
            </anchor>
          </controlPr>
        </control>
      </mc:Choice>
      <mc:Fallback>
        <control shapeId="1029" r:id="rId15" name="optRDO"/>
      </mc:Fallback>
    </mc:AlternateContent>
    <mc:AlternateContent xmlns:mc="http://schemas.openxmlformats.org/markup-compatibility/2006">
      <mc:Choice Requires="x14">
        <control shapeId="1030" r:id="rId17" name="chkUseAutoMark">
          <controlPr defaultSize="0" autoLine="0" r:id="rId18">
            <anchor moveWithCells="1">
              <from>
                <xdr:col>2</xdr:col>
                <xdr:colOff>30480</xdr:colOff>
                <xdr:row>10</xdr:row>
                <xdr:rowOff>0</xdr:rowOff>
              </from>
              <to>
                <xdr:col>3</xdr:col>
                <xdr:colOff>60960</xdr:colOff>
                <xdr:row>11</xdr:row>
                <xdr:rowOff>45720</xdr:rowOff>
              </to>
            </anchor>
          </controlPr>
        </control>
      </mc:Choice>
      <mc:Fallback>
        <control shapeId="1030" r:id="rId17" name="chkUseAutoMark"/>
      </mc:Fallback>
    </mc:AlternateContent>
    <mc:AlternateContent xmlns:mc="http://schemas.openxmlformats.org/markup-compatibility/2006">
      <mc:Choice Requires="x14">
        <control shapeId="1047" r:id="rId19" name="optClear">
          <controlPr defaultSize="0" print="0" autoLine="0" r:id="rId20">
            <anchor moveWithCells="1">
              <from>
                <xdr:col>4</xdr:col>
                <xdr:colOff>99060</xdr:colOff>
                <xdr:row>10</xdr:row>
                <xdr:rowOff>0</xdr:rowOff>
              </from>
              <to>
                <xdr:col>7</xdr:col>
                <xdr:colOff>121920</xdr:colOff>
                <xdr:row>11</xdr:row>
                <xdr:rowOff>38100</xdr:rowOff>
              </to>
            </anchor>
          </controlPr>
        </control>
      </mc:Choice>
      <mc:Fallback>
        <control shapeId="1047" r:id="rId19" name="optClear"/>
      </mc:Fallback>
    </mc:AlternateContent>
    <mc:AlternateContent xmlns:mc="http://schemas.openxmlformats.org/markup-compatibility/2006">
      <mc:Choice Requires="x14">
        <control shapeId="1095" r:id="rId21" name="optSickLeave">
          <controlPr defaultSize="0" print="0" autoLine="0" r:id="rId22">
            <anchor moveWithCells="1">
              <from>
                <xdr:col>9</xdr:col>
                <xdr:colOff>114300</xdr:colOff>
                <xdr:row>10</xdr:row>
                <xdr:rowOff>0</xdr:rowOff>
              </from>
              <to>
                <xdr:col>13</xdr:col>
                <xdr:colOff>220980</xdr:colOff>
                <xdr:row>11</xdr:row>
                <xdr:rowOff>38100</xdr:rowOff>
              </to>
            </anchor>
          </controlPr>
        </control>
      </mc:Choice>
      <mc:Fallback>
        <control shapeId="1095" r:id="rId21" name="optSickLeave"/>
      </mc:Fallback>
    </mc:AlternateContent>
    <mc:AlternateContent xmlns:mc="http://schemas.openxmlformats.org/markup-compatibility/2006">
      <mc:Choice Requires="x14">
        <control shapeId="1104" r:id="rId23" name="optAnnualLeave">
          <controlPr defaultSize="0" print="0" autoLine="0" r:id="rId24">
            <anchor moveWithCells="1">
              <from>
                <xdr:col>15</xdr:col>
                <xdr:colOff>30480</xdr:colOff>
                <xdr:row>10</xdr:row>
                <xdr:rowOff>0</xdr:rowOff>
              </from>
              <to>
                <xdr:col>20</xdr:col>
                <xdr:colOff>129540</xdr:colOff>
                <xdr:row>11</xdr:row>
                <xdr:rowOff>38100</xdr:rowOff>
              </to>
            </anchor>
          </controlPr>
        </control>
      </mc:Choice>
      <mc:Fallback>
        <control shapeId="1104" r:id="rId23" name="optAnnualLeave"/>
      </mc:Fallback>
    </mc:AlternateContent>
    <mc:AlternateContent xmlns:mc="http://schemas.openxmlformats.org/markup-compatibility/2006">
      <mc:Choice Requires="x14">
        <control shapeId="1105" r:id="rId25" name="cboYears">
          <controlPr defaultSize="0" autoLine="0" linkedCell="$B$4" listFillRange="Years" r:id="rId26">
            <anchor moveWithCells="1">
              <from>
                <xdr:col>2</xdr:col>
                <xdr:colOff>30480</xdr:colOff>
                <xdr:row>10</xdr:row>
                <xdr:rowOff>0</xdr:rowOff>
              </from>
              <to>
                <xdr:col>2</xdr:col>
                <xdr:colOff>800100</xdr:colOff>
                <xdr:row>11</xdr:row>
                <xdr:rowOff>99060</xdr:rowOff>
              </to>
            </anchor>
          </controlPr>
        </control>
      </mc:Choice>
      <mc:Fallback>
        <control shapeId="1105" r:id="rId25" name="cboYears"/>
      </mc:Fallback>
    </mc:AlternateContent>
    <mc:AlternateContent xmlns:mc="http://schemas.openxmlformats.org/markup-compatibility/2006">
      <mc:Choice Requires="x14">
        <control shapeId="1114" r:id="rId27" name="optNA">
          <controlPr defaultSize="0" autoLine="0" r:id="rId28">
            <anchor moveWithCells="1">
              <from>
                <xdr:col>27</xdr:col>
                <xdr:colOff>182880</xdr:colOff>
                <xdr:row>10</xdr:row>
                <xdr:rowOff>0</xdr:rowOff>
              </from>
              <to>
                <xdr:col>33</xdr:col>
                <xdr:colOff>53340</xdr:colOff>
                <xdr:row>11</xdr:row>
                <xdr:rowOff>38100</xdr:rowOff>
              </to>
            </anchor>
          </controlPr>
        </control>
      </mc:Choice>
      <mc:Fallback>
        <control shapeId="1114" r:id="rId27" name="optN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">
    <pageSetUpPr autoPageBreaks="0"/>
  </sheetPr>
  <dimension ref="B2:P35"/>
  <sheetViews>
    <sheetView showRowColHeaders="0" workbookViewId="0">
      <selection activeCell="I8" sqref="I8:I18"/>
    </sheetView>
  </sheetViews>
  <sheetFormatPr defaultRowHeight="13.2"/>
  <cols>
    <col min="1" max="1" width="2.77734375" customWidth="1"/>
    <col min="2" max="2" width="7.44140625" customWidth="1"/>
    <col min="3" max="4" width="16.6640625" customWidth="1"/>
    <col min="6" max="6" width="2.77734375" customWidth="1"/>
    <col min="7" max="7" width="14.5546875" customWidth="1"/>
    <col min="8" max="8" width="2.77734375" customWidth="1"/>
    <col min="9" max="9" width="12" customWidth="1"/>
    <col min="10" max="10" width="2.77734375" customWidth="1"/>
    <col min="11" max="11" width="17.21875" customWidth="1"/>
    <col min="12" max="12" width="2.77734375" customWidth="1"/>
    <col min="13" max="13" width="13.5546875" customWidth="1"/>
    <col min="14" max="14" width="2.77734375" customWidth="1"/>
    <col min="15" max="15" width="21.21875" customWidth="1"/>
    <col min="16" max="16" width="13.88671875" customWidth="1"/>
  </cols>
  <sheetData>
    <row r="2" spans="2:16" ht="39" customHeight="1"/>
    <row r="3" spans="2:16" ht="17.399999999999999">
      <c r="C3" s="137" t="s">
        <v>24</v>
      </c>
      <c r="D3" s="138" t="s">
        <v>53</v>
      </c>
    </row>
    <row r="4" spans="2:16">
      <c r="G4" s="20" t="s">
        <v>52</v>
      </c>
    </row>
    <row r="5" spans="2:16" ht="13.8" thickBot="1"/>
    <row r="6" spans="2:16" ht="14.4" customHeight="1" thickBot="1">
      <c r="B6" s="216" t="s">
        <v>0</v>
      </c>
      <c r="C6" s="217"/>
      <c r="D6" s="217"/>
      <c r="E6" s="218"/>
      <c r="G6" s="214" t="s">
        <v>7</v>
      </c>
      <c r="I6" s="214" t="s">
        <v>12</v>
      </c>
      <c r="K6" s="214" t="s">
        <v>72</v>
      </c>
      <c r="M6" s="219" t="s">
        <v>73</v>
      </c>
      <c r="O6" s="210" t="s">
        <v>90</v>
      </c>
      <c r="P6" s="211"/>
    </row>
    <row r="7" spans="2:16" ht="14.4" customHeight="1" thickBot="1">
      <c r="B7" s="64"/>
      <c r="C7" s="65" t="s">
        <v>1</v>
      </c>
      <c r="D7" s="65" t="s">
        <v>2</v>
      </c>
      <c r="E7" s="65" t="s">
        <v>3</v>
      </c>
      <c r="G7" s="215"/>
      <c r="I7" s="215"/>
      <c r="K7" s="215"/>
      <c r="M7" s="219"/>
      <c r="O7" s="212"/>
      <c r="P7" s="213"/>
    </row>
    <row r="8" spans="2:16" ht="14.4" thickBot="1">
      <c r="B8" s="50" t="s">
        <v>30</v>
      </c>
      <c r="C8" s="58" t="s">
        <v>4</v>
      </c>
      <c r="D8" s="58" t="s">
        <v>28</v>
      </c>
      <c r="E8" s="63" t="str">
        <f>LEFT(EmpGName01)&amp;" " &amp; LEFT(EmpSName01)</f>
        <v>L M</v>
      </c>
      <c r="G8" s="59">
        <v>2016</v>
      </c>
      <c r="I8" s="159" t="s">
        <v>10</v>
      </c>
      <c r="K8" s="162">
        <v>42188</v>
      </c>
      <c r="M8" s="201">
        <f>InitialPeriodEnding</f>
        <v>42188</v>
      </c>
      <c r="O8" s="198" t="s">
        <v>92</v>
      </c>
      <c r="P8" s="202">
        <v>43831</v>
      </c>
    </row>
    <row r="9" spans="2:16" ht="14.4" thickBot="1">
      <c r="B9" s="50" t="s">
        <v>31</v>
      </c>
      <c r="C9" s="58" t="s">
        <v>6</v>
      </c>
      <c r="D9" s="58" t="s">
        <v>26</v>
      </c>
      <c r="E9" s="63" t="str">
        <f>LEFT(EmpGName02)&amp;" " &amp; LEFT(EmpSName02)</f>
        <v>K S</v>
      </c>
      <c r="G9" s="60">
        <v>2017</v>
      </c>
      <c r="I9" s="160" t="s">
        <v>11</v>
      </c>
      <c r="M9" s="201">
        <f>M8+7*2</f>
        <v>42202</v>
      </c>
      <c r="O9" s="199" t="s">
        <v>93</v>
      </c>
      <c r="P9" s="203">
        <v>43856</v>
      </c>
    </row>
    <row r="10" spans="2:16" ht="14.4" thickBot="1">
      <c r="B10" s="50" t="s">
        <v>32</v>
      </c>
      <c r="C10" s="58" t="s">
        <v>5</v>
      </c>
      <c r="D10" s="58" t="s">
        <v>27</v>
      </c>
      <c r="E10" s="63" t="str">
        <f>LEFT(EmpGName03)&amp;" " &amp; LEFT(EmpSName03)</f>
        <v>I T</v>
      </c>
      <c r="G10" s="60">
        <v>2018</v>
      </c>
      <c r="I10" s="160" t="s">
        <v>9</v>
      </c>
      <c r="M10" s="201">
        <f t="shared" ref="M10:M34" si="0">M9+7*2</f>
        <v>42216</v>
      </c>
      <c r="O10" s="199" t="s">
        <v>94</v>
      </c>
      <c r="P10" s="203">
        <v>43902</v>
      </c>
    </row>
    <row r="11" spans="2:16" ht="14.4" thickBot="1">
      <c r="B11" s="50" t="s">
        <v>33</v>
      </c>
      <c r="C11" s="58" t="s">
        <v>42</v>
      </c>
      <c r="D11" s="58" t="s">
        <v>41</v>
      </c>
      <c r="E11" s="63" t="str">
        <f>LEFT(EmpGName04)&amp;" " &amp; LEFT(EmpSName04)</f>
        <v>L K</v>
      </c>
      <c r="G11" s="60">
        <v>2019</v>
      </c>
      <c r="I11" s="160" t="s">
        <v>58</v>
      </c>
      <c r="M11" s="201">
        <f t="shared" si="0"/>
        <v>42230</v>
      </c>
      <c r="O11" s="199" t="s">
        <v>95</v>
      </c>
      <c r="P11" s="203">
        <v>43920</v>
      </c>
    </row>
    <row r="12" spans="2:16" ht="14.4" thickBot="1">
      <c r="B12" s="50" t="s">
        <v>34</v>
      </c>
      <c r="C12" s="58" t="s">
        <v>44</v>
      </c>
      <c r="D12" s="58" t="s">
        <v>43</v>
      </c>
      <c r="E12" s="63" t="str">
        <f>LEFT(EmpGName05)&amp;" " &amp; LEFT(EmpSName05)</f>
        <v>D C</v>
      </c>
      <c r="G12" s="60">
        <v>2020</v>
      </c>
      <c r="I12" s="160" t="s">
        <v>39</v>
      </c>
      <c r="M12" s="201">
        <f t="shared" si="0"/>
        <v>42244</v>
      </c>
      <c r="O12" s="199" t="s">
        <v>96</v>
      </c>
      <c r="P12" s="203">
        <v>43921</v>
      </c>
    </row>
    <row r="13" spans="2:16" ht="14.4" thickBot="1">
      <c r="B13" s="50" t="s">
        <v>35</v>
      </c>
      <c r="C13" s="58" t="s">
        <v>56</v>
      </c>
      <c r="D13" s="58" t="s">
        <v>57</v>
      </c>
      <c r="E13" s="63" t="str">
        <f>LEFT(EmpGName06)&amp;" " &amp; LEFT(EmpSName06)</f>
        <v>R F</v>
      </c>
      <c r="G13" s="60">
        <v>2021</v>
      </c>
      <c r="I13" s="160" t="s">
        <v>40</v>
      </c>
      <c r="M13" s="201">
        <f t="shared" si="0"/>
        <v>42258</v>
      </c>
      <c r="O13" s="199" t="s">
        <v>97</v>
      </c>
      <c r="P13" s="203">
        <v>43923</v>
      </c>
    </row>
    <row r="14" spans="2:16" ht="14.4" thickBot="1">
      <c r="B14" s="50" t="s">
        <v>36</v>
      </c>
      <c r="C14" s="58" t="s">
        <v>54</v>
      </c>
      <c r="D14" s="58" t="s">
        <v>55</v>
      </c>
      <c r="E14" s="63" t="str">
        <f>LEFT(EmpGName07)&amp;" " &amp; LEFT(EmpSName07)</f>
        <v>T S</v>
      </c>
      <c r="G14" s="61">
        <v>2022</v>
      </c>
      <c r="I14" s="160" t="s">
        <v>45</v>
      </c>
      <c r="M14" s="201">
        <f t="shared" si="0"/>
        <v>42272</v>
      </c>
      <c r="O14" s="199" t="s">
        <v>98</v>
      </c>
      <c r="P14" s="203">
        <v>43946</v>
      </c>
    </row>
    <row r="15" spans="2:16" ht="14.4" thickBot="1">
      <c r="B15" s="50" t="s">
        <v>37</v>
      </c>
      <c r="C15" s="58" t="s">
        <v>107</v>
      </c>
      <c r="D15" s="58" t="s">
        <v>106</v>
      </c>
      <c r="E15" s="63" t="str">
        <f>LEFT(EmpGName08)&amp;" " &amp; LEFT(EmpSName08)</f>
        <v>C H</v>
      </c>
      <c r="I15" s="160" t="s">
        <v>46</v>
      </c>
      <c r="M15" s="201">
        <f t="shared" si="0"/>
        <v>42286</v>
      </c>
      <c r="O15" s="199" t="s">
        <v>99</v>
      </c>
      <c r="P15" s="203">
        <v>43959</v>
      </c>
    </row>
    <row r="16" spans="2:16" ht="14.4" thickBot="1">
      <c r="B16" s="50" t="s">
        <v>38</v>
      </c>
      <c r="C16" s="58" t="s">
        <v>108</v>
      </c>
      <c r="D16" s="58" t="s">
        <v>109</v>
      </c>
      <c r="E16" s="63" t="str">
        <f>LEFT(EmpGName09)&amp;" " &amp; LEFT(EmpSName09)</f>
        <v>E H</v>
      </c>
      <c r="I16" s="160" t="s">
        <v>51</v>
      </c>
      <c r="M16" s="201">
        <f t="shared" si="0"/>
        <v>42300</v>
      </c>
      <c r="O16" s="199" t="s">
        <v>100</v>
      </c>
      <c r="P16" s="203">
        <v>43745</v>
      </c>
    </row>
    <row r="17" spans="2:16" ht="14.4" thickBot="1">
      <c r="B17" s="66" t="s">
        <v>47</v>
      </c>
      <c r="C17" s="58" t="s">
        <v>110</v>
      </c>
      <c r="D17" s="58" t="s">
        <v>111</v>
      </c>
      <c r="E17" s="63" t="str">
        <f>LEFT(EmpGName10)&amp;" " &amp; LEFT(EmpSName10)</f>
        <v>J S</v>
      </c>
      <c r="I17" s="160" t="s">
        <v>62</v>
      </c>
      <c r="M17" s="201">
        <f t="shared" si="0"/>
        <v>42314</v>
      </c>
      <c r="O17" s="199" t="s">
        <v>101</v>
      </c>
      <c r="P17" s="203">
        <v>43823</v>
      </c>
    </row>
    <row r="18" spans="2:16" ht="14.4" thickBot="1">
      <c r="B18" s="66" t="s">
        <v>48</v>
      </c>
      <c r="C18" s="58" t="s">
        <v>110</v>
      </c>
      <c r="D18" s="58" t="s">
        <v>112</v>
      </c>
      <c r="E18" s="63" t="str">
        <f>LEFT(EmpGName11)&amp;" " &amp; LEFT(EmpSName11)</f>
        <v>E S</v>
      </c>
      <c r="I18" s="161"/>
      <c r="M18" s="201">
        <f t="shared" si="0"/>
        <v>42328</v>
      </c>
      <c r="O18" s="199" t="s">
        <v>102</v>
      </c>
      <c r="P18" s="203">
        <v>43824</v>
      </c>
    </row>
    <row r="19" spans="2:16" ht="14.4" thickBot="1">
      <c r="B19" s="66" t="s">
        <v>49</v>
      </c>
      <c r="C19" s="163" t="s">
        <v>113</v>
      </c>
      <c r="D19" s="163" t="s">
        <v>114</v>
      </c>
      <c r="E19" s="63" t="str">
        <f>LEFT(EmpGName12)&amp;" " &amp; LEFT(EmpSName12)</f>
        <v>J J</v>
      </c>
      <c r="M19" s="201">
        <f>M18+7*2</f>
        <v>42342</v>
      </c>
      <c r="O19" s="199" t="s">
        <v>103</v>
      </c>
      <c r="P19" s="203">
        <v>43825</v>
      </c>
    </row>
    <row r="20" spans="2:16" ht="14.4" thickBot="1">
      <c r="B20" s="66" t="s">
        <v>74</v>
      </c>
      <c r="C20" s="163" t="s">
        <v>115</v>
      </c>
      <c r="D20" s="163" t="s">
        <v>115</v>
      </c>
      <c r="E20" s="63" t="str">
        <f>LEFT(EmpGName13)&amp;" " &amp; LEFT(EmpSName13)</f>
        <v>J J</v>
      </c>
      <c r="M20" s="201">
        <f t="shared" si="0"/>
        <v>42356</v>
      </c>
      <c r="O20" s="199" t="s">
        <v>104</v>
      </c>
      <c r="P20" s="203">
        <v>43830</v>
      </c>
    </row>
    <row r="21" spans="2:16" ht="14.4" thickBot="1">
      <c r="B21" s="66" t="s">
        <v>75</v>
      </c>
      <c r="C21" s="163" t="s">
        <v>116</v>
      </c>
      <c r="D21" s="163" t="s">
        <v>117</v>
      </c>
      <c r="E21" s="63" t="str">
        <f>LEFT(EmpGName14)&amp;" " &amp; LEFT(EmpSName14)</f>
        <v>J J</v>
      </c>
      <c r="M21" s="201">
        <f t="shared" si="0"/>
        <v>42370</v>
      </c>
      <c r="O21" s="199"/>
      <c r="P21" s="203"/>
    </row>
    <row r="22" spans="2:16" ht="14.4" thickBot="1">
      <c r="B22" s="66" t="s">
        <v>76</v>
      </c>
      <c r="C22" s="163" t="s">
        <v>118</v>
      </c>
      <c r="D22" s="163" t="s">
        <v>119</v>
      </c>
      <c r="E22" s="63" t="str">
        <f>LEFT(EmpGName15)&amp;" " &amp; LEFT(EmpSName15)</f>
        <v>J F</v>
      </c>
      <c r="M22" s="201">
        <f t="shared" si="0"/>
        <v>42384</v>
      </c>
      <c r="O22" s="200"/>
      <c r="P22" s="204"/>
    </row>
    <row r="23" spans="2:16" ht="14.4" thickBot="1">
      <c r="B23" s="66" t="s">
        <v>77</v>
      </c>
      <c r="C23" s="163" t="s">
        <v>118</v>
      </c>
      <c r="D23" s="163" t="s">
        <v>114</v>
      </c>
      <c r="E23" s="63" t="str">
        <f>LEFT(EmpGName16)&amp;" " &amp; LEFT(EmpSName16)</f>
        <v>J F</v>
      </c>
      <c r="M23" s="201">
        <f t="shared" si="0"/>
        <v>42398</v>
      </c>
      <c r="O23" s="44"/>
      <c r="P23" s="44"/>
    </row>
    <row r="24" spans="2:16" ht="14.4" thickBot="1">
      <c r="B24" s="66" t="s">
        <v>78</v>
      </c>
      <c r="C24" s="163" t="s">
        <v>120</v>
      </c>
      <c r="D24" s="163" t="s">
        <v>113</v>
      </c>
      <c r="E24" s="63" t="str">
        <f>LEFT(EmpGName17)&amp;" " &amp; LEFT(EmpSName17)</f>
        <v>J S</v>
      </c>
      <c r="M24" s="201">
        <f t="shared" si="0"/>
        <v>42412</v>
      </c>
    </row>
    <row r="25" spans="2:16" ht="14.4" thickBot="1">
      <c r="B25" s="66" t="s">
        <v>79</v>
      </c>
      <c r="C25" s="163" t="s">
        <v>120</v>
      </c>
      <c r="D25" s="163" t="s">
        <v>109</v>
      </c>
      <c r="E25" s="63" t="str">
        <f>LEFT(EmpGName18)&amp;" " &amp; LEFT(EmpSName18)</f>
        <v>E S</v>
      </c>
      <c r="M25" s="201">
        <f t="shared" si="0"/>
        <v>42426</v>
      </c>
    </row>
    <row r="26" spans="2:16" ht="14.4" thickBot="1">
      <c r="B26" s="66" t="s">
        <v>80</v>
      </c>
      <c r="C26" s="163"/>
      <c r="D26" s="163"/>
      <c r="E26" s="63" t="str">
        <f>LEFT(EmpGName19)&amp;" " &amp; LEFT(EmpSName19)</f>
        <v xml:space="preserve"> </v>
      </c>
      <c r="M26" s="201">
        <f t="shared" si="0"/>
        <v>42440</v>
      </c>
    </row>
    <row r="27" spans="2:16" ht="14.4" thickBot="1">
      <c r="B27" s="66" t="s">
        <v>81</v>
      </c>
      <c r="C27" s="163"/>
      <c r="D27" s="163"/>
      <c r="E27" s="63" t="str">
        <f>LEFT(EmpGName20)&amp;" " &amp; LEFT(EmpSName20)</f>
        <v xml:space="preserve"> </v>
      </c>
      <c r="M27" s="201">
        <f t="shared" si="0"/>
        <v>42454</v>
      </c>
    </row>
    <row r="28" spans="2:16" ht="14.4" thickBot="1">
      <c r="B28" s="66" t="s">
        <v>82</v>
      </c>
      <c r="C28" s="163"/>
      <c r="D28" s="163"/>
      <c r="E28" s="63" t="str">
        <f>LEFT(EmpGName21)&amp;" " &amp; LEFT(EmpSName21)</f>
        <v xml:space="preserve"> </v>
      </c>
      <c r="M28" s="201">
        <f t="shared" si="0"/>
        <v>42468</v>
      </c>
    </row>
    <row r="29" spans="2:16" ht="14.4" thickBot="1">
      <c r="B29" s="66" t="s">
        <v>83</v>
      </c>
      <c r="C29" s="163"/>
      <c r="D29" s="163"/>
      <c r="E29" s="63" t="str">
        <f>LEFT(EmpGName22)&amp;" " &amp; LEFT(EmpSName22)</f>
        <v xml:space="preserve"> </v>
      </c>
      <c r="M29" s="201">
        <f t="shared" si="0"/>
        <v>42482</v>
      </c>
    </row>
    <row r="30" spans="2:16" ht="14.4" thickBot="1">
      <c r="B30" s="66" t="s">
        <v>84</v>
      </c>
      <c r="C30" s="163"/>
      <c r="D30" s="163"/>
      <c r="E30" s="63" t="str">
        <f>LEFT(EmpGName23)&amp;" " &amp; LEFT(EmpSName23)</f>
        <v xml:space="preserve"> </v>
      </c>
      <c r="M30" s="201">
        <f t="shared" si="0"/>
        <v>42496</v>
      </c>
    </row>
    <row r="31" spans="2:16" ht="14.4" thickBot="1">
      <c r="B31" s="66" t="s">
        <v>85</v>
      </c>
      <c r="C31" s="163"/>
      <c r="D31" s="163"/>
      <c r="E31" s="63" t="str">
        <f>LEFT(EmpGName24)&amp;" " &amp; LEFT(EmpSName24)</f>
        <v xml:space="preserve"> </v>
      </c>
      <c r="M31" s="201">
        <f t="shared" si="0"/>
        <v>42510</v>
      </c>
    </row>
    <row r="32" spans="2:16" ht="14.4" thickBot="1">
      <c r="B32" s="66" t="s">
        <v>86</v>
      </c>
      <c r="C32" s="163"/>
      <c r="D32" s="163"/>
      <c r="E32" s="63" t="str">
        <f>LEFT(EmpGName25)&amp;" " &amp; LEFT(EmpSName25)</f>
        <v xml:space="preserve"> </v>
      </c>
      <c r="M32" s="201">
        <f t="shared" si="0"/>
        <v>42524</v>
      </c>
    </row>
    <row r="33" spans="2:13" ht="14.4" thickBot="1">
      <c r="B33" s="66" t="s">
        <v>87</v>
      </c>
      <c r="C33" s="163"/>
      <c r="D33" s="163"/>
      <c r="E33" s="63" t="str">
        <f>LEFT(EmpGName26)&amp;" " &amp; LEFT(EmpSName26)</f>
        <v xml:space="preserve"> </v>
      </c>
      <c r="M33" s="201">
        <f t="shared" si="0"/>
        <v>42538</v>
      </c>
    </row>
    <row r="34" spans="2:13" ht="14.4" thickBot="1">
      <c r="B34" s="66" t="s">
        <v>88</v>
      </c>
      <c r="C34" s="163"/>
      <c r="D34" s="163"/>
      <c r="E34" s="63" t="str">
        <f>LEFT(EmpGName27)&amp;" " &amp; LEFT(EmpSName27)</f>
        <v xml:space="preserve"> </v>
      </c>
      <c r="M34" s="201">
        <f t="shared" si="0"/>
        <v>42552</v>
      </c>
    </row>
    <row r="35" spans="2:13" ht="14.4" thickBot="1">
      <c r="B35" s="67" t="s">
        <v>89</v>
      </c>
      <c r="C35" s="164"/>
      <c r="D35" s="164"/>
      <c r="E35" s="91" t="str">
        <f>LEFT(EmpGName28)&amp;" " &amp; LEFT(EmpSName28)</f>
        <v xml:space="preserve"> </v>
      </c>
    </row>
  </sheetData>
  <sheetProtection sheet="1" objects="1" scenarios="1" selectLockedCells="1"/>
  <customSheetViews>
    <customSheetView guid="{AD9D0CFE-E6C4-49DD-B2D2-304A3BF30C6C}" showGridLines="0" showRowCol="0" showRuler="0">
      <selection activeCell="B8" sqref="B8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  <customSheetView guid="{9CC23DA7-DD7F-416D-ABE1-6A68EF4528AC}" showGridLines="0" showRowCol="0" showRuler="0">
      <selection activeCell="D14" sqref="D14"/>
    </customSheetView>
  </customSheetViews>
  <mergeCells count="6">
    <mergeCell ref="O6:P7"/>
    <mergeCell ref="G6:G7"/>
    <mergeCell ref="I6:I7"/>
    <mergeCell ref="B6:E6"/>
    <mergeCell ref="K6:K7"/>
    <mergeCell ref="M6:M7"/>
  </mergeCells>
  <phoneticPr fontId="0" type="noConversion"/>
  <pageMargins left="0.75" right="0.75" top="1" bottom="1" header="0.5" footer="0.5"/>
  <pageSetup paperSize="9" orientation="portrait" horizontalDpi="4294967293" verticalDpi="4294967293" r:id="rId2"/>
  <headerFooter alignWithMargins="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1">
    <pageSetUpPr autoPageBreaks="0"/>
  </sheetPr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ColWidth="9.109375" defaultRowHeight="13.2"/>
  <cols>
    <col min="1" max="1" width="4.44140625" style="20" customWidth="1"/>
    <col min="2" max="2" width="10.109375" style="46" customWidth="1"/>
    <col min="3" max="33" width="4.109375" style="20" customWidth="1"/>
    <col min="34" max="16384" width="9.109375" style="20"/>
  </cols>
  <sheetData>
    <row r="1" spans="2:33" s="26" customFormat="1">
      <c r="B1" s="47"/>
    </row>
    <row r="2" spans="2:33" s="26" customFormat="1" ht="24.75" customHeight="1">
      <c r="B2" s="47"/>
      <c r="I2" s="117" t="str">
        <f>Location</f>
        <v>Oodlawirra Quarantine Station</v>
      </c>
      <c r="J2" s="100"/>
      <c r="K2" s="100"/>
      <c r="L2" s="100"/>
      <c r="M2" s="100"/>
      <c r="N2" s="100"/>
      <c r="O2" s="100"/>
      <c r="P2" s="100"/>
      <c r="Q2" s="100"/>
      <c r="R2" s="117" t="str">
        <f xml:space="preserve"> "Financial Year Commencing 1st July, " &amp; CurYear -1</f>
        <v>Financial Year Commencing 1st July, 2019</v>
      </c>
      <c r="S2" s="34"/>
      <c r="T2" s="100"/>
      <c r="U2" s="100"/>
      <c r="V2" s="34"/>
      <c r="W2" s="100"/>
      <c r="X2" s="100"/>
      <c r="Y2" s="100"/>
      <c r="Z2" s="100"/>
      <c r="AA2" s="100"/>
      <c r="AB2" s="100"/>
      <c r="AC2" s="100"/>
      <c r="AD2" s="100"/>
      <c r="AE2" s="100"/>
      <c r="AF2" s="100"/>
    </row>
    <row r="3" spans="2:33" s="26" customFormat="1" ht="27" customHeight="1">
      <c r="B3" s="47"/>
      <c r="I3" s="118" t="s">
        <v>25</v>
      </c>
      <c r="R3" s="118" t="str">
        <f>EmpGName01 &amp;" " &amp; EmpSName01</f>
        <v>Luciano Marampon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97" customFormat="1" ht="13.8" thickBot="1">
      <c r="B4" s="98"/>
      <c r="C4" s="28" t="str">
        <f>LEFT(TEXT(C5&amp;"-"&amp;$B5&amp;"-"&amp;CurYear-1,"ddd"),2)</f>
        <v>Mo</v>
      </c>
      <c r="D4" s="28" t="str">
        <f t="shared" ref="D4:AG4" si="0">LEFT(TEXT(D5&amp;"-"&amp;$B5&amp;"-"&amp;CurYear-1,"ddd"),2)</f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97" t="str">
        <f t="shared" si="0"/>
        <v>We</v>
      </c>
    </row>
    <row r="5" spans="2:33" ht="14.4" thickTop="1" thickBot="1">
      <c r="B5" s="101" t="str">
        <f>Roster!C13</f>
        <v>July</v>
      </c>
      <c r="C5" s="102">
        <v>1</v>
      </c>
      <c r="D5" s="103">
        <v>2</v>
      </c>
      <c r="E5" s="103">
        <v>3</v>
      </c>
      <c r="F5" s="103">
        <v>4</v>
      </c>
      <c r="G5" s="103">
        <v>5</v>
      </c>
      <c r="H5" s="103">
        <v>6</v>
      </c>
      <c r="I5" s="103">
        <v>7</v>
      </c>
      <c r="J5" s="103">
        <v>8</v>
      </c>
      <c r="K5" s="103">
        <v>9</v>
      </c>
      <c r="L5" s="103">
        <v>10</v>
      </c>
      <c r="M5" s="103">
        <v>11</v>
      </c>
      <c r="N5" s="103">
        <v>12</v>
      </c>
      <c r="O5" s="103">
        <v>13</v>
      </c>
      <c r="P5" s="103">
        <v>14</v>
      </c>
      <c r="Q5" s="103">
        <v>15</v>
      </c>
      <c r="R5" s="103">
        <v>16</v>
      </c>
      <c r="S5" s="103">
        <v>17</v>
      </c>
      <c r="T5" s="103">
        <v>18</v>
      </c>
      <c r="U5" s="103">
        <v>19</v>
      </c>
      <c r="V5" s="103">
        <v>20</v>
      </c>
      <c r="W5" s="103">
        <v>21</v>
      </c>
      <c r="X5" s="103">
        <v>22</v>
      </c>
      <c r="Y5" s="103">
        <v>23</v>
      </c>
      <c r="Z5" s="103">
        <v>24</v>
      </c>
      <c r="AA5" s="103">
        <v>25</v>
      </c>
      <c r="AB5" s="103">
        <v>26</v>
      </c>
      <c r="AC5" s="103">
        <v>27</v>
      </c>
      <c r="AD5" s="103">
        <v>28</v>
      </c>
      <c r="AE5" s="103">
        <v>29</v>
      </c>
      <c r="AF5" s="103">
        <v>30</v>
      </c>
      <c r="AG5" s="104">
        <v>31</v>
      </c>
    </row>
    <row r="6" spans="2:33" ht="14.4" thickTop="1" thickBot="1">
      <c r="B6" s="101">
        <f>CurYear-1</f>
        <v>2019</v>
      </c>
      <c r="C6" s="36" t="str">
        <f>Roster!D14</f>
        <v>.</v>
      </c>
      <c r="D6" s="37" t="str">
        <f>Roster!E14</f>
        <v>.</v>
      </c>
      <c r="E6" s="37" t="str">
        <f>Roster!F14</f>
        <v>.</v>
      </c>
      <c r="F6" s="37" t="str">
        <f>Roster!G14</f>
        <v>.</v>
      </c>
      <c r="G6" s="37" t="str">
        <f>Roster!H14</f>
        <v>.</v>
      </c>
      <c r="H6" s="37" t="str">
        <f>Roster!I14</f>
        <v>.</v>
      </c>
      <c r="I6" s="37" t="str">
        <f>Roster!J14</f>
        <v>.</v>
      </c>
      <c r="J6" s="37" t="str">
        <f>Roster!K14</f>
        <v>.</v>
      </c>
      <c r="K6" s="37" t="str">
        <f>Roster!L14</f>
        <v>.</v>
      </c>
      <c r="L6" s="37" t="str">
        <f>Roster!M14</f>
        <v>.</v>
      </c>
      <c r="M6" s="37" t="str">
        <f>Roster!N14</f>
        <v>.</v>
      </c>
      <c r="N6" s="37" t="str">
        <f>Roster!O14</f>
        <v>.</v>
      </c>
      <c r="O6" s="37" t="str">
        <f>Roster!P14</f>
        <v>.</v>
      </c>
      <c r="P6" s="37" t="str">
        <f>Roster!Q14</f>
        <v>.</v>
      </c>
      <c r="Q6" s="37" t="str">
        <f>Roster!R14</f>
        <v>.</v>
      </c>
      <c r="R6" s="37" t="str">
        <f>Roster!S14</f>
        <v>.</v>
      </c>
      <c r="S6" s="37" t="str">
        <f>Roster!T14</f>
        <v>.</v>
      </c>
      <c r="T6" s="37" t="str">
        <f>Roster!U14</f>
        <v>.</v>
      </c>
      <c r="U6" s="37" t="str">
        <f>Roster!V14</f>
        <v>.</v>
      </c>
      <c r="V6" s="37" t="str">
        <f>Roster!W14</f>
        <v>.</v>
      </c>
      <c r="W6" s="37" t="str">
        <f>Roster!X14</f>
        <v>.</v>
      </c>
      <c r="X6" s="37" t="str">
        <f>Roster!Y14</f>
        <v>.</v>
      </c>
      <c r="Y6" s="37" t="str">
        <f>Roster!Z14</f>
        <v>.</v>
      </c>
      <c r="Z6" s="37" t="str">
        <f>Roster!AA14</f>
        <v>.</v>
      </c>
      <c r="AA6" s="37" t="str">
        <f>Roster!AB14</f>
        <v>.</v>
      </c>
      <c r="AB6" s="37" t="str">
        <f>Roster!AC14</f>
        <v>.</v>
      </c>
      <c r="AC6" s="37" t="str">
        <f>Roster!AD14</f>
        <v>.</v>
      </c>
      <c r="AD6" s="37" t="str">
        <f>Roster!AE14</f>
        <v>.</v>
      </c>
      <c r="AE6" s="37" t="str">
        <f>Roster!AF14</f>
        <v>.</v>
      </c>
      <c r="AF6" s="37" t="str">
        <f>Roster!AG14</f>
        <v>.</v>
      </c>
      <c r="AG6" s="38" t="str">
        <f>Roster!AH14</f>
        <v>.</v>
      </c>
    </row>
    <row r="7" spans="2:33" ht="14.4" thickTop="1" thickBot="1"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21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3" ht="14.4" thickTop="1" thickBot="1">
      <c r="B8" s="101" t="str">
        <f>Roster!C44</f>
        <v>August</v>
      </c>
      <c r="C8" s="102">
        <v>1</v>
      </c>
      <c r="D8" s="103">
        <v>2</v>
      </c>
      <c r="E8" s="103">
        <v>3</v>
      </c>
      <c r="F8" s="103">
        <v>4</v>
      </c>
      <c r="G8" s="103">
        <v>5</v>
      </c>
      <c r="H8" s="103">
        <v>6</v>
      </c>
      <c r="I8" s="103">
        <v>7</v>
      </c>
      <c r="J8" s="103">
        <v>8</v>
      </c>
      <c r="K8" s="103">
        <v>9</v>
      </c>
      <c r="L8" s="103">
        <v>10</v>
      </c>
      <c r="M8" s="103">
        <v>11</v>
      </c>
      <c r="N8" s="103">
        <v>12</v>
      </c>
      <c r="O8" s="103">
        <v>13</v>
      </c>
      <c r="P8" s="103">
        <v>14</v>
      </c>
      <c r="Q8" s="103">
        <v>15</v>
      </c>
      <c r="R8" s="103">
        <v>16</v>
      </c>
      <c r="S8" s="103">
        <v>17</v>
      </c>
      <c r="T8" s="103">
        <v>18</v>
      </c>
      <c r="U8" s="103">
        <v>19</v>
      </c>
      <c r="V8" s="103">
        <v>20</v>
      </c>
      <c r="W8" s="103">
        <v>21</v>
      </c>
      <c r="X8" s="103">
        <v>22</v>
      </c>
      <c r="Y8" s="103">
        <v>23</v>
      </c>
      <c r="Z8" s="103">
        <v>24</v>
      </c>
      <c r="AA8" s="103">
        <v>25</v>
      </c>
      <c r="AB8" s="103">
        <v>26</v>
      </c>
      <c r="AC8" s="103">
        <v>27</v>
      </c>
      <c r="AD8" s="106">
        <v>28</v>
      </c>
      <c r="AE8" s="103">
        <v>29</v>
      </c>
      <c r="AF8" s="107">
        <v>30</v>
      </c>
      <c r="AG8" s="104">
        <v>31</v>
      </c>
    </row>
    <row r="9" spans="2:33" ht="14.4" thickTop="1" thickBot="1">
      <c r="B9" s="101">
        <f>CurYear-1</f>
        <v>2019</v>
      </c>
      <c r="C9" s="36" t="str">
        <f>Roster!D45</f>
        <v>.</v>
      </c>
      <c r="D9" s="39" t="str">
        <f>Roster!E45</f>
        <v>.</v>
      </c>
      <c r="E9" s="37" t="str">
        <f>Roster!F45</f>
        <v>.</v>
      </c>
      <c r="F9" s="37" t="str">
        <f>Roster!G45</f>
        <v>.</v>
      </c>
      <c r="G9" s="37" t="str">
        <f>Roster!H45</f>
        <v>.</v>
      </c>
      <c r="H9" s="37" t="str">
        <f>Roster!I45</f>
        <v>.</v>
      </c>
      <c r="I9" s="37" t="str">
        <f>Roster!J45</f>
        <v>.</v>
      </c>
      <c r="J9" s="37" t="str">
        <f>Roster!K45</f>
        <v>.</v>
      </c>
      <c r="K9" s="37" t="str">
        <f>Roster!L45</f>
        <v>.</v>
      </c>
      <c r="L9" s="37" t="str">
        <f>Roster!M45</f>
        <v>.</v>
      </c>
      <c r="M9" s="37" t="str">
        <f>Roster!N45</f>
        <v>.</v>
      </c>
      <c r="N9" s="37" t="str">
        <f>Roster!O45</f>
        <v>.</v>
      </c>
      <c r="O9" s="37" t="str">
        <f>Roster!P45</f>
        <v>.</v>
      </c>
      <c r="P9" s="37" t="str">
        <f>Roster!Q45</f>
        <v>.</v>
      </c>
      <c r="Q9" s="37" t="str">
        <f>Roster!R45</f>
        <v>.</v>
      </c>
      <c r="R9" s="37" t="str">
        <f>Roster!S45</f>
        <v>.</v>
      </c>
      <c r="S9" s="37" t="str">
        <f>Roster!T45</f>
        <v>.</v>
      </c>
      <c r="T9" s="37" t="str">
        <f>Roster!U45</f>
        <v>.</v>
      </c>
      <c r="U9" s="37" t="str">
        <f>Roster!V45</f>
        <v>.</v>
      </c>
      <c r="V9" s="37" t="str">
        <f>Roster!W45</f>
        <v>.</v>
      </c>
      <c r="W9" s="37" t="str">
        <f>Roster!X45</f>
        <v>.</v>
      </c>
      <c r="X9" s="37" t="str">
        <f>Roster!Y45</f>
        <v>.</v>
      </c>
      <c r="Y9" s="37" t="str">
        <f>Roster!Z45</f>
        <v>.</v>
      </c>
      <c r="Z9" s="37" t="str">
        <f>Roster!AA45</f>
        <v>.</v>
      </c>
      <c r="AA9" s="37" t="str">
        <f>Roster!AB45</f>
        <v>.</v>
      </c>
      <c r="AB9" s="37" t="str">
        <f>Roster!AC45</f>
        <v>.</v>
      </c>
      <c r="AC9" s="37" t="str">
        <f>Roster!AD45</f>
        <v>.</v>
      </c>
      <c r="AD9" s="43" t="str">
        <f>Roster!AE45</f>
        <v>.</v>
      </c>
      <c r="AE9" s="37" t="str">
        <f>Roster!AF45</f>
        <v>.</v>
      </c>
      <c r="AF9" s="39" t="str">
        <f>Roster!AG45</f>
        <v>.</v>
      </c>
      <c r="AG9" s="38" t="str">
        <f>Roster!AH45</f>
        <v>.</v>
      </c>
    </row>
    <row r="10" spans="2:33" ht="14.4" thickTop="1" thickBot="1"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8" t="str">
        <f t="shared" si="2"/>
        <v>Su</v>
      </c>
      <c r="AF10" s="21" t="str">
        <f t="shared" si="2"/>
        <v>Mo</v>
      </c>
      <c r="AG10" s="108"/>
    </row>
    <row r="11" spans="2:33" ht="14.4" thickTop="1" thickBot="1">
      <c r="B11" s="101" t="str">
        <f>Roster!C75</f>
        <v>September</v>
      </c>
      <c r="C11" s="109">
        <v>1</v>
      </c>
      <c r="D11" s="110">
        <v>2</v>
      </c>
      <c r="E11" s="110">
        <v>3</v>
      </c>
      <c r="F11" s="110">
        <v>4</v>
      </c>
      <c r="G11" s="110">
        <v>5</v>
      </c>
      <c r="H11" s="110">
        <v>6</v>
      </c>
      <c r="I11" s="110">
        <v>7</v>
      </c>
      <c r="J11" s="110">
        <v>8</v>
      </c>
      <c r="K11" s="110">
        <v>9</v>
      </c>
      <c r="L11" s="110">
        <v>10</v>
      </c>
      <c r="M11" s="110">
        <v>11</v>
      </c>
      <c r="N11" s="110">
        <v>12</v>
      </c>
      <c r="O11" s="110">
        <v>13</v>
      </c>
      <c r="P11" s="110">
        <v>14</v>
      </c>
      <c r="Q11" s="110">
        <v>15</v>
      </c>
      <c r="R11" s="110">
        <v>16</v>
      </c>
      <c r="S11" s="110">
        <v>17</v>
      </c>
      <c r="T11" s="110">
        <v>18</v>
      </c>
      <c r="U11" s="110">
        <v>19</v>
      </c>
      <c r="V11" s="110">
        <v>20</v>
      </c>
      <c r="W11" s="110">
        <v>21</v>
      </c>
      <c r="X11" s="110">
        <v>22</v>
      </c>
      <c r="Y11" s="110">
        <v>23</v>
      </c>
      <c r="Z11" s="110">
        <v>24</v>
      </c>
      <c r="AA11" s="110">
        <v>25</v>
      </c>
      <c r="AB11" s="110">
        <v>26</v>
      </c>
      <c r="AC11" s="110">
        <v>27</v>
      </c>
      <c r="AD11" s="110">
        <v>28</v>
      </c>
      <c r="AE11" s="110">
        <v>29</v>
      </c>
      <c r="AF11" s="111">
        <v>30</v>
      </c>
    </row>
    <row r="12" spans="2:33" ht="14.4" thickTop="1" thickBot="1">
      <c r="B12" s="101">
        <f>CurYear-1</f>
        <v>2019</v>
      </c>
      <c r="C12" s="36" t="str">
        <f>Roster!D76</f>
        <v>.</v>
      </c>
      <c r="D12" s="37" t="str">
        <f>Roster!E76</f>
        <v>.</v>
      </c>
      <c r="E12" s="37" t="str">
        <f>Roster!F76</f>
        <v>.</v>
      </c>
      <c r="F12" s="37" t="str">
        <f>Roster!G76</f>
        <v>.</v>
      </c>
      <c r="G12" s="37" t="str">
        <f>Roster!H76</f>
        <v>.</v>
      </c>
      <c r="H12" s="37" t="str">
        <f>Roster!I76</f>
        <v>.</v>
      </c>
      <c r="I12" s="37" t="str">
        <f>Roster!J76</f>
        <v>.</v>
      </c>
      <c r="J12" s="37" t="str">
        <f>Roster!K76</f>
        <v>.</v>
      </c>
      <c r="K12" s="37" t="str">
        <f>Roster!L76</f>
        <v>.</v>
      </c>
      <c r="L12" s="37" t="str">
        <f>Roster!M76</f>
        <v>.</v>
      </c>
      <c r="M12" s="37" t="str">
        <f>Roster!N76</f>
        <v>.</v>
      </c>
      <c r="N12" s="37" t="str">
        <f>Roster!O76</f>
        <v>.</v>
      </c>
      <c r="O12" s="37" t="str">
        <f>Roster!P76</f>
        <v>.</v>
      </c>
      <c r="P12" s="37" t="str">
        <f>Roster!Q76</f>
        <v>.</v>
      </c>
      <c r="Q12" s="37" t="str">
        <f>Roster!R76</f>
        <v>.</v>
      </c>
      <c r="R12" s="37" t="str">
        <f>Roster!S76</f>
        <v>.</v>
      </c>
      <c r="S12" s="37" t="str">
        <f>Roster!T76</f>
        <v>.</v>
      </c>
      <c r="T12" s="37" t="str">
        <f>Roster!U76</f>
        <v>.</v>
      </c>
      <c r="U12" s="37" t="str">
        <f>Roster!V76</f>
        <v>.</v>
      </c>
      <c r="V12" s="37" t="str">
        <f>Roster!W76</f>
        <v>.</v>
      </c>
      <c r="W12" s="37" t="str">
        <f>Roster!X76</f>
        <v>.</v>
      </c>
      <c r="X12" s="37" t="str">
        <f>Roster!Y76</f>
        <v>.</v>
      </c>
      <c r="Y12" s="37" t="str">
        <f>Roster!Z76</f>
        <v>.</v>
      </c>
      <c r="Z12" s="37" t="str">
        <f>Roster!AA76</f>
        <v>.</v>
      </c>
      <c r="AA12" s="37" t="str">
        <f>Roster!AB76</f>
        <v>.</v>
      </c>
      <c r="AB12" s="37" t="str">
        <f>Roster!AC76</f>
        <v>.</v>
      </c>
      <c r="AC12" s="37" t="str">
        <f>Roster!AD76</f>
        <v>.</v>
      </c>
      <c r="AD12" s="37" t="str">
        <f>Roster!AE76</f>
        <v>.</v>
      </c>
      <c r="AE12" s="37" t="str">
        <f>Roster!AF76</f>
        <v>.</v>
      </c>
      <c r="AF12" s="38" t="str">
        <f>Roster!AG76</f>
        <v>.</v>
      </c>
    </row>
    <row r="13" spans="2:33" ht="14.4" thickTop="1" thickBot="1"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20" t="str">
        <f t="shared" si="3"/>
        <v>Th</v>
      </c>
    </row>
    <row r="14" spans="2:33" ht="14.4" thickTop="1" thickBot="1">
      <c r="B14" s="101" t="str">
        <f>Roster!C106</f>
        <v>October</v>
      </c>
      <c r="C14" s="102">
        <v>1</v>
      </c>
      <c r="D14" s="103">
        <v>2</v>
      </c>
      <c r="E14" s="103">
        <v>3</v>
      </c>
      <c r="F14" s="103">
        <v>4</v>
      </c>
      <c r="G14" s="103">
        <v>5</v>
      </c>
      <c r="H14" s="103">
        <v>6</v>
      </c>
      <c r="I14" s="103">
        <v>7</v>
      </c>
      <c r="J14" s="103">
        <v>8</v>
      </c>
      <c r="K14" s="103">
        <v>9</v>
      </c>
      <c r="L14" s="103">
        <v>10</v>
      </c>
      <c r="M14" s="103">
        <v>11</v>
      </c>
      <c r="N14" s="103">
        <v>12</v>
      </c>
      <c r="O14" s="103">
        <v>13</v>
      </c>
      <c r="P14" s="103">
        <v>14</v>
      </c>
      <c r="Q14" s="103">
        <v>15</v>
      </c>
      <c r="R14" s="103">
        <v>16</v>
      </c>
      <c r="S14" s="103">
        <v>17</v>
      </c>
      <c r="T14" s="103">
        <v>18</v>
      </c>
      <c r="U14" s="103">
        <v>19</v>
      </c>
      <c r="V14" s="103">
        <v>20</v>
      </c>
      <c r="W14" s="103">
        <v>21</v>
      </c>
      <c r="X14" s="103">
        <v>22</v>
      </c>
      <c r="Y14" s="103">
        <v>23</v>
      </c>
      <c r="Z14" s="103">
        <v>24</v>
      </c>
      <c r="AA14" s="103">
        <v>25</v>
      </c>
      <c r="AB14" s="103">
        <v>26</v>
      </c>
      <c r="AC14" s="103">
        <v>27</v>
      </c>
      <c r="AD14" s="103">
        <v>28</v>
      </c>
      <c r="AE14" s="103">
        <v>29</v>
      </c>
      <c r="AF14" s="103">
        <v>30</v>
      </c>
      <c r="AG14" s="104">
        <v>31</v>
      </c>
    </row>
    <row r="15" spans="2:33" ht="14.4" thickTop="1" thickBot="1">
      <c r="B15" s="101">
        <f>CurYear-1</f>
        <v>2019</v>
      </c>
      <c r="C15" s="36" t="str">
        <f>Roster!D107</f>
        <v>.</v>
      </c>
      <c r="D15" s="37" t="str">
        <f>Roster!E107</f>
        <v>.</v>
      </c>
      <c r="E15" s="37" t="str">
        <f>Roster!F107</f>
        <v>.</v>
      </c>
      <c r="F15" s="37" t="str">
        <f>Roster!G107</f>
        <v>.</v>
      </c>
      <c r="G15" s="37" t="str">
        <f>Roster!H107</f>
        <v>.</v>
      </c>
      <c r="H15" s="37" t="str">
        <f>Roster!I107</f>
        <v>.</v>
      </c>
      <c r="I15" s="37" t="str">
        <f>Roster!J107</f>
        <v>.</v>
      </c>
      <c r="J15" s="37" t="str">
        <f>Roster!K107</f>
        <v>.</v>
      </c>
      <c r="K15" s="37" t="str">
        <f>Roster!L107</f>
        <v>.</v>
      </c>
      <c r="L15" s="37" t="str">
        <f>Roster!M107</f>
        <v>.</v>
      </c>
      <c r="M15" s="37" t="str">
        <f>Roster!N107</f>
        <v>.</v>
      </c>
      <c r="N15" s="37" t="str">
        <f>Roster!O107</f>
        <v>.</v>
      </c>
      <c r="O15" s="37" t="str">
        <f>Roster!P107</f>
        <v>.</v>
      </c>
      <c r="P15" s="37" t="str">
        <f>Roster!Q107</f>
        <v>.</v>
      </c>
      <c r="Q15" s="37" t="str">
        <f>Roster!R107</f>
        <v>.</v>
      </c>
      <c r="R15" s="37" t="str">
        <f>Roster!S107</f>
        <v>.</v>
      </c>
      <c r="S15" s="37" t="str">
        <f>Roster!T107</f>
        <v>.</v>
      </c>
      <c r="T15" s="37" t="str">
        <f>Roster!U107</f>
        <v>.</v>
      </c>
      <c r="U15" s="37" t="str">
        <f>Roster!V107</f>
        <v>.</v>
      </c>
      <c r="V15" s="37" t="str">
        <f>Roster!W107</f>
        <v>.</v>
      </c>
      <c r="W15" s="37" t="str">
        <f>Roster!X107</f>
        <v>.</v>
      </c>
      <c r="X15" s="37" t="str">
        <f>Roster!Y107</f>
        <v>.</v>
      </c>
      <c r="Y15" s="37" t="str">
        <f>Roster!Z107</f>
        <v>.</v>
      </c>
      <c r="Z15" s="37" t="str">
        <f>Roster!AA107</f>
        <v>.</v>
      </c>
      <c r="AA15" s="37" t="str">
        <f>Roster!AB107</f>
        <v>.</v>
      </c>
      <c r="AB15" s="37" t="str">
        <f>Roster!AC107</f>
        <v>.</v>
      </c>
      <c r="AC15" s="37" t="str">
        <f>Roster!AD107</f>
        <v>.</v>
      </c>
      <c r="AD15" s="37" t="str">
        <f>Roster!AE107</f>
        <v>.</v>
      </c>
      <c r="AE15" s="37" t="str">
        <f>Roster!AF107</f>
        <v>.</v>
      </c>
      <c r="AF15" s="37" t="str">
        <f>Roster!AG107</f>
        <v>.</v>
      </c>
      <c r="AG15" s="38" t="str">
        <f>Roster!AH107</f>
        <v>.</v>
      </c>
    </row>
    <row r="16" spans="2:33" ht="14.4" thickTop="1" thickBot="1"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08"/>
    </row>
    <row r="17" spans="2:33" ht="14.4" thickTop="1" thickBot="1">
      <c r="B17" s="101" t="str">
        <f>Roster!C137</f>
        <v>November</v>
      </c>
      <c r="C17" s="109">
        <v>1</v>
      </c>
      <c r="D17" s="110">
        <v>2</v>
      </c>
      <c r="E17" s="110">
        <v>3</v>
      </c>
      <c r="F17" s="110">
        <v>4</v>
      </c>
      <c r="G17" s="110">
        <v>5</v>
      </c>
      <c r="H17" s="110">
        <v>6</v>
      </c>
      <c r="I17" s="110">
        <v>7</v>
      </c>
      <c r="J17" s="110">
        <v>8</v>
      </c>
      <c r="K17" s="110">
        <v>9</v>
      </c>
      <c r="L17" s="110">
        <v>10</v>
      </c>
      <c r="M17" s="110">
        <v>11</v>
      </c>
      <c r="N17" s="110">
        <v>12</v>
      </c>
      <c r="O17" s="110">
        <v>13</v>
      </c>
      <c r="P17" s="110">
        <v>14</v>
      </c>
      <c r="Q17" s="110">
        <v>15</v>
      </c>
      <c r="R17" s="110">
        <v>16</v>
      </c>
      <c r="S17" s="110">
        <v>17</v>
      </c>
      <c r="T17" s="110">
        <v>18</v>
      </c>
      <c r="U17" s="110">
        <v>19</v>
      </c>
      <c r="V17" s="110">
        <v>20</v>
      </c>
      <c r="W17" s="110">
        <v>21</v>
      </c>
      <c r="X17" s="110">
        <v>22</v>
      </c>
      <c r="Y17" s="110">
        <v>23</v>
      </c>
      <c r="Z17" s="110">
        <v>24</v>
      </c>
      <c r="AA17" s="110">
        <v>25</v>
      </c>
      <c r="AB17" s="110">
        <v>26</v>
      </c>
      <c r="AC17" s="110">
        <v>27</v>
      </c>
      <c r="AD17" s="110">
        <v>28</v>
      </c>
      <c r="AE17" s="110">
        <v>29</v>
      </c>
      <c r="AF17" s="111">
        <v>30</v>
      </c>
    </row>
    <row r="18" spans="2:33" ht="14.4" thickTop="1" thickBot="1">
      <c r="B18" s="101">
        <f>CurYear-1</f>
        <v>2019</v>
      </c>
      <c r="C18" s="36" t="str">
        <f>Roster!D138</f>
        <v>.</v>
      </c>
      <c r="D18" s="37" t="str">
        <f>Roster!E138</f>
        <v>.</v>
      </c>
      <c r="E18" s="37" t="str">
        <f>Roster!F138</f>
        <v>.</v>
      </c>
      <c r="F18" s="37" t="str">
        <f>Roster!G138</f>
        <v>.</v>
      </c>
      <c r="G18" s="37" t="str">
        <f>Roster!H138</f>
        <v>.</v>
      </c>
      <c r="H18" s="37" t="str">
        <f>Roster!I138</f>
        <v>.</v>
      </c>
      <c r="I18" s="37" t="str">
        <f>Roster!J138</f>
        <v>.</v>
      </c>
      <c r="J18" s="37" t="str">
        <f>Roster!K138</f>
        <v>.</v>
      </c>
      <c r="K18" s="37" t="str">
        <f>Roster!L138</f>
        <v>.</v>
      </c>
      <c r="L18" s="37" t="str">
        <f>Roster!M138</f>
        <v>.</v>
      </c>
      <c r="M18" s="37" t="str">
        <f>Roster!N138</f>
        <v>.</v>
      </c>
      <c r="N18" s="37" t="str">
        <f>Roster!O138</f>
        <v>.</v>
      </c>
      <c r="O18" s="37" t="str">
        <f>Roster!P138</f>
        <v>.</v>
      </c>
      <c r="P18" s="37" t="str">
        <f>Roster!Q138</f>
        <v>.</v>
      </c>
      <c r="Q18" s="37" t="str">
        <f>Roster!R138</f>
        <v>.</v>
      </c>
      <c r="R18" s="37" t="str">
        <f>Roster!S138</f>
        <v>.</v>
      </c>
      <c r="S18" s="37" t="str">
        <f>Roster!T138</f>
        <v>.</v>
      </c>
      <c r="T18" s="37" t="str">
        <f>Roster!U138</f>
        <v>.</v>
      </c>
      <c r="U18" s="37" t="str">
        <f>Roster!V138</f>
        <v>.</v>
      </c>
      <c r="V18" s="37" t="str">
        <f>Roster!W138</f>
        <v>.</v>
      </c>
      <c r="W18" s="37" t="str">
        <f>Roster!X138</f>
        <v>.</v>
      </c>
      <c r="X18" s="37" t="str">
        <f>Roster!Y138</f>
        <v>.</v>
      </c>
      <c r="Y18" s="37" t="str">
        <f>Roster!Z138</f>
        <v>.</v>
      </c>
      <c r="Z18" s="37" t="str">
        <f>Roster!AA138</f>
        <v>.</v>
      </c>
      <c r="AA18" s="37" t="str">
        <f>Roster!AB138</f>
        <v>.</v>
      </c>
      <c r="AB18" s="37" t="str">
        <f>Roster!AC138</f>
        <v>.</v>
      </c>
      <c r="AC18" s="37" t="str">
        <f>Roster!AD138</f>
        <v>.</v>
      </c>
      <c r="AD18" s="37" t="str">
        <f>Roster!AE138</f>
        <v>.</v>
      </c>
      <c r="AE18" s="37" t="str">
        <f>Roster!AF138</f>
        <v>.</v>
      </c>
      <c r="AF18" s="38" t="str">
        <f>Roster!AG138</f>
        <v>.</v>
      </c>
      <c r="AG18" s="112"/>
    </row>
    <row r="19" spans="2:33" ht="14.4" thickTop="1" thickBot="1"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101" t="str">
        <f>Roster!C168</f>
        <v>December</v>
      </c>
      <c r="C20" s="102">
        <v>1</v>
      </c>
      <c r="D20" s="103">
        <v>2</v>
      </c>
      <c r="E20" s="103">
        <v>3</v>
      </c>
      <c r="F20" s="103">
        <v>4</v>
      </c>
      <c r="G20" s="103">
        <v>5</v>
      </c>
      <c r="H20" s="103">
        <v>6</v>
      </c>
      <c r="I20" s="103">
        <v>7</v>
      </c>
      <c r="J20" s="103">
        <v>8</v>
      </c>
      <c r="K20" s="103">
        <v>9</v>
      </c>
      <c r="L20" s="103">
        <v>10</v>
      </c>
      <c r="M20" s="103">
        <v>11</v>
      </c>
      <c r="N20" s="103">
        <v>12</v>
      </c>
      <c r="O20" s="103">
        <v>13</v>
      </c>
      <c r="P20" s="103">
        <v>14</v>
      </c>
      <c r="Q20" s="103">
        <v>15</v>
      </c>
      <c r="R20" s="103">
        <v>16</v>
      </c>
      <c r="S20" s="103">
        <v>17</v>
      </c>
      <c r="T20" s="103">
        <v>18</v>
      </c>
      <c r="U20" s="103">
        <v>19</v>
      </c>
      <c r="V20" s="103">
        <v>20</v>
      </c>
      <c r="W20" s="103">
        <v>21</v>
      </c>
      <c r="X20" s="103">
        <v>22</v>
      </c>
      <c r="Y20" s="103">
        <v>23</v>
      </c>
      <c r="Z20" s="103">
        <v>24</v>
      </c>
      <c r="AA20" s="103">
        <v>25</v>
      </c>
      <c r="AB20" s="103">
        <v>26</v>
      </c>
      <c r="AC20" s="103">
        <v>27</v>
      </c>
      <c r="AD20" s="103">
        <v>28</v>
      </c>
      <c r="AE20" s="103">
        <v>29</v>
      </c>
      <c r="AF20" s="103">
        <v>30</v>
      </c>
      <c r="AG20" s="104">
        <v>31</v>
      </c>
    </row>
    <row r="21" spans="2:33" ht="14.4" thickTop="1" thickBot="1">
      <c r="B21" s="101">
        <f>CurYear-1</f>
        <v>2019</v>
      </c>
      <c r="C21" s="36" t="str">
        <f>Roster!D169</f>
        <v>.</v>
      </c>
      <c r="D21" s="37" t="str">
        <f>Roster!E169</f>
        <v>.</v>
      </c>
      <c r="E21" s="37" t="str">
        <f>Roster!F169</f>
        <v>.</v>
      </c>
      <c r="F21" s="37" t="str">
        <f>Roster!G169</f>
        <v>.</v>
      </c>
      <c r="G21" s="37" t="str">
        <f>Roster!H169</f>
        <v>.</v>
      </c>
      <c r="H21" s="37" t="str">
        <f>Roster!I169</f>
        <v>.</v>
      </c>
      <c r="I21" s="37" t="str">
        <f>Roster!J169</f>
        <v>.</v>
      </c>
      <c r="J21" s="37" t="str">
        <f>Roster!K169</f>
        <v>.</v>
      </c>
      <c r="K21" s="37" t="str">
        <f>Roster!L169</f>
        <v>.</v>
      </c>
      <c r="L21" s="37" t="str">
        <f>Roster!M169</f>
        <v>.</v>
      </c>
      <c r="M21" s="37" t="str">
        <f>Roster!N169</f>
        <v>.</v>
      </c>
      <c r="N21" s="37" t="str">
        <f>Roster!O169</f>
        <v>.</v>
      </c>
      <c r="O21" s="37" t="str">
        <f>Roster!P169</f>
        <v>.</v>
      </c>
      <c r="P21" s="37" t="str">
        <f>Roster!Q169</f>
        <v>.</v>
      </c>
      <c r="Q21" s="37" t="str">
        <f>Roster!R169</f>
        <v>.</v>
      </c>
      <c r="R21" s="37" t="str">
        <f>Roster!S169</f>
        <v>.</v>
      </c>
      <c r="S21" s="37" t="str">
        <f>Roster!T169</f>
        <v>.</v>
      </c>
      <c r="T21" s="37" t="str">
        <f>Roster!U169</f>
        <v>.</v>
      </c>
      <c r="U21" s="37" t="str">
        <f>Roster!V169</f>
        <v>.</v>
      </c>
      <c r="V21" s="37" t="str">
        <f>Roster!W169</f>
        <v>.</v>
      </c>
      <c r="W21" s="37" t="str">
        <f>Roster!X169</f>
        <v>.</v>
      </c>
      <c r="X21" s="37" t="str">
        <f>Roster!Y169</f>
        <v>.</v>
      </c>
      <c r="Y21" s="37" t="str">
        <f>Roster!Z169</f>
        <v>.</v>
      </c>
      <c r="Z21" s="37" t="str">
        <f>Roster!AA169</f>
        <v>.</v>
      </c>
      <c r="AA21" s="37" t="str">
        <f>Roster!AB169</f>
        <v>.</v>
      </c>
      <c r="AB21" s="37" t="str">
        <f>Roster!AC169</f>
        <v>.</v>
      </c>
      <c r="AC21" s="37" t="str">
        <f>Roster!AD169</f>
        <v>.</v>
      </c>
      <c r="AD21" s="37" t="str">
        <f>Roster!AE169</f>
        <v>.</v>
      </c>
      <c r="AE21" s="37" t="str">
        <f>Roster!AF169</f>
        <v>.</v>
      </c>
      <c r="AF21" s="37" t="str">
        <f>Roster!AG169</f>
        <v>.</v>
      </c>
      <c r="AG21" s="38" t="str">
        <f>Roster!AH169</f>
        <v>.</v>
      </c>
    </row>
    <row r="22" spans="2:33" s="26" customFormat="1" ht="14.4" thickTop="1" thickBot="1">
      <c r="B22" s="47"/>
      <c r="C22" s="47" t="str">
        <f t="shared" ref="C22:AG22" si="6">LEFT(TEXT(C23&amp;"-"&amp;$B23&amp;"-"&amp;CurYear,"ddd"),2)</f>
        <v>We</v>
      </c>
      <c r="D22" s="47" t="str">
        <f t="shared" si="6"/>
        <v>Th</v>
      </c>
      <c r="E22" s="47" t="str">
        <f t="shared" si="6"/>
        <v>Fr</v>
      </c>
      <c r="F22" s="47" t="str">
        <f t="shared" si="6"/>
        <v>Sa</v>
      </c>
      <c r="G22" s="47" t="str">
        <f t="shared" si="6"/>
        <v>Su</v>
      </c>
      <c r="H22" s="47" t="str">
        <f t="shared" si="6"/>
        <v>Mo</v>
      </c>
      <c r="I22" s="47" t="str">
        <f t="shared" si="6"/>
        <v>Tu</v>
      </c>
      <c r="J22" s="47" t="str">
        <f t="shared" si="6"/>
        <v>We</v>
      </c>
      <c r="K22" s="47" t="str">
        <f t="shared" si="6"/>
        <v>Th</v>
      </c>
      <c r="L22" s="47" t="str">
        <f t="shared" si="6"/>
        <v>Fr</v>
      </c>
      <c r="M22" s="47" t="str">
        <f t="shared" si="6"/>
        <v>Sa</v>
      </c>
      <c r="N22" s="47" t="str">
        <f t="shared" si="6"/>
        <v>Su</v>
      </c>
      <c r="O22" s="47" t="str">
        <f t="shared" si="6"/>
        <v>Mo</v>
      </c>
      <c r="P22" s="47" t="str">
        <f t="shared" si="6"/>
        <v>Tu</v>
      </c>
      <c r="Q22" s="47" t="str">
        <f t="shared" si="6"/>
        <v>We</v>
      </c>
      <c r="R22" s="47" t="str">
        <f t="shared" si="6"/>
        <v>Th</v>
      </c>
      <c r="S22" s="47" t="str">
        <f t="shared" si="6"/>
        <v>Fr</v>
      </c>
      <c r="T22" s="47" t="str">
        <f t="shared" si="6"/>
        <v>Sa</v>
      </c>
      <c r="U22" s="47" t="str">
        <f t="shared" si="6"/>
        <v>Su</v>
      </c>
      <c r="V22" s="47" t="str">
        <f t="shared" si="6"/>
        <v>Mo</v>
      </c>
      <c r="W22" s="47" t="str">
        <f t="shared" si="6"/>
        <v>Tu</v>
      </c>
      <c r="X22" s="47" t="str">
        <f t="shared" si="6"/>
        <v>We</v>
      </c>
      <c r="Y22" s="47" t="str">
        <f t="shared" si="6"/>
        <v>Th</v>
      </c>
      <c r="Z22" s="47" t="str">
        <f t="shared" si="6"/>
        <v>Fr</v>
      </c>
      <c r="AA22" s="47" t="str">
        <f t="shared" si="6"/>
        <v>Sa</v>
      </c>
      <c r="AB22" s="47" t="str">
        <f t="shared" si="6"/>
        <v>Su</v>
      </c>
      <c r="AC22" s="47" t="str">
        <f t="shared" si="6"/>
        <v>Mo</v>
      </c>
      <c r="AD22" s="47" t="str">
        <f t="shared" si="6"/>
        <v>Tu</v>
      </c>
      <c r="AE22" s="47" t="str">
        <f t="shared" si="6"/>
        <v>We</v>
      </c>
      <c r="AF22" s="47" t="str">
        <f t="shared" si="6"/>
        <v>Th</v>
      </c>
      <c r="AG22" s="47" t="str">
        <f t="shared" si="6"/>
        <v>Fr</v>
      </c>
    </row>
    <row r="23" spans="2:33" ht="14.4" thickTop="1" thickBot="1">
      <c r="B23" s="101" t="str">
        <f>Roster!$C$199</f>
        <v>January</v>
      </c>
      <c r="C23" s="102">
        <v>1</v>
      </c>
      <c r="D23" s="103">
        <v>2</v>
      </c>
      <c r="E23" s="103">
        <v>3</v>
      </c>
      <c r="F23" s="103">
        <v>4</v>
      </c>
      <c r="G23" s="103">
        <v>5</v>
      </c>
      <c r="H23" s="103">
        <v>6</v>
      </c>
      <c r="I23" s="103">
        <v>7</v>
      </c>
      <c r="J23" s="103">
        <v>8</v>
      </c>
      <c r="K23" s="103">
        <v>9</v>
      </c>
      <c r="L23" s="103">
        <v>10</v>
      </c>
      <c r="M23" s="103">
        <v>11</v>
      </c>
      <c r="N23" s="103">
        <v>12</v>
      </c>
      <c r="O23" s="103">
        <v>13</v>
      </c>
      <c r="P23" s="103">
        <v>14</v>
      </c>
      <c r="Q23" s="103">
        <v>15</v>
      </c>
      <c r="R23" s="103">
        <v>16</v>
      </c>
      <c r="S23" s="103">
        <v>17</v>
      </c>
      <c r="T23" s="103">
        <v>18</v>
      </c>
      <c r="U23" s="103">
        <v>19</v>
      </c>
      <c r="V23" s="103">
        <v>20</v>
      </c>
      <c r="W23" s="103">
        <v>21</v>
      </c>
      <c r="X23" s="103">
        <v>22</v>
      </c>
      <c r="Y23" s="103">
        <v>23</v>
      </c>
      <c r="Z23" s="103">
        <v>24</v>
      </c>
      <c r="AA23" s="103">
        <v>25</v>
      </c>
      <c r="AB23" s="103">
        <v>26</v>
      </c>
      <c r="AC23" s="103">
        <v>27</v>
      </c>
      <c r="AD23" s="103">
        <v>28</v>
      </c>
      <c r="AE23" s="103">
        <v>29</v>
      </c>
      <c r="AF23" s="103">
        <v>30</v>
      </c>
      <c r="AG23" s="104">
        <v>31</v>
      </c>
    </row>
    <row r="24" spans="2:33" ht="14.4" thickTop="1" thickBot="1">
      <c r="B24" s="101" t="str">
        <f>CurYear</f>
        <v>2020</v>
      </c>
      <c r="C24" s="36" t="str">
        <f>Roster!D$200</f>
        <v>.</v>
      </c>
      <c r="D24" s="37" t="str">
        <f>Roster!E$200</f>
        <v>.</v>
      </c>
      <c r="E24" s="37" t="str">
        <f>Roster!F$200</f>
        <v>.</v>
      </c>
      <c r="F24" s="37" t="str">
        <f>Roster!G$200</f>
        <v>.</v>
      </c>
      <c r="G24" s="37" t="str">
        <f>Roster!H$200</f>
        <v>.</v>
      </c>
      <c r="H24" s="37" t="str">
        <f>Roster!I200</f>
        <v>.</v>
      </c>
      <c r="I24" s="37" t="str">
        <f>Roster!J200</f>
        <v>.</v>
      </c>
      <c r="J24" s="37" t="str">
        <f>Roster!K200</f>
        <v>.</v>
      </c>
      <c r="K24" s="37" t="str">
        <f>Roster!L200</f>
        <v>.</v>
      </c>
      <c r="L24" s="37" t="str">
        <f>Roster!M200</f>
        <v>.</v>
      </c>
      <c r="M24" s="37" t="str">
        <f>Roster!N200</f>
        <v>.</v>
      </c>
      <c r="N24" s="37" t="str">
        <f>Roster!O200</f>
        <v>.</v>
      </c>
      <c r="O24" s="37" t="str">
        <f>Roster!P200</f>
        <v>.</v>
      </c>
      <c r="P24" s="37" t="str">
        <f>Roster!Q200</f>
        <v>.</v>
      </c>
      <c r="Q24" s="37" t="str">
        <f>Roster!R200</f>
        <v>.</v>
      </c>
      <c r="R24" s="37" t="str">
        <f>Roster!S200</f>
        <v>.</v>
      </c>
      <c r="S24" s="37" t="str">
        <f>Roster!T200</f>
        <v>.</v>
      </c>
      <c r="T24" s="37" t="str">
        <f>Roster!U200</f>
        <v>.</v>
      </c>
      <c r="U24" s="37" t="str">
        <f>Roster!V200</f>
        <v>.</v>
      </c>
      <c r="V24" s="37" t="str">
        <f>Roster!W200</f>
        <v>.</v>
      </c>
      <c r="W24" s="37" t="str">
        <f>Roster!X200</f>
        <v>.</v>
      </c>
      <c r="X24" s="37" t="str">
        <f>Roster!Y200</f>
        <v>.</v>
      </c>
      <c r="Y24" s="37" t="str">
        <f>Roster!Z200</f>
        <v>.</v>
      </c>
      <c r="Z24" s="37" t="str">
        <f>Roster!AA200</f>
        <v>.</v>
      </c>
      <c r="AA24" s="37" t="str">
        <f>Roster!AB200</f>
        <v>.</v>
      </c>
      <c r="AB24" s="37" t="str">
        <f>Roster!AC200</f>
        <v>.</v>
      </c>
      <c r="AC24" s="37" t="str">
        <f>Roster!AD200</f>
        <v>.</v>
      </c>
      <c r="AD24" s="37" t="str">
        <f>Roster!AE200</f>
        <v>.</v>
      </c>
      <c r="AE24" s="37" t="str">
        <f>Roster!AF200</f>
        <v>.</v>
      </c>
      <c r="AF24" s="37" t="str">
        <f>Roster!AG200</f>
        <v>.</v>
      </c>
      <c r="AG24" s="38" t="str">
        <f>Roster!AH200</f>
        <v>.</v>
      </c>
    </row>
    <row r="25" spans="2:33" s="26" customFormat="1" ht="14.4" thickTop="1" thickBot="1">
      <c r="B25" s="47"/>
      <c r="C25" s="47" t="str">
        <f t="shared" ref="C25:AE25" si="7">LEFT(TEXT(C26&amp;"-"&amp;$B26&amp;"-"&amp;CurYear,"ddd"),2)</f>
        <v>Sa</v>
      </c>
      <c r="D25" s="119" t="str">
        <f t="shared" si="7"/>
        <v>Su</v>
      </c>
      <c r="E25" s="119" t="str">
        <f t="shared" si="7"/>
        <v>Mo</v>
      </c>
      <c r="F25" s="119" t="str">
        <f t="shared" si="7"/>
        <v>Tu</v>
      </c>
      <c r="G25" s="119" t="str">
        <f t="shared" si="7"/>
        <v>We</v>
      </c>
      <c r="H25" s="119" t="str">
        <f t="shared" si="7"/>
        <v>Th</v>
      </c>
      <c r="I25" s="119" t="str">
        <f t="shared" si="7"/>
        <v>Fr</v>
      </c>
      <c r="J25" s="119" t="str">
        <f t="shared" si="7"/>
        <v>Sa</v>
      </c>
      <c r="K25" s="119" t="str">
        <f t="shared" si="7"/>
        <v>Su</v>
      </c>
      <c r="L25" s="119" t="str">
        <f t="shared" si="7"/>
        <v>Mo</v>
      </c>
      <c r="M25" s="119" t="str">
        <f t="shared" si="7"/>
        <v>Tu</v>
      </c>
      <c r="N25" s="119" t="str">
        <f t="shared" si="7"/>
        <v>We</v>
      </c>
      <c r="O25" s="119" t="str">
        <f t="shared" si="7"/>
        <v>Th</v>
      </c>
      <c r="P25" s="119" t="str">
        <f t="shared" si="7"/>
        <v>Fr</v>
      </c>
      <c r="Q25" s="119" t="str">
        <f t="shared" si="7"/>
        <v>Sa</v>
      </c>
      <c r="R25" s="119" t="str">
        <f t="shared" si="7"/>
        <v>Su</v>
      </c>
      <c r="S25" s="119" t="str">
        <f t="shared" si="7"/>
        <v>Mo</v>
      </c>
      <c r="T25" s="119" t="str">
        <f t="shared" si="7"/>
        <v>Tu</v>
      </c>
      <c r="U25" s="119" t="str">
        <f t="shared" si="7"/>
        <v>We</v>
      </c>
      <c r="V25" s="119" t="str">
        <f t="shared" si="7"/>
        <v>Th</v>
      </c>
      <c r="W25" s="119" t="str">
        <f t="shared" si="7"/>
        <v>Fr</v>
      </c>
      <c r="X25" s="119" t="str">
        <f t="shared" si="7"/>
        <v>Sa</v>
      </c>
      <c r="Y25" s="119" t="str">
        <f t="shared" si="7"/>
        <v>Su</v>
      </c>
      <c r="Z25" s="119" t="str">
        <f t="shared" si="7"/>
        <v>Mo</v>
      </c>
      <c r="AA25" s="119" t="str">
        <f t="shared" si="7"/>
        <v>Tu</v>
      </c>
      <c r="AB25" s="119" t="str">
        <f t="shared" si="7"/>
        <v>We</v>
      </c>
      <c r="AC25" s="119" t="str">
        <f t="shared" si="7"/>
        <v>Th</v>
      </c>
      <c r="AD25" s="119" t="str">
        <f t="shared" si="7"/>
        <v>Fr</v>
      </c>
      <c r="AE25" s="135" t="str">
        <f t="shared" si="7"/>
        <v>Sa</v>
      </c>
      <c r="AF25" s="114"/>
      <c r="AG25" s="114"/>
    </row>
    <row r="26" spans="2:33" ht="14.4" thickTop="1" thickBot="1">
      <c r="B26" s="101" t="str">
        <f>Roster!$C$230</f>
        <v>February</v>
      </c>
      <c r="C26" s="102">
        <v>1</v>
      </c>
      <c r="D26" s="110">
        <v>2</v>
      </c>
      <c r="E26" s="110">
        <v>3</v>
      </c>
      <c r="F26" s="110">
        <v>4</v>
      </c>
      <c r="G26" s="110">
        <v>5</v>
      </c>
      <c r="H26" s="110">
        <v>6</v>
      </c>
      <c r="I26" s="110">
        <v>7</v>
      </c>
      <c r="J26" s="110">
        <v>8</v>
      </c>
      <c r="K26" s="110">
        <v>9</v>
      </c>
      <c r="L26" s="110">
        <v>10</v>
      </c>
      <c r="M26" s="110">
        <v>11</v>
      </c>
      <c r="N26" s="110">
        <v>12</v>
      </c>
      <c r="O26" s="110">
        <v>13</v>
      </c>
      <c r="P26" s="110">
        <v>14</v>
      </c>
      <c r="Q26" s="110">
        <v>15</v>
      </c>
      <c r="R26" s="110">
        <v>16</v>
      </c>
      <c r="S26" s="110">
        <v>17</v>
      </c>
      <c r="T26" s="110">
        <v>18</v>
      </c>
      <c r="U26" s="110">
        <v>19</v>
      </c>
      <c r="V26" s="110">
        <v>20</v>
      </c>
      <c r="W26" s="110">
        <v>21</v>
      </c>
      <c r="X26" s="110">
        <v>22</v>
      </c>
      <c r="Y26" s="110">
        <v>23</v>
      </c>
      <c r="Z26" s="110">
        <v>24</v>
      </c>
      <c r="AA26" s="110">
        <v>25</v>
      </c>
      <c r="AB26" s="110">
        <v>26</v>
      </c>
      <c r="AC26" s="110">
        <v>27</v>
      </c>
      <c r="AD26" s="115">
        <v>28</v>
      </c>
      <c r="AE26" s="120">
        <v>29</v>
      </c>
      <c r="AF26" s="97"/>
    </row>
    <row r="27" spans="2:33" ht="14.4" thickTop="1" thickBot="1">
      <c r="B27" s="101" t="str">
        <f>CurYear</f>
        <v>2020</v>
      </c>
      <c r="C27" s="36" t="str">
        <f>Roster!$D$231</f>
        <v>.</v>
      </c>
      <c r="D27" s="37" t="str">
        <f>Roster!E231</f>
        <v>.</v>
      </c>
      <c r="E27" s="37" t="str">
        <f>Roster!F231</f>
        <v>.</v>
      </c>
      <c r="F27" s="37" t="str">
        <f>Roster!G231</f>
        <v>.</v>
      </c>
      <c r="G27" s="37" t="str">
        <f>Roster!H231</f>
        <v>.</v>
      </c>
      <c r="H27" s="37" t="str">
        <f>Roster!I231</f>
        <v>.</v>
      </c>
      <c r="I27" s="37" t="str">
        <f>Roster!J231</f>
        <v>.</v>
      </c>
      <c r="J27" s="37" t="str">
        <f>Roster!K231</f>
        <v>.</v>
      </c>
      <c r="K27" s="37" t="str">
        <f>Roster!L231</f>
        <v>.</v>
      </c>
      <c r="L27" s="37" t="str">
        <f>Roster!M231</f>
        <v>.</v>
      </c>
      <c r="M27" s="37" t="str">
        <f>Roster!N231</f>
        <v>.</v>
      </c>
      <c r="N27" s="37" t="str">
        <f>Roster!O231</f>
        <v>.</v>
      </c>
      <c r="O27" s="37" t="str">
        <f>Roster!P231</f>
        <v>.</v>
      </c>
      <c r="P27" s="37" t="str">
        <f>Roster!Q231</f>
        <v>.</v>
      </c>
      <c r="Q27" s="37" t="str">
        <f>Roster!R231</f>
        <v>.</v>
      </c>
      <c r="R27" s="37" t="str">
        <f>Roster!S231</f>
        <v>.</v>
      </c>
      <c r="S27" s="37" t="str">
        <f>Roster!T231</f>
        <v>.</v>
      </c>
      <c r="T27" s="37" t="str">
        <f>Roster!U231</f>
        <v>.</v>
      </c>
      <c r="U27" s="37" t="str">
        <f>Roster!V231</f>
        <v>.</v>
      </c>
      <c r="V27" s="37" t="str">
        <f>Roster!W231</f>
        <v>.</v>
      </c>
      <c r="W27" s="37" t="str">
        <f>Roster!X231</f>
        <v>.</v>
      </c>
      <c r="X27" s="37" t="str">
        <f>Roster!Y231</f>
        <v>.</v>
      </c>
      <c r="Y27" s="37" t="str">
        <f>Roster!Z231</f>
        <v>.</v>
      </c>
      <c r="Z27" s="37" t="str">
        <f>Roster!AA231</f>
        <v>.</v>
      </c>
      <c r="AA27" s="37" t="str">
        <f>Roster!AB231</f>
        <v>.</v>
      </c>
      <c r="AB27" s="37" t="str">
        <f>Roster!AC231</f>
        <v>.</v>
      </c>
      <c r="AC27" s="37" t="str">
        <f>Roster!AD231</f>
        <v>.</v>
      </c>
      <c r="AD27" s="43" t="str">
        <f>Roster!AE231</f>
        <v>.</v>
      </c>
      <c r="AE27" s="121" t="str">
        <f>Roster!AF231</f>
        <v>.</v>
      </c>
    </row>
    <row r="28" spans="2:33" s="26" customFormat="1" ht="14.4" thickTop="1" thickBot="1">
      <c r="B28" s="47"/>
      <c r="C28" s="47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26" t="str">
        <f t="shared" si="8"/>
        <v>Mo</v>
      </c>
      <c r="AG28" s="26" t="str">
        <f t="shared" si="8"/>
        <v>Tu</v>
      </c>
    </row>
    <row r="29" spans="2:33" ht="14.4" thickTop="1" thickBot="1">
      <c r="B29" s="101" t="str">
        <f>Roster!$C$261</f>
        <v>March</v>
      </c>
      <c r="C29" s="102">
        <v>1</v>
      </c>
      <c r="D29" s="103">
        <v>2</v>
      </c>
      <c r="E29" s="103">
        <v>3</v>
      </c>
      <c r="F29" s="103">
        <v>4</v>
      </c>
      <c r="G29" s="103">
        <v>5</v>
      </c>
      <c r="H29" s="103">
        <v>6</v>
      </c>
      <c r="I29" s="103">
        <v>7</v>
      </c>
      <c r="J29" s="103">
        <v>8</v>
      </c>
      <c r="K29" s="103">
        <v>9</v>
      </c>
      <c r="L29" s="103">
        <v>10</v>
      </c>
      <c r="M29" s="103">
        <v>11</v>
      </c>
      <c r="N29" s="103">
        <v>12</v>
      </c>
      <c r="O29" s="103">
        <v>13</v>
      </c>
      <c r="P29" s="103">
        <v>14</v>
      </c>
      <c r="Q29" s="103">
        <v>15</v>
      </c>
      <c r="R29" s="103">
        <v>16</v>
      </c>
      <c r="S29" s="103">
        <v>17</v>
      </c>
      <c r="T29" s="103">
        <v>18</v>
      </c>
      <c r="U29" s="103">
        <v>19</v>
      </c>
      <c r="V29" s="103">
        <v>20</v>
      </c>
      <c r="W29" s="103">
        <v>21</v>
      </c>
      <c r="X29" s="103">
        <v>22</v>
      </c>
      <c r="Y29" s="103">
        <v>23</v>
      </c>
      <c r="Z29" s="103">
        <v>24</v>
      </c>
      <c r="AA29" s="103">
        <v>25</v>
      </c>
      <c r="AB29" s="103">
        <v>26</v>
      </c>
      <c r="AC29" s="103">
        <v>27</v>
      </c>
      <c r="AD29" s="103">
        <v>28</v>
      </c>
      <c r="AE29" s="103">
        <v>29</v>
      </c>
      <c r="AF29" s="103">
        <v>30</v>
      </c>
      <c r="AG29" s="104">
        <v>31</v>
      </c>
    </row>
    <row r="30" spans="2:33" ht="14.4" thickTop="1" thickBot="1">
      <c r="B30" s="101" t="str">
        <f>CurYear</f>
        <v>2020</v>
      </c>
      <c r="C30" s="36" t="str">
        <f>Roster!D262</f>
        <v>.</v>
      </c>
      <c r="D30" s="37" t="str">
        <f>Roster!E262</f>
        <v>.</v>
      </c>
      <c r="E30" s="37" t="str">
        <f>Roster!F262</f>
        <v>.</v>
      </c>
      <c r="F30" s="37" t="str">
        <f>Roster!G262</f>
        <v>.</v>
      </c>
      <c r="G30" s="37" t="str">
        <f>Roster!H262</f>
        <v>.</v>
      </c>
      <c r="H30" s="37" t="str">
        <f>Roster!I262</f>
        <v>.</v>
      </c>
      <c r="I30" s="37" t="str">
        <f>Roster!J262</f>
        <v>.</v>
      </c>
      <c r="J30" s="37" t="str">
        <f>Roster!K262</f>
        <v>.</v>
      </c>
      <c r="K30" s="37" t="str">
        <f>Roster!L262</f>
        <v>.</v>
      </c>
      <c r="L30" s="37" t="str">
        <f>Roster!M262</f>
        <v>.</v>
      </c>
      <c r="M30" s="37" t="str">
        <f>Roster!N262</f>
        <v>.</v>
      </c>
      <c r="N30" s="37" t="str">
        <f>Roster!O262</f>
        <v>.</v>
      </c>
      <c r="O30" s="37" t="str">
        <f>Roster!P262</f>
        <v>.</v>
      </c>
      <c r="P30" s="37" t="str">
        <f>Roster!Q262</f>
        <v>.</v>
      </c>
      <c r="Q30" s="37" t="str">
        <f>Roster!R262</f>
        <v>.</v>
      </c>
      <c r="R30" s="37" t="str">
        <f>Roster!S262</f>
        <v>.</v>
      </c>
      <c r="S30" s="37" t="str">
        <f>Roster!T262</f>
        <v>.</v>
      </c>
      <c r="T30" s="37" t="str">
        <f>Roster!U262</f>
        <v>.</v>
      </c>
      <c r="U30" s="37" t="str">
        <f>Roster!V262</f>
        <v>.</v>
      </c>
      <c r="V30" s="37" t="str">
        <f>Roster!W262</f>
        <v>.</v>
      </c>
      <c r="W30" s="37" t="str">
        <f>Roster!X262</f>
        <v>.</v>
      </c>
      <c r="X30" s="37" t="str">
        <f>Roster!Y262</f>
        <v>.</v>
      </c>
      <c r="Y30" s="37" t="str">
        <f>Roster!Z262</f>
        <v>.</v>
      </c>
      <c r="Z30" s="37" t="str">
        <f>Roster!AA262</f>
        <v>.</v>
      </c>
      <c r="AA30" s="37" t="str">
        <f>Roster!AB262</f>
        <v>.</v>
      </c>
      <c r="AB30" s="37" t="str">
        <f>Roster!AC262</f>
        <v>.</v>
      </c>
      <c r="AC30" s="37" t="str">
        <f>Roster!AD262</f>
        <v>.</v>
      </c>
      <c r="AD30" s="37" t="str">
        <f>Roster!AE262</f>
        <v>.</v>
      </c>
      <c r="AE30" s="37" t="str">
        <f>Roster!AF262</f>
        <v>.</v>
      </c>
      <c r="AF30" s="37" t="str">
        <f>Roster!AG262</f>
        <v>.</v>
      </c>
      <c r="AG30" s="38" t="str">
        <f>Roster!AH262</f>
        <v>.</v>
      </c>
    </row>
    <row r="31" spans="2:33" s="26" customFormat="1" ht="14.4" thickTop="1" thickBot="1">
      <c r="B31" s="47"/>
      <c r="C31" s="47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116"/>
    </row>
    <row r="32" spans="2:33" ht="14.4" thickTop="1" thickBot="1">
      <c r="B32" s="101" t="str">
        <f>Roster!$C$292</f>
        <v>April</v>
      </c>
      <c r="C32" s="102">
        <v>1</v>
      </c>
      <c r="D32" s="103">
        <v>2</v>
      </c>
      <c r="E32" s="103">
        <v>3</v>
      </c>
      <c r="F32" s="103">
        <v>4</v>
      </c>
      <c r="G32" s="103">
        <v>5</v>
      </c>
      <c r="H32" s="103">
        <v>6</v>
      </c>
      <c r="I32" s="103">
        <v>7</v>
      </c>
      <c r="J32" s="103">
        <v>8</v>
      </c>
      <c r="K32" s="103">
        <v>9</v>
      </c>
      <c r="L32" s="103">
        <v>10</v>
      </c>
      <c r="M32" s="103">
        <v>11</v>
      </c>
      <c r="N32" s="103">
        <v>12</v>
      </c>
      <c r="O32" s="103">
        <v>13</v>
      </c>
      <c r="P32" s="103">
        <v>14</v>
      </c>
      <c r="Q32" s="103">
        <v>15</v>
      </c>
      <c r="R32" s="103">
        <v>16</v>
      </c>
      <c r="S32" s="103">
        <v>17</v>
      </c>
      <c r="T32" s="103">
        <v>18</v>
      </c>
      <c r="U32" s="103">
        <v>19</v>
      </c>
      <c r="V32" s="103">
        <v>20</v>
      </c>
      <c r="W32" s="103">
        <v>21</v>
      </c>
      <c r="X32" s="103">
        <v>22</v>
      </c>
      <c r="Y32" s="103">
        <v>23</v>
      </c>
      <c r="Z32" s="103">
        <v>24</v>
      </c>
      <c r="AA32" s="103">
        <v>25</v>
      </c>
      <c r="AB32" s="103">
        <v>26</v>
      </c>
      <c r="AC32" s="103">
        <v>27</v>
      </c>
      <c r="AD32" s="103">
        <v>28</v>
      </c>
      <c r="AE32" s="103">
        <v>29</v>
      </c>
      <c r="AF32" s="104">
        <v>30</v>
      </c>
    </row>
    <row r="33" spans="2:33" ht="14.4" thickTop="1" thickBot="1">
      <c r="B33" s="101" t="str">
        <f>CurYear</f>
        <v>2020</v>
      </c>
      <c r="C33" s="36" t="str">
        <f>Roster!D293</f>
        <v>.</v>
      </c>
      <c r="D33" s="37" t="str">
        <f>Roster!E293</f>
        <v>.</v>
      </c>
      <c r="E33" s="37" t="str">
        <f>Roster!F293</f>
        <v>.</v>
      </c>
      <c r="F33" s="37" t="str">
        <f>Roster!G293</f>
        <v>.</v>
      </c>
      <c r="G33" s="37" t="str">
        <f>Roster!H293</f>
        <v>.</v>
      </c>
      <c r="H33" s="37" t="str">
        <f>Roster!I293</f>
        <v>.</v>
      </c>
      <c r="I33" s="37" t="str">
        <f>Roster!J293</f>
        <v>.</v>
      </c>
      <c r="J33" s="37" t="str">
        <f>Roster!K293</f>
        <v>.</v>
      </c>
      <c r="K33" s="37" t="str">
        <f>Roster!L293</f>
        <v>.</v>
      </c>
      <c r="L33" s="37" t="str">
        <f>Roster!M293</f>
        <v>.</v>
      </c>
      <c r="M33" s="37" t="str">
        <f>Roster!N293</f>
        <v>.</v>
      </c>
      <c r="N33" s="37" t="str">
        <f>Roster!O293</f>
        <v>.</v>
      </c>
      <c r="O33" s="37" t="str">
        <f>Roster!P293</f>
        <v>.</v>
      </c>
      <c r="P33" s="37" t="str">
        <f>Roster!Q293</f>
        <v>.</v>
      </c>
      <c r="Q33" s="37" t="str">
        <f>Roster!R293</f>
        <v>.</v>
      </c>
      <c r="R33" s="37" t="str">
        <f>Roster!S293</f>
        <v>.</v>
      </c>
      <c r="S33" s="37" t="str">
        <f>Roster!T293</f>
        <v>.</v>
      </c>
      <c r="T33" s="37" t="str">
        <f>Roster!U293</f>
        <v>.</v>
      </c>
      <c r="U33" s="37" t="str">
        <f>Roster!V293</f>
        <v>.</v>
      </c>
      <c r="V33" s="37" t="str">
        <f>Roster!W293</f>
        <v>.</v>
      </c>
      <c r="W33" s="37" t="str">
        <f>Roster!X293</f>
        <v>.</v>
      </c>
      <c r="X33" s="37" t="str">
        <f>Roster!Y293</f>
        <v>.</v>
      </c>
      <c r="Y33" s="37" t="str">
        <f>Roster!Z293</f>
        <v>.</v>
      </c>
      <c r="Z33" s="37" t="str">
        <f>Roster!AA293</f>
        <v>.</v>
      </c>
      <c r="AA33" s="37" t="str">
        <f>Roster!AB293</f>
        <v>.</v>
      </c>
      <c r="AB33" s="37" t="str">
        <f>Roster!AC293</f>
        <v>.</v>
      </c>
      <c r="AC33" s="37" t="str">
        <f>Roster!AD293</f>
        <v>.</v>
      </c>
      <c r="AD33" s="37" t="str">
        <f>Roster!AE293</f>
        <v>.</v>
      </c>
      <c r="AE33" s="37" t="str">
        <f>Roster!AF293</f>
        <v>.</v>
      </c>
      <c r="AF33" s="38" t="str">
        <f>Roster!AG293</f>
        <v>.</v>
      </c>
    </row>
    <row r="34" spans="2:33" ht="14.4" thickTop="1" thickBot="1"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20" t="str">
        <f t="shared" si="10"/>
        <v>Su</v>
      </c>
    </row>
    <row r="35" spans="2:33" ht="14.4" thickTop="1" thickBot="1">
      <c r="B35" s="101" t="str">
        <f>Roster!$C$323</f>
        <v>May</v>
      </c>
      <c r="C35" s="102">
        <v>1</v>
      </c>
      <c r="D35" s="103">
        <v>2</v>
      </c>
      <c r="E35" s="103">
        <v>3</v>
      </c>
      <c r="F35" s="103">
        <v>4</v>
      </c>
      <c r="G35" s="103">
        <v>5</v>
      </c>
      <c r="H35" s="103">
        <v>6</v>
      </c>
      <c r="I35" s="103">
        <v>7</v>
      </c>
      <c r="J35" s="103">
        <v>8</v>
      </c>
      <c r="K35" s="103">
        <v>9</v>
      </c>
      <c r="L35" s="103">
        <v>10</v>
      </c>
      <c r="M35" s="103">
        <v>11</v>
      </c>
      <c r="N35" s="103">
        <v>12</v>
      </c>
      <c r="O35" s="103">
        <v>13</v>
      </c>
      <c r="P35" s="103">
        <v>14</v>
      </c>
      <c r="Q35" s="103">
        <v>15</v>
      </c>
      <c r="R35" s="103">
        <v>16</v>
      </c>
      <c r="S35" s="103">
        <v>17</v>
      </c>
      <c r="T35" s="103">
        <v>18</v>
      </c>
      <c r="U35" s="103">
        <v>19</v>
      </c>
      <c r="V35" s="103">
        <v>20</v>
      </c>
      <c r="W35" s="103">
        <v>21</v>
      </c>
      <c r="X35" s="103">
        <v>22</v>
      </c>
      <c r="Y35" s="103">
        <v>23</v>
      </c>
      <c r="Z35" s="103">
        <v>24</v>
      </c>
      <c r="AA35" s="103">
        <v>25</v>
      </c>
      <c r="AB35" s="103">
        <v>26</v>
      </c>
      <c r="AC35" s="103">
        <v>27</v>
      </c>
      <c r="AD35" s="103">
        <v>28</v>
      </c>
      <c r="AE35" s="103">
        <v>29</v>
      </c>
      <c r="AF35" s="103">
        <v>30</v>
      </c>
      <c r="AG35" s="104">
        <v>31</v>
      </c>
    </row>
    <row r="36" spans="2:33" ht="14.4" thickTop="1" thickBot="1">
      <c r="B36" s="101" t="str">
        <f>CurYear</f>
        <v>2020</v>
      </c>
      <c r="C36" s="36" t="str">
        <f>Roster!D324</f>
        <v>.</v>
      </c>
      <c r="D36" s="37" t="str">
        <f>Roster!E324</f>
        <v>.</v>
      </c>
      <c r="E36" s="37" t="str">
        <f>Roster!F324</f>
        <v>.</v>
      </c>
      <c r="F36" s="37" t="str">
        <f>Roster!G324</f>
        <v>.</v>
      </c>
      <c r="G36" s="37" t="str">
        <f>Roster!H324</f>
        <v>.</v>
      </c>
      <c r="H36" s="37" t="str">
        <f>Roster!I324</f>
        <v>.</v>
      </c>
      <c r="I36" s="37" t="str">
        <f>Roster!J324</f>
        <v>.</v>
      </c>
      <c r="J36" s="37" t="str">
        <f>Roster!K324</f>
        <v>.</v>
      </c>
      <c r="K36" s="37" t="str">
        <f>Roster!L324</f>
        <v>.</v>
      </c>
      <c r="L36" s="37" t="str">
        <f>Roster!M324</f>
        <v>.</v>
      </c>
      <c r="M36" s="37" t="str">
        <f>Roster!N324</f>
        <v>.</v>
      </c>
      <c r="N36" s="37" t="str">
        <f>Roster!O324</f>
        <v>.</v>
      </c>
      <c r="O36" s="37" t="str">
        <f>Roster!P324</f>
        <v>.</v>
      </c>
      <c r="P36" s="37" t="str">
        <f>Roster!Q324</f>
        <v>.</v>
      </c>
      <c r="Q36" s="37" t="str">
        <f>Roster!R324</f>
        <v>.</v>
      </c>
      <c r="R36" s="37" t="str">
        <f>Roster!S324</f>
        <v>.</v>
      </c>
      <c r="S36" s="37" t="str">
        <f>Roster!T324</f>
        <v>.</v>
      </c>
      <c r="T36" s="37" t="str">
        <f>Roster!U324</f>
        <v>.</v>
      </c>
      <c r="U36" s="37" t="str">
        <f>Roster!V324</f>
        <v>.</v>
      </c>
      <c r="V36" s="37" t="str">
        <f>Roster!W324</f>
        <v>.</v>
      </c>
      <c r="W36" s="37" t="str">
        <f>Roster!X324</f>
        <v>.</v>
      </c>
      <c r="X36" s="37" t="str">
        <f>Roster!Y324</f>
        <v>.</v>
      </c>
      <c r="Y36" s="37" t="str">
        <f>Roster!Z324</f>
        <v>.</v>
      </c>
      <c r="Z36" s="37" t="str">
        <f>Roster!AA324</f>
        <v>.</v>
      </c>
      <c r="AA36" s="37" t="str">
        <f>Roster!AB324</f>
        <v>.</v>
      </c>
      <c r="AB36" s="37" t="str">
        <f>Roster!AC324</f>
        <v>.</v>
      </c>
      <c r="AC36" s="37" t="str">
        <f>Roster!AD324</f>
        <v>.</v>
      </c>
      <c r="AD36" s="37" t="str">
        <f>Roster!AE324</f>
        <v>.</v>
      </c>
      <c r="AE36" s="37" t="str">
        <f>Roster!AF324</f>
        <v>.</v>
      </c>
      <c r="AF36" s="37" t="str">
        <f>Roster!AG324</f>
        <v>.</v>
      </c>
      <c r="AG36" s="38" t="str">
        <f>Roster!AH324</f>
        <v>.</v>
      </c>
    </row>
    <row r="37" spans="2:33" ht="14.4" thickTop="1" thickBot="1"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08"/>
    </row>
    <row r="38" spans="2:33" ht="14.4" thickTop="1" thickBot="1">
      <c r="B38" s="101" t="str">
        <f>Roster!C354</f>
        <v>June</v>
      </c>
      <c r="C38" s="102">
        <v>1</v>
      </c>
      <c r="D38" s="103">
        <v>2</v>
      </c>
      <c r="E38" s="103">
        <v>3</v>
      </c>
      <c r="F38" s="103">
        <v>4</v>
      </c>
      <c r="G38" s="103">
        <v>5</v>
      </c>
      <c r="H38" s="103">
        <v>6</v>
      </c>
      <c r="I38" s="103">
        <v>7</v>
      </c>
      <c r="J38" s="103">
        <v>8</v>
      </c>
      <c r="K38" s="103">
        <v>9</v>
      </c>
      <c r="L38" s="103">
        <v>10</v>
      </c>
      <c r="M38" s="103">
        <v>11</v>
      </c>
      <c r="N38" s="103">
        <v>12</v>
      </c>
      <c r="O38" s="103">
        <v>13</v>
      </c>
      <c r="P38" s="103">
        <v>14</v>
      </c>
      <c r="Q38" s="103">
        <v>15</v>
      </c>
      <c r="R38" s="103">
        <v>16</v>
      </c>
      <c r="S38" s="103">
        <v>17</v>
      </c>
      <c r="T38" s="103">
        <v>18</v>
      </c>
      <c r="U38" s="103">
        <v>19</v>
      </c>
      <c r="V38" s="103">
        <v>20</v>
      </c>
      <c r="W38" s="103">
        <v>21</v>
      </c>
      <c r="X38" s="103">
        <v>22</v>
      </c>
      <c r="Y38" s="103">
        <v>23</v>
      </c>
      <c r="Z38" s="103">
        <v>24</v>
      </c>
      <c r="AA38" s="103">
        <v>25</v>
      </c>
      <c r="AB38" s="103">
        <v>26</v>
      </c>
      <c r="AC38" s="103">
        <v>27</v>
      </c>
      <c r="AD38" s="103">
        <v>28</v>
      </c>
      <c r="AE38" s="103">
        <v>29</v>
      </c>
      <c r="AF38" s="104">
        <v>30</v>
      </c>
    </row>
    <row r="39" spans="2:33" ht="14.4" thickTop="1" thickBot="1">
      <c r="B39" s="101" t="str">
        <f>CurYear</f>
        <v>2020</v>
      </c>
      <c r="C39" s="36" t="str">
        <f>Roster!D355</f>
        <v>.</v>
      </c>
      <c r="D39" s="37" t="str">
        <f>Roster!E355</f>
        <v>.</v>
      </c>
      <c r="E39" s="37" t="str">
        <f>Roster!F355</f>
        <v>.</v>
      </c>
      <c r="F39" s="37" t="str">
        <f>Roster!G355</f>
        <v>.</v>
      </c>
      <c r="G39" s="37" t="str">
        <f>Roster!H355</f>
        <v>.</v>
      </c>
      <c r="H39" s="37" t="str">
        <f>Roster!I355</f>
        <v>.</v>
      </c>
      <c r="I39" s="37" t="str">
        <f>Roster!J355</f>
        <v>.</v>
      </c>
      <c r="J39" s="37" t="str">
        <f>Roster!K355</f>
        <v>.</v>
      </c>
      <c r="K39" s="37" t="str">
        <f>Roster!L355</f>
        <v>.</v>
      </c>
      <c r="L39" s="37" t="str">
        <f>Roster!M355</f>
        <v>.</v>
      </c>
      <c r="M39" s="37" t="str">
        <f>Roster!N355</f>
        <v>.</v>
      </c>
      <c r="N39" s="37" t="str">
        <f>Roster!O355</f>
        <v>.</v>
      </c>
      <c r="O39" s="37" t="str">
        <f>Roster!P355</f>
        <v>.</v>
      </c>
      <c r="P39" s="37" t="str">
        <f>Roster!Q355</f>
        <v>.</v>
      </c>
      <c r="Q39" s="37" t="str">
        <f>Roster!R355</f>
        <v>.</v>
      </c>
      <c r="R39" s="37" t="str">
        <f>Roster!S355</f>
        <v>.</v>
      </c>
      <c r="S39" s="37" t="str">
        <f>Roster!T355</f>
        <v>.</v>
      </c>
      <c r="T39" s="37" t="str">
        <f>Roster!U355</f>
        <v>.</v>
      </c>
      <c r="U39" s="37" t="str">
        <f>Roster!V355</f>
        <v>.</v>
      </c>
      <c r="V39" s="37" t="str">
        <f>Roster!W355</f>
        <v>.</v>
      </c>
      <c r="W39" s="37" t="str">
        <f>Roster!X355</f>
        <v>.</v>
      </c>
      <c r="X39" s="37" t="str">
        <f>Roster!Y355</f>
        <v>.</v>
      </c>
      <c r="Y39" s="37" t="str">
        <f>Roster!Z355</f>
        <v>.</v>
      </c>
      <c r="Z39" s="37" t="str">
        <f>Roster!AA355</f>
        <v>.</v>
      </c>
      <c r="AA39" s="37" t="str">
        <f>Roster!AB355</f>
        <v>.</v>
      </c>
      <c r="AB39" s="37" t="str">
        <f>Roster!AC355</f>
        <v>.</v>
      </c>
      <c r="AC39" s="37" t="str">
        <f>Roster!AD355</f>
        <v>.</v>
      </c>
      <c r="AD39" s="37" t="str">
        <f>Roster!AE355</f>
        <v>.</v>
      </c>
      <c r="AE39" s="37" t="str">
        <f>Roster!AF355</f>
        <v>.</v>
      </c>
      <c r="AF39" s="38" t="str">
        <f>Roster!AG355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2"/>
  <dimension ref="B1:AI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5" s="125" customFormat="1" ht="17.399999999999999">
      <c r="B1" s="124"/>
    </row>
    <row r="2" spans="2:35" s="125" customFormat="1" ht="24.75" customHeight="1">
      <c r="B2" s="124"/>
      <c r="I2" s="129" t="str">
        <f>Location</f>
        <v>Oodlawirra Quarantine Station</v>
      </c>
      <c r="J2" s="127"/>
      <c r="K2" s="127"/>
      <c r="L2" s="127"/>
      <c r="M2" s="127"/>
      <c r="N2" s="127"/>
      <c r="O2" s="127"/>
      <c r="P2" s="127"/>
      <c r="Q2" s="127"/>
      <c r="R2" s="129" t="str">
        <f xml:space="preserve"> "Financial Year Commencing 1st July, " &amp; CurYear -1</f>
        <v>Financial Year Commencing 1st July, 2019</v>
      </c>
      <c r="S2" s="126"/>
      <c r="T2" s="127"/>
      <c r="U2" s="127"/>
      <c r="V2" s="126"/>
      <c r="W2" s="127"/>
      <c r="X2" s="127"/>
      <c r="Y2" s="127"/>
      <c r="Z2" s="127"/>
      <c r="AA2" s="127"/>
      <c r="AB2" s="127"/>
      <c r="AC2" s="127"/>
      <c r="AD2" s="127"/>
      <c r="AE2" s="127"/>
      <c r="AF2" s="127"/>
    </row>
    <row r="3" spans="2:35" s="125" customFormat="1" ht="27" customHeight="1">
      <c r="B3" s="124"/>
      <c r="I3" s="130" t="s">
        <v>25</v>
      </c>
      <c r="R3" s="130" t="str">
        <f>EmpGName02 &amp;" " &amp; EmpSName02</f>
        <v>Kevin Stone</v>
      </c>
      <c r="S3" s="128"/>
      <c r="T3" s="128"/>
      <c r="U3" s="128"/>
      <c r="V3" s="128"/>
      <c r="W3" s="128"/>
      <c r="X3" s="128"/>
      <c r="Y3" s="128"/>
      <c r="Z3" s="128"/>
      <c r="AA3" s="128"/>
      <c r="AB3" s="128"/>
      <c r="AC3" s="128"/>
    </row>
    <row r="4" spans="2:35" s="44" customFormat="1" ht="13.8" thickBot="1">
      <c r="B4" s="98"/>
      <c r="C4" s="28" t="str">
        <f t="shared" ref="C4:AG4" si="0">LEFT(TEXT(C5&amp;"-"&amp;$B5&amp;"-"&amp;CurYear-1,"ddd"),2)</f>
        <v>Mo</v>
      </c>
      <c r="D4" s="28" t="str">
        <f t="shared" si="0"/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98" t="str">
        <f t="shared" si="0"/>
        <v>We</v>
      </c>
    </row>
    <row r="5" spans="2:35" ht="14.4" thickTop="1" thickBot="1">
      <c r="B5" s="101" t="str">
        <f>Roster!C13</f>
        <v>July</v>
      </c>
      <c r="C5" s="102">
        <v>1</v>
      </c>
      <c r="D5" s="103">
        <v>2</v>
      </c>
      <c r="E5" s="103">
        <v>3</v>
      </c>
      <c r="F5" s="103">
        <v>4</v>
      </c>
      <c r="G5" s="103">
        <v>5</v>
      </c>
      <c r="H5" s="103">
        <v>6</v>
      </c>
      <c r="I5" s="103">
        <v>7</v>
      </c>
      <c r="J5" s="103">
        <v>8</v>
      </c>
      <c r="K5" s="103">
        <v>9</v>
      </c>
      <c r="L5" s="103">
        <v>10</v>
      </c>
      <c r="M5" s="103">
        <v>11</v>
      </c>
      <c r="N5" s="103">
        <v>12</v>
      </c>
      <c r="O5" s="103">
        <v>13</v>
      </c>
      <c r="P5" s="103">
        <v>14</v>
      </c>
      <c r="Q5" s="103">
        <v>15</v>
      </c>
      <c r="R5" s="103">
        <v>16</v>
      </c>
      <c r="S5" s="103">
        <v>17</v>
      </c>
      <c r="T5" s="103">
        <v>18</v>
      </c>
      <c r="U5" s="103">
        <v>19</v>
      </c>
      <c r="V5" s="103">
        <v>20</v>
      </c>
      <c r="W5" s="103">
        <v>21</v>
      </c>
      <c r="X5" s="103">
        <v>22</v>
      </c>
      <c r="Y5" s="103">
        <v>23</v>
      </c>
      <c r="Z5" s="103">
        <v>24</v>
      </c>
      <c r="AA5" s="103">
        <v>25</v>
      </c>
      <c r="AB5" s="103">
        <v>26</v>
      </c>
      <c r="AC5" s="103">
        <v>27</v>
      </c>
      <c r="AD5" s="103">
        <v>28</v>
      </c>
      <c r="AE5" s="103">
        <v>29</v>
      </c>
      <c r="AF5" s="103">
        <v>30</v>
      </c>
      <c r="AG5" s="104">
        <v>31</v>
      </c>
    </row>
    <row r="6" spans="2:35" ht="14.4" thickTop="1" thickBot="1">
      <c r="B6" s="101">
        <f>CurYear-1</f>
        <v>2019</v>
      </c>
      <c r="C6" s="36" t="str">
        <f>Roster!D15</f>
        <v>.</v>
      </c>
      <c r="D6" s="37" t="str">
        <f>Roster!E15</f>
        <v>.</v>
      </c>
      <c r="E6" s="37" t="str">
        <f>Roster!F15</f>
        <v>.</v>
      </c>
      <c r="F6" s="37" t="str">
        <f>Roster!G15</f>
        <v>.</v>
      </c>
      <c r="G6" s="37" t="str">
        <f>Roster!H15</f>
        <v>.</v>
      </c>
      <c r="H6" s="37" t="str">
        <f>Roster!I15</f>
        <v>.</v>
      </c>
      <c r="I6" s="37" t="str">
        <f>Roster!J15</f>
        <v>.</v>
      </c>
      <c r="J6" s="37" t="str">
        <f>Roster!K15</f>
        <v>.</v>
      </c>
      <c r="K6" s="37" t="str">
        <f>Roster!L15</f>
        <v>.</v>
      </c>
      <c r="L6" s="37" t="str">
        <f>Roster!M15</f>
        <v>.</v>
      </c>
      <c r="M6" s="37" t="str">
        <f>Roster!N15</f>
        <v>.</v>
      </c>
      <c r="N6" s="37" t="str">
        <f>Roster!O15</f>
        <v>.</v>
      </c>
      <c r="O6" s="37" t="str">
        <f>Roster!P15</f>
        <v>.</v>
      </c>
      <c r="P6" s="37" t="str">
        <f>Roster!Q15</f>
        <v>.</v>
      </c>
      <c r="Q6" s="37" t="str">
        <f>Roster!R15</f>
        <v>.</v>
      </c>
      <c r="R6" s="37" t="str">
        <f>Roster!S15</f>
        <v>.</v>
      </c>
      <c r="S6" s="37" t="str">
        <f>Roster!T15</f>
        <v>.</v>
      </c>
      <c r="T6" s="37" t="str">
        <f>Roster!U15</f>
        <v>.</v>
      </c>
      <c r="U6" s="37" t="str">
        <f>Roster!V15</f>
        <v>.</v>
      </c>
      <c r="V6" s="37" t="str">
        <f>Roster!W15</f>
        <v>.</v>
      </c>
      <c r="W6" s="37" t="str">
        <f>Roster!X15</f>
        <v>.</v>
      </c>
      <c r="X6" s="37" t="str">
        <f>Roster!Y15</f>
        <v>.</v>
      </c>
      <c r="Y6" s="37" t="str">
        <f>Roster!Z15</f>
        <v>.</v>
      </c>
      <c r="Z6" s="37" t="str">
        <f>Roster!AA15</f>
        <v>.</v>
      </c>
      <c r="AA6" s="37" t="str">
        <f>Roster!AB15</f>
        <v>.</v>
      </c>
      <c r="AB6" s="37" t="str">
        <f>Roster!AC15</f>
        <v>.</v>
      </c>
      <c r="AC6" s="37" t="str">
        <f>Roster!AD15</f>
        <v>.</v>
      </c>
      <c r="AD6" s="37" t="str">
        <f>Roster!AE15</f>
        <v>.</v>
      </c>
      <c r="AE6" s="37" t="str">
        <f>Roster!AF15</f>
        <v>.</v>
      </c>
      <c r="AF6" s="37" t="str">
        <f>Roster!AG15</f>
        <v>.</v>
      </c>
      <c r="AG6" s="38" t="str">
        <f>Roster!AH15</f>
        <v>.</v>
      </c>
    </row>
    <row r="7" spans="2:35" ht="14.4" thickTop="1" thickBot="1">
      <c r="B7" s="46"/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105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5" ht="14.4" thickTop="1" thickBot="1">
      <c r="B8" s="101" t="str">
        <f>Roster!C44</f>
        <v>August</v>
      </c>
      <c r="C8" s="102">
        <v>1</v>
      </c>
      <c r="D8" s="103">
        <v>2</v>
      </c>
      <c r="E8" s="103">
        <v>3</v>
      </c>
      <c r="F8" s="103">
        <v>4</v>
      </c>
      <c r="G8" s="103">
        <v>5</v>
      </c>
      <c r="H8" s="103">
        <v>6</v>
      </c>
      <c r="I8" s="103">
        <v>7</v>
      </c>
      <c r="J8" s="103">
        <v>8</v>
      </c>
      <c r="K8" s="103">
        <v>9</v>
      </c>
      <c r="L8" s="103">
        <v>10</v>
      </c>
      <c r="M8" s="103">
        <v>11</v>
      </c>
      <c r="N8" s="103">
        <v>12</v>
      </c>
      <c r="O8" s="103">
        <v>13</v>
      </c>
      <c r="P8" s="103">
        <v>14</v>
      </c>
      <c r="Q8" s="103">
        <v>15</v>
      </c>
      <c r="R8" s="103">
        <v>16</v>
      </c>
      <c r="S8" s="103">
        <v>17</v>
      </c>
      <c r="T8" s="103">
        <v>18</v>
      </c>
      <c r="U8" s="103">
        <v>19</v>
      </c>
      <c r="V8" s="103">
        <v>20</v>
      </c>
      <c r="W8" s="103">
        <v>21</v>
      </c>
      <c r="X8" s="103">
        <v>22</v>
      </c>
      <c r="Y8" s="103">
        <v>23</v>
      </c>
      <c r="Z8" s="103">
        <v>24</v>
      </c>
      <c r="AA8" s="103">
        <v>25</v>
      </c>
      <c r="AB8" s="103">
        <v>26</v>
      </c>
      <c r="AC8" s="103">
        <v>27</v>
      </c>
      <c r="AD8" s="106">
        <v>28</v>
      </c>
      <c r="AE8" s="103">
        <v>29</v>
      </c>
      <c r="AF8" s="107">
        <v>30</v>
      </c>
      <c r="AG8" s="104">
        <v>31</v>
      </c>
    </row>
    <row r="9" spans="2:35" ht="14.4" thickTop="1" thickBot="1">
      <c r="B9" s="101">
        <f>CurYear-1</f>
        <v>2019</v>
      </c>
      <c r="C9" s="36" t="str">
        <f>Roster!D46</f>
        <v>.</v>
      </c>
      <c r="D9" s="39" t="str">
        <f>Roster!E46</f>
        <v>.</v>
      </c>
      <c r="E9" s="37" t="str">
        <f>Roster!F46</f>
        <v>.</v>
      </c>
      <c r="F9" s="37" t="str">
        <f>Roster!G46</f>
        <v>.</v>
      </c>
      <c r="G9" s="37" t="str">
        <f>Roster!H46</f>
        <v>.</v>
      </c>
      <c r="H9" s="37" t="str">
        <f>Roster!I46</f>
        <v>.</v>
      </c>
      <c r="I9" s="37" t="str">
        <f>Roster!J46</f>
        <v>.</v>
      </c>
      <c r="J9" s="37" t="str">
        <f>Roster!K46</f>
        <v>.</v>
      </c>
      <c r="K9" s="37" t="str">
        <f>Roster!L46</f>
        <v>.</v>
      </c>
      <c r="L9" s="37" t="str">
        <f>Roster!M46</f>
        <v>.</v>
      </c>
      <c r="M9" s="37" t="str">
        <f>Roster!N46</f>
        <v>.</v>
      </c>
      <c r="N9" s="37" t="str">
        <f>Roster!O46</f>
        <v>.</v>
      </c>
      <c r="O9" s="37" t="str">
        <f>Roster!P46</f>
        <v>.</v>
      </c>
      <c r="P9" s="37" t="str">
        <f>Roster!Q46</f>
        <v>.</v>
      </c>
      <c r="Q9" s="37" t="str">
        <f>Roster!R46</f>
        <v>.</v>
      </c>
      <c r="R9" s="37" t="str">
        <f>Roster!S46</f>
        <v>.</v>
      </c>
      <c r="S9" s="37" t="str">
        <f>Roster!T46</f>
        <v>.</v>
      </c>
      <c r="T9" s="37" t="str">
        <f>Roster!U46</f>
        <v>.</v>
      </c>
      <c r="U9" s="37" t="str">
        <f>Roster!V46</f>
        <v>.</v>
      </c>
      <c r="V9" s="37" t="str">
        <f>Roster!W46</f>
        <v>.</v>
      </c>
      <c r="W9" s="37" t="str">
        <f>Roster!X46</f>
        <v>.</v>
      </c>
      <c r="X9" s="37" t="str">
        <f>Roster!Y46</f>
        <v>.</v>
      </c>
      <c r="Y9" s="37" t="str">
        <f>Roster!Z46</f>
        <v>.</v>
      </c>
      <c r="Z9" s="37" t="str">
        <f>Roster!AA46</f>
        <v>.</v>
      </c>
      <c r="AA9" s="37" t="str">
        <f>Roster!AB46</f>
        <v>.</v>
      </c>
      <c r="AB9" s="37" t="str">
        <f>Roster!AC46</f>
        <v>.</v>
      </c>
      <c r="AC9" s="37" t="str">
        <f>Roster!AD46</f>
        <v>.</v>
      </c>
      <c r="AD9" s="43" t="str">
        <f>Roster!AE46</f>
        <v>.</v>
      </c>
      <c r="AE9" s="37" t="str">
        <f>Roster!AF46</f>
        <v>.</v>
      </c>
      <c r="AF9" s="39" t="str">
        <f>Roster!AG46</f>
        <v>.</v>
      </c>
      <c r="AG9" s="38" t="str">
        <f>Roster!AH46</f>
        <v>.</v>
      </c>
    </row>
    <row r="10" spans="2:35" ht="14.4" thickTop="1" thickBot="1">
      <c r="B10" s="46"/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8" t="str">
        <f t="shared" si="2"/>
        <v>Su</v>
      </c>
      <c r="AF10" s="21" t="str">
        <f t="shared" si="2"/>
        <v>Mo</v>
      </c>
      <c r="AG10" s="108"/>
      <c r="AI10" s="99"/>
    </row>
    <row r="11" spans="2:35" ht="14.4" thickTop="1" thickBot="1">
      <c r="B11" s="101" t="str">
        <f>Roster!C75</f>
        <v>September</v>
      </c>
      <c r="C11" s="109">
        <v>1</v>
      </c>
      <c r="D11" s="110">
        <v>2</v>
      </c>
      <c r="E11" s="110">
        <v>3</v>
      </c>
      <c r="F11" s="110">
        <v>4</v>
      </c>
      <c r="G11" s="110">
        <v>5</v>
      </c>
      <c r="H11" s="110">
        <v>6</v>
      </c>
      <c r="I11" s="110">
        <v>7</v>
      </c>
      <c r="J11" s="110">
        <v>8</v>
      </c>
      <c r="K11" s="110">
        <v>9</v>
      </c>
      <c r="L11" s="110">
        <v>10</v>
      </c>
      <c r="M11" s="110">
        <v>11</v>
      </c>
      <c r="N11" s="110">
        <v>12</v>
      </c>
      <c r="O11" s="110">
        <v>13</v>
      </c>
      <c r="P11" s="110">
        <v>14</v>
      </c>
      <c r="Q11" s="110">
        <v>15</v>
      </c>
      <c r="R11" s="110">
        <v>16</v>
      </c>
      <c r="S11" s="110">
        <v>17</v>
      </c>
      <c r="T11" s="110">
        <v>18</v>
      </c>
      <c r="U11" s="110">
        <v>19</v>
      </c>
      <c r="V11" s="110">
        <v>20</v>
      </c>
      <c r="W11" s="110">
        <v>21</v>
      </c>
      <c r="X11" s="110">
        <v>22</v>
      </c>
      <c r="Y11" s="110">
        <v>23</v>
      </c>
      <c r="Z11" s="110">
        <v>24</v>
      </c>
      <c r="AA11" s="110">
        <v>25</v>
      </c>
      <c r="AB11" s="110">
        <v>26</v>
      </c>
      <c r="AC11" s="110">
        <v>27</v>
      </c>
      <c r="AD11" s="110">
        <v>28</v>
      </c>
      <c r="AE11" s="110">
        <v>29</v>
      </c>
      <c r="AF11" s="111">
        <v>30</v>
      </c>
      <c r="AG11" s="20"/>
    </row>
    <row r="12" spans="2:35" ht="14.4" thickTop="1" thickBot="1">
      <c r="B12" s="101">
        <f>CurYear-1</f>
        <v>2019</v>
      </c>
      <c r="C12" s="36" t="str">
        <f>Roster!D77</f>
        <v>.</v>
      </c>
      <c r="D12" s="37" t="str">
        <f>Roster!E77</f>
        <v>.</v>
      </c>
      <c r="E12" s="37" t="str">
        <f>Roster!F77</f>
        <v>.</v>
      </c>
      <c r="F12" s="37" t="str">
        <f>Roster!G77</f>
        <v>.</v>
      </c>
      <c r="G12" s="37" t="str">
        <f>Roster!H77</f>
        <v>.</v>
      </c>
      <c r="H12" s="37" t="str">
        <f>Roster!I77</f>
        <v>.</v>
      </c>
      <c r="I12" s="37" t="str">
        <f>Roster!J77</f>
        <v>.</v>
      </c>
      <c r="J12" s="37" t="str">
        <f>Roster!K77</f>
        <v>.</v>
      </c>
      <c r="K12" s="37" t="str">
        <f>Roster!L77</f>
        <v>.</v>
      </c>
      <c r="L12" s="37" t="str">
        <f>Roster!M77</f>
        <v>.</v>
      </c>
      <c r="M12" s="37" t="str">
        <f>Roster!N77</f>
        <v>.</v>
      </c>
      <c r="N12" s="37" t="str">
        <f>Roster!O77</f>
        <v>.</v>
      </c>
      <c r="O12" s="37" t="str">
        <f>Roster!P77</f>
        <v>.</v>
      </c>
      <c r="P12" s="37" t="str">
        <f>Roster!Q77</f>
        <v>.</v>
      </c>
      <c r="Q12" s="37" t="str">
        <f>Roster!R77</f>
        <v>.</v>
      </c>
      <c r="R12" s="37" t="str">
        <f>Roster!S77</f>
        <v>.</v>
      </c>
      <c r="S12" s="37" t="str">
        <f>Roster!T77</f>
        <v>.</v>
      </c>
      <c r="T12" s="37" t="str">
        <f>Roster!U77</f>
        <v>.</v>
      </c>
      <c r="U12" s="37" t="str">
        <f>Roster!V77</f>
        <v>.</v>
      </c>
      <c r="V12" s="37" t="str">
        <f>Roster!W77</f>
        <v>.</v>
      </c>
      <c r="W12" s="37" t="str">
        <f>Roster!X77</f>
        <v>.</v>
      </c>
      <c r="X12" s="37" t="str">
        <f>Roster!Y77</f>
        <v>.</v>
      </c>
      <c r="Y12" s="37" t="str">
        <f>Roster!Z77</f>
        <v>.</v>
      </c>
      <c r="Z12" s="37" t="str">
        <f>Roster!AA77</f>
        <v>.</v>
      </c>
      <c r="AA12" s="37" t="str">
        <f>Roster!AB77</f>
        <v>.</v>
      </c>
      <c r="AB12" s="37" t="str">
        <f>Roster!AC77</f>
        <v>.</v>
      </c>
      <c r="AC12" s="37" t="str">
        <f>Roster!AD77</f>
        <v>.</v>
      </c>
      <c r="AD12" s="37" t="str">
        <f>Roster!AE77</f>
        <v>.</v>
      </c>
      <c r="AE12" s="37" t="str">
        <f>Roster!AF77</f>
        <v>.</v>
      </c>
      <c r="AF12" s="38" t="str">
        <f>Roster!AG77</f>
        <v>.</v>
      </c>
      <c r="AG12" s="20"/>
    </row>
    <row r="13" spans="2:35" ht="14.4" thickTop="1" thickBot="1">
      <c r="B13" s="46"/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46" t="str">
        <f t="shared" si="3"/>
        <v>Th</v>
      </c>
    </row>
    <row r="14" spans="2:35" ht="14.4" thickTop="1" thickBot="1">
      <c r="B14" s="101" t="str">
        <f>Roster!C106</f>
        <v>October</v>
      </c>
      <c r="C14" s="102">
        <v>1</v>
      </c>
      <c r="D14" s="103">
        <v>2</v>
      </c>
      <c r="E14" s="103">
        <v>3</v>
      </c>
      <c r="F14" s="103">
        <v>4</v>
      </c>
      <c r="G14" s="103">
        <v>5</v>
      </c>
      <c r="H14" s="103">
        <v>6</v>
      </c>
      <c r="I14" s="103">
        <v>7</v>
      </c>
      <c r="J14" s="103">
        <v>8</v>
      </c>
      <c r="K14" s="103">
        <v>9</v>
      </c>
      <c r="L14" s="103">
        <v>10</v>
      </c>
      <c r="M14" s="103">
        <v>11</v>
      </c>
      <c r="N14" s="103">
        <v>12</v>
      </c>
      <c r="O14" s="103">
        <v>13</v>
      </c>
      <c r="P14" s="103">
        <v>14</v>
      </c>
      <c r="Q14" s="103">
        <v>15</v>
      </c>
      <c r="R14" s="103">
        <v>16</v>
      </c>
      <c r="S14" s="103">
        <v>17</v>
      </c>
      <c r="T14" s="103">
        <v>18</v>
      </c>
      <c r="U14" s="103">
        <v>19</v>
      </c>
      <c r="V14" s="103">
        <v>20</v>
      </c>
      <c r="W14" s="103">
        <v>21</v>
      </c>
      <c r="X14" s="103">
        <v>22</v>
      </c>
      <c r="Y14" s="103">
        <v>23</v>
      </c>
      <c r="Z14" s="103">
        <v>24</v>
      </c>
      <c r="AA14" s="103">
        <v>25</v>
      </c>
      <c r="AB14" s="103">
        <v>26</v>
      </c>
      <c r="AC14" s="103">
        <v>27</v>
      </c>
      <c r="AD14" s="103">
        <v>28</v>
      </c>
      <c r="AE14" s="103">
        <v>29</v>
      </c>
      <c r="AF14" s="103">
        <v>30</v>
      </c>
      <c r="AG14" s="104">
        <v>31</v>
      </c>
    </row>
    <row r="15" spans="2:35" ht="14.4" thickTop="1" thickBot="1">
      <c r="B15" s="101">
        <f>CurYear-1</f>
        <v>2019</v>
      </c>
      <c r="C15" s="36" t="str">
        <f>Roster!D108</f>
        <v>.</v>
      </c>
      <c r="D15" s="37" t="str">
        <f>Roster!E108</f>
        <v>.</v>
      </c>
      <c r="E15" s="37" t="str">
        <f>Roster!F108</f>
        <v>.</v>
      </c>
      <c r="F15" s="37" t="str">
        <f>Roster!G108</f>
        <v>.</v>
      </c>
      <c r="G15" s="37" t="str">
        <f>Roster!H108</f>
        <v>.</v>
      </c>
      <c r="H15" s="37" t="str">
        <f>Roster!I108</f>
        <v>.</v>
      </c>
      <c r="I15" s="37" t="str">
        <f>Roster!J108</f>
        <v>.</v>
      </c>
      <c r="J15" s="37" t="str">
        <f>Roster!K108</f>
        <v>.</v>
      </c>
      <c r="K15" s="37" t="str">
        <f>Roster!L108</f>
        <v>.</v>
      </c>
      <c r="L15" s="37" t="str">
        <f>Roster!M108</f>
        <v>.</v>
      </c>
      <c r="M15" s="37" t="str">
        <f>Roster!N108</f>
        <v>.</v>
      </c>
      <c r="N15" s="37" t="str">
        <f>Roster!O108</f>
        <v>.</v>
      </c>
      <c r="O15" s="37" t="str">
        <f>Roster!P108</f>
        <v>.</v>
      </c>
      <c r="P15" s="37" t="str">
        <f>Roster!Q108</f>
        <v>.</v>
      </c>
      <c r="Q15" s="37" t="str">
        <f>Roster!R108</f>
        <v>.</v>
      </c>
      <c r="R15" s="37" t="str">
        <f>Roster!S108</f>
        <v>.</v>
      </c>
      <c r="S15" s="37" t="str">
        <f>Roster!T108</f>
        <v>.</v>
      </c>
      <c r="T15" s="37" t="str">
        <f>Roster!U108</f>
        <v>.</v>
      </c>
      <c r="U15" s="37" t="str">
        <f>Roster!V108</f>
        <v>.</v>
      </c>
      <c r="V15" s="37" t="str">
        <f>Roster!W108</f>
        <v>.</v>
      </c>
      <c r="W15" s="37" t="str">
        <f>Roster!X108</f>
        <v>.</v>
      </c>
      <c r="X15" s="37" t="str">
        <f>Roster!Y108</f>
        <v>.</v>
      </c>
      <c r="Y15" s="37" t="str">
        <f>Roster!Z108</f>
        <v>.</v>
      </c>
      <c r="Z15" s="37" t="str">
        <f>Roster!AA108</f>
        <v>.</v>
      </c>
      <c r="AA15" s="37" t="str">
        <f>Roster!AB108</f>
        <v>.</v>
      </c>
      <c r="AB15" s="37" t="str">
        <f>Roster!AC108</f>
        <v>.</v>
      </c>
      <c r="AC15" s="37" t="str">
        <f>Roster!AD108</f>
        <v>.</v>
      </c>
      <c r="AD15" s="37" t="str">
        <f>Roster!AE108</f>
        <v>.</v>
      </c>
      <c r="AE15" s="37" t="str">
        <f>Roster!AF108</f>
        <v>.</v>
      </c>
      <c r="AF15" s="37" t="str">
        <f>Roster!AG108</f>
        <v>.</v>
      </c>
      <c r="AG15" s="38" t="str">
        <f>Roster!AH108</f>
        <v>.</v>
      </c>
    </row>
    <row r="16" spans="2:35" ht="14.4" thickTop="1" thickBot="1">
      <c r="B16" s="46"/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08"/>
    </row>
    <row r="17" spans="2:33" ht="14.4" thickTop="1" thickBot="1">
      <c r="B17" s="101" t="str">
        <f>Roster!C137</f>
        <v>November</v>
      </c>
      <c r="C17" s="109">
        <v>1</v>
      </c>
      <c r="D17" s="110">
        <v>2</v>
      </c>
      <c r="E17" s="110">
        <v>3</v>
      </c>
      <c r="F17" s="110">
        <v>4</v>
      </c>
      <c r="G17" s="110">
        <v>5</v>
      </c>
      <c r="H17" s="110">
        <v>6</v>
      </c>
      <c r="I17" s="110">
        <v>7</v>
      </c>
      <c r="J17" s="110">
        <v>8</v>
      </c>
      <c r="K17" s="110">
        <v>9</v>
      </c>
      <c r="L17" s="110">
        <v>10</v>
      </c>
      <c r="M17" s="110">
        <v>11</v>
      </c>
      <c r="N17" s="110">
        <v>12</v>
      </c>
      <c r="O17" s="110">
        <v>13</v>
      </c>
      <c r="P17" s="110">
        <v>14</v>
      </c>
      <c r="Q17" s="110">
        <v>15</v>
      </c>
      <c r="R17" s="110">
        <v>16</v>
      </c>
      <c r="S17" s="110">
        <v>17</v>
      </c>
      <c r="T17" s="110">
        <v>18</v>
      </c>
      <c r="U17" s="110">
        <v>19</v>
      </c>
      <c r="V17" s="110">
        <v>20</v>
      </c>
      <c r="W17" s="110">
        <v>21</v>
      </c>
      <c r="X17" s="110">
        <v>22</v>
      </c>
      <c r="Y17" s="110">
        <v>23</v>
      </c>
      <c r="Z17" s="110">
        <v>24</v>
      </c>
      <c r="AA17" s="110">
        <v>25</v>
      </c>
      <c r="AB17" s="110">
        <v>26</v>
      </c>
      <c r="AC17" s="110">
        <v>27</v>
      </c>
      <c r="AD17" s="110">
        <v>28</v>
      </c>
      <c r="AE17" s="110">
        <v>29</v>
      </c>
      <c r="AF17" s="111">
        <v>30</v>
      </c>
      <c r="AG17" s="20"/>
    </row>
    <row r="18" spans="2:33" ht="14.4" thickTop="1" thickBot="1">
      <c r="B18" s="101">
        <f>CurYear-1</f>
        <v>2019</v>
      </c>
      <c r="C18" s="36" t="str">
        <f>Roster!D139</f>
        <v>.</v>
      </c>
      <c r="D18" s="37" t="str">
        <f>Roster!E139</f>
        <v>.</v>
      </c>
      <c r="E18" s="37" t="str">
        <f>Roster!F139</f>
        <v>.</v>
      </c>
      <c r="F18" s="37" t="str">
        <f>Roster!G139</f>
        <v>.</v>
      </c>
      <c r="G18" s="37" t="str">
        <f>Roster!H139</f>
        <v>.</v>
      </c>
      <c r="H18" s="37" t="str">
        <f>Roster!I139</f>
        <v>.</v>
      </c>
      <c r="I18" s="37" t="str">
        <f>Roster!J139</f>
        <v>.</v>
      </c>
      <c r="J18" s="37" t="str">
        <f>Roster!K139</f>
        <v>.</v>
      </c>
      <c r="K18" s="37" t="str">
        <f>Roster!L139</f>
        <v>.</v>
      </c>
      <c r="L18" s="37" t="str">
        <f>Roster!M139</f>
        <v>.</v>
      </c>
      <c r="M18" s="37" t="str">
        <f>Roster!N139</f>
        <v>.</v>
      </c>
      <c r="N18" s="37" t="str">
        <f>Roster!O139</f>
        <v>.</v>
      </c>
      <c r="O18" s="37" t="str">
        <f>Roster!P139</f>
        <v>.</v>
      </c>
      <c r="P18" s="37" t="str">
        <f>Roster!Q139</f>
        <v>.</v>
      </c>
      <c r="Q18" s="37" t="str">
        <f>Roster!R139</f>
        <v>.</v>
      </c>
      <c r="R18" s="37" t="str">
        <f>Roster!S139</f>
        <v>.</v>
      </c>
      <c r="S18" s="37" t="str">
        <f>Roster!T139</f>
        <v>.</v>
      </c>
      <c r="T18" s="37" t="str">
        <f>Roster!U139</f>
        <v>.</v>
      </c>
      <c r="U18" s="37" t="str">
        <f>Roster!V139</f>
        <v>.</v>
      </c>
      <c r="V18" s="37" t="str">
        <f>Roster!W139</f>
        <v>.</v>
      </c>
      <c r="W18" s="37" t="str">
        <f>Roster!X139</f>
        <v>.</v>
      </c>
      <c r="X18" s="37" t="str">
        <f>Roster!Y139</f>
        <v>.</v>
      </c>
      <c r="Y18" s="37" t="str">
        <f>Roster!Z139</f>
        <v>.</v>
      </c>
      <c r="Z18" s="37" t="str">
        <f>Roster!AA139</f>
        <v>.</v>
      </c>
      <c r="AA18" s="37" t="str">
        <f>Roster!AB139</f>
        <v>.</v>
      </c>
      <c r="AB18" s="37" t="str">
        <f>Roster!AC139</f>
        <v>.</v>
      </c>
      <c r="AC18" s="37" t="str">
        <f>Roster!AD139</f>
        <v>.</v>
      </c>
      <c r="AD18" s="37" t="str">
        <f>Roster!AE139</f>
        <v>.</v>
      </c>
      <c r="AE18" s="37" t="str">
        <f>Roster!AF139</f>
        <v>.</v>
      </c>
      <c r="AF18" s="38" t="str">
        <f>Roster!AG139</f>
        <v>.</v>
      </c>
      <c r="AG18" s="112"/>
    </row>
    <row r="19" spans="2:33" ht="14.4" thickTop="1" thickBot="1">
      <c r="B19" s="46"/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101" t="str">
        <f>Roster!C168</f>
        <v>December</v>
      </c>
      <c r="C20" s="102">
        <v>1</v>
      </c>
      <c r="D20" s="103">
        <v>2</v>
      </c>
      <c r="E20" s="103">
        <v>3</v>
      </c>
      <c r="F20" s="103">
        <v>4</v>
      </c>
      <c r="G20" s="103">
        <v>5</v>
      </c>
      <c r="H20" s="103">
        <v>6</v>
      </c>
      <c r="I20" s="103">
        <v>7</v>
      </c>
      <c r="J20" s="103">
        <v>8</v>
      </c>
      <c r="K20" s="103">
        <v>9</v>
      </c>
      <c r="L20" s="103">
        <v>10</v>
      </c>
      <c r="M20" s="103">
        <v>11</v>
      </c>
      <c r="N20" s="103">
        <v>12</v>
      </c>
      <c r="O20" s="103">
        <v>13</v>
      </c>
      <c r="P20" s="103">
        <v>14</v>
      </c>
      <c r="Q20" s="103">
        <v>15</v>
      </c>
      <c r="R20" s="103">
        <v>16</v>
      </c>
      <c r="S20" s="103">
        <v>17</v>
      </c>
      <c r="T20" s="103">
        <v>18</v>
      </c>
      <c r="U20" s="103">
        <v>19</v>
      </c>
      <c r="V20" s="103">
        <v>20</v>
      </c>
      <c r="W20" s="103">
        <v>21</v>
      </c>
      <c r="X20" s="103">
        <v>22</v>
      </c>
      <c r="Y20" s="103">
        <v>23</v>
      </c>
      <c r="Z20" s="103">
        <v>24</v>
      </c>
      <c r="AA20" s="103">
        <v>25</v>
      </c>
      <c r="AB20" s="103">
        <v>26</v>
      </c>
      <c r="AC20" s="103">
        <v>27</v>
      </c>
      <c r="AD20" s="103">
        <v>28</v>
      </c>
      <c r="AE20" s="103">
        <v>29</v>
      </c>
      <c r="AF20" s="103">
        <v>30</v>
      </c>
      <c r="AG20" s="104">
        <v>31</v>
      </c>
    </row>
    <row r="21" spans="2:33" ht="14.4" thickTop="1" thickBot="1">
      <c r="B21" s="101">
        <f>CurYear-1</f>
        <v>2019</v>
      </c>
      <c r="C21" s="36" t="str">
        <f>Roster!D170</f>
        <v>.</v>
      </c>
      <c r="D21" s="37" t="str">
        <f>Roster!E170</f>
        <v>.</v>
      </c>
      <c r="E21" s="37" t="str">
        <f>Roster!F170</f>
        <v>.</v>
      </c>
      <c r="F21" s="37" t="str">
        <f>Roster!G170</f>
        <v>.</v>
      </c>
      <c r="G21" s="37" t="str">
        <f>Roster!H170</f>
        <v>.</v>
      </c>
      <c r="H21" s="37" t="str">
        <f>Roster!I170</f>
        <v>.</v>
      </c>
      <c r="I21" s="37" t="str">
        <f>Roster!J170</f>
        <v>.</v>
      </c>
      <c r="J21" s="37" t="str">
        <f>Roster!K170</f>
        <v>.</v>
      </c>
      <c r="K21" s="37" t="str">
        <f>Roster!L170</f>
        <v>.</v>
      </c>
      <c r="L21" s="37" t="str">
        <f>Roster!M170</f>
        <v>.</v>
      </c>
      <c r="M21" s="37" t="str">
        <f>Roster!N170</f>
        <v>.</v>
      </c>
      <c r="N21" s="37" t="str">
        <f>Roster!O170</f>
        <v>.</v>
      </c>
      <c r="O21" s="37" t="str">
        <f>Roster!P170</f>
        <v>.</v>
      </c>
      <c r="P21" s="37" t="str">
        <f>Roster!Q170</f>
        <v>.</v>
      </c>
      <c r="Q21" s="37" t="str">
        <f>Roster!R170</f>
        <v>.</v>
      </c>
      <c r="R21" s="37" t="str">
        <f>Roster!S170</f>
        <v>.</v>
      </c>
      <c r="S21" s="37" t="str">
        <f>Roster!T170</f>
        <v>.</v>
      </c>
      <c r="T21" s="37" t="str">
        <f>Roster!U170</f>
        <v>.</v>
      </c>
      <c r="U21" s="37" t="str">
        <f>Roster!V170</f>
        <v>.</v>
      </c>
      <c r="V21" s="37" t="str">
        <f>Roster!W170</f>
        <v>.</v>
      </c>
      <c r="W21" s="37" t="str">
        <f>Roster!X170</f>
        <v>.</v>
      </c>
      <c r="X21" s="37" t="str">
        <f>Roster!Y170</f>
        <v>.</v>
      </c>
      <c r="Y21" s="37" t="str">
        <f>Roster!Z170</f>
        <v>.</v>
      </c>
      <c r="Z21" s="37" t="str">
        <f>Roster!AA170</f>
        <v>.</v>
      </c>
      <c r="AA21" s="37" t="str">
        <f>Roster!AB170</f>
        <v>.</v>
      </c>
      <c r="AB21" s="37" t="str">
        <f>Roster!AC170</f>
        <v>.</v>
      </c>
      <c r="AC21" s="37" t="str">
        <f>Roster!AD170</f>
        <v>.</v>
      </c>
      <c r="AD21" s="37" t="str">
        <f>Roster!AE170</f>
        <v>.</v>
      </c>
      <c r="AE21" s="37" t="str">
        <f>Roster!AF170</f>
        <v>.</v>
      </c>
      <c r="AF21" s="37" t="str">
        <f>Roster!AG170</f>
        <v>.</v>
      </c>
      <c r="AG21" s="38" t="str">
        <f>Roster!AH170</f>
        <v>.</v>
      </c>
    </row>
    <row r="22" spans="2:33" s="10" customFormat="1" ht="14.4" thickTop="1" thickBot="1">
      <c r="B22" s="47"/>
      <c r="C22" s="47" t="str">
        <f t="shared" ref="C22:AG22" si="6">LEFT(TEXT(C23&amp;"-"&amp;$B23&amp;"-"&amp;CurYear,"ddd"),2)</f>
        <v>We</v>
      </c>
      <c r="D22" s="47" t="str">
        <f t="shared" si="6"/>
        <v>Th</v>
      </c>
      <c r="E22" s="47" t="str">
        <f t="shared" si="6"/>
        <v>Fr</v>
      </c>
      <c r="F22" s="47" t="str">
        <f t="shared" si="6"/>
        <v>Sa</v>
      </c>
      <c r="G22" s="47" t="str">
        <f t="shared" si="6"/>
        <v>Su</v>
      </c>
      <c r="H22" s="47" t="str">
        <f t="shared" si="6"/>
        <v>Mo</v>
      </c>
      <c r="I22" s="47" t="str">
        <f t="shared" si="6"/>
        <v>Tu</v>
      </c>
      <c r="J22" s="47" t="str">
        <f t="shared" si="6"/>
        <v>We</v>
      </c>
      <c r="K22" s="47" t="str">
        <f t="shared" si="6"/>
        <v>Th</v>
      </c>
      <c r="L22" s="47" t="str">
        <f t="shared" si="6"/>
        <v>Fr</v>
      </c>
      <c r="M22" s="47" t="str">
        <f t="shared" si="6"/>
        <v>Sa</v>
      </c>
      <c r="N22" s="47" t="str">
        <f t="shared" si="6"/>
        <v>Su</v>
      </c>
      <c r="O22" s="47" t="str">
        <f t="shared" si="6"/>
        <v>Mo</v>
      </c>
      <c r="P22" s="47" t="str">
        <f t="shared" si="6"/>
        <v>Tu</v>
      </c>
      <c r="Q22" s="47" t="str">
        <f t="shared" si="6"/>
        <v>We</v>
      </c>
      <c r="R22" s="47" t="str">
        <f t="shared" si="6"/>
        <v>Th</v>
      </c>
      <c r="S22" s="47" t="str">
        <f t="shared" si="6"/>
        <v>Fr</v>
      </c>
      <c r="T22" s="47" t="str">
        <f t="shared" si="6"/>
        <v>Sa</v>
      </c>
      <c r="U22" s="47" t="str">
        <f t="shared" si="6"/>
        <v>Su</v>
      </c>
      <c r="V22" s="47" t="str">
        <f t="shared" si="6"/>
        <v>Mo</v>
      </c>
      <c r="W22" s="47" t="str">
        <f t="shared" si="6"/>
        <v>Tu</v>
      </c>
      <c r="X22" s="47" t="str">
        <f t="shared" si="6"/>
        <v>We</v>
      </c>
      <c r="Y22" s="47" t="str">
        <f t="shared" si="6"/>
        <v>Th</v>
      </c>
      <c r="Z22" s="47" t="str">
        <f t="shared" si="6"/>
        <v>Fr</v>
      </c>
      <c r="AA22" s="47" t="str">
        <f t="shared" si="6"/>
        <v>Sa</v>
      </c>
      <c r="AB22" s="47" t="str">
        <f t="shared" si="6"/>
        <v>Su</v>
      </c>
      <c r="AC22" s="47" t="str">
        <f t="shared" si="6"/>
        <v>Mo</v>
      </c>
      <c r="AD22" s="47" t="str">
        <f t="shared" si="6"/>
        <v>Tu</v>
      </c>
      <c r="AE22" s="47" t="str">
        <f t="shared" si="6"/>
        <v>We</v>
      </c>
      <c r="AF22" s="47" t="str">
        <f t="shared" si="6"/>
        <v>Th</v>
      </c>
      <c r="AG22" s="47" t="str">
        <f t="shared" si="6"/>
        <v>Fr</v>
      </c>
    </row>
    <row r="23" spans="2:33" ht="14.4" thickTop="1" thickBot="1">
      <c r="B23" s="101" t="str">
        <f>Roster!$C$199</f>
        <v>January</v>
      </c>
      <c r="C23" s="102">
        <v>1</v>
      </c>
      <c r="D23" s="103">
        <v>2</v>
      </c>
      <c r="E23" s="103">
        <v>3</v>
      </c>
      <c r="F23" s="103">
        <v>4</v>
      </c>
      <c r="G23" s="103">
        <v>5</v>
      </c>
      <c r="H23" s="103">
        <v>6</v>
      </c>
      <c r="I23" s="103">
        <v>7</v>
      </c>
      <c r="J23" s="103">
        <v>8</v>
      </c>
      <c r="K23" s="103">
        <v>9</v>
      </c>
      <c r="L23" s="103">
        <v>10</v>
      </c>
      <c r="M23" s="103">
        <v>11</v>
      </c>
      <c r="N23" s="103">
        <v>12</v>
      </c>
      <c r="O23" s="103">
        <v>13</v>
      </c>
      <c r="P23" s="103">
        <v>14</v>
      </c>
      <c r="Q23" s="103">
        <v>15</v>
      </c>
      <c r="R23" s="103">
        <v>16</v>
      </c>
      <c r="S23" s="103">
        <v>17</v>
      </c>
      <c r="T23" s="103">
        <v>18</v>
      </c>
      <c r="U23" s="103">
        <v>19</v>
      </c>
      <c r="V23" s="103">
        <v>20</v>
      </c>
      <c r="W23" s="103">
        <v>21</v>
      </c>
      <c r="X23" s="103">
        <v>22</v>
      </c>
      <c r="Y23" s="103">
        <v>23</v>
      </c>
      <c r="Z23" s="103">
        <v>24</v>
      </c>
      <c r="AA23" s="103">
        <v>25</v>
      </c>
      <c r="AB23" s="103">
        <v>26</v>
      </c>
      <c r="AC23" s="103">
        <v>27</v>
      </c>
      <c r="AD23" s="103">
        <v>28</v>
      </c>
      <c r="AE23" s="103">
        <v>29</v>
      </c>
      <c r="AF23" s="103">
        <v>30</v>
      </c>
      <c r="AG23" s="104">
        <v>31</v>
      </c>
    </row>
    <row r="24" spans="2:33" ht="14.4" thickTop="1" thickBot="1">
      <c r="B24" s="101" t="str">
        <f>CurYear</f>
        <v>2020</v>
      </c>
      <c r="C24" s="48" t="str">
        <f>Roster!D201</f>
        <v>.</v>
      </c>
      <c r="D24" s="49" t="str">
        <f>Roster!E201</f>
        <v>.</v>
      </c>
      <c r="E24" s="40" t="str">
        <f>Roster!F201</f>
        <v>.</v>
      </c>
      <c r="F24" s="40" t="str">
        <f>Roster!G201</f>
        <v>.</v>
      </c>
      <c r="G24" s="40" t="str">
        <f>Roster!H201</f>
        <v>.</v>
      </c>
      <c r="H24" s="40" t="str">
        <f>Roster!I201</f>
        <v>.</v>
      </c>
      <c r="I24" s="40" t="str">
        <f>Roster!J201</f>
        <v>.</v>
      </c>
      <c r="J24" s="40" t="str">
        <f>Roster!K201</f>
        <v>.</v>
      </c>
      <c r="K24" s="40" t="str">
        <f>Roster!L201</f>
        <v>.</v>
      </c>
      <c r="L24" s="40" t="str">
        <f>Roster!M201</f>
        <v>.</v>
      </c>
      <c r="M24" s="40" t="str">
        <f>Roster!N201</f>
        <v>.</v>
      </c>
      <c r="N24" s="40" t="str">
        <f>Roster!O201</f>
        <v>.</v>
      </c>
      <c r="O24" s="40" t="str">
        <f>Roster!P201</f>
        <v>.</v>
      </c>
      <c r="P24" s="40" t="str">
        <f>Roster!Q201</f>
        <v>.</v>
      </c>
      <c r="Q24" s="40" t="str">
        <f>Roster!R201</f>
        <v>.</v>
      </c>
      <c r="R24" s="40" t="str">
        <f>Roster!S201</f>
        <v>.</v>
      </c>
      <c r="S24" s="40" t="str">
        <f>Roster!T201</f>
        <v>.</v>
      </c>
      <c r="T24" s="40" t="str">
        <f>Roster!U201</f>
        <v>.</v>
      </c>
      <c r="U24" s="40" t="str">
        <f>Roster!V201</f>
        <v>.</v>
      </c>
      <c r="V24" s="40" t="str">
        <f>Roster!W201</f>
        <v>.</v>
      </c>
      <c r="W24" s="40" t="str">
        <f>Roster!X201</f>
        <v>.</v>
      </c>
      <c r="X24" s="40" t="str">
        <f>Roster!Y201</f>
        <v>.</v>
      </c>
      <c r="Y24" s="40" t="str">
        <f>Roster!Z201</f>
        <v>.</v>
      </c>
      <c r="Z24" s="40" t="str">
        <f>Roster!AA201</f>
        <v>.</v>
      </c>
      <c r="AA24" s="40" t="str">
        <f>Roster!AB201</f>
        <v>.</v>
      </c>
      <c r="AB24" s="40" t="str">
        <f>Roster!AC201</f>
        <v>.</v>
      </c>
      <c r="AC24" s="40" t="str">
        <f>Roster!AD201</f>
        <v>.</v>
      </c>
      <c r="AD24" s="40" t="str">
        <f>Roster!AE201</f>
        <v>.</v>
      </c>
      <c r="AE24" s="40" t="str">
        <f>Roster!AF201</f>
        <v>.</v>
      </c>
      <c r="AF24" s="40" t="str">
        <f>Roster!AG201</f>
        <v>.</v>
      </c>
      <c r="AG24" s="41" t="str">
        <f>Roster!AH201</f>
        <v>.</v>
      </c>
    </row>
    <row r="25" spans="2:33" s="10" customFormat="1" ht="14.4" thickTop="1" thickBot="1">
      <c r="B25" s="47"/>
      <c r="C25" s="47" t="str">
        <f t="shared" ref="C25:AE25" si="7">LEFT(TEXT(C26&amp;"-"&amp;$B26&amp;"-"&amp;CurYear,"ddd"),2)</f>
        <v>Sa</v>
      </c>
      <c r="D25" s="22" t="str">
        <f t="shared" si="7"/>
        <v>Su</v>
      </c>
      <c r="E25" s="22" t="str">
        <f t="shared" si="7"/>
        <v>Mo</v>
      </c>
      <c r="F25" s="22" t="str">
        <f t="shared" si="7"/>
        <v>Tu</v>
      </c>
      <c r="G25" s="22" t="str">
        <f t="shared" si="7"/>
        <v>We</v>
      </c>
      <c r="H25" s="22" t="str">
        <f t="shared" si="7"/>
        <v>Th</v>
      </c>
      <c r="I25" s="22" t="str">
        <f t="shared" si="7"/>
        <v>Fr</v>
      </c>
      <c r="J25" s="22" t="str">
        <f t="shared" si="7"/>
        <v>Sa</v>
      </c>
      <c r="K25" s="22" t="str">
        <f t="shared" si="7"/>
        <v>Su</v>
      </c>
      <c r="L25" s="22" t="str">
        <f t="shared" si="7"/>
        <v>Mo</v>
      </c>
      <c r="M25" s="22" t="str">
        <f t="shared" si="7"/>
        <v>Tu</v>
      </c>
      <c r="N25" s="22" t="str">
        <f t="shared" si="7"/>
        <v>We</v>
      </c>
      <c r="O25" s="22" t="str">
        <f t="shared" si="7"/>
        <v>Th</v>
      </c>
      <c r="P25" s="22" t="str">
        <f t="shared" si="7"/>
        <v>Fr</v>
      </c>
      <c r="Q25" s="22" t="str">
        <f t="shared" si="7"/>
        <v>Sa</v>
      </c>
      <c r="R25" s="22" t="str">
        <f t="shared" si="7"/>
        <v>Su</v>
      </c>
      <c r="S25" s="22" t="str">
        <f t="shared" si="7"/>
        <v>Mo</v>
      </c>
      <c r="T25" s="22" t="str">
        <f t="shared" si="7"/>
        <v>Tu</v>
      </c>
      <c r="U25" s="22" t="str">
        <f t="shared" si="7"/>
        <v>We</v>
      </c>
      <c r="V25" s="22" t="str">
        <f t="shared" si="7"/>
        <v>Th</v>
      </c>
      <c r="W25" s="22" t="str">
        <f t="shared" si="7"/>
        <v>Fr</v>
      </c>
      <c r="X25" s="22" t="str">
        <f t="shared" si="7"/>
        <v>Sa</v>
      </c>
      <c r="Y25" s="22" t="str">
        <f t="shared" si="7"/>
        <v>Su</v>
      </c>
      <c r="Z25" s="22" t="str">
        <f t="shared" si="7"/>
        <v>Mo</v>
      </c>
      <c r="AA25" s="22" t="str">
        <f t="shared" si="7"/>
        <v>Tu</v>
      </c>
      <c r="AB25" s="22" t="str">
        <f t="shared" si="7"/>
        <v>We</v>
      </c>
      <c r="AC25" s="22" t="str">
        <f t="shared" si="7"/>
        <v>Th</v>
      </c>
      <c r="AD25" s="22" t="str">
        <f t="shared" si="7"/>
        <v>Fr</v>
      </c>
      <c r="AE25" s="122" t="str">
        <f t="shared" si="7"/>
        <v>Sa</v>
      </c>
      <c r="AF25" s="113"/>
      <c r="AG25" s="114"/>
    </row>
    <row r="26" spans="2:33" ht="14.4" thickTop="1" thickBot="1">
      <c r="B26" s="101" t="str">
        <f>Roster!$C$230</f>
        <v>February</v>
      </c>
      <c r="C26" s="102">
        <v>1</v>
      </c>
      <c r="D26" s="110">
        <v>2</v>
      </c>
      <c r="E26" s="110">
        <v>3</v>
      </c>
      <c r="F26" s="110">
        <v>4</v>
      </c>
      <c r="G26" s="110">
        <v>5</v>
      </c>
      <c r="H26" s="110">
        <v>6</v>
      </c>
      <c r="I26" s="110">
        <v>7</v>
      </c>
      <c r="J26" s="110">
        <v>8</v>
      </c>
      <c r="K26" s="110">
        <v>9</v>
      </c>
      <c r="L26" s="110">
        <v>10</v>
      </c>
      <c r="M26" s="110">
        <v>11</v>
      </c>
      <c r="N26" s="110">
        <v>12</v>
      </c>
      <c r="O26" s="110">
        <v>13</v>
      </c>
      <c r="P26" s="110">
        <v>14</v>
      </c>
      <c r="Q26" s="110">
        <v>15</v>
      </c>
      <c r="R26" s="110">
        <v>16</v>
      </c>
      <c r="S26" s="110">
        <v>17</v>
      </c>
      <c r="T26" s="110">
        <v>18</v>
      </c>
      <c r="U26" s="110">
        <v>19</v>
      </c>
      <c r="V26" s="110">
        <v>20</v>
      </c>
      <c r="W26" s="110">
        <v>21</v>
      </c>
      <c r="X26" s="110">
        <v>22</v>
      </c>
      <c r="Y26" s="110">
        <v>23</v>
      </c>
      <c r="Z26" s="110">
        <v>24</v>
      </c>
      <c r="AA26" s="110">
        <v>25</v>
      </c>
      <c r="AB26" s="110">
        <v>26</v>
      </c>
      <c r="AC26" s="110">
        <v>27</v>
      </c>
      <c r="AD26" s="115">
        <v>28</v>
      </c>
      <c r="AE26" s="120">
        <v>29</v>
      </c>
      <c r="AF26" s="97"/>
      <c r="AG26" s="20"/>
    </row>
    <row r="27" spans="2:33" ht="14.4" thickTop="1" thickBot="1">
      <c r="B27" s="101" t="str">
        <f>CurYear</f>
        <v>2020</v>
      </c>
      <c r="C27" s="36" t="str">
        <f>Roster!D232</f>
        <v>.</v>
      </c>
      <c r="D27" s="37" t="str">
        <f>Roster!E232</f>
        <v>.</v>
      </c>
      <c r="E27" s="37" t="str">
        <f>Roster!F232</f>
        <v>.</v>
      </c>
      <c r="F27" s="37" t="str">
        <f>Roster!G232</f>
        <v>.</v>
      </c>
      <c r="G27" s="37" t="str">
        <f>Roster!H232</f>
        <v>.</v>
      </c>
      <c r="H27" s="37" t="str">
        <f>Roster!I232</f>
        <v>.</v>
      </c>
      <c r="I27" s="37" t="str">
        <f>Roster!J232</f>
        <v>.</v>
      </c>
      <c r="J27" s="37" t="str">
        <f>Roster!K232</f>
        <v>.</v>
      </c>
      <c r="K27" s="37" t="str">
        <f>Roster!L232</f>
        <v>.</v>
      </c>
      <c r="L27" s="37" t="str">
        <f>Roster!M232</f>
        <v>.</v>
      </c>
      <c r="M27" s="37" t="str">
        <f>Roster!N232</f>
        <v>.</v>
      </c>
      <c r="N27" s="37" t="str">
        <f>Roster!O232</f>
        <v>.</v>
      </c>
      <c r="O27" s="37" t="str">
        <f>Roster!P232</f>
        <v>.</v>
      </c>
      <c r="P27" s="37" t="str">
        <f>Roster!Q232</f>
        <v>.</v>
      </c>
      <c r="Q27" s="37" t="str">
        <f>Roster!R232</f>
        <v>.</v>
      </c>
      <c r="R27" s="37" t="str">
        <f>Roster!S232</f>
        <v>.</v>
      </c>
      <c r="S27" s="37" t="str">
        <f>Roster!T232</f>
        <v>.</v>
      </c>
      <c r="T27" s="37" t="str">
        <f>Roster!U232</f>
        <v>.</v>
      </c>
      <c r="U27" s="37" t="str">
        <f>Roster!V232</f>
        <v>.</v>
      </c>
      <c r="V27" s="37" t="str">
        <f>Roster!W232</f>
        <v>.</v>
      </c>
      <c r="W27" s="37" t="str">
        <f>Roster!X232</f>
        <v>.</v>
      </c>
      <c r="X27" s="37" t="str">
        <f>Roster!Y232</f>
        <v>.</v>
      </c>
      <c r="Y27" s="37" t="str">
        <f>Roster!Z232</f>
        <v>.</v>
      </c>
      <c r="Z27" s="37" t="str">
        <f>Roster!AA232</f>
        <v>.</v>
      </c>
      <c r="AA27" s="37" t="str">
        <f>Roster!AB232</f>
        <v>.</v>
      </c>
      <c r="AB27" s="37" t="str">
        <f>Roster!AC232</f>
        <v>.</v>
      </c>
      <c r="AC27" s="37" t="str">
        <f>Roster!AD232</f>
        <v>.</v>
      </c>
      <c r="AD27" s="43" t="str">
        <f>Roster!AE232</f>
        <v>.</v>
      </c>
      <c r="AE27" s="121" t="str">
        <f>Roster!AF232</f>
        <v>.</v>
      </c>
      <c r="AF27" s="20"/>
      <c r="AG27" s="20"/>
    </row>
    <row r="28" spans="2:33" s="10" customFormat="1" ht="14.4" thickTop="1" thickBot="1">
      <c r="B28" s="47"/>
      <c r="C28" s="47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26" t="str">
        <f t="shared" si="8"/>
        <v>Mo</v>
      </c>
      <c r="AG28" s="47" t="str">
        <f t="shared" si="8"/>
        <v>Tu</v>
      </c>
    </row>
    <row r="29" spans="2:33" ht="14.4" thickTop="1" thickBot="1">
      <c r="B29" s="101" t="str">
        <f>Roster!$C$261</f>
        <v>March</v>
      </c>
      <c r="C29" s="102">
        <v>1</v>
      </c>
      <c r="D29" s="103">
        <v>2</v>
      </c>
      <c r="E29" s="103">
        <v>3</v>
      </c>
      <c r="F29" s="103">
        <v>4</v>
      </c>
      <c r="G29" s="103">
        <v>5</v>
      </c>
      <c r="H29" s="103">
        <v>6</v>
      </c>
      <c r="I29" s="103">
        <v>7</v>
      </c>
      <c r="J29" s="103">
        <v>8</v>
      </c>
      <c r="K29" s="103">
        <v>9</v>
      </c>
      <c r="L29" s="103">
        <v>10</v>
      </c>
      <c r="M29" s="103">
        <v>11</v>
      </c>
      <c r="N29" s="103">
        <v>12</v>
      </c>
      <c r="O29" s="103">
        <v>13</v>
      </c>
      <c r="P29" s="103">
        <v>14</v>
      </c>
      <c r="Q29" s="103">
        <v>15</v>
      </c>
      <c r="R29" s="103">
        <v>16</v>
      </c>
      <c r="S29" s="103">
        <v>17</v>
      </c>
      <c r="T29" s="103">
        <v>18</v>
      </c>
      <c r="U29" s="103">
        <v>19</v>
      </c>
      <c r="V29" s="103">
        <v>20</v>
      </c>
      <c r="W29" s="103">
        <v>21</v>
      </c>
      <c r="X29" s="103">
        <v>22</v>
      </c>
      <c r="Y29" s="103">
        <v>23</v>
      </c>
      <c r="Z29" s="103">
        <v>24</v>
      </c>
      <c r="AA29" s="103">
        <v>25</v>
      </c>
      <c r="AB29" s="103">
        <v>26</v>
      </c>
      <c r="AC29" s="103">
        <v>27</v>
      </c>
      <c r="AD29" s="103">
        <v>28</v>
      </c>
      <c r="AE29" s="103">
        <v>29</v>
      </c>
      <c r="AF29" s="103">
        <v>30</v>
      </c>
      <c r="AG29" s="104">
        <v>31</v>
      </c>
    </row>
    <row r="30" spans="2:33" ht="14.4" thickTop="1" thickBot="1">
      <c r="B30" s="101" t="str">
        <f>CurYear</f>
        <v>2020</v>
      </c>
      <c r="C30" s="36" t="str">
        <f>Roster!D263</f>
        <v>.</v>
      </c>
      <c r="D30" s="37" t="str">
        <f>Roster!E263</f>
        <v>.</v>
      </c>
      <c r="E30" s="37" t="str">
        <f>Roster!F263</f>
        <v>.</v>
      </c>
      <c r="F30" s="37" t="str">
        <f>Roster!G263</f>
        <v>.</v>
      </c>
      <c r="G30" s="37" t="str">
        <f>Roster!H263</f>
        <v>.</v>
      </c>
      <c r="H30" s="37" t="str">
        <f>Roster!I263</f>
        <v>.</v>
      </c>
      <c r="I30" s="37" t="str">
        <f>Roster!J263</f>
        <v>.</v>
      </c>
      <c r="J30" s="37" t="str">
        <f>Roster!K263</f>
        <v>.</v>
      </c>
      <c r="K30" s="37" t="str">
        <f>Roster!L263</f>
        <v>.</v>
      </c>
      <c r="L30" s="37" t="str">
        <f>Roster!M263</f>
        <v>.</v>
      </c>
      <c r="M30" s="37" t="str">
        <f>Roster!N263</f>
        <v>.</v>
      </c>
      <c r="N30" s="37" t="str">
        <f>Roster!O263</f>
        <v>.</v>
      </c>
      <c r="O30" s="37" t="str">
        <f>Roster!P263</f>
        <v>.</v>
      </c>
      <c r="P30" s="37" t="str">
        <f>Roster!Q263</f>
        <v>.</v>
      </c>
      <c r="Q30" s="37" t="str">
        <f>Roster!R263</f>
        <v>.</v>
      </c>
      <c r="R30" s="37" t="str">
        <f>Roster!S263</f>
        <v>.</v>
      </c>
      <c r="S30" s="37" t="str">
        <f>Roster!T263</f>
        <v>.</v>
      </c>
      <c r="T30" s="37" t="str">
        <f>Roster!U263</f>
        <v>.</v>
      </c>
      <c r="U30" s="37" t="str">
        <f>Roster!V263</f>
        <v>.</v>
      </c>
      <c r="V30" s="37" t="str">
        <f>Roster!W263</f>
        <v>.</v>
      </c>
      <c r="W30" s="37" t="str">
        <f>Roster!X263</f>
        <v>.</v>
      </c>
      <c r="X30" s="37" t="str">
        <f>Roster!Y263</f>
        <v>.</v>
      </c>
      <c r="Y30" s="37" t="str">
        <f>Roster!Z263</f>
        <v>.</v>
      </c>
      <c r="Z30" s="37" t="str">
        <f>Roster!AA263</f>
        <v>.</v>
      </c>
      <c r="AA30" s="37" t="str">
        <f>Roster!AB263</f>
        <v>.</v>
      </c>
      <c r="AB30" s="37" t="str">
        <f>Roster!AC263</f>
        <v>.</v>
      </c>
      <c r="AC30" s="37" t="str">
        <f>Roster!AD263</f>
        <v>.</v>
      </c>
      <c r="AD30" s="37" t="str">
        <f>Roster!AE263</f>
        <v>.</v>
      </c>
      <c r="AE30" s="37" t="str">
        <f>Roster!AF263</f>
        <v>.</v>
      </c>
      <c r="AF30" s="37" t="str">
        <f>Roster!AG263</f>
        <v>.</v>
      </c>
      <c r="AG30" s="38" t="str">
        <f>Roster!AH263</f>
        <v>.</v>
      </c>
    </row>
    <row r="31" spans="2:33" s="10" customFormat="1" ht="14.4" thickTop="1" thickBot="1">
      <c r="B31" s="47"/>
      <c r="C31" s="47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116"/>
    </row>
    <row r="32" spans="2:33" ht="14.4" thickTop="1" thickBot="1">
      <c r="B32" s="101" t="str">
        <f>Roster!$C$292</f>
        <v>April</v>
      </c>
      <c r="C32" s="102">
        <v>1</v>
      </c>
      <c r="D32" s="103">
        <v>2</v>
      </c>
      <c r="E32" s="103">
        <v>3</v>
      </c>
      <c r="F32" s="103">
        <v>4</v>
      </c>
      <c r="G32" s="103">
        <v>5</v>
      </c>
      <c r="H32" s="103">
        <v>6</v>
      </c>
      <c r="I32" s="103">
        <v>7</v>
      </c>
      <c r="J32" s="103">
        <v>8</v>
      </c>
      <c r="K32" s="103">
        <v>9</v>
      </c>
      <c r="L32" s="103">
        <v>10</v>
      </c>
      <c r="M32" s="103">
        <v>11</v>
      </c>
      <c r="N32" s="103">
        <v>12</v>
      </c>
      <c r="O32" s="103">
        <v>13</v>
      </c>
      <c r="P32" s="103">
        <v>14</v>
      </c>
      <c r="Q32" s="103">
        <v>15</v>
      </c>
      <c r="R32" s="103">
        <v>16</v>
      </c>
      <c r="S32" s="103">
        <v>17</v>
      </c>
      <c r="T32" s="103">
        <v>18</v>
      </c>
      <c r="U32" s="103">
        <v>19</v>
      </c>
      <c r="V32" s="103">
        <v>20</v>
      </c>
      <c r="W32" s="103">
        <v>21</v>
      </c>
      <c r="X32" s="103">
        <v>22</v>
      </c>
      <c r="Y32" s="103">
        <v>23</v>
      </c>
      <c r="Z32" s="103">
        <v>24</v>
      </c>
      <c r="AA32" s="103">
        <v>25</v>
      </c>
      <c r="AB32" s="103">
        <v>26</v>
      </c>
      <c r="AC32" s="103">
        <v>27</v>
      </c>
      <c r="AD32" s="103">
        <v>28</v>
      </c>
      <c r="AE32" s="103">
        <v>29</v>
      </c>
      <c r="AF32" s="104">
        <v>30</v>
      </c>
      <c r="AG32" s="20"/>
    </row>
    <row r="33" spans="2:33" ht="14.4" thickTop="1" thickBot="1">
      <c r="B33" s="101" t="str">
        <f>CurYear</f>
        <v>2020</v>
      </c>
      <c r="C33" s="36" t="str">
        <f>Roster!D294</f>
        <v>.</v>
      </c>
      <c r="D33" s="37" t="str">
        <f>Roster!E294</f>
        <v>.</v>
      </c>
      <c r="E33" s="37" t="str">
        <f>Roster!F294</f>
        <v>.</v>
      </c>
      <c r="F33" s="37" t="str">
        <f>Roster!G294</f>
        <v>.</v>
      </c>
      <c r="G33" s="37" t="str">
        <f>Roster!H294</f>
        <v>.</v>
      </c>
      <c r="H33" s="37" t="str">
        <f>Roster!I294</f>
        <v>.</v>
      </c>
      <c r="I33" s="37" t="str">
        <f>Roster!J294</f>
        <v>.</v>
      </c>
      <c r="J33" s="37" t="str">
        <f>Roster!K294</f>
        <v>.</v>
      </c>
      <c r="K33" s="37" t="str">
        <f>Roster!L294</f>
        <v>.</v>
      </c>
      <c r="L33" s="37" t="str">
        <f>Roster!M294</f>
        <v>.</v>
      </c>
      <c r="M33" s="37" t="str">
        <f>Roster!N294</f>
        <v>.</v>
      </c>
      <c r="N33" s="37" t="str">
        <f>Roster!O294</f>
        <v>.</v>
      </c>
      <c r="O33" s="37" t="str">
        <f>Roster!P294</f>
        <v>.</v>
      </c>
      <c r="P33" s="37" t="str">
        <f>Roster!Q294</f>
        <v>.</v>
      </c>
      <c r="Q33" s="37" t="str">
        <f>Roster!R294</f>
        <v>.</v>
      </c>
      <c r="R33" s="37" t="str">
        <f>Roster!S294</f>
        <v>.</v>
      </c>
      <c r="S33" s="37" t="str">
        <f>Roster!T294</f>
        <v>.</v>
      </c>
      <c r="T33" s="37" t="str">
        <f>Roster!U294</f>
        <v>.</v>
      </c>
      <c r="U33" s="37" t="str">
        <f>Roster!V294</f>
        <v>.</v>
      </c>
      <c r="V33" s="37" t="str">
        <f>Roster!W294</f>
        <v>.</v>
      </c>
      <c r="W33" s="37" t="str">
        <f>Roster!X294</f>
        <v>.</v>
      </c>
      <c r="X33" s="37" t="str">
        <f>Roster!Y294</f>
        <v>.</v>
      </c>
      <c r="Y33" s="37" t="str">
        <f>Roster!Z294</f>
        <v>.</v>
      </c>
      <c r="Z33" s="37" t="str">
        <f>Roster!AA294</f>
        <v>.</v>
      </c>
      <c r="AA33" s="37" t="str">
        <f>Roster!AB294</f>
        <v>.</v>
      </c>
      <c r="AB33" s="37" t="str">
        <f>Roster!AC294</f>
        <v>.</v>
      </c>
      <c r="AC33" s="37" t="str">
        <f>Roster!AD294</f>
        <v>.</v>
      </c>
      <c r="AD33" s="37" t="str">
        <f>Roster!AE294</f>
        <v>.</v>
      </c>
      <c r="AE33" s="37" t="str">
        <f>Roster!AF294</f>
        <v>.</v>
      </c>
      <c r="AF33" s="38" t="str">
        <f>Roster!AG294</f>
        <v>.</v>
      </c>
      <c r="AG33" s="20"/>
    </row>
    <row r="34" spans="2:33" ht="14.4" thickTop="1" thickBot="1">
      <c r="B34" s="46"/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46" t="str">
        <f t="shared" si="10"/>
        <v>Su</v>
      </c>
    </row>
    <row r="35" spans="2:33" ht="14.4" thickTop="1" thickBot="1">
      <c r="B35" s="101" t="str">
        <f>Roster!$C$323</f>
        <v>May</v>
      </c>
      <c r="C35" s="102">
        <v>1</v>
      </c>
      <c r="D35" s="103">
        <v>2</v>
      </c>
      <c r="E35" s="103">
        <v>3</v>
      </c>
      <c r="F35" s="103">
        <v>4</v>
      </c>
      <c r="G35" s="103">
        <v>5</v>
      </c>
      <c r="H35" s="103">
        <v>6</v>
      </c>
      <c r="I35" s="103">
        <v>7</v>
      </c>
      <c r="J35" s="103">
        <v>8</v>
      </c>
      <c r="K35" s="103">
        <v>9</v>
      </c>
      <c r="L35" s="103">
        <v>10</v>
      </c>
      <c r="M35" s="103">
        <v>11</v>
      </c>
      <c r="N35" s="103">
        <v>12</v>
      </c>
      <c r="O35" s="103">
        <v>13</v>
      </c>
      <c r="P35" s="103">
        <v>14</v>
      </c>
      <c r="Q35" s="103">
        <v>15</v>
      </c>
      <c r="R35" s="103">
        <v>16</v>
      </c>
      <c r="S35" s="103">
        <v>17</v>
      </c>
      <c r="T35" s="103">
        <v>18</v>
      </c>
      <c r="U35" s="103">
        <v>19</v>
      </c>
      <c r="V35" s="103">
        <v>20</v>
      </c>
      <c r="W35" s="103">
        <v>21</v>
      </c>
      <c r="X35" s="103">
        <v>22</v>
      </c>
      <c r="Y35" s="103">
        <v>23</v>
      </c>
      <c r="Z35" s="103">
        <v>24</v>
      </c>
      <c r="AA35" s="103">
        <v>25</v>
      </c>
      <c r="AB35" s="103">
        <v>26</v>
      </c>
      <c r="AC35" s="103">
        <v>27</v>
      </c>
      <c r="AD35" s="103">
        <v>28</v>
      </c>
      <c r="AE35" s="103">
        <v>29</v>
      </c>
      <c r="AF35" s="103">
        <v>30</v>
      </c>
      <c r="AG35" s="104">
        <v>31</v>
      </c>
    </row>
    <row r="36" spans="2:33" ht="14.4" thickTop="1" thickBot="1">
      <c r="B36" s="101" t="str">
        <f>CurYear</f>
        <v>2020</v>
      </c>
      <c r="C36" s="36" t="str">
        <f>Roster!D325</f>
        <v>.</v>
      </c>
      <c r="D36" s="37" t="str">
        <f>Roster!E325</f>
        <v>.</v>
      </c>
      <c r="E36" s="37" t="str">
        <f>Roster!F325</f>
        <v>.</v>
      </c>
      <c r="F36" s="37" t="str">
        <f>Roster!G325</f>
        <v>.</v>
      </c>
      <c r="G36" s="37" t="str">
        <f>Roster!H325</f>
        <v>.</v>
      </c>
      <c r="H36" s="37" t="str">
        <f>Roster!I325</f>
        <v>.</v>
      </c>
      <c r="I36" s="37" t="str">
        <f>Roster!J325</f>
        <v>.</v>
      </c>
      <c r="J36" s="37" t="str">
        <f>Roster!K325</f>
        <v>.</v>
      </c>
      <c r="K36" s="37" t="str">
        <f>Roster!L325</f>
        <v>.</v>
      </c>
      <c r="L36" s="37" t="str">
        <f>Roster!M325</f>
        <v>.</v>
      </c>
      <c r="M36" s="37" t="str">
        <f>Roster!N325</f>
        <v>.</v>
      </c>
      <c r="N36" s="37" t="str">
        <f>Roster!O325</f>
        <v>.</v>
      </c>
      <c r="O36" s="37" t="str">
        <f>Roster!P325</f>
        <v>.</v>
      </c>
      <c r="P36" s="37" t="str">
        <f>Roster!Q325</f>
        <v>.</v>
      </c>
      <c r="Q36" s="37" t="str">
        <f>Roster!R325</f>
        <v>.</v>
      </c>
      <c r="R36" s="37" t="str">
        <f>Roster!S325</f>
        <v>.</v>
      </c>
      <c r="S36" s="37" t="str">
        <f>Roster!T325</f>
        <v>.</v>
      </c>
      <c r="T36" s="37" t="str">
        <f>Roster!U325</f>
        <v>.</v>
      </c>
      <c r="U36" s="37" t="str">
        <f>Roster!V325</f>
        <v>.</v>
      </c>
      <c r="V36" s="37" t="str">
        <f>Roster!W325</f>
        <v>.</v>
      </c>
      <c r="W36" s="37" t="str">
        <f>Roster!X325</f>
        <v>.</v>
      </c>
      <c r="X36" s="37" t="str">
        <f>Roster!Y325</f>
        <v>.</v>
      </c>
      <c r="Y36" s="37" t="str">
        <f>Roster!Z325</f>
        <v>.</v>
      </c>
      <c r="Z36" s="37" t="str">
        <f>Roster!AA325</f>
        <v>.</v>
      </c>
      <c r="AA36" s="37" t="str">
        <f>Roster!AB325</f>
        <v>.</v>
      </c>
      <c r="AB36" s="37" t="str">
        <f>Roster!AC325</f>
        <v>.</v>
      </c>
      <c r="AC36" s="37" t="str">
        <f>Roster!AD325</f>
        <v>.</v>
      </c>
      <c r="AD36" s="37" t="str">
        <f>Roster!AE325</f>
        <v>.</v>
      </c>
      <c r="AE36" s="37" t="str">
        <f>Roster!AF325</f>
        <v>.</v>
      </c>
      <c r="AF36" s="37" t="str">
        <f>Roster!AG325</f>
        <v>.</v>
      </c>
      <c r="AG36" s="38" t="str">
        <f>Roster!AH325</f>
        <v>.</v>
      </c>
    </row>
    <row r="37" spans="2:33" ht="14.4" thickTop="1" thickBot="1">
      <c r="B37" s="46"/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08"/>
    </row>
    <row r="38" spans="2:33" ht="14.4" thickTop="1" thickBot="1">
      <c r="B38" s="101" t="str">
        <f>Roster!C354</f>
        <v>June</v>
      </c>
      <c r="C38" s="102">
        <v>1</v>
      </c>
      <c r="D38" s="103">
        <v>2</v>
      </c>
      <c r="E38" s="103">
        <v>3</v>
      </c>
      <c r="F38" s="103">
        <v>4</v>
      </c>
      <c r="G38" s="103">
        <v>5</v>
      </c>
      <c r="H38" s="103">
        <v>6</v>
      </c>
      <c r="I38" s="103">
        <v>7</v>
      </c>
      <c r="J38" s="103">
        <v>8</v>
      </c>
      <c r="K38" s="103">
        <v>9</v>
      </c>
      <c r="L38" s="103">
        <v>10</v>
      </c>
      <c r="M38" s="103">
        <v>11</v>
      </c>
      <c r="N38" s="103">
        <v>12</v>
      </c>
      <c r="O38" s="103">
        <v>13</v>
      </c>
      <c r="P38" s="103">
        <v>14</v>
      </c>
      <c r="Q38" s="103">
        <v>15</v>
      </c>
      <c r="R38" s="103">
        <v>16</v>
      </c>
      <c r="S38" s="103">
        <v>17</v>
      </c>
      <c r="T38" s="103">
        <v>18</v>
      </c>
      <c r="U38" s="103">
        <v>19</v>
      </c>
      <c r="V38" s="103">
        <v>20</v>
      </c>
      <c r="W38" s="103">
        <v>21</v>
      </c>
      <c r="X38" s="103">
        <v>22</v>
      </c>
      <c r="Y38" s="103">
        <v>23</v>
      </c>
      <c r="Z38" s="103">
        <v>24</v>
      </c>
      <c r="AA38" s="103">
        <v>25</v>
      </c>
      <c r="AB38" s="103">
        <v>26</v>
      </c>
      <c r="AC38" s="103">
        <v>27</v>
      </c>
      <c r="AD38" s="103">
        <v>28</v>
      </c>
      <c r="AE38" s="103">
        <v>29</v>
      </c>
      <c r="AF38" s="104">
        <v>30</v>
      </c>
      <c r="AG38" s="20"/>
    </row>
    <row r="39" spans="2:33" ht="14.4" thickTop="1" thickBot="1">
      <c r="B39" s="101" t="str">
        <f>CurYear</f>
        <v>2020</v>
      </c>
      <c r="C39" s="36" t="str">
        <f>Roster!D356</f>
        <v>.</v>
      </c>
      <c r="D39" s="37" t="str">
        <f>Roster!E356</f>
        <v>.</v>
      </c>
      <c r="E39" s="37" t="str">
        <f>Roster!F356</f>
        <v>.</v>
      </c>
      <c r="F39" s="37" t="str">
        <f>Roster!G356</f>
        <v>.</v>
      </c>
      <c r="G39" s="37" t="str">
        <f>Roster!H356</f>
        <v>.</v>
      </c>
      <c r="H39" s="37" t="str">
        <f>Roster!I356</f>
        <v>.</v>
      </c>
      <c r="I39" s="37" t="str">
        <f>Roster!J356</f>
        <v>.</v>
      </c>
      <c r="J39" s="37" t="str">
        <f>Roster!K356</f>
        <v>.</v>
      </c>
      <c r="K39" s="37" t="str">
        <f>Roster!L356</f>
        <v>.</v>
      </c>
      <c r="L39" s="37" t="str">
        <f>Roster!M356</f>
        <v>.</v>
      </c>
      <c r="M39" s="37" t="str">
        <f>Roster!N356</f>
        <v>.</v>
      </c>
      <c r="N39" s="37" t="str">
        <f>Roster!O356</f>
        <v>.</v>
      </c>
      <c r="O39" s="37" t="str">
        <f>Roster!P356</f>
        <v>.</v>
      </c>
      <c r="P39" s="37" t="str">
        <f>Roster!Q356</f>
        <v>.</v>
      </c>
      <c r="Q39" s="37" t="str">
        <f>Roster!R356</f>
        <v>.</v>
      </c>
      <c r="R39" s="37" t="str">
        <f>Roster!S356</f>
        <v>.</v>
      </c>
      <c r="S39" s="37" t="str">
        <f>Roster!T356</f>
        <v>.</v>
      </c>
      <c r="T39" s="37" t="str">
        <f>Roster!U356</f>
        <v>.</v>
      </c>
      <c r="U39" s="37" t="str">
        <f>Roster!V356</f>
        <v>.</v>
      </c>
      <c r="V39" s="37" t="str">
        <f>Roster!W356</f>
        <v>.</v>
      </c>
      <c r="W39" s="37" t="str">
        <f>Roster!X356</f>
        <v>.</v>
      </c>
      <c r="X39" s="37" t="str">
        <f>Roster!Y356</f>
        <v>.</v>
      </c>
      <c r="Y39" s="37" t="str">
        <f>Roster!Z356</f>
        <v>.</v>
      </c>
      <c r="Z39" s="37" t="str">
        <f>Roster!AA356</f>
        <v>.</v>
      </c>
      <c r="AA39" s="37" t="str">
        <f>Roster!AB356</f>
        <v>.</v>
      </c>
      <c r="AB39" s="37" t="str">
        <f>Roster!AC356</f>
        <v>.</v>
      </c>
      <c r="AC39" s="37" t="str">
        <f>Roster!AD356</f>
        <v>.</v>
      </c>
      <c r="AD39" s="37" t="str">
        <f>Roster!AE356</f>
        <v>.</v>
      </c>
      <c r="AE39" s="37" t="str">
        <f>Roster!AF356</f>
        <v>.</v>
      </c>
      <c r="AF39" s="38" t="str">
        <f>Roster!AG356</f>
        <v>.</v>
      </c>
      <c r="AG39" s="20"/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3"/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12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2019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31"/>
      <c r="I3" s="133" t="s">
        <v>25</v>
      </c>
      <c r="R3" s="133" t="str">
        <f>EmpGName03 &amp;" " &amp; EmpSName03</f>
        <v>Ian Thelning</v>
      </c>
      <c r="S3" s="132"/>
      <c r="T3" s="132"/>
      <c r="U3" s="132"/>
      <c r="V3" s="132"/>
      <c r="W3" s="132"/>
      <c r="X3" s="132"/>
      <c r="Y3" s="132"/>
      <c r="Z3" s="132"/>
      <c r="AA3" s="132"/>
      <c r="AB3" s="132"/>
      <c r="AC3" s="132"/>
    </row>
    <row r="4" spans="2:33" ht="13.8" thickBot="1">
      <c r="C4" s="28" t="str">
        <f t="shared" ref="C4:AG4" si="0">LEFT(TEXT(C5&amp;"-"&amp;$B5&amp;"-"&amp;CurYear-1,"ddd"),2)</f>
        <v>Mo</v>
      </c>
      <c r="D4" s="28" t="str">
        <f t="shared" si="0"/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46" t="str">
        <f t="shared" si="0"/>
        <v>We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2019</v>
      </c>
      <c r="C6" s="36" t="str">
        <f>Roster!D16</f>
        <v>.</v>
      </c>
      <c r="D6" s="37" t="str">
        <f>Roster!E16</f>
        <v>.</v>
      </c>
      <c r="E6" s="37" t="str">
        <f>Roster!F16</f>
        <v>.</v>
      </c>
      <c r="F6" s="37" t="str">
        <f>Roster!G16</f>
        <v>.</v>
      </c>
      <c r="G6" s="37" t="str">
        <f>Roster!H16</f>
        <v>.</v>
      </c>
      <c r="H6" s="37" t="str">
        <f>Roster!I16</f>
        <v>.</v>
      </c>
      <c r="I6" s="37" t="str">
        <f>Roster!J16</f>
        <v>.</v>
      </c>
      <c r="J6" s="37" t="str">
        <f>Roster!K16</f>
        <v>.</v>
      </c>
      <c r="K6" s="37" t="str">
        <f>Roster!L16</f>
        <v>.</v>
      </c>
      <c r="L6" s="37" t="str">
        <f>Roster!M16</f>
        <v>.</v>
      </c>
      <c r="M6" s="37" t="str">
        <f>Roster!N16</f>
        <v>.</v>
      </c>
      <c r="N6" s="37" t="str">
        <f>Roster!O16</f>
        <v>.</v>
      </c>
      <c r="O6" s="37" t="str">
        <f>Roster!P16</f>
        <v>.</v>
      </c>
      <c r="P6" s="37" t="str">
        <f>Roster!Q16</f>
        <v>.</v>
      </c>
      <c r="Q6" s="37" t="str">
        <f>Roster!R16</f>
        <v>.</v>
      </c>
      <c r="R6" s="37" t="str">
        <f>Roster!S16</f>
        <v>.</v>
      </c>
      <c r="S6" s="37" t="str">
        <f>Roster!T16</f>
        <v>.</v>
      </c>
      <c r="T6" s="37" t="str">
        <f>Roster!U16</f>
        <v>.</v>
      </c>
      <c r="U6" s="37" t="str">
        <f>Roster!V16</f>
        <v>.</v>
      </c>
      <c r="V6" s="37" t="str">
        <f>Roster!W16</f>
        <v>.</v>
      </c>
      <c r="W6" s="37" t="str">
        <f>Roster!X16</f>
        <v>.</v>
      </c>
      <c r="X6" s="37" t="str">
        <f>Roster!Y16</f>
        <v>.</v>
      </c>
      <c r="Y6" s="37" t="str">
        <f>Roster!Z16</f>
        <v>.</v>
      </c>
      <c r="Z6" s="37" t="str">
        <f>Roster!AA16</f>
        <v>.</v>
      </c>
      <c r="AA6" s="37" t="str">
        <f>Roster!AB16</f>
        <v>.</v>
      </c>
      <c r="AB6" s="37" t="str">
        <f>Roster!AC16</f>
        <v>.</v>
      </c>
      <c r="AC6" s="37" t="str">
        <f>Roster!AD16</f>
        <v>.</v>
      </c>
      <c r="AD6" s="37" t="str">
        <f>Roster!AE16</f>
        <v>.</v>
      </c>
      <c r="AE6" s="37" t="str">
        <f>Roster!AF16</f>
        <v>.</v>
      </c>
      <c r="AF6" s="37" t="str">
        <f>Roster!AG16</f>
        <v>.</v>
      </c>
      <c r="AG6" s="38" t="str">
        <f>Roster!AH16</f>
        <v>.</v>
      </c>
    </row>
    <row r="7" spans="2:33" ht="14.4" thickTop="1" thickBot="1"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21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2019</v>
      </c>
      <c r="C9" s="36" t="str">
        <f>Roster!D47</f>
        <v>.</v>
      </c>
      <c r="D9" s="39" t="str">
        <f>Roster!E47</f>
        <v>.</v>
      </c>
      <c r="E9" s="37" t="str">
        <f>Roster!F47</f>
        <v>.</v>
      </c>
      <c r="F9" s="37" t="str">
        <f>Roster!G47</f>
        <v>.</v>
      </c>
      <c r="G9" s="37" t="str">
        <f>Roster!H47</f>
        <v>.</v>
      </c>
      <c r="H9" s="37" t="str">
        <f>Roster!I47</f>
        <v>.</v>
      </c>
      <c r="I9" s="37" t="str">
        <f>Roster!J47</f>
        <v>.</v>
      </c>
      <c r="J9" s="37" t="str">
        <f>Roster!K47</f>
        <v>.</v>
      </c>
      <c r="K9" s="37" t="str">
        <f>Roster!L47</f>
        <v>.</v>
      </c>
      <c r="L9" s="37" t="str">
        <f>Roster!M47</f>
        <v>.</v>
      </c>
      <c r="M9" s="37" t="str">
        <f>Roster!N47</f>
        <v>.</v>
      </c>
      <c r="N9" s="37" t="str">
        <f>Roster!O47</f>
        <v>.</v>
      </c>
      <c r="O9" s="37" t="str">
        <f>Roster!P47</f>
        <v>.</v>
      </c>
      <c r="P9" s="37" t="str">
        <f>Roster!Q47</f>
        <v>.</v>
      </c>
      <c r="Q9" s="37" t="str">
        <f>Roster!R47</f>
        <v>.</v>
      </c>
      <c r="R9" s="37" t="str">
        <f>Roster!S47</f>
        <v>.</v>
      </c>
      <c r="S9" s="37" t="str">
        <f>Roster!T47</f>
        <v>.</v>
      </c>
      <c r="T9" s="37" t="str">
        <f>Roster!U47</f>
        <v>.</v>
      </c>
      <c r="U9" s="37" t="str">
        <f>Roster!V47</f>
        <v>.</v>
      </c>
      <c r="V9" s="37" t="str">
        <f>Roster!W47</f>
        <v>.</v>
      </c>
      <c r="W9" s="37" t="str">
        <f>Roster!X47</f>
        <v>.</v>
      </c>
      <c r="X9" s="37" t="str">
        <f>Roster!Y47</f>
        <v>.</v>
      </c>
      <c r="Y9" s="37" t="str">
        <f>Roster!Z47</f>
        <v>.</v>
      </c>
      <c r="Z9" s="37" t="str">
        <f>Roster!AA47</f>
        <v>.</v>
      </c>
      <c r="AA9" s="37" t="str">
        <f>Roster!AB47</f>
        <v>.</v>
      </c>
      <c r="AB9" s="37" t="str">
        <f>Roster!AC47</f>
        <v>.</v>
      </c>
      <c r="AC9" s="37" t="str">
        <f>Roster!AD47</f>
        <v>.</v>
      </c>
      <c r="AD9" s="37" t="str">
        <f>Roster!AE47</f>
        <v>.</v>
      </c>
      <c r="AE9" s="37" t="str">
        <f>Roster!AF47</f>
        <v>.</v>
      </c>
      <c r="AF9" s="37" t="str">
        <f>Roster!AG47</f>
        <v>.</v>
      </c>
      <c r="AG9" s="38" t="str">
        <f>Roster!AH47</f>
        <v>.</v>
      </c>
    </row>
    <row r="10" spans="2:33" ht="14.4" thickTop="1" thickBot="1"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1" t="str">
        <f t="shared" si="2"/>
        <v>Su</v>
      </c>
      <c r="AF10" s="21" t="str">
        <f t="shared" si="2"/>
        <v>Mo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2019</v>
      </c>
      <c r="C12" s="36" t="str">
        <f>Roster!D78</f>
        <v>.</v>
      </c>
      <c r="D12" s="37" t="str">
        <f>Roster!E78</f>
        <v>.</v>
      </c>
      <c r="E12" s="37" t="str">
        <f>Roster!F78</f>
        <v>.</v>
      </c>
      <c r="F12" s="37" t="str">
        <f>Roster!G78</f>
        <v>.</v>
      </c>
      <c r="G12" s="37" t="str">
        <f>Roster!H78</f>
        <v>.</v>
      </c>
      <c r="H12" s="37" t="str">
        <f>Roster!I78</f>
        <v>.</v>
      </c>
      <c r="I12" s="37" t="str">
        <f>Roster!J78</f>
        <v>.</v>
      </c>
      <c r="J12" s="37" t="str">
        <f>Roster!K78</f>
        <v>.</v>
      </c>
      <c r="K12" s="37" t="str">
        <f>Roster!L78</f>
        <v>.</v>
      </c>
      <c r="L12" s="37" t="str">
        <f>Roster!M78</f>
        <v>.</v>
      </c>
      <c r="M12" s="37" t="str">
        <f>Roster!N78</f>
        <v>.</v>
      </c>
      <c r="N12" s="37" t="str">
        <f>Roster!O78</f>
        <v>.</v>
      </c>
      <c r="O12" s="37" t="str">
        <f>Roster!P78</f>
        <v>.</v>
      </c>
      <c r="P12" s="37" t="str">
        <f>Roster!Q78</f>
        <v>.</v>
      </c>
      <c r="Q12" s="37" t="str">
        <f>Roster!R78</f>
        <v>.</v>
      </c>
      <c r="R12" s="37" t="str">
        <f>Roster!S78</f>
        <v>.</v>
      </c>
      <c r="S12" s="37" t="str">
        <f>Roster!T78</f>
        <v>.</v>
      </c>
      <c r="T12" s="37" t="str">
        <f>Roster!U78</f>
        <v>.</v>
      </c>
      <c r="U12" s="37" t="str">
        <f>Roster!V78</f>
        <v>.</v>
      </c>
      <c r="V12" s="37" t="str">
        <f>Roster!W78</f>
        <v>.</v>
      </c>
      <c r="W12" s="37" t="str">
        <f>Roster!X78</f>
        <v>.</v>
      </c>
      <c r="X12" s="37" t="str">
        <f>Roster!Y78</f>
        <v>.</v>
      </c>
      <c r="Y12" s="37" t="str">
        <f>Roster!Z78</f>
        <v>.</v>
      </c>
      <c r="Z12" s="37" t="str">
        <f>Roster!AA78</f>
        <v>.</v>
      </c>
      <c r="AA12" s="37" t="str">
        <f>Roster!AB78</f>
        <v>.</v>
      </c>
      <c r="AB12" s="37" t="str">
        <f>Roster!AC78</f>
        <v>.</v>
      </c>
      <c r="AC12" s="37" t="str">
        <f>Roster!AD78</f>
        <v>.</v>
      </c>
      <c r="AD12" s="37" t="str">
        <f>Roster!AE78</f>
        <v>.</v>
      </c>
      <c r="AE12" s="37" t="str">
        <f>Roster!AF78</f>
        <v>.</v>
      </c>
      <c r="AF12" s="38" t="str">
        <f>Roster!AG78</f>
        <v>.</v>
      </c>
    </row>
    <row r="13" spans="2:33" ht="14.4" thickTop="1" thickBot="1"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46" t="str">
        <f t="shared" si="3"/>
        <v>Th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2019</v>
      </c>
      <c r="C15" s="36" t="str">
        <f>Roster!D109</f>
        <v>.</v>
      </c>
      <c r="D15" s="37" t="str">
        <f>Roster!E109</f>
        <v>.</v>
      </c>
      <c r="E15" s="37" t="str">
        <f>Roster!F109</f>
        <v>.</v>
      </c>
      <c r="F15" s="37" t="str">
        <f>Roster!G109</f>
        <v>.</v>
      </c>
      <c r="G15" s="37" t="str">
        <f>Roster!H109</f>
        <v>.</v>
      </c>
      <c r="H15" s="37" t="str">
        <f>Roster!I109</f>
        <v>.</v>
      </c>
      <c r="I15" s="37" t="str">
        <f>Roster!J109</f>
        <v>.</v>
      </c>
      <c r="J15" s="37" t="str">
        <f>Roster!K109</f>
        <v>.</v>
      </c>
      <c r="K15" s="37" t="str">
        <f>Roster!L109</f>
        <v>.</v>
      </c>
      <c r="L15" s="37" t="str">
        <f>Roster!M109</f>
        <v>.</v>
      </c>
      <c r="M15" s="37" t="str">
        <f>Roster!N109</f>
        <v>.</v>
      </c>
      <c r="N15" s="37" t="str">
        <f>Roster!O109</f>
        <v>.</v>
      </c>
      <c r="O15" s="37" t="str">
        <f>Roster!P109</f>
        <v>.</v>
      </c>
      <c r="P15" s="37" t="str">
        <f>Roster!Q109</f>
        <v>.</v>
      </c>
      <c r="Q15" s="37" t="str">
        <f>Roster!R109</f>
        <v>.</v>
      </c>
      <c r="R15" s="37" t="str">
        <f>Roster!S109</f>
        <v>.</v>
      </c>
      <c r="S15" s="37" t="str">
        <f>Roster!T109</f>
        <v>.</v>
      </c>
      <c r="T15" s="37" t="str">
        <f>Roster!U109</f>
        <v>.</v>
      </c>
      <c r="U15" s="37" t="str">
        <f>Roster!V109</f>
        <v>.</v>
      </c>
      <c r="V15" s="37" t="str">
        <f>Roster!W109</f>
        <v>.</v>
      </c>
      <c r="W15" s="37" t="str">
        <f>Roster!X109</f>
        <v>.</v>
      </c>
      <c r="X15" s="37" t="str">
        <f>Roster!Y109</f>
        <v>.</v>
      </c>
      <c r="Y15" s="37" t="str">
        <f>Roster!Z109</f>
        <v>.</v>
      </c>
      <c r="Z15" s="37" t="str">
        <f>Roster!AA109</f>
        <v>.</v>
      </c>
      <c r="AA15" s="37" t="str">
        <f>Roster!AB109</f>
        <v>.</v>
      </c>
      <c r="AB15" s="37" t="str">
        <f>Roster!AC109</f>
        <v>.</v>
      </c>
      <c r="AC15" s="37" t="str">
        <f>Roster!AD109</f>
        <v>.</v>
      </c>
      <c r="AD15" s="37" t="str">
        <f>Roster!AE109</f>
        <v>.</v>
      </c>
      <c r="AE15" s="37" t="str">
        <f>Roster!AF109</f>
        <v>.</v>
      </c>
      <c r="AF15" s="37" t="str">
        <f>Roster!AG109</f>
        <v>.</v>
      </c>
      <c r="AG15" s="38" t="str">
        <f>Roster!AH109</f>
        <v>.</v>
      </c>
    </row>
    <row r="16" spans="2:33" ht="14.4" thickTop="1" thickBot="1"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2019</v>
      </c>
      <c r="C18" s="36" t="str">
        <f>Roster!D140</f>
        <v>.</v>
      </c>
      <c r="D18" s="37" t="str">
        <f>Roster!E140</f>
        <v>.</v>
      </c>
      <c r="E18" s="37" t="str">
        <f>Roster!F140</f>
        <v>.</v>
      </c>
      <c r="F18" s="37" t="str">
        <f>Roster!G140</f>
        <v>.</v>
      </c>
      <c r="G18" s="37" t="str">
        <f>Roster!H140</f>
        <v>.</v>
      </c>
      <c r="H18" s="37" t="str">
        <f>Roster!I140</f>
        <v>.</v>
      </c>
      <c r="I18" s="37" t="str">
        <f>Roster!J140</f>
        <v>.</v>
      </c>
      <c r="J18" s="37" t="str">
        <f>Roster!K140</f>
        <v>.</v>
      </c>
      <c r="K18" s="37" t="str">
        <f>Roster!L140</f>
        <v>.</v>
      </c>
      <c r="L18" s="37" t="str">
        <f>Roster!M140</f>
        <v>.</v>
      </c>
      <c r="M18" s="37" t="str">
        <f>Roster!N140</f>
        <v>.</v>
      </c>
      <c r="N18" s="37" t="str">
        <f>Roster!O140</f>
        <v>.</v>
      </c>
      <c r="O18" s="37" t="str">
        <f>Roster!P140</f>
        <v>.</v>
      </c>
      <c r="P18" s="37" t="str">
        <f>Roster!Q140</f>
        <v>.</v>
      </c>
      <c r="Q18" s="37" t="str">
        <f>Roster!R140</f>
        <v>.</v>
      </c>
      <c r="R18" s="37" t="str">
        <f>Roster!S140</f>
        <v>.</v>
      </c>
      <c r="S18" s="37" t="str">
        <f>Roster!T140</f>
        <v>.</v>
      </c>
      <c r="T18" s="37" t="str">
        <f>Roster!U140</f>
        <v>.</v>
      </c>
      <c r="U18" s="37" t="str">
        <f>Roster!V140</f>
        <v>.</v>
      </c>
      <c r="V18" s="37" t="str">
        <f>Roster!W140</f>
        <v>.</v>
      </c>
      <c r="W18" s="37" t="str">
        <f>Roster!X140</f>
        <v>.</v>
      </c>
      <c r="X18" s="37" t="str">
        <f>Roster!Y140</f>
        <v>.</v>
      </c>
      <c r="Y18" s="37" t="str">
        <f>Roster!Z140</f>
        <v>.</v>
      </c>
      <c r="Z18" s="37" t="str">
        <f>Roster!AA140</f>
        <v>.</v>
      </c>
      <c r="AA18" s="37" t="str">
        <f>Roster!AB140</f>
        <v>.</v>
      </c>
      <c r="AB18" s="37" t="str">
        <f>Roster!AC140</f>
        <v>.</v>
      </c>
      <c r="AC18" s="37" t="str">
        <f>Roster!AD140</f>
        <v>.</v>
      </c>
      <c r="AD18" s="37" t="str">
        <f>Roster!AE140</f>
        <v>.</v>
      </c>
      <c r="AE18" s="37" t="str">
        <f>Roster!AF140</f>
        <v>.</v>
      </c>
      <c r="AF18" s="38" t="str">
        <f>Roster!AG140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2019</v>
      </c>
      <c r="C21" s="36" t="str">
        <f>Roster!D171</f>
        <v>.</v>
      </c>
      <c r="D21" s="37" t="str">
        <f>Roster!E171</f>
        <v>.</v>
      </c>
      <c r="E21" s="37" t="str">
        <f>Roster!F171</f>
        <v>.</v>
      </c>
      <c r="F21" s="37" t="str">
        <f>Roster!G171</f>
        <v>.</v>
      </c>
      <c r="G21" s="37" t="str">
        <f>Roster!H171</f>
        <v>.</v>
      </c>
      <c r="H21" s="37" t="str">
        <f>Roster!I171</f>
        <v>.</v>
      </c>
      <c r="I21" s="37" t="str">
        <f>Roster!J171</f>
        <v>.</v>
      </c>
      <c r="J21" s="37" t="str">
        <f>Roster!K171</f>
        <v>.</v>
      </c>
      <c r="K21" s="37" t="str">
        <f>Roster!L171</f>
        <v>.</v>
      </c>
      <c r="L21" s="37" t="str">
        <f>Roster!M171</f>
        <v>.</v>
      </c>
      <c r="M21" s="37" t="str">
        <f>Roster!N171</f>
        <v>.</v>
      </c>
      <c r="N21" s="37" t="str">
        <f>Roster!O171</f>
        <v>.</v>
      </c>
      <c r="O21" s="37" t="str">
        <f>Roster!P171</f>
        <v>.</v>
      </c>
      <c r="P21" s="37" t="str">
        <f>Roster!Q171</f>
        <v>.</v>
      </c>
      <c r="Q21" s="37" t="str">
        <f>Roster!R171</f>
        <v>.</v>
      </c>
      <c r="R21" s="37" t="str">
        <f>Roster!S171</f>
        <v>.</v>
      </c>
      <c r="S21" s="37" t="str">
        <f>Roster!T171</f>
        <v>.</v>
      </c>
      <c r="T21" s="37" t="str">
        <f>Roster!U171</f>
        <v>.</v>
      </c>
      <c r="U21" s="37" t="str">
        <f>Roster!V171</f>
        <v>.</v>
      </c>
      <c r="V21" s="37" t="str">
        <f>Roster!W171</f>
        <v>.</v>
      </c>
      <c r="W21" s="37" t="str">
        <f>Roster!X171</f>
        <v>.</v>
      </c>
      <c r="X21" s="37" t="str">
        <f>Roster!Y171</f>
        <v>.</v>
      </c>
      <c r="Y21" s="37" t="str">
        <f>Roster!Z171</f>
        <v>.</v>
      </c>
      <c r="Z21" s="37" t="str">
        <f>Roster!AA171</f>
        <v>.</v>
      </c>
      <c r="AA21" s="37" t="str">
        <f>Roster!AB171</f>
        <v>.</v>
      </c>
      <c r="AB21" s="37" t="str">
        <f>Roster!AC171</f>
        <v>.</v>
      </c>
      <c r="AC21" s="37" t="str">
        <f>Roster!AD171</f>
        <v>.</v>
      </c>
      <c r="AD21" s="37" t="str">
        <f>Roster!AE171</f>
        <v>.</v>
      </c>
      <c r="AE21" s="37" t="str">
        <f>Roster!AF171</f>
        <v>.</v>
      </c>
      <c r="AF21" s="37" t="str">
        <f>Roster!AG171</f>
        <v>.</v>
      </c>
      <c r="AG21" s="38" t="str">
        <f>Roster!AH171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We</v>
      </c>
      <c r="D22" s="19" t="str">
        <f t="shared" si="6"/>
        <v>Th</v>
      </c>
      <c r="E22" s="19" t="str">
        <f t="shared" si="6"/>
        <v>Fr</v>
      </c>
      <c r="F22" s="19" t="str">
        <f t="shared" si="6"/>
        <v>Sa</v>
      </c>
      <c r="G22" s="19" t="str">
        <f t="shared" si="6"/>
        <v>Su</v>
      </c>
      <c r="H22" s="19" t="str">
        <f t="shared" si="6"/>
        <v>Mo</v>
      </c>
      <c r="I22" s="19" t="str">
        <f t="shared" si="6"/>
        <v>Tu</v>
      </c>
      <c r="J22" s="19" t="str">
        <f t="shared" si="6"/>
        <v>We</v>
      </c>
      <c r="K22" s="19" t="str">
        <f t="shared" si="6"/>
        <v>Th</v>
      </c>
      <c r="L22" s="19" t="str">
        <f t="shared" si="6"/>
        <v>Fr</v>
      </c>
      <c r="M22" s="19" t="str">
        <f t="shared" si="6"/>
        <v>Sa</v>
      </c>
      <c r="N22" s="19" t="str">
        <f t="shared" si="6"/>
        <v>Su</v>
      </c>
      <c r="O22" s="19" t="str">
        <f t="shared" si="6"/>
        <v>Mo</v>
      </c>
      <c r="P22" s="19" t="str">
        <f t="shared" si="6"/>
        <v>Tu</v>
      </c>
      <c r="Q22" s="19" t="str">
        <f t="shared" si="6"/>
        <v>We</v>
      </c>
      <c r="R22" s="19" t="str">
        <f t="shared" si="6"/>
        <v>Th</v>
      </c>
      <c r="S22" s="19" t="str">
        <f t="shared" si="6"/>
        <v>Fr</v>
      </c>
      <c r="T22" s="19" t="str">
        <f t="shared" si="6"/>
        <v>Sa</v>
      </c>
      <c r="U22" s="19" t="str">
        <f t="shared" si="6"/>
        <v>Su</v>
      </c>
      <c r="V22" s="19" t="str">
        <f t="shared" si="6"/>
        <v>Mo</v>
      </c>
      <c r="W22" s="19" t="str">
        <f t="shared" si="6"/>
        <v>Tu</v>
      </c>
      <c r="X22" s="19" t="str">
        <f t="shared" si="6"/>
        <v>We</v>
      </c>
      <c r="Y22" s="19" t="str">
        <f t="shared" si="6"/>
        <v>Th</v>
      </c>
      <c r="Z22" s="19" t="str">
        <f t="shared" si="6"/>
        <v>Fr</v>
      </c>
      <c r="AA22" s="19" t="str">
        <f t="shared" si="6"/>
        <v>Sa</v>
      </c>
      <c r="AB22" s="19" t="str">
        <f t="shared" si="6"/>
        <v>Su</v>
      </c>
      <c r="AC22" s="19" t="str">
        <f t="shared" si="6"/>
        <v>Mo</v>
      </c>
      <c r="AD22" s="19" t="str">
        <f t="shared" si="6"/>
        <v>Tu</v>
      </c>
      <c r="AE22" s="19" t="str">
        <f t="shared" si="6"/>
        <v>We</v>
      </c>
      <c r="AF22" s="19" t="str">
        <f t="shared" si="6"/>
        <v>Th</v>
      </c>
      <c r="AG22" s="19" t="str">
        <f t="shared" si="6"/>
        <v>Fr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2020</v>
      </c>
      <c r="C24" s="48" t="str">
        <f>Roster!D202</f>
        <v>.</v>
      </c>
      <c r="D24" s="49" t="str">
        <f>Roster!E202</f>
        <v>.</v>
      </c>
      <c r="E24" s="40" t="str">
        <f>Roster!F202</f>
        <v>.</v>
      </c>
      <c r="F24" s="40" t="str">
        <f>Roster!G202</f>
        <v>.</v>
      </c>
      <c r="G24" s="40" t="str">
        <f>Roster!H202</f>
        <v>.</v>
      </c>
      <c r="H24" s="40" t="str">
        <f>Roster!I202</f>
        <v>.</v>
      </c>
      <c r="I24" s="40" t="str">
        <f>Roster!J202</f>
        <v>.</v>
      </c>
      <c r="J24" s="40" t="str">
        <f>Roster!K202</f>
        <v>.</v>
      </c>
      <c r="K24" s="40" t="str">
        <f>Roster!L202</f>
        <v>.</v>
      </c>
      <c r="L24" s="40" t="str">
        <f>Roster!M202</f>
        <v>.</v>
      </c>
      <c r="M24" s="40" t="str">
        <f>Roster!N202</f>
        <v>.</v>
      </c>
      <c r="N24" s="40" t="str">
        <f>Roster!O202</f>
        <v>.</v>
      </c>
      <c r="O24" s="40" t="str">
        <f>Roster!P202</f>
        <v>.</v>
      </c>
      <c r="P24" s="40" t="str">
        <f>Roster!Q202</f>
        <v>.</v>
      </c>
      <c r="Q24" s="40" t="str">
        <f>Roster!R202</f>
        <v>.</v>
      </c>
      <c r="R24" s="40" t="str">
        <f>Roster!S202</f>
        <v>.</v>
      </c>
      <c r="S24" s="40" t="str">
        <f>Roster!T202</f>
        <v>.</v>
      </c>
      <c r="T24" s="40" t="str">
        <f>Roster!U202</f>
        <v>.</v>
      </c>
      <c r="U24" s="40" t="str">
        <f>Roster!V202</f>
        <v>.</v>
      </c>
      <c r="V24" s="40" t="str">
        <f>Roster!W202</f>
        <v>.</v>
      </c>
      <c r="W24" s="40" t="str">
        <f>Roster!X202</f>
        <v>.</v>
      </c>
      <c r="X24" s="40" t="str">
        <f>Roster!Y202</f>
        <v>.</v>
      </c>
      <c r="Y24" s="40" t="str">
        <f>Roster!Z202</f>
        <v>.</v>
      </c>
      <c r="Z24" s="40" t="str">
        <f>Roster!AA202</f>
        <v>.</v>
      </c>
      <c r="AA24" s="40" t="str">
        <f>Roster!AB202</f>
        <v>.</v>
      </c>
      <c r="AB24" s="40" t="str">
        <f>Roster!AC202</f>
        <v>.</v>
      </c>
      <c r="AC24" s="40" t="str">
        <f>Roster!AD202</f>
        <v>.</v>
      </c>
      <c r="AD24" s="40" t="str">
        <f>Roster!AE202</f>
        <v>.</v>
      </c>
      <c r="AE24" s="40" t="str">
        <f>Roster!AF202</f>
        <v>.</v>
      </c>
      <c r="AF24" s="40" t="str">
        <f>Roster!AG202</f>
        <v>.</v>
      </c>
      <c r="AG24" s="41" t="str">
        <f>Roster!AH202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Sa</v>
      </c>
      <c r="D25" s="22" t="str">
        <f t="shared" si="7"/>
        <v>Su</v>
      </c>
      <c r="E25" s="22" t="str">
        <f t="shared" si="7"/>
        <v>Mo</v>
      </c>
      <c r="F25" s="22" t="str">
        <f t="shared" si="7"/>
        <v>Tu</v>
      </c>
      <c r="G25" s="22" t="str">
        <f t="shared" si="7"/>
        <v>We</v>
      </c>
      <c r="H25" s="22" t="str">
        <f t="shared" si="7"/>
        <v>Th</v>
      </c>
      <c r="I25" s="22" t="str">
        <f t="shared" si="7"/>
        <v>Fr</v>
      </c>
      <c r="J25" s="22" t="str">
        <f t="shared" si="7"/>
        <v>Sa</v>
      </c>
      <c r="K25" s="22" t="str">
        <f t="shared" si="7"/>
        <v>Su</v>
      </c>
      <c r="L25" s="22" t="str">
        <f t="shared" si="7"/>
        <v>Mo</v>
      </c>
      <c r="M25" s="22" t="str">
        <f t="shared" si="7"/>
        <v>Tu</v>
      </c>
      <c r="N25" s="22" t="str">
        <f t="shared" si="7"/>
        <v>We</v>
      </c>
      <c r="O25" s="22" t="str">
        <f t="shared" si="7"/>
        <v>Th</v>
      </c>
      <c r="P25" s="22" t="str">
        <f t="shared" si="7"/>
        <v>Fr</v>
      </c>
      <c r="Q25" s="22" t="str">
        <f t="shared" si="7"/>
        <v>Sa</v>
      </c>
      <c r="R25" s="22" t="str">
        <f t="shared" si="7"/>
        <v>Su</v>
      </c>
      <c r="S25" s="22" t="str">
        <f t="shared" si="7"/>
        <v>Mo</v>
      </c>
      <c r="T25" s="22" t="str">
        <f t="shared" si="7"/>
        <v>Tu</v>
      </c>
      <c r="U25" s="22" t="str">
        <f t="shared" si="7"/>
        <v>We</v>
      </c>
      <c r="V25" s="22" t="str">
        <f t="shared" si="7"/>
        <v>Th</v>
      </c>
      <c r="W25" s="22" t="str">
        <f t="shared" si="7"/>
        <v>Fr</v>
      </c>
      <c r="X25" s="22" t="str">
        <f t="shared" si="7"/>
        <v>Sa</v>
      </c>
      <c r="Y25" s="22" t="str">
        <f t="shared" si="7"/>
        <v>Su</v>
      </c>
      <c r="Z25" s="22" t="str">
        <f t="shared" si="7"/>
        <v>Mo</v>
      </c>
      <c r="AA25" s="22" t="str">
        <f t="shared" si="7"/>
        <v>Tu</v>
      </c>
      <c r="AB25" s="22" t="str">
        <f t="shared" si="7"/>
        <v>We</v>
      </c>
      <c r="AC25" s="22" t="str">
        <f t="shared" si="7"/>
        <v>Th</v>
      </c>
      <c r="AD25" s="22" t="str">
        <f t="shared" si="7"/>
        <v>Fr</v>
      </c>
      <c r="AE25" s="122" t="str">
        <f t="shared" si="7"/>
        <v>Sa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0">
        <v>29</v>
      </c>
      <c r="AF26" s="44"/>
    </row>
    <row r="27" spans="2:33" ht="14.4" thickTop="1" thickBot="1">
      <c r="B27" s="32" t="str">
        <f>CurYear</f>
        <v>2020</v>
      </c>
      <c r="C27" s="36" t="str">
        <f>Roster!D233</f>
        <v>.</v>
      </c>
      <c r="D27" s="37" t="str">
        <f>Roster!E233</f>
        <v>.</v>
      </c>
      <c r="E27" s="37" t="str">
        <f>Roster!F233</f>
        <v>.</v>
      </c>
      <c r="F27" s="37" t="str">
        <f>Roster!G233</f>
        <v>.</v>
      </c>
      <c r="G27" s="37" t="str">
        <f>Roster!H233</f>
        <v>.</v>
      </c>
      <c r="H27" s="37" t="str">
        <f>Roster!I233</f>
        <v>.</v>
      </c>
      <c r="I27" s="37" t="str">
        <f>Roster!J233</f>
        <v>.</v>
      </c>
      <c r="J27" s="37" t="str">
        <f>Roster!K233</f>
        <v>.</v>
      </c>
      <c r="K27" s="37" t="str">
        <f>Roster!L233</f>
        <v>.</v>
      </c>
      <c r="L27" s="37" t="str">
        <f>Roster!M233</f>
        <v>.</v>
      </c>
      <c r="M27" s="37" t="str">
        <f>Roster!N233</f>
        <v>.</v>
      </c>
      <c r="N27" s="37" t="str">
        <f>Roster!O233</f>
        <v>.</v>
      </c>
      <c r="O27" s="37" t="str">
        <f>Roster!P233</f>
        <v>.</v>
      </c>
      <c r="P27" s="37" t="str">
        <f>Roster!Q233</f>
        <v>.</v>
      </c>
      <c r="Q27" s="37" t="str">
        <f>Roster!R233</f>
        <v>.</v>
      </c>
      <c r="R27" s="37" t="str">
        <f>Roster!S233</f>
        <v>.</v>
      </c>
      <c r="S27" s="37" t="str">
        <f>Roster!T233</f>
        <v>.</v>
      </c>
      <c r="T27" s="37" t="str">
        <f>Roster!U233</f>
        <v>.</v>
      </c>
      <c r="U27" s="37" t="str">
        <f>Roster!V233</f>
        <v>.</v>
      </c>
      <c r="V27" s="37" t="str">
        <f>Roster!W233</f>
        <v>.</v>
      </c>
      <c r="W27" s="37" t="str">
        <f>Roster!X233</f>
        <v>.</v>
      </c>
      <c r="X27" s="37" t="str">
        <f>Roster!Y233</f>
        <v>.</v>
      </c>
      <c r="Y27" s="37" t="str">
        <f>Roster!Z233</f>
        <v>.</v>
      </c>
      <c r="Z27" s="37" t="str">
        <f>Roster!AA233</f>
        <v>.</v>
      </c>
      <c r="AA27" s="37" t="str">
        <f>Roster!AB233</f>
        <v>.</v>
      </c>
      <c r="AB27" s="37" t="str">
        <f>Roster!AC233</f>
        <v>.</v>
      </c>
      <c r="AC27" s="37" t="str">
        <f>Roster!AD233</f>
        <v>.</v>
      </c>
      <c r="AD27" s="43" t="str">
        <f>Roster!AE233</f>
        <v>.</v>
      </c>
      <c r="AE27" s="121" t="str">
        <f>Roster!AF233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47" t="str">
        <f t="shared" si="8"/>
        <v>Mo</v>
      </c>
      <c r="AG28" s="47" t="str">
        <f t="shared" si="8"/>
        <v>Tu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2020</v>
      </c>
      <c r="C30" s="36" t="str">
        <f>Roster!D264</f>
        <v>.</v>
      </c>
      <c r="D30" s="37" t="str">
        <f>Roster!E264</f>
        <v>.</v>
      </c>
      <c r="E30" s="37" t="str">
        <f>Roster!F264</f>
        <v>.</v>
      </c>
      <c r="F30" s="37" t="str">
        <f>Roster!G264</f>
        <v>.</v>
      </c>
      <c r="G30" s="37" t="str">
        <f>Roster!H264</f>
        <v>.</v>
      </c>
      <c r="H30" s="37" t="str">
        <f>Roster!I264</f>
        <v>.</v>
      </c>
      <c r="I30" s="37" t="str">
        <f>Roster!J264</f>
        <v>.</v>
      </c>
      <c r="J30" s="37" t="str">
        <f>Roster!K264</f>
        <v>.</v>
      </c>
      <c r="K30" s="37" t="str">
        <f>Roster!L264</f>
        <v>.</v>
      </c>
      <c r="L30" s="37" t="str">
        <f>Roster!M264</f>
        <v>.</v>
      </c>
      <c r="M30" s="37" t="str">
        <f>Roster!N264</f>
        <v>.</v>
      </c>
      <c r="N30" s="37" t="str">
        <f>Roster!O264</f>
        <v>.</v>
      </c>
      <c r="O30" s="37" t="str">
        <f>Roster!P264</f>
        <v>.</v>
      </c>
      <c r="P30" s="37" t="str">
        <f>Roster!Q264</f>
        <v>.</v>
      </c>
      <c r="Q30" s="37" t="str">
        <f>Roster!R264</f>
        <v>.</v>
      </c>
      <c r="R30" s="37" t="str">
        <f>Roster!S264</f>
        <v>.</v>
      </c>
      <c r="S30" s="37" t="str">
        <f>Roster!T264</f>
        <v>.</v>
      </c>
      <c r="T30" s="37" t="str">
        <f>Roster!U264</f>
        <v>.</v>
      </c>
      <c r="U30" s="37" t="str">
        <f>Roster!V264</f>
        <v>.</v>
      </c>
      <c r="V30" s="37" t="str">
        <f>Roster!W264</f>
        <v>.</v>
      </c>
      <c r="W30" s="37" t="str">
        <f>Roster!X264</f>
        <v>.</v>
      </c>
      <c r="X30" s="37" t="str">
        <f>Roster!Y264</f>
        <v>.</v>
      </c>
      <c r="Y30" s="37" t="str">
        <f>Roster!Z264</f>
        <v>.</v>
      </c>
      <c r="Z30" s="37" t="str">
        <f>Roster!AA264</f>
        <v>.</v>
      </c>
      <c r="AA30" s="37" t="str">
        <f>Roster!AB264</f>
        <v>.</v>
      </c>
      <c r="AB30" s="37" t="str">
        <f>Roster!AC264</f>
        <v>.</v>
      </c>
      <c r="AC30" s="37" t="str">
        <f>Roster!AD264</f>
        <v>.</v>
      </c>
      <c r="AD30" s="37" t="str">
        <f>Roster!AE264</f>
        <v>.</v>
      </c>
      <c r="AE30" s="37" t="str">
        <f>Roster!AF264</f>
        <v>.</v>
      </c>
      <c r="AF30" s="37" t="str">
        <f>Roster!AG264</f>
        <v>.</v>
      </c>
      <c r="AG30" s="41" t="str">
        <f>Roster!AH264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2020</v>
      </c>
      <c r="C33" s="36" t="str">
        <f>Roster!D295</f>
        <v>.</v>
      </c>
      <c r="D33" s="37" t="str">
        <f>Roster!E295</f>
        <v>.</v>
      </c>
      <c r="E33" s="37" t="str">
        <f>Roster!F295</f>
        <v>.</v>
      </c>
      <c r="F33" s="37" t="str">
        <f>Roster!G295</f>
        <v>.</v>
      </c>
      <c r="G33" s="37" t="str">
        <f>Roster!H295</f>
        <v>.</v>
      </c>
      <c r="H33" s="37" t="str">
        <f>Roster!I295</f>
        <v>.</v>
      </c>
      <c r="I33" s="37" t="str">
        <f>Roster!J295</f>
        <v>.</v>
      </c>
      <c r="J33" s="37" t="str">
        <f>Roster!K295</f>
        <v>.</v>
      </c>
      <c r="K33" s="37" t="str">
        <f>Roster!L295</f>
        <v>.</v>
      </c>
      <c r="L33" s="37" t="str">
        <f>Roster!M295</f>
        <v>.</v>
      </c>
      <c r="M33" s="37" t="str">
        <f>Roster!N295</f>
        <v>.</v>
      </c>
      <c r="N33" s="37" t="str">
        <f>Roster!O295</f>
        <v>.</v>
      </c>
      <c r="O33" s="37" t="str">
        <f>Roster!P295</f>
        <v>.</v>
      </c>
      <c r="P33" s="37" t="str">
        <f>Roster!Q295</f>
        <v>.</v>
      </c>
      <c r="Q33" s="37" t="str">
        <f>Roster!R295</f>
        <v>.</v>
      </c>
      <c r="R33" s="37" t="str">
        <f>Roster!S295</f>
        <v>.</v>
      </c>
      <c r="S33" s="37" t="str">
        <f>Roster!T295</f>
        <v>.</v>
      </c>
      <c r="T33" s="37" t="str">
        <f>Roster!U295</f>
        <v>.</v>
      </c>
      <c r="U33" s="37" t="str">
        <f>Roster!V295</f>
        <v>.</v>
      </c>
      <c r="V33" s="37" t="str">
        <f>Roster!W295</f>
        <v>.</v>
      </c>
      <c r="W33" s="37" t="str">
        <f>Roster!X295</f>
        <v>.</v>
      </c>
      <c r="X33" s="37" t="str">
        <f>Roster!Y295</f>
        <v>.</v>
      </c>
      <c r="Y33" s="37" t="str">
        <f>Roster!Z295</f>
        <v>.</v>
      </c>
      <c r="Z33" s="37" t="str">
        <f>Roster!AA295</f>
        <v>.</v>
      </c>
      <c r="AA33" s="37" t="str">
        <f>Roster!AB295</f>
        <v>.</v>
      </c>
      <c r="AB33" s="37" t="str">
        <f>Roster!AC295</f>
        <v>.</v>
      </c>
      <c r="AC33" s="37" t="str">
        <f>Roster!AD295</f>
        <v>.</v>
      </c>
      <c r="AD33" s="37" t="str">
        <f>Roster!AE295</f>
        <v>.</v>
      </c>
      <c r="AE33" s="37" t="str">
        <f>Roster!AF295</f>
        <v>.</v>
      </c>
      <c r="AF33" s="38" t="str">
        <f>Roster!AG295</f>
        <v>.</v>
      </c>
    </row>
    <row r="34" spans="2:33" ht="14.4" thickTop="1" thickBot="1"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46" t="str">
        <f t="shared" si="10"/>
        <v>Su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2020</v>
      </c>
      <c r="C36" s="36" t="str">
        <f>Roster!D326</f>
        <v>.</v>
      </c>
      <c r="D36" s="37" t="str">
        <f>Roster!E326</f>
        <v>.</v>
      </c>
      <c r="E36" s="37" t="str">
        <f>Roster!F326</f>
        <v>.</v>
      </c>
      <c r="F36" s="37" t="str">
        <f>Roster!G326</f>
        <v>.</v>
      </c>
      <c r="G36" s="37" t="str">
        <f>Roster!H326</f>
        <v>.</v>
      </c>
      <c r="H36" s="37" t="str">
        <f>Roster!I326</f>
        <v>.</v>
      </c>
      <c r="I36" s="37" t="str">
        <f>Roster!J326</f>
        <v>.</v>
      </c>
      <c r="J36" s="37" t="str">
        <f>Roster!K326</f>
        <v>.</v>
      </c>
      <c r="K36" s="37" t="str">
        <f>Roster!L326</f>
        <v>.</v>
      </c>
      <c r="L36" s="37" t="str">
        <f>Roster!M326</f>
        <v>.</v>
      </c>
      <c r="M36" s="37" t="str">
        <f>Roster!N326</f>
        <v>.</v>
      </c>
      <c r="N36" s="37" t="str">
        <f>Roster!O326</f>
        <v>.</v>
      </c>
      <c r="O36" s="37" t="str">
        <f>Roster!P326</f>
        <v>.</v>
      </c>
      <c r="P36" s="37" t="str">
        <f>Roster!Q326</f>
        <v>.</v>
      </c>
      <c r="Q36" s="37" t="str">
        <f>Roster!R326</f>
        <v>.</v>
      </c>
      <c r="R36" s="37" t="str">
        <f>Roster!S326</f>
        <v>.</v>
      </c>
      <c r="S36" s="37" t="str">
        <f>Roster!T326</f>
        <v>.</v>
      </c>
      <c r="T36" s="37" t="str">
        <f>Roster!U326</f>
        <v>.</v>
      </c>
      <c r="U36" s="37" t="str">
        <f>Roster!V326</f>
        <v>.</v>
      </c>
      <c r="V36" s="37" t="str">
        <f>Roster!W326</f>
        <v>.</v>
      </c>
      <c r="W36" s="37" t="str">
        <f>Roster!X326</f>
        <v>.</v>
      </c>
      <c r="X36" s="37" t="str">
        <f>Roster!Y326</f>
        <v>.</v>
      </c>
      <c r="Y36" s="37" t="str">
        <f>Roster!Z326</f>
        <v>.</v>
      </c>
      <c r="Z36" s="37" t="str">
        <f>Roster!AA326</f>
        <v>.</v>
      </c>
      <c r="AA36" s="37" t="str">
        <f>Roster!AB326</f>
        <v>.</v>
      </c>
      <c r="AB36" s="37" t="str">
        <f>Roster!AC326</f>
        <v>.</v>
      </c>
      <c r="AC36" s="37" t="str">
        <f>Roster!AD326</f>
        <v>.</v>
      </c>
      <c r="AD36" s="37" t="str">
        <f>Roster!AE326</f>
        <v>.</v>
      </c>
      <c r="AE36" s="37" t="str">
        <f>Roster!AF326</f>
        <v>.</v>
      </c>
      <c r="AF36" s="37" t="str">
        <f>Roster!AG326</f>
        <v>.</v>
      </c>
      <c r="AG36" s="38" t="str">
        <f>Roster!AH326</f>
        <v>.</v>
      </c>
    </row>
    <row r="37" spans="2:33" ht="14.4" thickTop="1" thickBot="1"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2020</v>
      </c>
      <c r="C39" s="36" t="str">
        <f>Roster!D357</f>
        <v>.</v>
      </c>
      <c r="D39" s="37" t="str">
        <f>Roster!E357</f>
        <v>.</v>
      </c>
      <c r="E39" s="37" t="str">
        <f>Roster!F357</f>
        <v>.</v>
      </c>
      <c r="F39" s="37" t="str">
        <f>Roster!G357</f>
        <v>.</v>
      </c>
      <c r="G39" s="37" t="str">
        <f>Roster!H357</f>
        <v>.</v>
      </c>
      <c r="H39" s="37" t="str">
        <f>Roster!I357</f>
        <v>.</v>
      </c>
      <c r="I39" s="37" t="str">
        <f>Roster!J357</f>
        <v>.</v>
      </c>
      <c r="J39" s="37" t="str">
        <f>Roster!K357</f>
        <v>.</v>
      </c>
      <c r="K39" s="37" t="str">
        <f>Roster!L357</f>
        <v>.</v>
      </c>
      <c r="L39" s="37" t="str">
        <f>Roster!M357</f>
        <v>.</v>
      </c>
      <c r="M39" s="37" t="str">
        <f>Roster!N357</f>
        <v>.</v>
      </c>
      <c r="N39" s="37" t="str">
        <f>Roster!O357</f>
        <v>.</v>
      </c>
      <c r="O39" s="37" t="str">
        <f>Roster!P357</f>
        <v>.</v>
      </c>
      <c r="P39" s="37" t="str">
        <f>Roster!Q357</f>
        <v>.</v>
      </c>
      <c r="Q39" s="37" t="str">
        <f>Roster!R357</f>
        <v>.</v>
      </c>
      <c r="R39" s="37" t="str">
        <f>Roster!S357</f>
        <v>.</v>
      </c>
      <c r="S39" s="37" t="str">
        <f>Roster!T357</f>
        <v>.</v>
      </c>
      <c r="T39" s="37" t="str">
        <f>Roster!U357</f>
        <v>.</v>
      </c>
      <c r="U39" s="37" t="str">
        <f>Roster!V357</f>
        <v>.</v>
      </c>
      <c r="V39" s="37" t="str">
        <f>Roster!W357</f>
        <v>.</v>
      </c>
      <c r="W39" s="37" t="str">
        <f>Roster!X357</f>
        <v>.</v>
      </c>
      <c r="X39" s="37" t="str">
        <f>Roster!Y357</f>
        <v>.</v>
      </c>
      <c r="Y39" s="37" t="str">
        <f>Roster!Z357</f>
        <v>.</v>
      </c>
      <c r="Z39" s="37" t="str">
        <f>Roster!AA357</f>
        <v>.</v>
      </c>
      <c r="AA39" s="37" t="str">
        <f>Roster!AB357</f>
        <v>.</v>
      </c>
      <c r="AB39" s="37" t="str">
        <f>Roster!AC357</f>
        <v>.</v>
      </c>
      <c r="AC39" s="37" t="str">
        <f>Roster!AD357</f>
        <v>.</v>
      </c>
      <c r="AD39" s="37" t="str">
        <f>Roster!AE357</f>
        <v>.</v>
      </c>
      <c r="AE39" s="37" t="str">
        <f>Roster!AF357</f>
        <v>.</v>
      </c>
      <c r="AF39" s="38" t="str">
        <f>Roster!AG357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4"/>
  <dimension ref="B1:AG40"/>
  <sheetViews>
    <sheetView showGridLines="0" showRowColHeaders="0" showZeros="0" topLeftCell="B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2019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0" t="s">
        <v>25</v>
      </c>
      <c r="R3" s="130" t="str">
        <f>EmpGName04 &amp;" " &amp; EmpSName04</f>
        <v>Leon King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Mo</v>
      </c>
      <c r="D4" s="28" t="str">
        <f t="shared" si="0"/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46" t="str">
        <f t="shared" si="0"/>
        <v>We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2019</v>
      </c>
      <c r="C6" s="36" t="str">
        <f>Roster!D17</f>
        <v>.</v>
      </c>
      <c r="D6" s="37" t="str">
        <f>Roster!E17</f>
        <v>.</v>
      </c>
      <c r="E6" s="37" t="str">
        <f>Roster!F17</f>
        <v>.</v>
      </c>
      <c r="F6" s="37" t="str">
        <f>Roster!G17</f>
        <v>.</v>
      </c>
      <c r="G6" s="37" t="str">
        <f>Roster!H17</f>
        <v>.</v>
      </c>
      <c r="H6" s="37" t="str">
        <f>Roster!I17</f>
        <v>.</v>
      </c>
      <c r="I6" s="37" t="str">
        <f>Roster!J17</f>
        <v>.</v>
      </c>
      <c r="J6" s="37" t="str">
        <f>Roster!K17</f>
        <v>.</v>
      </c>
      <c r="K6" s="37" t="str">
        <f>Roster!L17</f>
        <v>.</v>
      </c>
      <c r="L6" s="37" t="str">
        <f>Roster!M17</f>
        <v>.</v>
      </c>
      <c r="M6" s="37" t="str">
        <f>Roster!N17</f>
        <v>.</v>
      </c>
      <c r="N6" s="37" t="str">
        <f>Roster!O17</f>
        <v>.</v>
      </c>
      <c r="O6" s="37" t="str">
        <f>Roster!P17</f>
        <v>.</v>
      </c>
      <c r="P6" s="37" t="str">
        <f>Roster!Q17</f>
        <v>.</v>
      </c>
      <c r="Q6" s="37" t="str">
        <f>Roster!R17</f>
        <v>.</v>
      </c>
      <c r="R6" s="37" t="str">
        <f>Roster!S17</f>
        <v>.</v>
      </c>
      <c r="S6" s="37" t="str">
        <f>Roster!T17</f>
        <v>.</v>
      </c>
      <c r="T6" s="37" t="str">
        <f>Roster!U17</f>
        <v>.</v>
      </c>
      <c r="U6" s="37" t="str">
        <f>Roster!V17</f>
        <v>.</v>
      </c>
      <c r="V6" s="37" t="str">
        <f>Roster!W17</f>
        <v>.</v>
      </c>
      <c r="W6" s="37" t="str">
        <f>Roster!X17</f>
        <v>.</v>
      </c>
      <c r="X6" s="37" t="str">
        <f>Roster!Y17</f>
        <v>.</v>
      </c>
      <c r="Y6" s="37" t="str">
        <f>Roster!Z17</f>
        <v>.</v>
      </c>
      <c r="Z6" s="37" t="str">
        <f>Roster!AA17</f>
        <v>.</v>
      </c>
      <c r="AA6" s="37" t="str">
        <f>Roster!AB17</f>
        <v>.</v>
      </c>
      <c r="AB6" s="37" t="str">
        <f>Roster!AC17</f>
        <v>.</v>
      </c>
      <c r="AC6" s="37" t="str">
        <f>Roster!AD17</f>
        <v>.</v>
      </c>
      <c r="AD6" s="37" t="str">
        <f>Roster!AE17</f>
        <v>.</v>
      </c>
      <c r="AE6" s="37" t="str">
        <f>Roster!AF17</f>
        <v>.</v>
      </c>
      <c r="AF6" s="37" t="str">
        <f>Roster!AG17</f>
        <v>.</v>
      </c>
      <c r="AG6" s="38" t="str">
        <f>Roster!AH17</f>
        <v>.</v>
      </c>
    </row>
    <row r="7" spans="2:33" ht="14.4" thickTop="1" thickBot="1"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21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2019</v>
      </c>
      <c r="C9" s="36" t="str">
        <f>Roster!D48</f>
        <v>.</v>
      </c>
      <c r="D9" s="39" t="str">
        <f>Roster!E48</f>
        <v>.</v>
      </c>
      <c r="E9" s="37" t="str">
        <f>Roster!F48</f>
        <v>.</v>
      </c>
      <c r="F9" s="37" t="str">
        <f>Roster!G48</f>
        <v>.</v>
      </c>
      <c r="G9" s="37" t="str">
        <f>Roster!H48</f>
        <v>.</v>
      </c>
      <c r="H9" s="37" t="str">
        <f>Roster!I48</f>
        <v>.</v>
      </c>
      <c r="I9" s="37" t="str">
        <f>Roster!J48</f>
        <v>.</v>
      </c>
      <c r="J9" s="37" t="str">
        <f>Roster!K48</f>
        <v>.</v>
      </c>
      <c r="K9" s="37" t="str">
        <f>Roster!L48</f>
        <v>.</v>
      </c>
      <c r="L9" s="37" t="str">
        <f>Roster!M48</f>
        <v>.</v>
      </c>
      <c r="M9" s="37" t="str">
        <f>Roster!N48</f>
        <v>.</v>
      </c>
      <c r="N9" s="37" t="str">
        <f>Roster!O48</f>
        <v>.</v>
      </c>
      <c r="O9" s="37" t="str">
        <f>Roster!P48</f>
        <v>.</v>
      </c>
      <c r="P9" s="37" t="str">
        <f>Roster!Q48</f>
        <v>.</v>
      </c>
      <c r="Q9" s="37" t="str">
        <f>Roster!R48</f>
        <v>.</v>
      </c>
      <c r="R9" s="37" t="str">
        <f>Roster!S48</f>
        <v>.</v>
      </c>
      <c r="S9" s="37" t="str">
        <f>Roster!T48</f>
        <v>.</v>
      </c>
      <c r="T9" s="37" t="str">
        <f>Roster!U48</f>
        <v>.</v>
      </c>
      <c r="U9" s="37" t="str">
        <f>Roster!V48</f>
        <v>.</v>
      </c>
      <c r="V9" s="37" t="str">
        <f>Roster!W48</f>
        <v>.</v>
      </c>
      <c r="W9" s="37" t="str">
        <f>Roster!X48</f>
        <v>.</v>
      </c>
      <c r="X9" s="37" t="str">
        <f>Roster!Y48</f>
        <v>.</v>
      </c>
      <c r="Y9" s="37" t="str">
        <f>Roster!Z48</f>
        <v>.</v>
      </c>
      <c r="Z9" s="37" t="str">
        <f>Roster!AA48</f>
        <v>.</v>
      </c>
      <c r="AA9" s="37" t="str">
        <f>Roster!AB48</f>
        <v>.</v>
      </c>
      <c r="AB9" s="37" t="str">
        <f>Roster!AC48</f>
        <v>.</v>
      </c>
      <c r="AC9" s="37" t="str">
        <f>Roster!AD48</f>
        <v>.</v>
      </c>
      <c r="AD9" s="37" t="str">
        <f>Roster!AE48</f>
        <v>.</v>
      </c>
      <c r="AE9" s="37" t="str">
        <f>Roster!AF48</f>
        <v>.</v>
      </c>
      <c r="AF9" s="37" t="str">
        <f>Roster!AG48</f>
        <v>.</v>
      </c>
      <c r="AG9" s="38" t="str">
        <f>Roster!AH48</f>
        <v>.</v>
      </c>
    </row>
    <row r="10" spans="2:33" ht="14.4" thickTop="1" thickBot="1"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1" t="str">
        <f t="shared" si="2"/>
        <v>Su</v>
      </c>
      <c r="AF10" s="21" t="str">
        <f t="shared" si="2"/>
        <v>Mo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2019</v>
      </c>
      <c r="C12" s="36" t="str">
        <f>Roster!D79</f>
        <v>.</v>
      </c>
      <c r="D12" s="37" t="str">
        <f>Roster!E79</f>
        <v>.</v>
      </c>
      <c r="E12" s="37" t="str">
        <f>Roster!F79</f>
        <v>.</v>
      </c>
      <c r="F12" s="37" t="str">
        <f>Roster!G79</f>
        <v>.</v>
      </c>
      <c r="G12" s="37" t="str">
        <f>Roster!H79</f>
        <v>.</v>
      </c>
      <c r="H12" s="37" t="str">
        <f>Roster!I79</f>
        <v>.</v>
      </c>
      <c r="I12" s="37" t="str">
        <f>Roster!J79</f>
        <v>.</v>
      </c>
      <c r="J12" s="37" t="str">
        <f>Roster!K79</f>
        <v>.</v>
      </c>
      <c r="K12" s="37" t="str">
        <f>Roster!L79</f>
        <v>.</v>
      </c>
      <c r="L12" s="37" t="str">
        <f>Roster!M79</f>
        <v>.</v>
      </c>
      <c r="M12" s="37" t="str">
        <f>Roster!N79</f>
        <v>.</v>
      </c>
      <c r="N12" s="37" t="str">
        <f>Roster!O79</f>
        <v>.</v>
      </c>
      <c r="O12" s="37" t="str">
        <f>Roster!P79</f>
        <v>.</v>
      </c>
      <c r="P12" s="37" t="str">
        <f>Roster!Q79</f>
        <v>.</v>
      </c>
      <c r="Q12" s="37" t="str">
        <f>Roster!R79</f>
        <v>.</v>
      </c>
      <c r="R12" s="37" t="str">
        <f>Roster!S79</f>
        <v>.</v>
      </c>
      <c r="S12" s="37" t="str">
        <f>Roster!T79</f>
        <v>.</v>
      </c>
      <c r="T12" s="37" t="str">
        <f>Roster!U79</f>
        <v>.</v>
      </c>
      <c r="U12" s="37" t="str">
        <f>Roster!V79</f>
        <v>.</v>
      </c>
      <c r="V12" s="37" t="str">
        <f>Roster!W79</f>
        <v>.</v>
      </c>
      <c r="W12" s="37" t="str">
        <f>Roster!X79</f>
        <v>.</v>
      </c>
      <c r="X12" s="37" t="str">
        <f>Roster!Y79</f>
        <v>.</v>
      </c>
      <c r="Y12" s="37" t="str">
        <f>Roster!Z79</f>
        <v>.</v>
      </c>
      <c r="Z12" s="37" t="str">
        <f>Roster!AA79</f>
        <v>.</v>
      </c>
      <c r="AA12" s="37" t="str">
        <f>Roster!AB79</f>
        <v>.</v>
      </c>
      <c r="AB12" s="37" t="str">
        <f>Roster!AC79</f>
        <v>.</v>
      </c>
      <c r="AC12" s="37" t="str">
        <f>Roster!AD79</f>
        <v>.</v>
      </c>
      <c r="AD12" s="37" t="str">
        <f>Roster!AE79</f>
        <v>.</v>
      </c>
      <c r="AE12" s="37" t="str">
        <f>Roster!AF79</f>
        <v>.</v>
      </c>
      <c r="AF12" s="38" t="str">
        <f>Roster!AG79</f>
        <v>.</v>
      </c>
    </row>
    <row r="13" spans="2:33" ht="14.4" thickTop="1" thickBot="1"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46" t="str">
        <f t="shared" si="3"/>
        <v>Th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2019</v>
      </c>
      <c r="C15" s="36" t="str">
        <f>Roster!D110</f>
        <v>.</v>
      </c>
      <c r="D15" s="37" t="str">
        <f>Roster!E110</f>
        <v>.</v>
      </c>
      <c r="E15" s="37" t="str">
        <f>Roster!F110</f>
        <v>.</v>
      </c>
      <c r="F15" s="37" t="str">
        <f>Roster!L110</f>
        <v>.</v>
      </c>
      <c r="G15" s="37" t="str">
        <f>Roster!H110</f>
        <v>.</v>
      </c>
      <c r="H15" s="37" t="str">
        <f>Roster!I110</f>
        <v>.</v>
      </c>
      <c r="I15" s="37" t="str">
        <f>Roster!J110</f>
        <v>.</v>
      </c>
      <c r="J15" s="37" t="str">
        <f>Roster!K110</f>
        <v>.</v>
      </c>
      <c r="K15" s="37" t="str">
        <f>Roster!L110</f>
        <v>.</v>
      </c>
      <c r="L15" s="37" t="str">
        <f>Roster!M110</f>
        <v>.</v>
      </c>
      <c r="M15" s="37" t="str">
        <f>Roster!N110</f>
        <v>.</v>
      </c>
      <c r="N15" s="37" t="str">
        <f>Roster!O110</f>
        <v>.</v>
      </c>
      <c r="O15" s="37" t="str">
        <f>Roster!P110</f>
        <v>.</v>
      </c>
      <c r="P15" s="37" t="str">
        <f>Roster!Q110</f>
        <v>.</v>
      </c>
      <c r="Q15" s="37" t="str">
        <f>Roster!R110</f>
        <v>.</v>
      </c>
      <c r="R15" s="37" t="str">
        <f>Roster!S110</f>
        <v>.</v>
      </c>
      <c r="S15" s="37" t="str">
        <f>Roster!T110</f>
        <v>.</v>
      </c>
      <c r="T15" s="37" t="str">
        <f>Roster!U110</f>
        <v>.</v>
      </c>
      <c r="U15" s="37" t="str">
        <f>Roster!V110</f>
        <v>.</v>
      </c>
      <c r="V15" s="37" t="str">
        <f>Roster!W110</f>
        <v>.</v>
      </c>
      <c r="W15" s="37" t="str">
        <f>Roster!X110</f>
        <v>.</v>
      </c>
      <c r="X15" s="37" t="str">
        <f>Roster!Y110</f>
        <v>.</v>
      </c>
      <c r="Y15" s="37" t="str">
        <f>Roster!Z110</f>
        <v>.</v>
      </c>
      <c r="Z15" s="37" t="str">
        <f>Roster!AA110</f>
        <v>.</v>
      </c>
      <c r="AA15" s="37" t="str">
        <f>Roster!AB110</f>
        <v>.</v>
      </c>
      <c r="AB15" s="37" t="str">
        <f>Roster!AC110</f>
        <v>.</v>
      </c>
      <c r="AC15" s="37" t="str">
        <f>Roster!AD110</f>
        <v>.</v>
      </c>
      <c r="AD15" s="37" t="str">
        <f>Roster!AE110</f>
        <v>.</v>
      </c>
      <c r="AE15" s="37" t="str">
        <f>Roster!AF110</f>
        <v>.</v>
      </c>
      <c r="AF15" s="37" t="str">
        <f>Roster!AG110</f>
        <v>.</v>
      </c>
      <c r="AG15" s="38" t="str">
        <f>Roster!AH110</f>
        <v>.</v>
      </c>
    </row>
    <row r="16" spans="2:33" ht="14.4" thickTop="1" thickBot="1"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2019</v>
      </c>
      <c r="C18" s="36" t="str">
        <f>Roster!D141</f>
        <v>.</v>
      </c>
      <c r="D18" s="37" t="str">
        <f>Roster!E141</f>
        <v>.</v>
      </c>
      <c r="E18" s="37" t="str">
        <f>Roster!F141</f>
        <v>.</v>
      </c>
      <c r="F18" s="37" t="str">
        <f>Roster!G141</f>
        <v>.</v>
      </c>
      <c r="G18" s="37" t="str">
        <f>Roster!H141</f>
        <v>.</v>
      </c>
      <c r="H18" s="37" t="str">
        <f>Roster!I141</f>
        <v>.</v>
      </c>
      <c r="I18" s="37" t="str">
        <f>Roster!J141</f>
        <v>.</v>
      </c>
      <c r="J18" s="37" t="str">
        <f>Roster!K141</f>
        <v>.</v>
      </c>
      <c r="K18" s="37" t="str">
        <f>Roster!L141</f>
        <v>.</v>
      </c>
      <c r="L18" s="37" t="str">
        <f>Roster!M141</f>
        <v>.</v>
      </c>
      <c r="M18" s="37" t="str">
        <f>Roster!N141</f>
        <v>.</v>
      </c>
      <c r="N18" s="37" t="str">
        <f>Roster!O141</f>
        <v>.</v>
      </c>
      <c r="O18" s="37" t="str">
        <f>Roster!P141</f>
        <v>.</v>
      </c>
      <c r="P18" s="37" t="str">
        <f>Roster!Q141</f>
        <v>.</v>
      </c>
      <c r="Q18" s="37" t="str">
        <f>Roster!R141</f>
        <v>.</v>
      </c>
      <c r="R18" s="37" t="str">
        <f>Roster!S141</f>
        <v>.</v>
      </c>
      <c r="S18" s="37" t="str">
        <f>Roster!T141</f>
        <v>.</v>
      </c>
      <c r="T18" s="37" t="str">
        <f>Roster!U141</f>
        <v>.</v>
      </c>
      <c r="U18" s="37" t="str">
        <f>Roster!V141</f>
        <v>.</v>
      </c>
      <c r="V18" s="37" t="str">
        <f>Roster!W141</f>
        <v>.</v>
      </c>
      <c r="W18" s="37" t="str">
        <f>Roster!X141</f>
        <v>.</v>
      </c>
      <c r="X18" s="37" t="str">
        <f>Roster!Y141</f>
        <v>.</v>
      </c>
      <c r="Y18" s="37" t="str">
        <f>Roster!Z141</f>
        <v>.</v>
      </c>
      <c r="Z18" s="37" t="str">
        <f>Roster!AA141</f>
        <v>.</v>
      </c>
      <c r="AA18" s="37" t="str">
        <f>Roster!AB141</f>
        <v>.</v>
      </c>
      <c r="AB18" s="37" t="str">
        <f>Roster!AC141</f>
        <v>.</v>
      </c>
      <c r="AC18" s="37" t="str">
        <f>Roster!AD141</f>
        <v>.</v>
      </c>
      <c r="AD18" s="37" t="str">
        <f>Roster!AE141</f>
        <v>.</v>
      </c>
      <c r="AE18" s="37" t="str">
        <f>Roster!AF141</f>
        <v>.</v>
      </c>
      <c r="AF18" s="38" t="str">
        <f>Roster!AG141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2019</v>
      </c>
      <c r="C21" s="36" t="str">
        <f>Roster!D172</f>
        <v>.</v>
      </c>
      <c r="D21" s="37" t="str">
        <f>Roster!E172</f>
        <v>.</v>
      </c>
      <c r="E21" s="37" t="str">
        <f>Roster!F172</f>
        <v>.</v>
      </c>
      <c r="F21" s="37" t="str">
        <f>Roster!G172</f>
        <v>.</v>
      </c>
      <c r="G21" s="37" t="str">
        <f>Roster!H172</f>
        <v>.</v>
      </c>
      <c r="H21" s="37" t="str">
        <f>Roster!I172</f>
        <v>.</v>
      </c>
      <c r="I21" s="37" t="str">
        <f>Roster!J172</f>
        <v>.</v>
      </c>
      <c r="J21" s="37" t="str">
        <f>Roster!K172</f>
        <v>.</v>
      </c>
      <c r="K21" s="37" t="str">
        <f>Roster!L172</f>
        <v>.</v>
      </c>
      <c r="L21" s="37" t="str">
        <f>Roster!M172</f>
        <v>.</v>
      </c>
      <c r="M21" s="37" t="str">
        <f>Roster!N172</f>
        <v>.</v>
      </c>
      <c r="N21" s="37" t="str">
        <f>Roster!O172</f>
        <v>.</v>
      </c>
      <c r="O21" s="37" t="str">
        <f>Roster!P172</f>
        <v>.</v>
      </c>
      <c r="P21" s="37" t="str">
        <f>Roster!Q172</f>
        <v>.</v>
      </c>
      <c r="Q21" s="37" t="str">
        <f>Roster!R172</f>
        <v>.</v>
      </c>
      <c r="R21" s="37" t="str">
        <f>Roster!S172</f>
        <v>.</v>
      </c>
      <c r="S21" s="37" t="str">
        <f>Roster!T172</f>
        <v>.</v>
      </c>
      <c r="T21" s="37" t="str">
        <f>Roster!U172</f>
        <v>.</v>
      </c>
      <c r="U21" s="37" t="str">
        <f>Roster!V172</f>
        <v>.</v>
      </c>
      <c r="V21" s="37" t="str">
        <f>Roster!W172</f>
        <v>.</v>
      </c>
      <c r="W21" s="37" t="str">
        <f>Roster!X172</f>
        <v>.</v>
      </c>
      <c r="X21" s="37" t="str">
        <f>Roster!Y172</f>
        <v>.</v>
      </c>
      <c r="Y21" s="37" t="str">
        <f>Roster!Z172</f>
        <v>.</v>
      </c>
      <c r="Z21" s="37" t="str">
        <f>Roster!AA172</f>
        <v>.</v>
      </c>
      <c r="AA21" s="37" t="str">
        <f>Roster!AB172</f>
        <v>.</v>
      </c>
      <c r="AB21" s="37" t="str">
        <f>Roster!AC172</f>
        <v>.</v>
      </c>
      <c r="AC21" s="37" t="str">
        <f>Roster!AD172</f>
        <v>.</v>
      </c>
      <c r="AD21" s="37" t="str">
        <f>Roster!AE172</f>
        <v>.</v>
      </c>
      <c r="AE21" s="37" t="str">
        <f>Roster!AF172</f>
        <v>.</v>
      </c>
      <c r="AF21" s="37" t="str">
        <f>Roster!AG172</f>
        <v>.</v>
      </c>
      <c r="AG21" s="38" t="str">
        <f>Roster!AH172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We</v>
      </c>
      <c r="D22" s="19" t="str">
        <f t="shared" si="6"/>
        <v>Th</v>
      </c>
      <c r="E22" s="19" t="str">
        <f t="shared" si="6"/>
        <v>Fr</v>
      </c>
      <c r="F22" s="19" t="str">
        <f t="shared" si="6"/>
        <v>Sa</v>
      </c>
      <c r="G22" s="19" t="str">
        <f t="shared" si="6"/>
        <v>Su</v>
      </c>
      <c r="H22" s="19" t="str">
        <f t="shared" si="6"/>
        <v>Mo</v>
      </c>
      <c r="I22" s="19" t="str">
        <f t="shared" si="6"/>
        <v>Tu</v>
      </c>
      <c r="J22" s="19" t="str">
        <f t="shared" si="6"/>
        <v>We</v>
      </c>
      <c r="K22" s="19" t="str">
        <f t="shared" si="6"/>
        <v>Th</v>
      </c>
      <c r="L22" s="19" t="str">
        <f t="shared" si="6"/>
        <v>Fr</v>
      </c>
      <c r="M22" s="19" t="str">
        <f t="shared" si="6"/>
        <v>Sa</v>
      </c>
      <c r="N22" s="19" t="str">
        <f t="shared" si="6"/>
        <v>Su</v>
      </c>
      <c r="O22" s="19" t="str">
        <f t="shared" si="6"/>
        <v>Mo</v>
      </c>
      <c r="P22" s="19" t="str">
        <f t="shared" si="6"/>
        <v>Tu</v>
      </c>
      <c r="Q22" s="19" t="str">
        <f t="shared" si="6"/>
        <v>We</v>
      </c>
      <c r="R22" s="19" t="str">
        <f t="shared" si="6"/>
        <v>Th</v>
      </c>
      <c r="S22" s="19" t="str">
        <f t="shared" si="6"/>
        <v>Fr</v>
      </c>
      <c r="T22" s="19" t="str">
        <f t="shared" si="6"/>
        <v>Sa</v>
      </c>
      <c r="U22" s="19" t="str">
        <f t="shared" si="6"/>
        <v>Su</v>
      </c>
      <c r="V22" s="19" t="str">
        <f t="shared" si="6"/>
        <v>Mo</v>
      </c>
      <c r="W22" s="19" t="str">
        <f t="shared" si="6"/>
        <v>Tu</v>
      </c>
      <c r="X22" s="19" t="str">
        <f t="shared" si="6"/>
        <v>We</v>
      </c>
      <c r="Y22" s="19" t="str">
        <f t="shared" si="6"/>
        <v>Th</v>
      </c>
      <c r="Z22" s="19" t="str">
        <f t="shared" si="6"/>
        <v>Fr</v>
      </c>
      <c r="AA22" s="19" t="str">
        <f t="shared" si="6"/>
        <v>Sa</v>
      </c>
      <c r="AB22" s="19" t="str">
        <f t="shared" si="6"/>
        <v>Su</v>
      </c>
      <c r="AC22" s="19" t="str">
        <f t="shared" si="6"/>
        <v>Mo</v>
      </c>
      <c r="AD22" s="19" t="str">
        <f t="shared" si="6"/>
        <v>Tu</v>
      </c>
      <c r="AE22" s="19" t="str">
        <f t="shared" si="6"/>
        <v>We</v>
      </c>
      <c r="AF22" s="19" t="str">
        <f t="shared" si="6"/>
        <v>Th</v>
      </c>
      <c r="AG22" s="19" t="str">
        <f t="shared" si="6"/>
        <v>Fr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2020</v>
      </c>
      <c r="C24" s="48" t="str">
        <f>Roster!D203</f>
        <v>.</v>
      </c>
      <c r="D24" s="49" t="str">
        <f>Roster!E203</f>
        <v>.</v>
      </c>
      <c r="E24" s="40" t="str">
        <f>Roster!F203</f>
        <v>.</v>
      </c>
      <c r="F24" s="40" t="str">
        <f>Roster!G203</f>
        <v>.</v>
      </c>
      <c r="G24" s="40" t="str">
        <f>Roster!H203</f>
        <v>.</v>
      </c>
      <c r="H24" s="40" t="str">
        <f>Roster!I203</f>
        <v>.</v>
      </c>
      <c r="I24" s="40" t="str">
        <f>Roster!J203</f>
        <v>.</v>
      </c>
      <c r="J24" s="40" t="str">
        <f>Roster!K203</f>
        <v>.</v>
      </c>
      <c r="K24" s="40" t="str">
        <f>Roster!L203</f>
        <v>.</v>
      </c>
      <c r="L24" s="40" t="str">
        <f>Roster!M203</f>
        <v>.</v>
      </c>
      <c r="M24" s="40" t="str">
        <f>Roster!N203</f>
        <v>.</v>
      </c>
      <c r="N24" s="40" t="str">
        <f>Roster!O203</f>
        <v>.</v>
      </c>
      <c r="O24" s="40" t="str">
        <f>Roster!P203</f>
        <v>.</v>
      </c>
      <c r="P24" s="40" t="str">
        <f>Roster!Q203</f>
        <v>.</v>
      </c>
      <c r="Q24" s="40" t="str">
        <f>Roster!R203</f>
        <v>.</v>
      </c>
      <c r="R24" s="40" t="str">
        <f>Roster!S203</f>
        <v>.</v>
      </c>
      <c r="S24" s="40" t="str">
        <f>Roster!T203</f>
        <v>.</v>
      </c>
      <c r="T24" s="40" t="str">
        <f>Roster!U203</f>
        <v>.</v>
      </c>
      <c r="U24" s="40" t="str">
        <f>Roster!V203</f>
        <v>.</v>
      </c>
      <c r="V24" s="40" t="str">
        <f>Roster!W203</f>
        <v>.</v>
      </c>
      <c r="W24" s="40" t="str">
        <f>Roster!X203</f>
        <v>.</v>
      </c>
      <c r="X24" s="40" t="str">
        <f>Roster!Y203</f>
        <v>.</v>
      </c>
      <c r="Y24" s="40" t="str">
        <f>Roster!Z203</f>
        <v>.</v>
      </c>
      <c r="Z24" s="40" t="str">
        <f>Roster!AA203</f>
        <v>.</v>
      </c>
      <c r="AA24" s="40" t="str">
        <f>Roster!AB203</f>
        <v>.</v>
      </c>
      <c r="AB24" s="40" t="str">
        <f>Roster!AC203</f>
        <v>.</v>
      </c>
      <c r="AC24" s="40" t="str">
        <f>Roster!AD203</f>
        <v>.</v>
      </c>
      <c r="AD24" s="40" t="str">
        <f>Roster!AE203</f>
        <v>.</v>
      </c>
      <c r="AE24" s="40" t="str">
        <f>Roster!AF203</f>
        <v>.</v>
      </c>
      <c r="AF24" s="40" t="str">
        <f>Roster!AG203</f>
        <v>.</v>
      </c>
      <c r="AG24" s="41" t="str">
        <f>Roster!AH203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Sa</v>
      </c>
      <c r="D25" s="22" t="str">
        <f t="shared" si="7"/>
        <v>Su</v>
      </c>
      <c r="E25" s="22" t="str">
        <f t="shared" si="7"/>
        <v>Mo</v>
      </c>
      <c r="F25" s="22" t="str">
        <f t="shared" si="7"/>
        <v>Tu</v>
      </c>
      <c r="G25" s="22" t="str">
        <f t="shared" si="7"/>
        <v>We</v>
      </c>
      <c r="H25" s="22" t="str">
        <f t="shared" si="7"/>
        <v>Th</v>
      </c>
      <c r="I25" s="22" t="str">
        <f t="shared" si="7"/>
        <v>Fr</v>
      </c>
      <c r="J25" s="22" t="str">
        <f t="shared" si="7"/>
        <v>Sa</v>
      </c>
      <c r="K25" s="22" t="str">
        <f t="shared" si="7"/>
        <v>Su</v>
      </c>
      <c r="L25" s="22" t="str">
        <f t="shared" si="7"/>
        <v>Mo</v>
      </c>
      <c r="M25" s="22" t="str">
        <f t="shared" si="7"/>
        <v>Tu</v>
      </c>
      <c r="N25" s="22" t="str">
        <f t="shared" si="7"/>
        <v>We</v>
      </c>
      <c r="O25" s="22" t="str">
        <f t="shared" si="7"/>
        <v>Th</v>
      </c>
      <c r="P25" s="22" t="str">
        <f t="shared" si="7"/>
        <v>Fr</v>
      </c>
      <c r="Q25" s="22" t="str">
        <f t="shared" si="7"/>
        <v>Sa</v>
      </c>
      <c r="R25" s="22" t="str">
        <f t="shared" si="7"/>
        <v>Su</v>
      </c>
      <c r="S25" s="22" t="str">
        <f t="shared" si="7"/>
        <v>Mo</v>
      </c>
      <c r="T25" s="22" t="str">
        <f t="shared" si="7"/>
        <v>Tu</v>
      </c>
      <c r="U25" s="22" t="str">
        <f t="shared" si="7"/>
        <v>We</v>
      </c>
      <c r="V25" s="22" t="str">
        <f t="shared" si="7"/>
        <v>Th</v>
      </c>
      <c r="W25" s="22" t="str">
        <f t="shared" si="7"/>
        <v>Fr</v>
      </c>
      <c r="X25" s="22" t="str">
        <f t="shared" si="7"/>
        <v>Sa</v>
      </c>
      <c r="Y25" s="22" t="str">
        <f t="shared" si="7"/>
        <v>Su</v>
      </c>
      <c r="Z25" s="22" t="str">
        <f t="shared" si="7"/>
        <v>Mo</v>
      </c>
      <c r="AA25" s="22" t="str">
        <f t="shared" si="7"/>
        <v>Tu</v>
      </c>
      <c r="AB25" s="22" t="str">
        <f t="shared" si="7"/>
        <v>We</v>
      </c>
      <c r="AC25" s="22" t="str">
        <f t="shared" si="7"/>
        <v>Th</v>
      </c>
      <c r="AD25" s="22" t="str">
        <f t="shared" si="7"/>
        <v>Fr</v>
      </c>
      <c r="AE25" s="122" t="str">
        <f t="shared" si="7"/>
        <v>Sa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0">
        <v>29</v>
      </c>
      <c r="AF26" s="44"/>
    </row>
    <row r="27" spans="2:33" ht="14.4" thickTop="1" thickBot="1">
      <c r="B27" s="32" t="str">
        <f>CurYear</f>
        <v>2020</v>
      </c>
      <c r="C27" s="36" t="str">
        <f>Roster!D234</f>
        <v>.</v>
      </c>
      <c r="D27" s="37" t="str">
        <f>Roster!E234</f>
        <v>.</v>
      </c>
      <c r="E27" s="37" t="str">
        <f>Roster!F234</f>
        <v>.</v>
      </c>
      <c r="F27" s="37" t="str">
        <f>Roster!G234</f>
        <v>.</v>
      </c>
      <c r="G27" s="37" t="str">
        <f>Roster!H234</f>
        <v>.</v>
      </c>
      <c r="H27" s="37" t="str">
        <f>Roster!I234</f>
        <v>.</v>
      </c>
      <c r="I27" s="37" t="str">
        <f>Roster!J234</f>
        <v>.</v>
      </c>
      <c r="J27" s="37" t="str">
        <f>Roster!K234</f>
        <v>.</v>
      </c>
      <c r="K27" s="37" t="str">
        <f>Roster!L234</f>
        <v>.</v>
      </c>
      <c r="L27" s="37" t="str">
        <f>Roster!M234</f>
        <v>.</v>
      </c>
      <c r="M27" s="37" t="str">
        <f>Roster!N234</f>
        <v>.</v>
      </c>
      <c r="N27" s="37" t="str">
        <f>Roster!O234</f>
        <v>.</v>
      </c>
      <c r="O27" s="37" t="str">
        <f>Roster!P234</f>
        <v>.</v>
      </c>
      <c r="P27" s="37" t="str">
        <f>Roster!Q234</f>
        <v>.</v>
      </c>
      <c r="Q27" s="37" t="str">
        <f>Roster!R234</f>
        <v>.</v>
      </c>
      <c r="R27" s="37" t="str">
        <f>Roster!S234</f>
        <v>.</v>
      </c>
      <c r="S27" s="37" t="str">
        <f>Roster!T234</f>
        <v>.</v>
      </c>
      <c r="T27" s="37" t="str">
        <f>Roster!U234</f>
        <v>.</v>
      </c>
      <c r="U27" s="37" t="str">
        <f>Roster!V234</f>
        <v>.</v>
      </c>
      <c r="V27" s="37" t="str">
        <f>Roster!W234</f>
        <v>.</v>
      </c>
      <c r="W27" s="37" t="str">
        <f>Roster!X234</f>
        <v>.</v>
      </c>
      <c r="X27" s="37" t="str">
        <f>Roster!Y234</f>
        <v>.</v>
      </c>
      <c r="Y27" s="37" t="str">
        <f>Roster!Z234</f>
        <v>.</v>
      </c>
      <c r="Z27" s="37" t="str">
        <f>Roster!AA234</f>
        <v>.</v>
      </c>
      <c r="AA27" s="37" t="str">
        <f>Roster!AB234</f>
        <v>.</v>
      </c>
      <c r="AB27" s="37" t="str">
        <f>Roster!AC234</f>
        <v>.</v>
      </c>
      <c r="AC27" s="37" t="str">
        <f>Roster!AD234</f>
        <v>.</v>
      </c>
      <c r="AD27" s="43" t="str">
        <f>Roster!AE234</f>
        <v>.</v>
      </c>
      <c r="AE27" s="121" t="str">
        <f>Roster!AF234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47" t="str">
        <f t="shared" si="8"/>
        <v>Mo</v>
      </c>
      <c r="AG28" s="47" t="str">
        <f t="shared" si="8"/>
        <v>Tu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2020</v>
      </c>
      <c r="C30" s="36" t="str">
        <f>Roster!D265</f>
        <v>.</v>
      </c>
      <c r="D30" s="37" t="str">
        <f>Roster!E265</f>
        <v>.</v>
      </c>
      <c r="E30" s="37" t="str">
        <f>Roster!F265</f>
        <v>.</v>
      </c>
      <c r="F30" s="37" t="str">
        <f>Roster!G265</f>
        <v>.</v>
      </c>
      <c r="G30" s="37" t="str">
        <f>Roster!H265</f>
        <v>.</v>
      </c>
      <c r="H30" s="37" t="str">
        <f>Roster!I265</f>
        <v>.</v>
      </c>
      <c r="I30" s="37" t="str">
        <f>Roster!J265</f>
        <v>.</v>
      </c>
      <c r="J30" s="37" t="str">
        <f>Roster!K265</f>
        <v>.</v>
      </c>
      <c r="K30" s="37" t="str">
        <f>Roster!L265</f>
        <v>.</v>
      </c>
      <c r="L30" s="37" t="str">
        <f>Roster!M265</f>
        <v>.</v>
      </c>
      <c r="M30" s="37" t="str">
        <f>Roster!N265</f>
        <v>.</v>
      </c>
      <c r="N30" s="37" t="str">
        <f>Roster!O265</f>
        <v>.</v>
      </c>
      <c r="O30" s="37" t="str">
        <f>Roster!P265</f>
        <v>.</v>
      </c>
      <c r="P30" s="37" t="str">
        <f>Roster!Q265</f>
        <v>.</v>
      </c>
      <c r="Q30" s="37" t="str">
        <f>Roster!R265</f>
        <v>.</v>
      </c>
      <c r="R30" s="37" t="str">
        <f>Roster!S265</f>
        <v>.</v>
      </c>
      <c r="S30" s="37" t="str">
        <f>Roster!T265</f>
        <v>.</v>
      </c>
      <c r="T30" s="37" t="str">
        <f>Roster!U265</f>
        <v>.</v>
      </c>
      <c r="U30" s="37" t="str">
        <f>Roster!V265</f>
        <v>.</v>
      </c>
      <c r="V30" s="37" t="str">
        <f>Roster!W265</f>
        <v>.</v>
      </c>
      <c r="W30" s="37" t="str">
        <f>Roster!X265</f>
        <v>.</v>
      </c>
      <c r="X30" s="37" t="str">
        <f>Roster!Y265</f>
        <v>.</v>
      </c>
      <c r="Y30" s="37" t="str">
        <f>Roster!Z265</f>
        <v>.</v>
      </c>
      <c r="Z30" s="37" t="str">
        <f>Roster!AA265</f>
        <v>.</v>
      </c>
      <c r="AA30" s="37" t="str">
        <f>Roster!AB265</f>
        <v>.</v>
      </c>
      <c r="AB30" s="37" t="str">
        <f>Roster!AC265</f>
        <v>.</v>
      </c>
      <c r="AC30" s="37" t="str">
        <f>Roster!AD265</f>
        <v>.</v>
      </c>
      <c r="AD30" s="37" t="str">
        <f>Roster!AE265</f>
        <v>.</v>
      </c>
      <c r="AE30" s="37" t="str">
        <f>Roster!AF265</f>
        <v>.</v>
      </c>
      <c r="AF30" s="37" t="str">
        <f>Roster!AG265</f>
        <v>.</v>
      </c>
      <c r="AG30" s="38" t="str">
        <f>Roster!AH265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2020</v>
      </c>
      <c r="C33" s="36" t="str">
        <f>Roster!D296</f>
        <v>.</v>
      </c>
      <c r="D33" s="37" t="str">
        <f>Roster!E296</f>
        <v>.</v>
      </c>
      <c r="E33" s="37" t="str">
        <f>Roster!F296</f>
        <v>.</v>
      </c>
      <c r="F33" s="37" t="str">
        <f>Roster!G296</f>
        <v>.</v>
      </c>
      <c r="G33" s="37" t="str">
        <f>Roster!H296</f>
        <v>.</v>
      </c>
      <c r="H33" s="37" t="str">
        <f>Roster!I296</f>
        <v>.</v>
      </c>
      <c r="I33" s="37" t="str">
        <f>Roster!J296</f>
        <v>.</v>
      </c>
      <c r="J33" s="37" t="str">
        <f>Roster!K296</f>
        <v>.</v>
      </c>
      <c r="K33" s="37" t="str">
        <f>Roster!L296</f>
        <v>.</v>
      </c>
      <c r="L33" s="37" t="str">
        <f>Roster!M296</f>
        <v>.</v>
      </c>
      <c r="M33" s="37" t="str">
        <f>Roster!N296</f>
        <v>.</v>
      </c>
      <c r="N33" s="37" t="str">
        <f>Roster!O296</f>
        <v>.</v>
      </c>
      <c r="O33" s="37" t="str">
        <f>Roster!P296</f>
        <v>.</v>
      </c>
      <c r="P33" s="37" t="str">
        <f>Roster!Q296</f>
        <v>.</v>
      </c>
      <c r="Q33" s="37" t="str">
        <f>Roster!R296</f>
        <v>.</v>
      </c>
      <c r="R33" s="37" t="str">
        <f>Roster!S296</f>
        <v>.</v>
      </c>
      <c r="S33" s="37" t="str">
        <f>Roster!T296</f>
        <v>.</v>
      </c>
      <c r="T33" s="37" t="str">
        <f>Roster!U296</f>
        <v>.</v>
      </c>
      <c r="U33" s="37" t="str">
        <f>Roster!V296</f>
        <v>.</v>
      </c>
      <c r="V33" s="37" t="str">
        <f>Roster!W296</f>
        <v>.</v>
      </c>
      <c r="W33" s="37" t="str">
        <f>Roster!X296</f>
        <v>.</v>
      </c>
      <c r="X33" s="37" t="str">
        <f>Roster!Y296</f>
        <v>.</v>
      </c>
      <c r="Y33" s="37" t="str">
        <f>Roster!Z296</f>
        <v>.</v>
      </c>
      <c r="Z33" s="37" t="str">
        <f>Roster!AA296</f>
        <v>.</v>
      </c>
      <c r="AA33" s="37" t="str">
        <f>Roster!AB296</f>
        <v>.</v>
      </c>
      <c r="AB33" s="37" t="str">
        <f>Roster!AC296</f>
        <v>.</v>
      </c>
      <c r="AC33" s="37" t="str">
        <f>Roster!AD296</f>
        <v>.</v>
      </c>
      <c r="AD33" s="37" t="str">
        <f>Roster!AE296</f>
        <v>.</v>
      </c>
      <c r="AE33" s="37" t="str">
        <f>Roster!AF296</f>
        <v>.</v>
      </c>
      <c r="AF33" s="38" t="str">
        <f>Roster!AG296</f>
        <v>.</v>
      </c>
    </row>
    <row r="34" spans="2:33" ht="14.4" thickTop="1" thickBot="1"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46" t="str">
        <f t="shared" si="10"/>
        <v>Su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2020</v>
      </c>
      <c r="C36" s="36" t="str">
        <f>Roster!D327</f>
        <v>.</v>
      </c>
      <c r="D36" s="37" t="str">
        <f>Roster!E327</f>
        <v>.</v>
      </c>
      <c r="E36" s="37" t="str">
        <f>Roster!F327</f>
        <v>.</v>
      </c>
      <c r="F36" s="37" t="str">
        <f>Roster!G327</f>
        <v>.</v>
      </c>
      <c r="G36" s="37" t="str">
        <f>Roster!H327</f>
        <v>.</v>
      </c>
      <c r="H36" s="37" t="str">
        <f>Roster!I327</f>
        <v>.</v>
      </c>
      <c r="I36" s="37" t="str">
        <f>Roster!J327</f>
        <v>.</v>
      </c>
      <c r="J36" s="37" t="str">
        <f>Roster!K327</f>
        <v>.</v>
      </c>
      <c r="K36" s="37" t="str">
        <f>Roster!L327</f>
        <v>.</v>
      </c>
      <c r="L36" s="37" t="str">
        <f>Roster!M327</f>
        <v>.</v>
      </c>
      <c r="M36" s="37" t="str">
        <f>Roster!N327</f>
        <v>.</v>
      </c>
      <c r="N36" s="37" t="str">
        <f>Roster!O327</f>
        <v>.</v>
      </c>
      <c r="O36" s="37" t="str">
        <f>Roster!P327</f>
        <v>.</v>
      </c>
      <c r="P36" s="37" t="str">
        <f>Roster!Q327</f>
        <v>.</v>
      </c>
      <c r="Q36" s="37" t="str">
        <f>Roster!R327</f>
        <v>.</v>
      </c>
      <c r="R36" s="37" t="str">
        <f>Roster!S327</f>
        <v>.</v>
      </c>
      <c r="S36" s="37" t="str">
        <f>Roster!T327</f>
        <v>.</v>
      </c>
      <c r="T36" s="37" t="str">
        <f>Roster!U327</f>
        <v>.</v>
      </c>
      <c r="U36" s="37" t="str">
        <f>Roster!V327</f>
        <v>.</v>
      </c>
      <c r="V36" s="37" t="str">
        <f>Roster!W327</f>
        <v>.</v>
      </c>
      <c r="W36" s="37" t="str">
        <f>Roster!X327</f>
        <v>.</v>
      </c>
      <c r="X36" s="37" t="str">
        <f>Roster!Y327</f>
        <v>.</v>
      </c>
      <c r="Y36" s="37" t="str">
        <f>Roster!Z327</f>
        <v>.</v>
      </c>
      <c r="Z36" s="37" t="str">
        <f>Roster!AA327</f>
        <v>.</v>
      </c>
      <c r="AA36" s="37" t="str">
        <f>Roster!AB327</f>
        <v>.</v>
      </c>
      <c r="AB36" s="37" t="str">
        <f>Roster!AC327</f>
        <v>.</v>
      </c>
      <c r="AC36" s="37" t="str">
        <f>Roster!AD327</f>
        <v>.</v>
      </c>
      <c r="AD36" s="37" t="str">
        <f>Roster!AE327</f>
        <v>.</v>
      </c>
      <c r="AE36" s="37" t="str">
        <f>Roster!AF327</f>
        <v>.</v>
      </c>
      <c r="AF36" s="37" t="str">
        <f>Roster!AG327</f>
        <v>.</v>
      </c>
      <c r="AG36" s="38" t="str">
        <f>Roster!AH327</f>
        <v>.</v>
      </c>
    </row>
    <row r="37" spans="2:33" ht="14.4" thickTop="1" thickBot="1"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2020</v>
      </c>
      <c r="C39" s="36" t="str">
        <f>Roster!D358</f>
        <v>.</v>
      </c>
      <c r="D39" s="37" t="str">
        <f>Roster!E358</f>
        <v>.</v>
      </c>
      <c r="E39" s="37" t="str">
        <f>Roster!F358</f>
        <v>.</v>
      </c>
      <c r="F39" s="37" t="str">
        <f>Roster!G358</f>
        <v>.</v>
      </c>
      <c r="G39" s="37" t="str">
        <f>Roster!H358</f>
        <v>.</v>
      </c>
      <c r="H39" s="37" t="str">
        <f>Roster!I358</f>
        <v>.</v>
      </c>
      <c r="I39" s="37" t="str">
        <f>Roster!J358</f>
        <v>.</v>
      </c>
      <c r="J39" s="37" t="str">
        <f>Roster!K358</f>
        <v>.</v>
      </c>
      <c r="K39" s="37" t="str">
        <f>Roster!L358</f>
        <v>.</v>
      </c>
      <c r="L39" s="37" t="str">
        <f>Roster!M358</f>
        <v>.</v>
      </c>
      <c r="M39" s="37" t="str">
        <f>Roster!N358</f>
        <v>.</v>
      </c>
      <c r="N39" s="37" t="str">
        <f>Roster!O358</f>
        <v>.</v>
      </c>
      <c r="O39" s="37" t="str">
        <f>Roster!P358</f>
        <v>.</v>
      </c>
      <c r="P39" s="37" t="str">
        <f>Roster!Q358</f>
        <v>.</v>
      </c>
      <c r="Q39" s="37" t="str">
        <f>Roster!R358</f>
        <v>.</v>
      </c>
      <c r="R39" s="37" t="str">
        <f>Roster!S358</f>
        <v>.</v>
      </c>
      <c r="S39" s="37" t="str">
        <f>Roster!T358</f>
        <v>.</v>
      </c>
      <c r="T39" s="37" t="str">
        <f>Roster!U358</f>
        <v>.</v>
      </c>
      <c r="U39" s="37" t="str">
        <f>Roster!V358</f>
        <v>.</v>
      </c>
      <c r="V39" s="37" t="str">
        <f>Roster!W358</f>
        <v>.</v>
      </c>
      <c r="W39" s="37" t="str">
        <f>Roster!X358</f>
        <v>.</v>
      </c>
      <c r="X39" s="37" t="str">
        <f>Roster!Y358</f>
        <v>.</v>
      </c>
      <c r="Y39" s="37" t="str">
        <f>Roster!Z358</f>
        <v>.</v>
      </c>
      <c r="Z39" s="37" t="str">
        <f>Roster!AA358</f>
        <v>.</v>
      </c>
      <c r="AA39" s="37" t="str">
        <f>Roster!AB358</f>
        <v>.</v>
      </c>
      <c r="AB39" s="37" t="str">
        <f>Roster!AC358</f>
        <v>.</v>
      </c>
      <c r="AC39" s="37" t="str">
        <f>Roster!AD358</f>
        <v>.</v>
      </c>
      <c r="AD39" s="37" t="str">
        <f>Roster!AE358</f>
        <v>.</v>
      </c>
      <c r="AE39" s="37" t="str">
        <f>Roster!AF358</f>
        <v>.</v>
      </c>
      <c r="AF39" s="38" t="str">
        <f>Roster!AG358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5"/>
  <dimension ref="B1:AG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2019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31"/>
      <c r="I3" s="133" t="s">
        <v>25</v>
      </c>
      <c r="R3" s="133" t="str">
        <f>EmpGName05 &amp;" " &amp; EmpSName05</f>
        <v>David Castle</v>
      </c>
      <c r="S3" s="132"/>
      <c r="T3" s="132"/>
      <c r="U3" s="132"/>
      <c r="V3" s="132"/>
      <c r="W3" s="132"/>
      <c r="X3" s="132"/>
      <c r="Y3" s="132"/>
      <c r="Z3" s="132"/>
      <c r="AA3" s="132"/>
      <c r="AB3" s="132"/>
      <c r="AC3" s="132"/>
    </row>
    <row r="4" spans="2:33" ht="13.8" thickBot="1">
      <c r="C4" s="28" t="str">
        <f t="shared" ref="C4:AG4" si="0">LEFT(TEXT(C5&amp;"-"&amp;$B5&amp;"-"&amp;CurYear-1,"ddd"),2)</f>
        <v>Mo</v>
      </c>
      <c r="D4" s="28" t="str">
        <f t="shared" si="0"/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46" t="str">
        <f t="shared" si="0"/>
        <v>We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2019</v>
      </c>
      <c r="C6" s="36" t="str">
        <f>Roster!D18</f>
        <v>.</v>
      </c>
      <c r="D6" s="37" t="str">
        <f>Roster!E18</f>
        <v>.</v>
      </c>
      <c r="E6" s="37" t="str">
        <f>Roster!F18</f>
        <v>.</v>
      </c>
      <c r="F6" s="37" t="str">
        <f>Roster!G18</f>
        <v>.</v>
      </c>
      <c r="G6" s="37" t="str">
        <f>Roster!H18</f>
        <v>.</v>
      </c>
      <c r="H6" s="37" t="str">
        <f>Roster!I18</f>
        <v>.</v>
      </c>
      <c r="I6" s="37" t="str">
        <f>Roster!J18</f>
        <v>.</v>
      </c>
      <c r="J6" s="37" t="str">
        <f>Roster!K18</f>
        <v>.</v>
      </c>
      <c r="K6" s="37" t="str">
        <f>Roster!L18</f>
        <v>.</v>
      </c>
      <c r="L6" s="37" t="str">
        <f>Roster!M18</f>
        <v>.</v>
      </c>
      <c r="M6" s="37" t="str">
        <f>Roster!N18</f>
        <v>.</v>
      </c>
      <c r="N6" s="37" t="str">
        <f>Roster!O18</f>
        <v>.</v>
      </c>
      <c r="O6" s="37" t="str">
        <f>Roster!P18</f>
        <v>.</v>
      </c>
      <c r="P6" s="37" t="str">
        <f>Roster!Q18</f>
        <v>.</v>
      </c>
      <c r="Q6" s="37" t="str">
        <f>Roster!R18</f>
        <v>.</v>
      </c>
      <c r="R6" s="37" t="str">
        <f>Roster!S18</f>
        <v>.</v>
      </c>
      <c r="S6" s="37" t="str">
        <f>Roster!T18</f>
        <v>.</v>
      </c>
      <c r="T6" s="37" t="str">
        <f>Roster!U18</f>
        <v>.</v>
      </c>
      <c r="U6" s="37" t="str">
        <f>Roster!V18</f>
        <v>.</v>
      </c>
      <c r="V6" s="37" t="str">
        <f>Roster!W18</f>
        <v>.</v>
      </c>
      <c r="W6" s="37" t="str">
        <f>Roster!X18</f>
        <v>.</v>
      </c>
      <c r="X6" s="37" t="str">
        <f>Roster!Y18</f>
        <v>.</v>
      </c>
      <c r="Y6" s="37" t="str">
        <f>Roster!Z18</f>
        <v>.</v>
      </c>
      <c r="Z6" s="37" t="str">
        <f>Roster!AA18</f>
        <v>.</v>
      </c>
      <c r="AA6" s="37" t="str">
        <f>Roster!AB18</f>
        <v>.</v>
      </c>
      <c r="AB6" s="37" t="str">
        <f>Roster!AC18</f>
        <v>.</v>
      </c>
      <c r="AC6" s="37" t="str">
        <f>Roster!AD18</f>
        <v>.</v>
      </c>
      <c r="AD6" s="37" t="str">
        <f>Roster!AE18</f>
        <v>.</v>
      </c>
      <c r="AE6" s="37" t="str">
        <f>Roster!AF18</f>
        <v>.</v>
      </c>
      <c r="AF6" s="37" t="str">
        <f>Roster!AG18</f>
        <v>.</v>
      </c>
      <c r="AG6" s="38" t="str">
        <f>Roster!AH18</f>
        <v>.</v>
      </c>
    </row>
    <row r="7" spans="2:33" ht="14.4" thickTop="1" thickBot="1"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21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2019</v>
      </c>
      <c r="C9" s="36" t="str">
        <f>Roster!D49</f>
        <v>.</v>
      </c>
      <c r="D9" s="39" t="str">
        <f>Roster!E49</f>
        <v>.</v>
      </c>
      <c r="E9" s="37" t="str">
        <f>Roster!F49</f>
        <v>.</v>
      </c>
      <c r="F9" s="37" t="str">
        <f>Roster!G49</f>
        <v>.</v>
      </c>
      <c r="G9" s="37" t="str">
        <f>Roster!H49</f>
        <v>.</v>
      </c>
      <c r="H9" s="37" t="str">
        <f>Roster!I49</f>
        <v>.</v>
      </c>
      <c r="I9" s="37" t="str">
        <f>Roster!J49</f>
        <v>.</v>
      </c>
      <c r="J9" s="37" t="str">
        <f>Roster!K49</f>
        <v>.</v>
      </c>
      <c r="K9" s="37" t="str">
        <f>Roster!L49</f>
        <v>.</v>
      </c>
      <c r="L9" s="37" t="str">
        <f>Roster!M49</f>
        <v>.</v>
      </c>
      <c r="M9" s="37" t="str">
        <f>Roster!N49</f>
        <v>.</v>
      </c>
      <c r="N9" s="37" t="str">
        <f>Roster!O49</f>
        <v>.</v>
      </c>
      <c r="O9" s="37" t="str">
        <f>Roster!P49</f>
        <v>.</v>
      </c>
      <c r="P9" s="37" t="str">
        <f>Roster!Q49</f>
        <v>.</v>
      </c>
      <c r="Q9" s="37" t="str">
        <f>Roster!R49</f>
        <v>.</v>
      </c>
      <c r="R9" s="37" t="str">
        <f>Roster!S49</f>
        <v>.</v>
      </c>
      <c r="S9" s="37" t="str">
        <f>Roster!T49</f>
        <v>.</v>
      </c>
      <c r="T9" s="37" t="str">
        <f>Roster!U49</f>
        <v>.</v>
      </c>
      <c r="U9" s="37" t="str">
        <f>Roster!V49</f>
        <v>.</v>
      </c>
      <c r="V9" s="37" t="str">
        <f>Roster!W49</f>
        <v>.</v>
      </c>
      <c r="W9" s="37" t="str">
        <f>Roster!X49</f>
        <v>.</v>
      </c>
      <c r="X9" s="37" t="str">
        <f>Roster!Y49</f>
        <v>.</v>
      </c>
      <c r="Y9" s="37" t="str">
        <f>Roster!Z49</f>
        <v>.</v>
      </c>
      <c r="Z9" s="37" t="str">
        <f>Roster!AA49</f>
        <v>.</v>
      </c>
      <c r="AA9" s="37" t="str">
        <f>Roster!AB49</f>
        <v>.</v>
      </c>
      <c r="AB9" s="37" t="str">
        <f>Roster!AC49</f>
        <v>.</v>
      </c>
      <c r="AC9" s="37" t="str">
        <f>Roster!AD49</f>
        <v>.</v>
      </c>
      <c r="AD9" s="37" t="str">
        <f>Roster!AE49</f>
        <v>.</v>
      </c>
      <c r="AE9" s="37" t="str">
        <f>Roster!AF49</f>
        <v>.</v>
      </c>
      <c r="AF9" s="37" t="str">
        <f>Roster!AG49</f>
        <v>.</v>
      </c>
      <c r="AG9" s="38" t="str">
        <f>Roster!AH49</f>
        <v>.</v>
      </c>
    </row>
    <row r="10" spans="2:33" ht="14.4" thickTop="1" thickBot="1"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1" t="str">
        <f t="shared" si="2"/>
        <v>Su</v>
      </c>
      <c r="AF10" s="21" t="str">
        <f t="shared" si="2"/>
        <v>Mo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2019</v>
      </c>
      <c r="C12" s="36" t="str">
        <f>Roster!D80</f>
        <v>.</v>
      </c>
      <c r="D12" s="37" t="str">
        <f>Roster!E80</f>
        <v>.</v>
      </c>
      <c r="E12" s="37" t="str">
        <f>Roster!F80</f>
        <v>.</v>
      </c>
      <c r="F12" s="37" t="str">
        <f>Roster!G80</f>
        <v>.</v>
      </c>
      <c r="G12" s="37" t="str">
        <f>Roster!H80</f>
        <v>.</v>
      </c>
      <c r="H12" s="37" t="str">
        <f>Roster!I80</f>
        <v>.</v>
      </c>
      <c r="I12" s="37" t="str">
        <f>Roster!J80</f>
        <v>.</v>
      </c>
      <c r="J12" s="37" t="str">
        <f>Roster!K80</f>
        <v>.</v>
      </c>
      <c r="K12" s="37" t="str">
        <f>Roster!L80</f>
        <v>.</v>
      </c>
      <c r="L12" s="37" t="str">
        <f>Roster!M80</f>
        <v>.</v>
      </c>
      <c r="M12" s="37" t="str">
        <f>Roster!N80</f>
        <v>.</v>
      </c>
      <c r="N12" s="37" t="str">
        <f>Roster!O80</f>
        <v>.</v>
      </c>
      <c r="O12" s="37" t="str">
        <f>Roster!P80</f>
        <v>.</v>
      </c>
      <c r="P12" s="37" t="str">
        <f>Roster!Q80</f>
        <v>.</v>
      </c>
      <c r="Q12" s="37" t="str">
        <f>Roster!R80</f>
        <v>.</v>
      </c>
      <c r="R12" s="37" t="str">
        <f>Roster!S80</f>
        <v>.</v>
      </c>
      <c r="S12" s="37" t="str">
        <f>Roster!T80</f>
        <v>.</v>
      </c>
      <c r="T12" s="37" t="str">
        <f>Roster!U80</f>
        <v>.</v>
      </c>
      <c r="U12" s="37" t="str">
        <f>Roster!V80</f>
        <v>.</v>
      </c>
      <c r="V12" s="37" t="str">
        <f>Roster!W80</f>
        <v>.</v>
      </c>
      <c r="W12" s="37" t="str">
        <f>Roster!X80</f>
        <v>.</v>
      </c>
      <c r="X12" s="37" t="str">
        <f>Roster!Y80</f>
        <v>.</v>
      </c>
      <c r="Y12" s="37" t="str">
        <f>Roster!Z80</f>
        <v>.</v>
      </c>
      <c r="Z12" s="37" t="str">
        <f>Roster!AA80</f>
        <v>.</v>
      </c>
      <c r="AA12" s="37" t="str">
        <f>Roster!AB80</f>
        <v>.</v>
      </c>
      <c r="AB12" s="37" t="str">
        <f>Roster!AC80</f>
        <v>.</v>
      </c>
      <c r="AC12" s="37" t="str">
        <f>Roster!AD80</f>
        <v>.</v>
      </c>
      <c r="AD12" s="37" t="str">
        <f>Roster!AE80</f>
        <v>.</v>
      </c>
      <c r="AE12" s="37" t="str">
        <f>Roster!AF80</f>
        <v>.</v>
      </c>
      <c r="AF12" s="38" t="str">
        <f>Roster!AG80</f>
        <v>.</v>
      </c>
    </row>
    <row r="13" spans="2:33" ht="14.4" thickTop="1" thickBot="1"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46" t="str">
        <f t="shared" si="3"/>
        <v>Th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2019</v>
      </c>
      <c r="C15" s="36" t="str">
        <f>Roster!D111</f>
        <v>.</v>
      </c>
      <c r="D15" s="37" t="str">
        <f>Roster!E111</f>
        <v>.</v>
      </c>
      <c r="E15" s="37" t="str">
        <f>Roster!F111</f>
        <v>.</v>
      </c>
      <c r="F15" s="37" t="str">
        <f>Roster!G111</f>
        <v>.</v>
      </c>
      <c r="G15" s="37" t="str">
        <f>Roster!H111</f>
        <v>.</v>
      </c>
      <c r="H15" s="37" t="str">
        <f>Roster!I111</f>
        <v>.</v>
      </c>
      <c r="I15" s="37" t="str">
        <f>Roster!J111</f>
        <v>.</v>
      </c>
      <c r="J15" s="37" t="str">
        <f>Roster!K111</f>
        <v>.</v>
      </c>
      <c r="K15" s="37" t="str">
        <f>Roster!L111</f>
        <v>.</v>
      </c>
      <c r="L15" s="37" t="str">
        <f>Roster!M111</f>
        <v>.</v>
      </c>
      <c r="M15" s="37" t="str">
        <f>Roster!N111</f>
        <v>.</v>
      </c>
      <c r="N15" s="37" t="str">
        <f>Roster!O111</f>
        <v>.</v>
      </c>
      <c r="O15" s="37" t="str">
        <f>Roster!P111</f>
        <v>.</v>
      </c>
      <c r="P15" s="37" t="str">
        <f>Roster!Q111</f>
        <v>.</v>
      </c>
      <c r="Q15" s="37" t="str">
        <f>Roster!R111</f>
        <v>.</v>
      </c>
      <c r="R15" s="37" t="str">
        <f>Roster!S111</f>
        <v>.</v>
      </c>
      <c r="S15" s="37" t="str">
        <f>Roster!T111</f>
        <v>.</v>
      </c>
      <c r="T15" s="37" t="str">
        <f>Roster!U111</f>
        <v>.</v>
      </c>
      <c r="U15" s="37" t="str">
        <f>Roster!V111</f>
        <v>.</v>
      </c>
      <c r="V15" s="37" t="str">
        <f>Roster!W111</f>
        <v>.</v>
      </c>
      <c r="W15" s="37" t="str">
        <f>Roster!X111</f>
        <v>.</v>
      </c>
      <c r="X15" s="37" t="str">
        <f>Roster!Y111</f>
        <v>.</v>
      </c>
      <c r="Y15" s="37" t="str">
        <f>Roster!Z111</f>
        <v>.</v>
      </c>
      <c r="Z15" s="37" t="str">
        <f>Roster!AA111</f>
        <v>.</v>
      </c>
      <c r="AA15" s="37" t="str">
        <f>Roster!AB111</f>
        <v>.</v>
      </c>
      <c r="AB15" s="37" t="str">
        <f>Roster!AC111</f>
        <v>.</v>
      </c>
      <c r="AC15" s="37" t="str">
        <f>Roster!AD111</f>
        <v>.</v>
      </c>
      <c r="AD15" s="37" t="str">
        <f>Roster!AE111</f>
        <v>.</v>
      </c>
      <c r="AE15" s="37" t="str">
        <f>Roster!AF111</f>
        <v>.</v>
      </c>
      <c r="AF15" s="37" t="str">
        <f>Roster!AG111</f>
        <v>.</v>
      </c>
      <c r="AG15" s="38" t="str">
        <f>Roster!AH111</f>
        <v>.</v>
      </c>
    </row>
    <row r="16" spans="2:33" ht="14.4" thickTop="1" thickBot="1"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2019</v>
      </c>
      <c r="C18" s="36" t="str">
        <f>Roster!D142</f>
        <v>.</v>
      </c>
      <c r="D18" s="37" t="str">
        <f>Roster!E142</f>
        <v>.</v>
      </c>
      <c r="E18" s="37" t="str">
        <f>Roster!F142</f>
        <v>.</v>
      </c>
      <c r="F18" s="37" t="str">
        <f>Roster!G142</f>
        <v>.</v>
      </c>
      <c r="G18" s="37" t="str">
        <f>Roster!H142</f>
        <v>.</v>
      </c>
      <c r="H18" s="37" t="str">
        <f>Roster!I142</f>
        <v>.</v>
      </c>
      <c r="I18" s="37" t="str">
        <f>Roster!J142</f>
        <v>.</v>
      </c>
      <c r="J18" s="37" t="str">
        <f>Roster!K142</f>
        <v>.</v>
      </c>
      <c r="K18" s="37" t="str">
        <f>Roster!L142</f>
        <v>.</v>
      </c>
      <c r="L18" s="37" t="str">
        <f>Roster!M142</f>
        <v>.</v>
      </c>
      <c r="M18" s="37" t="str">
        <f>Roster!N142</f>
        <v>.</v>
      </c>
      <c r="N18" s="37" t="str">
        <f>Roster!O142</f>
        <v>.</v>
      </c>
      <c r="O18" s="37" t="str">
        <f>Roster!P142</f>
        <v>.</v>
      </c>
      <c r="P18" s="37" t="str">
        <f>Roster!Q142</f>
        <v>.</v>
      </c>
      <c r="Q18" s="37" t="str">
        <f>Roster!R142</f>
        <v>.</v>
      </c>
      <c r="R18" s="37" t="str">
        <f>Roster!S142</f>
        <v>.</v>
      </c>
      <c r="S18" s="37" t="str">
        <f>Roster!T142</f>
        <v>.</v>
      </c>
      <c r="T18" s="37" t="str">
        <f>Roster!U142</f>
        <v>.</v>
      </c>
      <c r="U18" s="37" t="str">
        <f>Roster!V142</f>
        <v>.</v>
      </c>
      <c r="V18" s="37" t="str">
        <f>Roster!W142</f>
        <v>.</v>
      </c>
      <c r="W18" s="37" t="str">
        <f>Roster!X142</f>
        <v>.</v>
      </c>
      <c r="X18" s="37" t="str">
        <f>Roster!Y142</f>
        <v>.</v>
      </c>
      <c r="Y18" s="37" t="str">
        <f>Roster!Z142</f>
        <v>.</v>
      </c>
      <c r="Z18" s="37" t="str">
        <f>Roster!AA142</f>
        <v>.</v>
      </c>
      <c r="AA18" s="37" t="str">
        <f>Roster!AB142</f>
        <v>.</v>
      </c>
      <c r="AB18" s="37" t="str">
        <f>Roster!AC142</f>
        <v>.</v>
      </c>
      <c r="AC18" s="37" t="str">
        <f>Roster!AD142</f>
        <v>.</v>
      </c>
      <c r="AD18" s="37" t="str">
        <f>Roster!AE142</f>
        <v>.</v>
      </c>
      <c r="AE18" s="37" t="str">
        <f>Roster!AF142</f>
        <v>.</v>
      </c>
      <c r="AF18" s="38" t="str">
        <f>Roster!AG142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2019</v>
      </c>
      <c r="C21" s="36" t="str">
        <f>Roster!D173</f>
        <v>.</v>
      </c>
      <c r="D21" s="37" t="str">
        <f>Roster!E173</f>
        <v>.</v>
      </c>
      <c r="E21" s="37" t="str">
        <f>Roster!F173</f>
        <v>.</v>
      </c>
      <c r="F21" s="37" t="str">
        <f>Roster!G173</f>
        <v>.</v>
      </c>
      <c r="G21" s="37" t="str">
        <f>Roster!H173</f>
        <v>.</v>
      </c>
      <c r="H21" s="37" t="str">
        <f>Roster!I173</f>
        <v>.</v>
      </c>
      <c r="I21" s="37" t="str">
        <f>Roster!J173</f>
        <v>.</v>
      </c>
      <c r="J21" s="37" t="str">
        <f>Roster!K173</f>
        <v>.</v>
      </c>
      <c r="K21" s="37" t="str">
        <f>Roster!L173</f>
        <v>.</v>
      </c>
      <c r="L21" s="37" t="str">
        <f>Roster!M173</f>
        <v>.</v>
      </c>
      <c r="M21" s="37" t="str">
        <f>Roster!N173</f>
        <v>.</v>
      </c>
      <c r="N21" s="37" t="str">
        <f>Roster!O173</f>
        <v>.</v>
      </c>
      <c r="O21" s="37" t="str">
        <f>Roster!P173</f>
        <v>.</v>
      </c>
      <c r="P21" s="37" t="str">
        <f>Roster!Q173</f>
        <v>.</v>
      </c>
      <c r="Q21" s="37" t="str">
        <f>Roster!R173</f>
        <v>.</v>
      </c>
      <c r="R21" s="37" t="str">
        <f>Roster!S173</f>
        <v>.</v>
      </c>
      <c r="S21" s="37" t="str">
        <f>Roster!T173</f>
        <v>.</v>
      </c>
      <c r="T21" s="37" t="str">
        <f>Roster!U173</f>
        <v>.</v>
      </c>
      <c r="U21" s="37" t="str">
        <f>Roster!V173</f>
        <v>.</v>
      </c>
      <c r="V21" s="37" t="str">
        <f>Roster!W173</f>
        <v>.</v>
      </c>
      <c r="W21" s="37" t="str">
        <f>Roster!X173</f>
        <v>.</v>
      </c>
      <c r="X21" s="37" t="str">
        <f>Roster!Y173</f>
        <v>.</v>
      </c>
      <c r="Y21" s="37" t="str">
        <f>Roster!Z173</f>
        <v>.</v>
      </c>
      <c r="Z21" s="37" t="str">
        <f>Roster!AA173</f>
        <v>.</v>
      </c>
      <c r="AA21" s="37" t="str">
        <f>Roster!AB173</f>
        <v>.</v>
      </c>
      <c r="AB21" s="37" t="str">
        <f>Roster!AC173</f>
        <v>.</v>
      </c>
      <c r="AC21" s="37" t="str">
        <f>Roster!AD173</f>
        <v>.</v>
      </c>
      <c r="AD21" s="37" t="str">
        <f>Roster!AE173</f>
        <v>.</v>
      </c>
      <c r="AE21" s="37" t="str">
        <f>Roster!AF173</f>
        <v>.</v>
      </c>
      <c r="AF21" s="37" t="str">
        <f>Roster!AG173</f>
        <v>.</v>
      </c>
      <c r="AG21" s="38" t="str">
        <f>Roster!AH173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We</v>
      </c>
      <c r="D22" s="19" t="str">
        <f t="shared" si="6"/>
        <v>Th</v>
      </c>
      <c r="E22" s="19" t="str">
        <f t="shared" si="6"/>
        <v>Fr</v>
      </c>
      <c r="F22" s="19" t="str">
        <f t="shared" si="6"/>
        <v>Sa</v>
      </c>
      <c r="G22" s="19" t="str">
        <f t="shared" si="6"/>
        <v>Su</v>
      </c>
      <c r="H22" s="19" t="str">
        <f t="shared" si="6"/>
        <v>Mo</v>
      </c>
      <c r="I22" s="19" t="str">
        <f t="shared" si="6"/>
        <v>Tu</v>
      </c>
      <c r="J22" s="19" t="str">
        <f t="shared" si="6"/>
        <v>We</v>
      </c>
      <c r="K22" s="19" t="str">
        <f t="shared" si="6"/>
        <v>Th</v>
      </c>
      <c r="L22" s="19" t="str">
        <f t="shared" si="6"/>
        <v>Fr</v>
      </c>
      <c r="M22" s="19" t="str">
        <f t="shared" si="6"/>
        <v>Sa</v>
      </c>
      <c r="N22" s="19" t="str">
        <f t="shared" si="6"/>
        <v>Su</v>
      </c>
      <c r="O22" s="19" t="str">
        <f t="shared" si="6"/>
        <v>Mo</v>
      </c>
      <c r="P22" s="19" t="str">
        <f t="shared" si="6"/>
        <v>Tu</v>
      </c>
      <c r="Q22" s="19" t="str">
        <f t="shared" si="6"/>
        <v>We</v>
      </c>
      <c r="R22" s="19" t="str">
        <f t="shared" si="6"/>
        <v>Th</v>
      </c>
      <c r="S22" s="19" t="str">
        <f t="shared" si="6"/>
        <v>Fr</v>
      </c>
      <c r="T22" s="19" t="str">
        <f t="shared" si="6"/>
        <v>Sa</v>
      </c>
      <c r="U22" s="19" t="str">
        <f t="shared" si="6"/>
        <v>Su</v>
      </c>
      <c r="V22" s="19" t="str">
        <f t="shared" si="6"/>
        <v>Mo</v>
      </c>
      <c r="W22" s="19" t="str">
        <f t="shared" si="6"/>
        <v>Tu</v>
      </c>
      <c r="X22" s="19" t="str">
        <f t="shared" si="6"/>
        <v>We</v>
      </c>
      <c r="Y22" s="19" t="str">
        <f t="shared" si="6"/>
        <v>Th</v>
      </c>
      <c r="Z22" s="19" t="str">
        <f t="shared" si="6"/>
        <v>Fr</v>
      </c>
      <c r="AA22" s="19" t="str">
        <f t="shared" si="6"/>
        <v>Sa</v>
      </c>
      <c r="AB22" s="19" t="str">
        <f t="shared" si="6"/>
        <v>Su</v>
      </c>
      <c r="AC22" s="19" t="str">
        <f t="shared" si="6"/>
        <v>Mo</v>
      </c>
      <c r="AD22" s="19" t="str">
        <f t="shared" si="6"/>
        <v>Tu</v>
      </c>
      <c r="AE22" s="19" t="str">
        <f t="shared" si="6"/>
        <v>We</v>
      </c>
      <c r="AF22" s="19" t="str">
        <f t="shared" si="6"/>
        <v>Th</v>
      </c>
      <c r="AG22" s="19" t="str">
        <f t="shared" si="6"/>
        <v>Fr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2020</v>
      </c>
      <c r="C24" s="48" t="str">
        <f>Roster!D204</f>
        <v>.</v>
      </c>
      <c r="D24" s="49" t="str">
        <f>Roster!E204</f>
        <v>.</v>
      </c>
      <c r="E24" s="40" t="str">
        <f>Roster!F204</f>
        <v>.</v>
      </c>
      <c r="F24" s="40" t="str">
        <f>Roster!G204</f>
        <v>.</v>
      </c>
      <c r="G24" s="40" t="str">
        <f>Roster!H204</f>
        <v>.</v>
      </c>
      <c r="H24" s="40" t="str">
        <f>Roster!I204</f>
        <v>.</v>
      </c>
      <c r="I24" s="40" t="str">
        <f>Roster!J204</f>
        <v>.</v>
      </c>
      <c r="J24" s="40" t="str">
        <f>Roster!K204</f>
        <v>.</v>
      </c>
      <c r="K24" s="40" t="str">
        <f>Roster!L204</f>
        <v>.</v>
      </c>
      <c r="L24" s="40" t="str">
        <f>Roster!M204</f>
        <v>.</v>
      </c>
      <c r="M24" s="40" t="str">
        <f>Roster!N204</f>
        <v>.</v>
      </c>
      <c r="N24" s="40" t="str">
        <f>Roster!O204</f>
        <v>.</v>
      </c>
      <c r="O24" s="40" t="str">
        <f>Roster!P204</f>
        <v>.</v>
      </c>
      <c r="P24" s="40" t="str">
        <f>Roster!Q204</f>
        <v>.</v>
      </c>
      <c r="Q24" s="40" t="str">
        <f>Roster!R204</f>
        <v>.</v>
      </c>
      <c r="R24" s="40" t="str">
        <f>Roster!S204</f>
        <v>.</v>
      </c>
      <c r="S24" s="40" t="str">
        <f>Roster!T204</f>
        <v>.</v>
      </c>
      <c r="T24" s="40" t="str">
        <f>Roster!U204</f>
        <v>.</v>
      </c>
      <c r="U24" s="40" t="str">
        <f>Roster!V204</f>
        <v>.</v>
      </c>
      <c r="V24" s="40" t="str">
        <f>Roster!W204</f>
        <v>.</v>
      </c>
      <c r="W24" s="40" t="str">
        <f>Roster!X204</f>
        <v>.</v>
      </c>
      <c r="X24" s="40" t="str">
        <f>Roster!Y204</f>
        <v>.</v>
      </c>
      <c r="Y24" s="40" t="str">
        <f>Roster!Z204</f>
        <v>.</v>
      </c>
      <c r="Z24" s="40" t="str">
        <f>Roster!AA204</f>
        <v>.</v>
      </c>
      <c r="AA24" s="40" t="str">
        <f>Roster!AB204</f>
        <v>.</v>
      </c>
      <c r="AB24" s="40" t="str">
        <f>Roster!AC204</f>
        <v>.</v>
      </c>
      <c r="AC24" s="40" t="str">
        <f>Roster!AD204</f>
        <v>.</v>
      </c>
      <c r="AD24" s="40" t="str">
        <f>Roster!AE204</f>
        <v>.</v>
      </c>
      <c r="AE24" s="40" t="str">
        <f>Roster!AF204</f>
        <v>.</v>
      </c>
      <c r="AF24" s="40" t="str">
        <f>Roster!AG204</f>
        <v>.</v>
      </c>
      <c r="AG24" s="41" t="str">
        <f>Roster!AH204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Sa</v>
      </c>
      <c r="D25" s="22" t="str">
        <f t="shared" si="7"/>
        <v>Su</v>
      </c>
      <c r="E25" s="22" t="str">
        <f t="shared" si="7"/>
        <v>Mo</v>
      </c>
      <c r="F25" s="22" t="str">
        <f t="shared" si="7"/>
        <v>Tu</v>
      </c>
      <c r="G25" s="22" t="str">
        <f t="shared" si="7"/>
        <v>We</v>
      </c>
      <c r="H25" s="22" t="str">
        <f t="shared" si="7"/>
        <v>Th</v>
      </c>
      <c r="I25" s="22" t="str">
        <f t="shared" si="7"/>
        <v>Fr</v>
      </c>
      <c r="J25" s="22" t="str">
        <f t="shared" si="7"/>
        <v>Sa</v>
      </c>
      <c r="K25" s="22" t="str">
        <f t="shared" si="7"/>
        <v>Su</v>
      </c>
      <c r="L25" s="22" t="str">
        <f t="shared" si="7"/>
        <v>Mo</v>
      </c>
      <c r="M25" s="22" t="str">
        <f t="shared" si="7"/>
        <v>Tu</v>
      </c>
      <c r="N25" s="22" t="str">
        <f t="shared" si="7"/>
        <v>We</v>
      </c>
      <c r="O25" s="22" t="str">
        <f t="shared" si="7"/>
        <v>Th</v>
      </c>
      <c r="P25" s="22" t="str">
        <f t="shared" si="7"/>
        <v>Fr</v>
      </c>
      <c r="Q25" s="22" t="str">
        <f t="shared" si="7"/>
        <v>Sa</v>
      </c>
      <c r="R25" s="22" t="str">
        <f t="shared" si="7"/>
        <v>Su</v>
      </c>
      <c r="S25" s="22" t="str">
        <f t="shared" si="7"/>
        <v>Mo</v>
      </c>
      <c r="T25" s="22" t="str">
        <f t="shared" si="7"/>
        <v>Tu</v>
      </c>
      <c r="U25" s="22" t="str">
        <f t="shared" si="7"/>
        <v>We</v>
      </c>
      <c r="V25" s="22" t="str">
        <f t="shared" si="7"/>
        <v>Th</v>
      </c>
      <c r="W25" s="22" t="str">
        <f t="shared" si="7"/>
        <v>Fr</v>
      </c>
      <c r="X25" s="22" t="str">
        <f t="shared" si="7"/>
        <v>Sa</v>
      </c>
      <c r="Y25" s="22" t="str">
        <f t="shared" si="7"/>
        <v>Su</v>
      </c>
      <c r="Z25" s="22" t="str">
        <f t="shared" si="7"/>
        <v>Mo</v>
      </c>
      <c r="AA25" s="22" t="str">
        <f t="shared" si="7"/>
        <v>Tu</v>
      </c>
      <c r="AB25" s="22" t="str">
        <f t="shared" si="7"/>
        <v>We</v>
      </c>
      <c r="AC25" s="22" t="str">
        <f t="shared" si="7"/>
        <v>Th</v>
      </c>
      <c r="AD25" s="22" t="str">
        <f t="shared" si="7"/>
        <v>Fr</v>
      </c>
      <c r="AE25" s="122" t="str">
        <f t="shared" si="7"/>
        <v>Sa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0">
        <v>29</v>
      </c>
      <c r="AF26" s="44"/>
    </row>
    <row r="27" spans="2:33" ht="14.4" thickTop="1" thickBot="1">
      <c r="B27" s="32" t="str">
        <f>CurYear</f>
        <v>2020</v>
      </c>
      <c r="C27" s="36" t="str">
        <f>Roster!D235</f>
        <v>.</v>
      </c>
      <c r="D27" s="37"/>
      <c r="E27" s="37" t="str">
        <f>Roster!F235</f>
        <v>.</v>
      </c>
      <c r="F27" s="37" t="str">
        <f>Roster!G235</f>
        <v>.</v>
      </c>
      <c r="G27" s="37" t="str">
        <f>Roster!H235</f>
        <v>.</v>
      </c>
      <c r="H27" s="37" t="str">
        <f>Roster!I235</f>
        <v>.</v>
      </c>
      <c r="I27" s="37" t="str">
        <f>Roster!J235</f>
        <v>.</v>
      </c>
      <c r="J27" s="37" t="str">
        <f>Roster!K235</f>
        <v>.</v>
      </c>
      <c r="K27" s="37" t="str">
        <f>Roster!L235</f>
        <v>.</v>
      </c>
      <c r="L27" s="37" t="str">
        <f>Roster!M235</f>
        <v>.</v>
      </c>
      <c r="M27" s="37" t="str">
        <f>Roster!N235</f>
        <v>.</v>
      </c>
      <c r="N27" s="37" t="str">
        <f>Roster!O235</f>
        <v>.</v>
      </c>
      <c r="O27" s="37" t="str">
        <f>Roster!P235</f>
        <v>.</v>
      </c>
      <c r="P27" s="37" t="str">
        <f>Roster!Q235</f>
        <v>.</v>
      </c>
      <c r="Q27" s="37" t="str">
        <f>Roster!R235</f>
        <v>.</v>
      </c>
      <c r="R27" s="37" t="str">
        <f>Roster!S235</f>
        <v>.</v>
      </c>
      <c r="S27" s="37" t="str">
        <f>Roster!T235</f>
        <v>.</v>
      </c>
      <c r="T27" s="37" t="str">
        <f>Roster!U235</f>
        <v>.</v>
      </c>
      <c r="U27" s="37" t="str">
        <f>Roster!V235</f>
        <v>.</v>
      </c>
      <c r="V27" s="37" t="str">
        <f>Roster!W235</f>
        <v>.</v>
      </c>
      <c r="W27" s="37" t="str">
        <f>Roster!X235</f>
        <v>.</v>
      </c>
      <c r="X27" s="37" t="str">
        <f>Roster!Y235</f>
        <v>.</v>
      </c>
      <c r="Y27" s="37" t="str">
        <f>Roster!Z235</f>
        <v>.</v>
      </c>
      <c r="Z27" s="37" t="str">
        <f>Roster!AA235</f>
        <v>.</v>
      </c>
      <c r="AA27" s="37" t="str">
        <f>Roster!AB235</f>
        <v>.</v>
      </c>
      <c r="AB27" s="37" t="str">
        <f>Roster!AC235</f>
        <v>.</v>
      </c>
      <c r="AC27" s="37" t="str">
        <f>Roster!AD235</f>
        <v>.</v>
      </c>
      <c r="AD27" s="43" t="str">
        <f>Roster!AE235</f>
        <v>.</v>
      </c>
      <c r="AE27" s="121" t="str">
        <f>Roster!AF235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47" t="str">
        <f t="shared" si="8"/>
        <v>Mo</v>
      </c>
      <c r="AG28" s="47" t="str">
        <f t="shared" si="8"/>
        <v>Tu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2020</v>
      </c>
      <c r="C30" s="36" t="str">
        <f>Roster!D266</f>
        <v>.</v>
      </c>
      <c r="D30" s="37" t="str">
        <f>Roster!E266</f>
        <v>.</v>
      </c>
      <c r="E30" s="37" t="str">
        <f>Roster!F266</f>
        <v>.</v>
      </c>
      <c r="F30" s="37" t="str">
        <f>Roster!G266</f>
        <v>.</v>
      </c>
      <c r="G30" s="37" t="str">
        <f>Roster!H266</f>
        <v>.</v>
      </c>
      <c r="H30" s="37" t="str">
        <f>Roster!I266</f>
        <v>.</v>
      </c>
      <c r="I30" s="37" t="str">
        <f>Roster!J266</f>
        <v>.</v>
      </c>
      <c r="J30" s="37" t="str">
        <f>Roster!K266</f>
        <v>.</v>
      </c>
      <c r="K30" s="37" t="str">
        <f>Roster!L266</f>
        <v>.</v>
      </c>
      <c r="L30" s="37" t="str">
        <f>Roster!M266</f>
        <v>.</v>
      </c>
      <c r="M30" s="37" t="str">
        <f>Roster!N266</f>
        <v>.</v>
      </c>
      <c r="N30" s="37" t="str">
        <f>Roster!O266</f>
        <v>.</v>
      </c>
      <c r="O30" s="37" t="str">
        <f>Roster!P266</f>
        <v>.</v>
      </c>
      <c r="P30" s="37" t="str">
        <f>Roster!Q266</f>
        <v>.</v>
      </c>
      <c r="Q30" s="37" t="str">
        <f>Roster!R266</f>
        <v>.</v>
      </c>
      <c r="R30" s="37" t="str">
        <f>Roster!S266</f>
        <v>.</v>
      </c>
      <c r="S30" s="37" t="str">
        <f>Roster!T266</f>
        <v>.</v>
      </c>
      <c r="T30" s="37" t="str">
        <f>Roster!U266</f>
        <v>.</v>
      </c>
      <c r="U30" s="37" t="str">
        <f>Roster!V266</f>
        <v>.</v>
      </c>
      <c r="V30" s="37" t="str">
        <f>Roster!W266</f>
        <v>.</v>
      </c>
      <c r="W30" s="37" t="str">
        <f>Roster!X266</f>
        <v>.</v>
      </c>
      <c r="X30" s="37" t="str">
        <f>Roster!Y266</f>
        <v>.</v>
      </c>
      <c r="Y30" s="37" t="str">
        <f>Roster!Z266</f>
        <v>.</v>
      </c>
      <c r="Z30" s="37" t="str">
        <f>Roster!AA266</f>
        <v>.</v>
      </c>
      <c r="AA30" s="37" t="str">
        <f>Roster!AB266</f>
        <v>.</v>
      </c>
      <c r="AB30" s="37" t="str">
        <f>Roster!AC266</f>
        <v>.</v>
      </c>
      <c r="AC30" s="37" t="str">
        <f>Roster!AD266</f>
        <v>.</v>
      </c>
      <c r="AD30" s="37" t="str">
        <f>Roster!AE266</f>
        <v>.</v>
      </c>
      <c r="AE30" s="37" t="str">
        <f>Roster!AF266</f>
        <v>.</v>
      </c>
      <c r="AF30" s="37" t="str">
        <f>Roster!AG266</f>
        <v>.</v>
      </c>
      <c r="AG30" s="38" t="str">
        <f>Roster!AH266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2020</v>
      </c>
      <c r="C33" s="36" t="str">
        <f>Roster!D297</f>
        <v>.</v>
      </c>
      <c r="D33" s="37" t="str">
        <f>Roster!E297</f>
        <v>.</v>
      </c>
      <c r="E33" s="37" t="str">
        <f>Roster!F297</f>
        <v>.</v>
      </c>
      <c r="F33" s="37" t="str">
        <f>Roster!G297</f>
        <v>.</v>
      </c>
      <c r="G33" s="37" t="str">
        <f>Roster!H297</f>
        <v>.</v>
      </c>
      <c r="H33" s="37" t="str">
        <f>Roster!I297</f>
        <v>.</v>
      </c>
      <c r="I33" s="37" t="str">
        <f>Roster!J297</f>
        <v>.</v>
      </c>
      <c r="J33" s="37" t="str">
        <f>Roster!K297</f>
        <v>.</v>
      </c>
      <c r="K33" s="37" t="str">
        <f>Roster!L297</f>
        <v>.</v>
      </c>
      <c r="L33" s="37" t="str">
        <f>Roster!M297</f>
        <v>.</v>
      </c>
      <c r="M33" s="37" t="str">
        <f>Roster!N297</f>
        <v>.</v>
      </c>
      <c r="N33" s="37" t="str">
        <f>Roster!O297</f>
        <v>.</v>
      </c>
      <c r="O33" s="37" t="str">
        <f>Roster!P297</f>
        <v>.</v>
      </c>
      <c r="P33" s="37" t="str">
        <f>Roster!Q297</f>
        <v>.</v>
      </c>
      <c r="Q33" s="37" t="str">
        <f>Roster!R297</f>
        <v>.</v>
      </c>
      <c r="R33" s="37" t="str">
        <f>Roster!S297</f>
        <v>.</v>
      </c>
      <c r="S33" s="37" t="str">
        <f>Roster!T297</f>
        <v>.</v>
      </c>
      <c r="T33" s="37" t="str">
        <f>Roster!U297</f>
        <v>.</v>
      </c>
      <c r="U33" s="37" t="str">
        <f>Roster!V297</f>
        <v>.</v>
      </c>
      <c r="V33" s="37" t="str">
        <f>Roster!W297</f>
        <v>.</v>
      </c>
      <c r="W33" s="37" t="str">
        <f>Roster!X297</f>
        <v>.</v>
      </c>
      <c r="X33" s="37" t="str">
        <f>Roster!Y297</f>
        <v>.</v>
      </c>
      <c r="Y33" s="37" t="str">
        <f>Roster!Z297</f>
        <v>.</v>
      </c>
      <c r="Z33" s="37" t="str">
        <f>Roster!AA297</f>
        <v>.</v>
      </c>
      <c r="AA33" s="37" t="str">
        <f>Roster!AB297</f>
        <v>.</v>
      </c>
      <c r="AB33" s="37" t="str">
        <f>Roster!AC297</f>
        <v>.</v>
      </c>
      <c r="AC33" s="37" t="str">
        <f>Roster!AD297</f>
        <v>.</v>
      </c>
      <c r="AD33" s="37" t="str">
        <f>Roster!AE297</f>
        <v>.</v>
      </c>
      <c r="AE33" s="37" t="str">
        <f>Roster!AF297</f>
        <v>.</v>
      </c>
      <c r="AF33" s="38" t="str">
        <f>Roster!AG297</f>
        <v>.</v>
      </c>
    </row>
    <row r="34" spans="2:33" ht="14.4" thickTop="1" thickBot="1"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46" t="str">
        <f t="shared" si="10"/>
        <v>Su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2020</v>
      </c>
      <c r="C36" s="36" t="str">
        <f>Roster!D328</f>
        <v>.</v>
      </c>
      <c r="D36" s="37" t="str">
        <f>Roster!E328</f>
        <v>.</v>
      </c>
      <c r="E36" s="37" t="str">
        <f>Roster!F328</f>
        <v>.</v>
      </c>
      <c r="F36" s="37" t="str">
        <f>Roster!G328</f>
        <v>.</v>
      </c>
      <c r="G36" s="37" t="str">
        <f>Roster!H328</f>
        <v>.</v>
      </c>
      <c r="H36" s="37" t="str">
        <f>Roster!I328</f>
        <v>.</v>
      </c>
      <c r="I36" s="37" t="str">
        <f>Roster!J328</f>
        <v>.</v>
      </c>
      <c r="J36" s="37" t="str">
        <f>Roster!K328</f>
        <v>.</v>
      </c>
      <c r="K36" s="37" t="str">
        <f>Roster!L328</f>
        <v>.</v>
      </c>
      <c r="L36" s="37" t="str">
        <f>Roster!M328</f>
        <v>.</v>
      </c>
      <c r="M36" s="37" t="str">
        <f>Roster!N328</f>
        <v>.</v>
      </c>
      <c r="N36" s="37" t="str">
        <f>Roster!O328</f>
        <v>.</v>
      </c>
      <c r="O36" s="37" t="str">
        <f>Roster!P328</f>
        <v>.</v>
      </c>
      <c r="P36" s="37" t="str">
        <f>Roster!Q328</f>
        <v>.</v>
      </c>
      <c r="Q36" s="37" t="str">
        <f>Roster!R328</f>
        <v>.</v>
      </c>
      <c r="R36" s="37" t="str">
        <f>Roster!S328</f>
        <v>.</v>
      </c>
      <c r="S36" s="37" t="str">
        <f>Roster!T328</f>
        <v>.</v>
      </c>
      <c r="T36" s="37" t="str">
        <f>Roster!U328</f>
        <v>.</v>
      </c>
      <c r="U36" s="37" t="str">
        <f>Roster!V328</f>
        <v>.</v>
      </c>
      <c r="V36" s="37" t="str">
        <f>Roster!W328</f>
        <v>.</v>
      </c>
      <c r="W36" s="37" t="str">
        <f>Roster!X328</f>
        <v>.</v>
      </c>
      <c r="X36" s="37" t="str">
        <f>Roster!Y328</f>
        <v>.</v>
      </c>
      <c r="Y36" s="37" t="str">
        <f>Roster!Z328</f>
        <v>.</v>
      </c>
      <c r="Z36" s="37" t="str">
        <f>Roster!AA328</f>
        <v>.</v>
      </c>
      <c r="AA36" s="37" t="str">
        <f>Roster!AB328</f>
        <v>.</v>
      </c>
      <c r="AB36" s="37" t="str">
        <f>Roster!AC328</f>
        <v>.</v>
      </c>
      <c r="AC36" s="37" t="str">
        <f>Roster!AD328</f>
        <v>.</v>
      </c>
      <c r="AD36" s="37" t="str">
        <f>Roster!AE328</f>
        <v>.</v>
      </c>
      <c r="AE36" s="37" t="str">
        <f>Roster!AF328</f>
        <v>.</v>
      </c>
      <c r="AF36" s="37" t="str">
        <f>Roster!AG328</f>
        <v>.</v>
      </c>
      <c r="AG36" s="38" t="str">
        <f>Roster!AH328</f>
        <v>.</v>
      </c>
    </row>
    <row r="37" spans="2:33" ht="14.4" thickTop="1" thickBot="1"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2020</v>
      </c>
      <c r="C39" s="36" t="str">
        <f>Roster!D359</f>
        <v>.</v>
      </c>
      <c r="D39" s="37" t="str">
        <f>Roster!E359</f>
        <v>.</v>
      </c>
      <c r="E39" s="37" t="str">
        <f>Roster!F359</f>
        <v>.</v>
      </c>
      <c r="F39" s="37" t="str">
        <f>Roster!G359</f>
        <v>.</v>
      </c>
      <c r="G39" s="37" t="str">
        <f>Roster!H359</f>
        <v>.</v>
      </c>
      <c r="H39" s="37" t="str">
        <f>Roster!I359</f>
        <v>.</v>
      </c>
      <c r="I39" s="37" t="str">
        <f>Roster!J359</f>
        <v>.</v>
      </c>
      <c r="J39" s="37" t="str">
        <f>Roster!K359</f>
        <v>.</v>
      </c>
      <c r="K39" s="37" t="str">
        <f>Roster!L359</f>
        <v>.</v>
      </c>
      <c r="L39" s="37" t="str">
        <f>Roster!M359</f>
        <v>.</v>
      </c>
      <c r="M39" s="37" t="str">
        <f>Roster!N359</f>
        <v>.</v>
      </c>
      <c r="N39" s="37" t="str">
        <f>Roster!O359</f>
        <v>.</v>
      </c>
      <c r="O39" s="37" t="str">
        <f>Roster!P359</f>
        <v>.</v>
      </c>
      <c r="P39" s="37" t="str">
        <f>Roster!Q359</f>
        <v>.</v>
      </c>
      <c r="Q39" s="37" t="str">
        <f>Roster!R359</f>
        <v>.</v>
      </c>
      <c r="R39" s="37" t="str">
        <f>Roster!S359</f>
        <v>.</v>
      </c>
      <c r="S39" s="37" t="str">
        <f>Roster!T359</f>
        <v>.</v>
      </c>
      <c r="T39" s="37" t="str">
        <f>Roster!U359</f>
        <v>.</v>
      </c>
      <c r="U39" s="37" t="str">
        <f>Roster!V359</f>
        <v>.</v>
      </c>
      <c r="V39" s="37" t="str">
        <f>Roster!W359</f>
        <v>.</v>
      </c>
      <c r="W39" s="37" t="str">
        <f>Roster!X359</f>
        <v>.</v>
      </c>
      <c r="X39" s="37" t="str">
        <f>Roster!Y359</f>
        <v>.</v>
      </c>
      <c r="Y39" s="37" t="str">
        <f>Roster!Z359</f>
        <v>.</v>
      </c>
      <c r="Z39" s="37" t="str">
        <f>Roster!AA359</f>
        <v>.</v>
      </c>
      <c r="AA39" s="37" t="str">
        <f>Roster!AB359</f>
        <v>.</v>
      </c>
      <c r="AB39" s="37" t="str">
        <f>Roster!AC359</f>
        <v>.</v>
      </c>
      <c r="AC39" s="37" t="str">
        <f>Roster!AD359</f>
        <v>.</v>
      </c>
      <c r="AD39" s="37" t="str">
        <f>Roster!AE359</f>
        <v>.</v>
      </c>
      <c r="AE39" s="37" t="str">
        <f>Roster!AF359</f>
        <v>.</v>
      </c>
      <c r="AF39" s="38" t="str">
        <f>Roster!AG359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91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6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2019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0" t="s">
        <v>25</v>
      </c>
      <c r="R3" s="130" t="str">
        <f>EmpGName06 &amp;" " &amp; EmpSName06</f>
        <v>Robin Fielding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Mo</v>
      </c>
      <c r="D4" s="28" t="str">
        <f t="shared" si="0"/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46" t="str">
        <f t="shared" si="0"/>
        <v>We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2019</v>
      </c>
      <c r="C6" s="36" t="str">
        <f>Roster!D19</f>
        <v>.</v>
      </c>
      <c r="D6" s="37" t="str">
        <f>Roster!E19</f>
        <v>.</v>
      </c>
      <c r="E6" s="37" t="str">
        <f>Roster!F19</f>
        <v>.</v>
      </c>
      <c r="F6" s="37" t="str">
        <f>Roster!G19</f>
        <v>.</v>
      </c>
      <c r="G6" s="37" t="str">
        <f>Roster!H19</f>
        <v>.</v>
      </c>
      <c r="H6" s="37" t="str">
        <f>Roster!I19</f>
        <v>.</v>
      </c>
      <c r="I6" s="37" t="str">
        <f>Roster!J19</f>
        <v>.</v>
      </c>
      <c r="J6" s="37" t="str">
        <f>Roster!K19</f>
        <v>.</v>
      </c>
      <c r="K6" s="37" t="str">
        <f>Roster!L19</f>
        <v>.</v>
      </c>
      <c r="L6" s="37" t="str">
        <f>Roster!M19</f>
        <v>.</v>
      </c>
      <c r="M6" s="37" t="str">
        <f>Roster!N19</f>
        <v>.</v>
      </c>
      <c r="N6" s="37" t="str">
        <f>Roster!O19</f>
        <v>.</v>
      </c>
      <c r="O6" s="37" t="str">
        <f>Roster!P19</f>
        <v>.</v>
      </c>
      <c r="P6" s="37" t="str">
        <f>Roster!Q19</f>
        <v>.</v>
      </c>
      <c r="Q6" s="37" t="str">
        <f>Roster!R19</f>
        <v>.</v>
      </c>
      <c r="R6" s="37" t="str">
        <f>Roster!S19</f>
        <v>.</v>
      </c>
      <c r="S6" s="37" t="str">
        <f>Roster!T19</f>
        <v>.</v>
      </c>
      <c r="T6" s="37" t="str">
        <f>Roster!U19</f>
        <v>.</v>
      </c>
      <c r="U6" s="37" t="str">
        <f>Roster!V19</f>
        <v>.</v>
      </c>
      <c r="V6" s="37" t="str">
        <f>Roster!W19</f>
        <v>.</v>
      </c>
      <c r="W6" s="37" t="str">
        <f>Roster!X19</f>
        <v>.</v>
      </c>
      <c r="X6" s="37" t="str">
        <f>Roster!Y19</f>
        <v>.</v>
      </c>
      <c r="Y6" s="37" t="str">
        <f>Roster!Z19</f>
        <v>.</v>
      </c>
      <c r="Z6" s="37" t="str">
        <f>Roster!AA19</f>
        <v>.</v>
      </c>
      <c r="AA6" s="37" t="str">
        <f>Roster!AB19</f>
        <v>.</v>
      </c>
      <c r="AB6" s="37" t="str">
        <f>Roster!AC19</f>
        <v>.</v>
      </c>
      <c r="AC6" s="37" t="str">
        <f>Roster!AD19</f>
        <v>.</v>
      </c>
      <c r="AD6" s="37" t="str">
        <f>Roster!AE19</f>
        <v>.</v>
      </c>
      <c r="AE6" s="37" t="str">
        <f>Roster!AF19</f>
        <v>.</v>
      </c>
      <c r="AF6" s="37" t="str">
        <f>Roster!AG19</f>
        <v>.</v>
      </c>
      <c r="AG6" s="38" t="str">
        <f>Roster!AH19</f>
        <v>.</v>
      </c>
    </row>
    <row r="7" spans="2:33" ht="14.4" thickTop="1" thickBot="1"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21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2019</v>
      </c>
      <c r="C9" s="36" t="str">
        <f>Roster!D50</f>
        <v>.</v>
      </c>
      <c r="D9" s="39" t="str">
        <f>Roster!E50</f>
        <v>.</v>
      </c>
      <c r="E9" s="37" t="str">
        <f>Roster!F50</f>
        <v>.</v>
      </c>
      <c r="F9" s="37" t="str">
        <f>Roster!G50</f>
        <v>.</v>
      </c>
      <c r="G9" s="37" t="str">
        <f>Roster!H50</f>
        <v>.</v>
      </c>
      <c r="H9" s="37" t="str">
        <f>Roster!I50</f>
        <v>.</v>
      </c>
      <c r="I9" s="37" t="str">
        <f>Roster!J50</f>
        <v>.</v>
      </c>
      <c r="J9" s="37" t="str">
        <f>Roster!K50</f>
        <v>.</v>
      </c>
      <c r="K9" s="37" t="str">
        <f>Roster!L50</f>
        <v>.</v>
      </c>
      <c r="L9" s="37" t="str">
        <f>Roster!M50</f>
        <v>.</v>
      </c>
      <c r="M9" s="37" t="str">
        <f>Roster!N50</f>
        <v>.</v>
      </c>
      <c r="N9" s="37" t="str">
        <f>Roster!O50</f>
        <v>.</v>
      </c>
      <c r="O9" s="37" t="str">
        <f>Roster!P50</f>
        <v>.</v>
      </c>
      <c r="P9" s="37" t="str">
        <f>Roster!Q50</f>
        <v>.</v>
      </c>
      <c r="Q9" s="37" t="str">
        <f>Roster!R50</f>
        <v>.</v>
      </c>
      <c r="R9" s="37" t="str">
        <f>Roster!S50</f>
        <v>.</v>
      </c>
      <c r="S9" s="37" t="str">
        <f>Roster!T50</f>
        <v>.</v>
      </c>
      <c r="T9" s="37" t="str">
        <f>Roster!U50</f>
        <v>.</v>
      </c>
      <c r="U9" s="37" t="str">
        <f>Roster!V50</f>
        <v>.</v>
      </c>
      <c r="V9" s="37" t="str">
        <f>Roster!W50</f>
        <v>.</v>
      </c>
      <c r="W9" s="37" t="str">
        <f>Roster!X50</f>
        <v>.</v>
      </c>
      <c r="X9" s="37" t="str">
        <f>Roster!Y50</f>
        <v>.</v>
      </c>
      <c r="Y9" s="37" t="str">
        <f>Roster!Z50</f>
        <v>.</v>
      </c>
      <c r="Z9" s="37" t="str">
        <f>Roster!AA50</f>
        <v>.</v>
      </c>
      <c r="AA9" s="37" t="str">
        <f>Roster!AB50</f>
        <v>.</v>
      </c>
      <c r="AB9" s="37" t="str">
        <f>Roster!AC50</f>
        <v>.</v>
      </c>
      <c r="AC9" s="37" t="str">
        <f>Roster!AD50</f>
        <v>.</v>
      </c>
      <c r="AD9" s="37" t="str">
        <f>Roster!AE50</f>
        <v>.</v>
      </c>
      <c r="AE9" s="37" t="str">
        <f>Roster!AF50</f>
        <v>.</v>
      </c>
      <c r="AF9" s="37" t="str">
        <f>Roster!AG50</f>
        <v>.</v>
      </c>
      <c r="AG9" s="38" t="str">
        <f>Roster!AH50</f>
        <v>.</v>
      </c>
    </row>
    <row r="10" spans="2:33" ht="14.4" thickTop="1" thickBot="1"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1" t="str">
        <f t="shared" si="2"/>
        <v>Su</v>
      </c>
      <c r="AF10" s="21" t="str">
        <f t="shared" si="2"/>
        <v>Mo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2019</v>
      </c>
      <c r="C12" s="36" t="str">
        <f>Roster!D81</f>
        <v>.</v>
      </c>
      <c r="D12" s="37" t="str">
        <f>Roster!E81</f>
        <v>.</v>
      </c>
      <c r="E12" s="37" t="str">
        <f>Roster!F81</f>
        <v>.</v>
      </c>
      <c r="F12" s="37" t="str">
        <f>Roster!G81</f>
        <v>.</v>
      </c>
      <c r="G12" s="37" t="str">
        <f>Roster!H81</f>
        <v>.</v>
      </c>
      <c r="H12" s="37" t="str">
        <f>Roster!I81</f>
        <v>.</v>
      </c>
      <c r="I12" s="37" t="str">
        <f>Roster!J81</f>
        <v>.</v>
      </c>
      <c r="J12" s="37" t="str">
        <f>Roster!K81</f>
        <v>.</v>
      </c>
      <c r="K12" s="37" t="str">
        <f>Roster!L81</f>
        <v>.</v>
      </c>
      <c r="L12" s="37" t="str">
        <f>Roster!M81</f>
        <v>.</v>
      </c>
      <c r="M12" s="37" t="str">
        <f>Roster!N81</f>
        <v>.</v>
      </c>
      <c r="N12" s="37" t="str">
        <f>Roster!O81</f>
        <v>.</v>
      </c>
      <c r="O12" s="37" t="str">
        <f>Roster!P81</f>
        <v>.</v>
      </c>
      <c r="P12" s="37" t="str">
        <f>Roster!Q81</f>
        <v>.</v>
      </c>
      <c r="Q12" s="37" t="str">
        <f>Roster!R81</f>
        <v>.</v>
      </c>
      <c r="R12" s="37" t="str">
        <f>Roster!S81</f>
        <v>.</v>
      </c>
      <c r="S12" s="37" t="str">
        <f>Roster!T81</f>
        <v>.</v>
      </c>
      <c r="T12" s="37" t="str">
        <f>Roster!U81</f>
        <v>.</v>
      </c>
      <c r="U12" s="37" t="str">
        <f>Roster!V81</f>
        <v>.</v>
      </c>
      <c r="V12" s="37" t="str">
        <f>Roster!W81</f>
        <v>.</v>
      </c>
      <c r="W12" s="37" t="str">
        <f>Roster!X81</f>
        <v>.</v>
      </c>
      <c r="X12" s="37" t="str">
        <f>Roster!Y81</f>
        <v>.</v>
      </c>
      <c r="Y12" s="37" t="str">
        <f>Roster!Z81</f>
        <v>.</v>
      </c>
      <c r="Z12" s="37" t="str">
        <f>Roster!AA81</f>
        <v>.</v>
      </c>
      <c r="AA12" s="37" t="str">
        <f>Roster!AB81</f>
        <v>.</v>
      </c>
      <c r="AB12" s="37" t="str">
        <f>Roster!AC81</f>
        <v>.</v>
      </c>
      <c r="AC12" s="37" t="str">
        <f>Roster!AD81</f>
        <v>.</v>
      </c>
      <c r="AD12" s="37" t="str">
        <f>Roster!AE81</f>
        <v>.</v>
      </c>
      <c r="AE12" s="37" t="str">
        <f>Roster!AF81</f>
        <v>.</v>
      </c>
      <c r="AF12" s="38" t="str">
        <f>Roster!AG81</f>
        <v>.</v>
      </c>
    </row>
    <row r="13" spans="2:33" ht="14.4" thickTop="1" thickBot="1"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46" t="str">
        <f t="shared" si="3"/>
        <v>Th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2019</v>
      </c>
      <c r="C15" s="36" t="str">
        <f>Roster!D112</f>
        <v>.</v>
      </c>
      <c r="D15" s="37" t="str">
        <f>Roster!E112</f>
        <v>.</v>
      </c>
      <c r="E15" s="37" t="str">
        <f>Roster!F112</f>
        <v>.</v>
      </c>
      <c r="F15" s="37" t="str">
        <f>Roster!G112</f>
        <v>.</v>
      </c>
      <c r="G15" s="37" t="str">
        <f>Roster!H112</f>
        <v>.</v>
      </c>
      <c r="H15" s="37" t="str">
        <f>Roster!I112</f>
        <v>.</v>
      </c>
      <c r="I15" s="37" t="str">
        <f>Roster!J112</f>
        <v>.</v>
      </c>
      <c r="J15" s="37" t="str">
        <f>Roster!K112</f>
        <v>.</v>
      </c>
      <c r="K15" s="37" t="str">
        <f>Roster!L112</f>
        <v>.</v>
      </c>
      <c r="L15" s="37" t="str">
        <f>Roster!M112</f>
        <v>.</v>
      </c>
      <c r="M15" s="37" t="str">
        <f>Roster!N112</f>
        <v>.</v>
      </c>
      <c r="N15" s="37" t="str">
        <f>Roster!O112</f>
        <v>.</v>
      </c>
      <c r="O15" s="37" t="str">
        <f>Roster!P112</f>
        <v>.</v>
      </c>
      <c r="P15" s="37" t="str">
        <f>Roster!Q112</f>
        <v>.</v>
      </c>
      <c r="Q15" s="37" t="str">
        <f>Roster!R112</f>
        <v>.</v>
      </c>
      <c r="R15" s="37" t="str">
        <f>Roster!S112</f>
        <v>.</v>
      </c>
      <c r="S15" s="37" t="str">
        <f>Roster!T112</f>
        <v>.</v>
      </c>
      <c r="T15" s="37" t="str">
        <f>Roster!U112</f>
        <v>.</v>
      </c>
      <c r="U15" s="37" t="str">
        <f>Roster!V112</f>
        <v>.</v>
      </c>
      <c r="V15" s="37" t="str">
        <f>Roster!W112</f>
        <v>.</v>
      </c>
      <c r="W15" s="37" t="str">
        <f>Roster!X112</f>
        <v>.</v>
      </c>
      <c r="X15" s="37" t="str">
        <f>Roster!Y112</f>
        <v>.</v>
      </c>
      <c r="Y15" s="37" t="str">
        <f>Roster!Z112</f>
        <v>.</v>
      </c>
      <c r="Z15" s="37" t="str">
        <f>Roster!AA112</f>
        <v>.</v>
      </c>
      <c r="AA15" s="37" t="str">
        <f>Roster!AB112</f>
        <v>.</v>
      </c>
      <c r="AB15" s="37" t="str">
        <f>Roster!AC112</f>
        <v>.</v>
      </c>
      <c r="AC15" s="37" t="str">
        <f>Roster!AD112</f>
        <v>.</v>
      </c>
      <c r="AD15" s="37" t="str">
        <f>Roster!AE112</f>
        <v>.</v>
      </c>
      <c r="AE15" s="37" t="str">
        <f>Roster!AF112</f>
        <v>.</v>
      </c>
      <c r="AF15" s="37" t="str">
        <f>Roster!AG112</f>
        <v>.</v>
      </c>
      <c r="AG15" s="38" t="str">
        <f>Roster!AH112</f>
        <v>.</v>
      </c>
    </row>
    <row r="16" spans="2:33" ht="14.4" thickTop="1" thickBot="1"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2019</v>
      </c>
      <c r="C18" s="36" t="str">
        <f>Roster!D143</f>
        <v>.</v>
      </c>
      <c r="D18" s="37" t="str">
        <f>Roster!E143</f>
        <v>.</v>
      </c>
      <c r="E18" s="37" t="str">
        <f>Roster!F143</f>
        <v>.</v>
      </c>
      <c r="F18" s="37" t="str">
        <f>Roster!G143</f>
        <v>.</v>
      </c>
      <c r="G18" s="37" t="str">
        <f>Roster!H143</f>
        <v>.</v>
      </c>
      <c r="H18" s="37" t="str">
        <f>Roster!I143</f>
        <v>.</v>
      </c>
      <c r="I18" s="37" t="str">
        <f>Roster!J143</f>
        <v>.</v>
      </c>
      <c r="J18" s="37" t="str">
        <f>Roster!K143</f>
        <v>.</v>
      </c>
      <c r="K18" s="37" t="str">
        <f>Roster!L143</f>
        <v>.</v>
      </c>
      <c r="L18" s="37" t="str">
        <f>Roster!M143</f>
        <v>.</v>
      </c>
      <c r="M18" s="37" t="str">
        <f>Roster!N143</f>
        <v>.</v>
      </c>
      <c r="N18" s="37" t="str">
        <f>Roster!O143</f>
        <v>.</v>
      </c>
      <c r="O18" s="37" t="str">
        <f>Roster!P143</f>
        <v>.</v>
      </c>
      <c r="P18" s="37" t="str">
        <f>Roster!Q143</f>
        <v>.</v>
      </c>
      <c r="Q18" s="37" t="str">
        <f>Roster!R143</f>
        <v>.</v>
      </c>
      <c r="R18" s="37" t="str">
        <f>Roster!S143</f>
        <v>.</v>
      </c>
      <c r="S18" s="37" t="str">
        <f>Roster!T143</f>
        <v>.</v>
      </c>
      <c r="T18" s="37" t="str">
        <f>Roster!U143</f>
        <v>.</v>
      </c>
      <c r="U18" s="37" t="str">
        <f>Roster!V143</f>
        <v>.</v>
      </c>
      <c r="V18" s="37" t="str">
        <f>Roster!W143</f>
        <v>.</v>
      </c>
      <c r="W18" s="37" t="str">
        <f>Roster!X143</f>
        <v>.</v>
      </c>
      <c r="X18" s="37" t="str">
        <f>Roster!Y143</f>
        <v>.</v>
      </c>
      <c r="Y18" s="37" t="str">
        <f>Roster!Z143</f>
        <v>.</v>
      </c>
      <c r="Z18" s="37" t="str">
        <f>Roster!AA143</f>
        <v>.</v>
      </c>
      <c r="AA18" s="37" t="str">
        <f>Roster!AB143</f>
        <v>.</v>
      </c>
      <c r="AB18" s="37" t="str">
        <f>Roster!AC143</f>
        <v>.</v>
      </c>
      <c r="AC18" s="37" t="str">
        <f>Roster!AD143</f>
        <v>.</v>
      </c>
      <c r="AD18" s="37" t="str">
        <f>Roster!AE143</f>
        <v>.</v>
      </c>
      <c r="AE18" s="37" t="str">
        <f>Roster!AF143</f>
        <v>.</v>
      </c>
      <c r="AF18" s="38" t="str">
        <f>Roster!AG143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2019</v>
      </c>
      <c r="C21" s="36" t="str">
        <f>Roster!D174</f>
        <v>.</v>
      </c>
      <c r="D21" s="37" t="str">
        <f>Roster!E174</f>
        <v>.</v>
      </c>
      <c r="E21" s="37" t="str">
        <f>Roster!F174</f>
        <v>.</v>
      </c>
      <c r="F21" s="37" t="str">
        <f>Roster!G174</f>
        <v>.</v>
      </c>
      <c r="G21" s="37" t="str">
        <f>Roster!H174</f>
        <v>.</v>
      </c>
      <c r="H21" s="37" t="str">
        <f>Roster!I174</f>
        <v>.</v>
      </c>
      <c r="I21" s="37" t="str">
        <f>Roster!J174</f>
        <v>.</v>
      </c>
      <c r="J21" s="37" t="str">
        <f>Roster!K174</f>
        <v>.</v>
      </c>
      <c r="K21" s="37" t="str">
        <f>Roster!L174</f>
        <v>.</v>
      </c>
      <c r="L21" s="37" t="str">
        <f>Roster!M174</f>
        <v>.</v>
      </c>
      <c r="M21" s="37" t="str">
        <f>Roster!N174</f>
        <v>.</v>
      </c>
      <c r="N21" s="37" t="str">
        <f>Roster!O174</f>
        <v>.</v>
      </c>
      <c r="O21" s="37" t="str">
        <f>Roster!P174</f>
        <v>.</v>
      </c>
      <c r="P21" s="37" t="str">
        <f>Roster!Q174</f>
        <v>.</v>
      </c>
      <c r="Q21" s="37" t="str">
        <f>Roster!R174</f>
        <v>.</v>
      </c>
      <c r="R21" s="37" t="str">
        <f>Roster!S174</f>
        <v>.</v>
      </c>
      <c r="S21" s="37" t="str">
        <f>Roster!T174</f>
        <v>.</v>
      </c>
      <c r="T21" s="37" t="str">
        <f>Roster!U174</f>
        <v>.</v>
      </c>
      <c r="U21" s="37" t="str">
        <f>Roster!V174</f>
        <v>.</v>
      </c>
      <c r="V21" s="37" t="str">
        <f>Roster!W174</f>
        <v>.</v>
      </c>
      <c r="W21" s="37" t="str">
        <f>Roster!X174</f>
        <v>.</v>
      </c>
      <c r="X21" s="37" t="str">
        <f>Roster!Y174</f>
        <v>.</v>
      </c>
      <c r="Y21" s="37" t="str">
        <f>Roster!Z174</f>
        <v>.</v>
      </c>
      <c r="Z21" s="37" t="str">
        <f>Roster!AA174</f>
        <v>.</v>
      </c>
      <c r="AA21" s="37" t="str">
        <f>Roster!AB174</f>
        <v>.</v>
      </c>
      <c r="AB21" s="37" t="str">
        <f>Roster!AC174</f>
        <v>.</v>
      </c>
      <c r="AC21" s="37" t="str">
        <f>Roster!AD174</f>
        <v>.</v>
      </c>
      <c r="AD21" s="37" t="str">
        <f>Roster!AE174</f>
        <v>.</v>
      </c>
      <c r="AE21" s="37" t="str">
        <f>Roster!AF174</f>
        <v>.</v>
      </c>
      <c r="AF21" s="37" t="str">
        <f>Roster!AG174</f>
        <v>.</v>
      </c>
      <c r="AG21" s="38" t="str">
        <f>Roster!AH174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We</v>
      </c>
      <c r="D22" s="19" t="str">
        <f t="shared" si="6"/>
        <v>Th</v>
      </c>
      <c r="E22" s="19" t="str">
        <f t="shared" si="6"/>
        <v>Fr</v>
      </c>
      <c r="F22" s="19" t="str">
        <f t="shared" si="6"/>
        <v>Sa</v>
      </c>
      <c r="G22" s="19" t="str">
        <f t="shared" si="6"/>
        <v>Su</v>
      </c>
      <c r="H22" s="19" t="str">
        <f t="shared" si="6"/>
        <v>Mo</v>
      </c>
      <c r="I22" s="19" t="str">
        <f t="shared" si="6"/>
        <v>Tu</v>
      </c>
      <c r="J22" s="19" t="str">
        <f t="shared" si="6"/>
        <v>We</v>
      </c>
      <c r="K22" s="19" t="str">
        <f t="shared" si="6"/>
        <v>Th</v>
      </c>
      <c r="L22" s="19" t="str">
        <f t="shared" si="6"/>
        <v>Fr</v>
      </c>
      <c r="M22" s="19" t="str">
        <f t="shared" si="6"/>
        <v>Sa</v>
      </c>
      <c r="N22" s="19" t="str">
        <f t="shared" si="6"/>
        <v>Su</v>
      </c>
      <c r="O22" s="19" t="str">
        <f t="shared" si="6"/>
        <v>Mo</v>
      </c>
      <c r="P22" s="19" t="str">
        <f t="shared" si="6"/>
        <v>Tu</v>
      </c>
      <c r="Q22" s="19" t="str">
        <f t="shared" si="6"/>
        <v>We</v>
      </c>
      <c r="R22" s="19" t="str">
        <f t="shared" si="6"/>
        <v>Th</v>
      </c>
      <c r="S22" s="19" t="str">
        <f t="shared" si="6"/>
        <v>Fr</v>
      </c>
      <c r="T22" s="19" t="str">
        <f t="shared" si="6"/>
        <v>Sa</v>
      </c>
      <c r="U22" s="19" t="str">
        <f t="shared" si="6"/>
        <v>Su</v>
      </c>
      <c r="V22" s="19" t="str">
        <f t="shared" si="6"/>
        <v>Mo</v>
      </c>
      <c r="W22" s="19" t="str">
        <f t="shared" si="6"/>
        <v>Tu</v>
      </c>
      <c r="X22" s="19" t="str">
        <f t="shared" si="6"/>
        <v>We</v>
      </c>
      <c r="Y22" s="19" t="str">
        <f t="shared" si="6"/>
        <v>Th</v>
      </c>
      <c r="Z22" s="19" t="str">
        <f t="shared" si="6"/>
        <v>Fr</v>
      </c>
      <c r="AA22" s="19" t="str">
        <f t="shared" si="6"/>
        <v>Sa</v>
      </c>
      <c r="AB22" s="19" t="str">
        <f t="shared" si="6"/>
        <v>Su</v>
      </c>
      <c r="AC22" s="19" t="str">
        <f t="shared" si="6"/>
        <v>Mo</v>
      </c>
      <c r="AD22" s="19" t="str">
        <f t="shared" si="6"/>
        <v>Tu</v>
      </c>
      <c r="AE22" s="19" t="str">
        <f t="shared" si="6"/>
        <v>We</v>
      </c>
      <c r="AF22" s="19" t="str">
        <f t="shared" si="6"/>
        <v>Th</v>
      </c>
      <c r="AG22" s="19" t="str">
        <f t="shared" si="6"/>
        <v>Fr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2020</v>
      </c>
      <c r="C24" s="48" t="str">
        <f>Roster!D205</f>
        <v>.</v>
      </c>
      <c r="D24" s="49" t="str">
        <f>Roster!E205</f>
        <v>.</v>
      </c>
      <c r="E24" s="40" t="str">
        <f>Roster!F205</f>
        <v>.</v>
      </c>
      <c r="F24" s="40" t="str">
        <f>Roster!G205</f>
        <v>.</v>
      </c>
      <c r="G24" s="40" t="str">
        <f>Roster!H205</f>
        <v>.</v>
      </c>
      <c r="H24" s="40" t="str">
        <f>Roster!I205</f>
        <v>.</v>
      </c>
      <c r="I24" s="40" t="str">
        <f>Roster!J205</f>
        <v>.</v>
      </c>
      <c r="J24" s="40" t="str">
        <f>Roster!K205</f>
        <v>.</v>
      </c>
      <c r="K24" s="40" t="str">
        <f>Roster!L205</f>
        <v>.</v>
      </c>
      <c r="L24" s="40" t="str">
        <f>Roster!M205</f>
        <v>.</v>
      </c>
      <c r="M24" s="40" t="str">
        <f>Roster!N205</f>
        <v>.</v>
      </c>
      <c r="N24" s="40" t="str">
        <f>Roster!O205</f>
        <v>.</v>
      </c>
      <c r="O24" s="40" t="str">
        <f>Roster!P205</f>
        <v>.</v>
      </c>
      <c r="P24" s="40" t="str">
        <f>Roster!Q205</f>
        <v>.</v>
      </c>
      <c r="Q24" s="40" t="str">
        <f>Roster!R205</f>
        <v>.</v>
      </c>
      <c r="R24" s="40" t="str">
        <f>Roster!S205</f>
        <v>.</v>
      </c>
      <c r="S24" s="40" t="str">
        <f>Roster!T205</f>
        <v>.</v>
      </c>
      <c r="T24" s="40" t="str">
        <f>Roster!U205</f>
        <v>.</v>
      </c>
      <c r="U24" s="40" t="str">
        <f>Roster!V205</f>
        <v>.</v>
      </c>
      <c r="V24" s="40" t="str">
        <f>Roster!W205</f>
        <v>.</v>
      </c>
      <c r="W24" s="40" t="str">
        <f>Roster!X205</f>
        <v>.</v>
      </c>
      <c r="X24" s="40" t="str">
        <f>Roster!Y205</f>
        <v>.</v>
      </c>
      <c r="Y24" s="40" t="str">
        <f>Roster!Z205</f>
        <v>.</v>
      </c>
      <c r="Z24" s="40" t="str">
        <f>Roster!AA205</f>
        <v>.</v>
      </c>
      <c r="AA24" s="40" t="str">
        <f>Roster!AB205</f>
        <v>.</v>
      </c>
      <c r="AB24" s="40" t="str">
        <f>Roster!AC205</f>
        <v>.</v>
      </c>
      <c r="AC24" s="40" t="str">
        <f>Roster!AD205</f>
        <v>.</v>
      </c>
      <c r="AD24" s="40" t="str">
        <f>Roster!AE205</f>
        <v>.</v>
      </c>
      <c r="AE24" s="40" t="str">
        <f>Roster!AF205</f>
        <v>.</v>
      </c>
      <c r="AF24" s="40" t="str">
        <f>Roster!AG205</f>
        <v>.</v>
      </c>
      <c r="AG24" s="41" t="str">
        <f>Roster!AH205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Sa</v>
      </c>
      <c r="D25" s="22" t="str">
        <f t="shared" si="7"/>
        <v>Su</v>
      </c>
      <c r="E25" s="22" t="str">
        <f t="shared" si="7"/>
        <v>Mo</v>
      </c>
      <c r="F25" s="22" t="str">
        <f t="shared" si="7"/>
        <v>Tu</v>
      </c>
      <c r="G25" s="22" t="str">
        <f t="shared" si="7"/>
        <v>We</v>
      </c>
      <c r="H25" s="22" t="str">
        <f t="shared" si="7"/>
        <v>Th</v>
      </c>
      <c r="I25" s="22" t="str">
        <f t="shared" si="7"/>
        <v>Fr</v>
      </c>
      <c r="J25" s="22" t="str">
        <f t="shared" si="7"/>
        <v>Sa</v>
      </c>
      <c r="K25" s="22" t="str">
        <f t="shared" si="7"/>
        <v>Su</v>
      </c>
      <c r="L25" s="22" t="str">
        <f t="shared" si="7"/>
        <v>Mo</v>
      </c>
      <c r="M25" s="22" t="str">
        <f t="shared" si="7"/>
        <v>Tu</v>
      </c>
      <c r="N25" s="22" t="str">
        <f t="shared" si="7"/>
        <v>We</v>
      </c>
      <c r="O25" s="22" t="str">
        <f t="shared" si="7"/>
        <v>Th</v>
      </c>
      <c r="P25" s="22" t="str">
        <f t="shared" si="7"/>
        <v>Fr</v>
      </c>
      <c r="Q25" s="22" t="str">
        <f t="shared" si="7"/>
        <v>Sa</v>
      </c>
      <c r="R25" s="22" t="str">
        <f t="shared" si="7"/>
        <v>Su</v>
      </c>
      <c r="S25" s="22" t="str">
        <f t="shared" si="7"/>
        <v>Mo</v>
      </c>
      <c r="T25" s="22" t="str">
        <f t="shared" si="7"/>
        <v>Tu</v>
      </c>
      <c r="U25" s="22" t="str">
        <f t="shared" si="7"/>
        <v>We</v>
      </c>
      <c r="V25" s="22" t="str">
        <f t="shared" si="7"/>
        <v>Th</v>
      </c>
      <c r="W25" s="22" t="str">
        <f t="shared" si="7"/>
        <v>Fr</v>
      </c>
      <c r="X25" s="22" t="str">
        <f t="shared" si="7"/>
        <v>Sa</v>
      </c>
      <c r="Y25" s="22" t="str">
        <f t="shared" si="7"/>
        <v>Su</v>
      </c>
      <c r="Z25" s="22" t="str">
        <f t="shared" si="7"/>
        <v>Mo</v>
      </c>
      <c r="AA25" s="22" t="str">
        <f t="shared" si="7"/>
        <v>Tu</v>
      </c>
      <c r="AB25" s="22" t="str">
        <f t="shared" si="7"/>
        <v>We</v>
      </c>
      <c r="AC25" s="22" t="str">
        <f t="shared" si="7"/>
        <v>Th</v>
      </c>
      <c r="AD25" s="22" t="str">
        <f t="shared" si="7"/>
        <v>Fr</v>
      </c>
      <c r="AE25" s="122" t="str">
        <f t="shared" si="7"/>
        <v>Sa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0">
        <v>29</v>
      </c>
      <c r="AF26" s="44"/>
    </row>
    <row r="27" spans="2:33" ht="14.4" thickTop="1" thickBot="1">
      <c r="B27" s="32" t="str">
        <f>CurYear</f>
        <v>2020</v>
      </c>
      <c r="C27" s="36" t="str">
        <f>Roster!D236</f>
        <v>.</v>
      </c>
      <c r="D27" s="37" t="str">
        <f>Roster!E236</f>
        <v>.</v>
      </c>
      <c r="E27" s="37" t="str">
        <f>Roster!F236</f>
        <v>.</v>
      </c>
      <c r="F27" s="37" t="str">
        <f>Roster!G236</f>
        <v>.</v>
      </c>
      <c r="G27" s="37" t="str">
        <f>Roster!H236</f>
        <v>.</v>
      </c>
      <c r="H27" s="37" t="str">
        <f>Roster!I236</f>
        <v>.</v>
      </c>
      <c r="I27" s="37" t="str">
        <f>Roster!J236</f>
        <v>.</v>
      </c>
      <c r="J27" s="37" t="str">
        <f>Roster!K236</f>
        <v>.</v>
      </c>
      <c r="K27" s="37" t="str">
        <f>Roster!L236</f>
        <v>.</v>
      </c>
      <c r="L27" s="37" t="str">
        <f>Roster!M236</f>
        <v>.</v>
      </c>
      <c r="M27" s="37" t="str">
        <f>Roster!N236</f>
        <v>.</v>
      </c>
      <c r="N27" s="37" t="str">
        <f>Roster!O236</f>
        <v>.</v>
      </c>
      <c r="O27" s="37" t="str">
        <f>Roster!P236</f>
        <v>.</v>
      </c>
      <c r="P27" s="37" t="str">
        <f>Roster!Q236</f>
        <v>.</v>
      </c>
      <c r="Q27" s="37" t="str">
        <f>Roster!Q235</f>
        <v>.</v>
      </c>
      <c r="R27" s="37" t="str">
        <f>Roster!S236</f>
        <v>.</v>
      </c>
      <c r="S27" s="37" t="str">
        <f>Roster!T236</f>
        <v>.</v>
      </c>
      <c r="T27" s="37" t="str">
        <f>Roster!U236</f>
        <v>.</v>
      </c>
      <c r="U27" s="37" t="str">
        <f>Roster!V236</f>
        <v>.</v>
      </c>
      <c r="V27" s="37" t="str">
        <f>Roster!W236</f>
        <v>.</v>
      </c>
      <c r="W27" s="37" t="str">
        <f>Roster!X236</f>
        <v>.</v>
      </c>
      <c r="X27" s="37" t="str">
        <f>Roster!Y236</f>
        <v>.</v>
      </c>
      <c r="Y27" s="37" t="str">
        <f>Roster!Z236</f>
        <v>.</v>
      </c>
      <c r="Z27" s="37" t="str">
        <f>Roster!AA236</f>
        <v>.</v>
      </c>
      <c r="AA27" s="37" t="str">
        <f>Roster!AB236</f>
        <v>.</v>
      </c>
      <c r="AB27" s="37" t="str">
        <f>Roster!AC236</f>
        <v>.</v>
      </c>
      <c r="AC27" s="37" t="str">
        <f>Roster!AD236</f>
        <v>.</v>
      </c>
      <c r="AD27" s="43" t="str">
        <f>Roster!AE236</f>
        <v>.</v>
      </c>
      <c r="AE27" s="121" t="str">
        <f>Roster!AF236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47" t="str">
        <f t="shared" si="8"/>
        <v>Mo</v>
      </c>
      <c r="AG28" s="47" t="str">
        <f t="shared" si="8"/>
        <v>Tu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2020</v>
      </c>
      <c r="C30" s="36" t="str">
        <f>Roster!D267</f>
        <v>.</v>
      </c>
      <c r="D30" s="37" t="str">
        <f>Roster!E267</f>
        <v>.</v>
      </c>
      <c r="E30" s="37" t="str">
        <f>Roster!F267</f>
        <v>.</v>
      </c>
      <c r="F30" s="37" t="str">
        <f>Roster!G267</f>
        <v>.</v>
      </c>
      <c r="G30" s="37" t="str">
        <f>Roster!H267</f>
        <v>.</v>
      </c>
      <c r="H30" s="37" t="str">
        <f>Roster!I267</f>
        <v>.</v>
      </c>
      <c r="I30" s="37" t="str">
        <f>Roster!J267</f>
        <v>.</v>
      </c>
      <c r="J30" s="37" t="str">
        <f>Roster!K267</f>
        <v>.</v>
      </c>
      <c r="K30" s="37" t="str">
        <f>Roster!L267</f>
        <v>.</v>
      </c>
      <c r="L30" s="37" t="str">
        <f>Roster!M267</f>
        <v>.</v>
      </c>
      <c r="M30" s="37" t="str">
        <f>Roster!N267</f>
        <v>.</v>
      </c>
      <c r="N30" s="37" t="str">
        <f>Roster!O267</f>
        <v>.</v>
      </c>
      <c r="O30" s="37" t="str">
        <f>Roster!P267</f>
        <v>.</v>
      </c>
      <c r="P30" s="37" t="str">
        <f>Roster!Q267</f>
        <v>.</v>
      </c>
      <c r="Q30" s="37" t="str">
        <f>Roster!R267</f>
        <v>.</v>
      </c>
      <c r="R30" s="37" t="str">
        <f>Roster!S267</f>
        <v>.</v>
      </c>
      <c r="S30" s="37" t="str">
        <f>Roster!T267</f>
        <v>.</v>
      </c>
      <c r="T30" s="37" t="str">
        <f>Roster!U267</f>
        <v>.</v>
      </c>
      <c r="U30" s="37" t="str">
        <f>Roster!V267</f>
        <v>.</v>
      </c>
      <c r="V30" s="37" t="str">
        <f>Roster!W267</f>
        <v>.</v>
      </c>
      <c r="W30" s="37" t="str">
        <f>Roster!X267</f>
        <v>.</v>
      </c>
      <c r="X30" s="37" t="str">
        <f>Roster!Y267</f>
        <v>.</v>
      </c>
      <c r="Y30" s="37" t="str">
        <f>Roster!Z267</f>
        <v>.</v>
      </c>
      <c r="Z30" s="37" t="str">
        <f>Roster!AA267</f>
        <v>.</v>
      </c>
      <c r="AA30" s="37" t="str">
        <f>Roster!AB267</f>
        <v>.</v>
      </c>
      <c r="AB30" s="37" t="str">
        <f>Roster!AC267</f>
        <v>.</v>
      </c>
      <c r="AC30" s="37" t="str">
        <f>Roster!AD267</f>
        <v>.</v>
      </c>
      <c r="AD30" s="37" t="str">
        <f>Roster!AE267</f>
        <v>.</v>
      </c>
      <c r="AE30" s="37" t="str">
        <f>Roster!AF267</f>
        <v>.</v>
      </c>
      <c r="AF30" s="37" t="str">
        <f>Roster!AG267</f>
        <v>.</v>
      </c>
      <c r="AG30" s="38" t="str">
        <f>Roster!AH267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2020</v>
      </c>
      <c r="C33" s="36" t="str">
        <f>Roster!D298</f>
        <v>.</v>
      </c>
      <c r="D33" s="37" t="str">
        <f>Roster!E298</f>
        <v>.</v>
      </c>
      <c r="E33" s="37" t="str">
        <f>Roster!F298</f>
        <v>.</v>
      </c>
      <c r="F33" s="37" t="str">
        <f>Roster!G298</f>
        <v>.</v>
      </c>
      <c r="G33" s="37" t="str">
        <f>Roster!H298</f>
        <v>.</v>
      </c>
      <c r="H33" s="37" t="str">
        <f>Roster!I298</f>
        <v>.</v>
      </c>
      <c r="I33" s="37" t="str">
        <f>Roster!J298</f>
        <v>.</v>
      </c>
      <c r="J33" s="37" t="str">
        <f>Roster!K298</f>
        <v>.</v>
      </c>
      <c r="K33" s="37" t="str">
        <f>Roster!L298</f>
        <v>.</v>
      </c>
      <c r="L33" s="37" t="str">
        <f>Roster!M298</f>
        <v>.</v>
      </c>
      <c r="M33" s="37" t="str">
        <f>Roster!N298</f>
        <v>.</v>
      </c>
      <c r="N33" s="37" t="str">
        <f>Roster!O298</f>
        <v>.</v>
      </c>
      <c r="O33" s="37" t="str">
        <f>Roster!P298</f>
        <v>.</v>
      </c>
      <c r="P33" s="37" t="str">
        <f>Roster!Q298</f>
        <v>.</v>
      </c>
      <c r="Q33" s="37" t="str">
        <f>Roster!R298</f>
        <v>.</v>
      </c>
      <c r="R33" s="37" t="str">
        <f>Roster!S298</f>
        <v>.</v>
      </c>
      <c r="S33" s="37" t="str">
        <f>Roster!T298</f>
        <v>.</v>
      </c>
      <c r="T33" s="37" t="str">
        <f>Roster!U298</f>
        <v>.</v>
      </c>
      <c r="U33" s="37" t="str">
        <f>Roster!V298</f>
        <v>.</v>
      </c>
      <c r="V33" s="37" t="str">
        <f>Roster!W298</f>
        <v>.</v>
      </c>
      <c r="W33" s="37" t="str">
        <f>Roster!X298</f>
        <v>.</v>
      </c>
      <c r="X33" s="37" t="str">
        <f>Roster!Y298</f>
        <v>.</v>
      </c>
      <c r="Y33" s="37" t="str">
        <f>Roster!Z298</f>
        <v>.</v>
      </c>
      <c r="Z33" s="37" t="str">
        <f>Roster!AA298</f>
        <v>.</v>
      </c>
      <c r="AA33" s="37" t="str">
        <f>Roster!AB298</f>
        <v>.</v>
      </c>
      <c r="AB33" s="37" t="str">
        <f>Roster!AC298</f>
        <v>.</v>
      </c>
      <c r="AC33" s="37" t="str">
        <f>Roster!AD298</f>
        <v>.</v>
      </c>
      <c r="AD33" s="37" t="str">
        <f>Roster!AE298</f>
        <v>.</v>
      </c>
      <c r="AE33" s="37" t="str">
        <f>Roster!AF298</f>
        <v>.</v>
      </c>
      <c r="AF33" s="38" t="str">
        <f>Roster!AG298</f>
        <v>.</v>
      </c>
    </row>
    <row r="34" spans="2:33" ht="14.4" thickTop="1" thickBot="1"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46" t="str">
        <f t="shared" si="10"/>
        <v>Su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2020</v>
      </c>
      <c r="C36" s="36" t="str">
        <f>Roster!D329</f>
        <v>.</v>
      </c>
      <c r="D36" s="37" t="str">
        <f>Roster!E329</f>
        <v>.</v>
      </c>
      <c r="E36" s="37" t="str">
        <f>Roster!F329</f>
        <v>.</v>
      </c>
      <c r="F36" s="37" t="str">
        <f>Roster!G329</f>
        <v>.</v>
      </c>
      <c r="G36" s="37" t="str">
        <f>Roster!H329</f>
        <v>.</v>
      </c>
      <c r="H36" s="37" t="str">
        <f>Roster!I329</f>
        <v>.</v>
      </c>
      <c r="I36" s="37" t="str">
        <f>Roster!J329</f>
        <v>.</v>
      </c>
      <c r="J36" s="37" t="str">
        <f>Roster!K329</f>
        <v>.</v>
      </c>
      <c r="K36" s="37" t="str">
        <f>Roster!L329</f>
        <v>.</v>
      </c>
      <c r="L36" s="37" t="str">
        <f>Roster!M329</f>
        <v>.</v>
      </c>
      <c r="M36" s="37" t="str">
        <f>Roster!N329</f>
        <v>.</v>
      </c>
      <c r="N36" s="37" t="str">
        <f>Roster!O329</f>
        <v>.</v>
      </c>
      <c r="O36" s="37" t="str">
        <f>Roster!P329</f>
        <v>.</v>
      </c>
      <c r="P36" s="37" t="str">
        <f>Roster!Q329</f>
        <v>.</v>
      </c>
      <c r="Q36" s="37" t="str">
        <f>Roster!R329</f>
        <v>.</v>
      </c>
      <c r="R36" s="37" t="str">
        <f>Roster!S329</f>
        <v>.</v>
      </c>
      <c r="S36" s="37" t="str">
        <f>Roster!T329</f>
        <v>.</v>
      </c>
      <c r="T36" s="37" t="str">
        <f>Roster!U329</f>
        <v>.</v>
      </c>
      <c r="U36" s="37" t="str">
        <f>Roster!V329</f>
        <v>.</v>
      </c>
      <c r="V36" s="37" t="str">
        <f>Roster!W329</f>
        <v>.</v>
      </c>
      <c r="W36" s="37" t="str">
        <f>Roster!X329</f>
        <v>.</v>
      </c>
      <c r="X36" s="37" t="str">
        <f>Roster!Y329</f>
        <v>.</v>
      </c>
      <c r="Y36" s="37" t="str">
        <f>Roster!Z329</f>
        <v>.</v>
      </c>
      <c r="Z36" s="37" t="str">
        <f>Roster!AA329</f>
        <v>.</v>
      </c>
      <c r="AA36" s="37" t="str">
        <f>Roster!AB329</f>
        <v>.</v>
      </c>
      <c r="AB36" s="37" t="str">
        <f>Roster!AC329</f>
        <v>.</v>
      </c>
      <c r="AC36" s="37" t="str">
        <f>Roster!AD329</f>
        <v>.</v>
      </c>
      <c r="AD36" s="37" t="str">
        <f>Roster!AE329</f>
        <v>.</v>
      </c>
      <c r="AE36" s="37" t="str">
        <f>Roster!AF329</f>
        <v>.</v>
      </c>
      <c r="AF36" s="37" t="str">
        <f>Roster!AG329</f>
        <v>.</v>
      </c>
      <c r="AG36" s="38" t="str">
        <f>Roster!AH329</f>
        <v>.</v>
      </c>
    </row>
    <row r="37" spans="2:33" ht="14.4" thickTop="1" thickBot="1"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2020</v>
      </c>
      <c r="C39" s="36" t="str">
        <f>Roster!D360</f>
        <v>.</v>
      </c>
      <c r="D39" s="37" t="str">
        <f>Roster!E360</f>
        <v>.</v>
      </c>
      <c r="E39" s="37" t="str">
        <f>Roster!F360</f>
        <v>.</v>
      </c>
      <c r="F39" s="37" t="str">
        <f>Roster!G360</f>
        <v>.</v>
      </c>
      <c r="G39" s="37" t="str">
        <f>Roster!H360</f>
        <v>.</v>
      </c>
      <c r="H39" s="37" t="str">
        <f>Roster!I360</f>
        <v>.</v>
      </c>
      <c r="I39" s="37" t="str">
        <f>Roster!J360</f>
        <v>.</v>
      </c>
      <c r="J39" s="37" t="str">
        <f>Roster!K360</f>
        <v>.</v>
      </c>
      <c r="K39" s="37" t="str">
        <f>Roster!L360</f>
        <v>.</v>
      </c>
      <c r="L39" s="37" t="str">
        <f>Roster!M360</f>
        <v>.</v>
      </c>
      <c r="M39" s="37" t="str">
        <f>Roster!N360</f>
        <v>.</v>
      </c>
      <c r="N39" s="37" t="str">
        <f>Roster!O360</f>
        <v>.</v>
      </c>
      <c r="O39" s="37" t="str">
        <f>Roster!P360</f>
        <v>.</v>
      </c>
      <c r="P39" s="37" t="str">
        <f>Roster!Q360</f>
        <v>.</v>
      </c>
      <c r="Q39" s="37" t="str">
        <f>Roster!R360</f>
        <v>.</v>
      </c>
      <c r="R39" s="37" t="str">
        <f>Roster!S360</f>
        <v>.</v>
      </c>
      <c r="S39" s="37" t="str">
        <f>Roster!T360</f>
        <v>.</v>
      </c>
      <c r="T39" s="37" t="str">
        <f>Roster!U360</f>
        <v>.</v>
      </c>
      <c r="U39" s="37" t="str">
        <f>Roster!V360</f>
        <v>.</v>
      </c>
      <c r="V39" s="37" t="str">
        <f>Roster!W360</f>
        <v>.</v>
      </c>
      <c r="W39" s="37" t="str">
        <f>Roster!X360</f>
        <v>.</v>
      </c>
      <c r="X39" s="37" t="str">
        <f>Roster!Y360</f>
        <v>.</v>
      </c>
      <c r="Y39" s="37" t="str">
        <f>Roster!Z360</f>
        <v>.</v>
      </c>
      <c r="Z39" s="37" t="str">
        <f>Roster!AA360</f>
        <v>.</v>
      </c>
      <c r="AA39" s="37" t="str">
        <f>Roster!AB360</f>
        <v>.</v>
      </c>
      <c r="AB39" s="37" t="str">
        <f>Roster!AC360</f>
        <v>.</v>
      </c>
      <c r="AC39" s="37" t="str">
        <f>Roster!AD360</f>
        <v>.</v>
      </c>
      <c r="AD39" s="37" t="str">
        <f>Roster!AE360</f>
        <v>.</v>
      </c>
      <c r="AE39" s="37" t="str">
        <f>Roster!AF360</f>
        <v>.</v>
      </c>
      <c r="AF39" s="38" t="str">
        <f>Roster!AG360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91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7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2019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31"/>
      <c r="I3" s="133" t="s">
        <v>25</v>
      </c>
      <c r="R3" s="133" t="str">
        <f>EmpGName07 &amp;" " &amp; EmpSName07</f>
        <v>Troy Sorensen</v>
      </c>
      <c r="S3" s="132"/>
      <c r="T3" s="132"/>
      <c r="U3" s="132"/>
      <c r="V3" s="132"/>
      <c r="W3" s="132"/>
      <c r="X3" s="132"/>
      <c r="Y3" s="132"/>
      <c r="Z3" s="132"/>
      <c r="AA3" s="132"/>
      <c r="AB3" s="132"/>
      <c r="AC3" s="132"/>
    </row>
    <row r="4" spans="2:33" ht="13.8" thickBot="1">
      <c r="C4" s="28" t="str">
        <f t="shared" ref="C4:AG4" si="0">LEFT(TEXT(C5&amp;"-"&amp;$B5&amp;"-"&amp;CurYear-1,"ddd"),2)</f>
        <v>Mo</v>
      </c>
      <c r="D4" s="28" t="str">
        <f t="shared" si="0"/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20" t="str">
        <f t="shared" si="0"/>
        <v>We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2019</v>
      </c>
      <c r="C6" s="36" t="str">
        <f>Roster!D20</f>
        <v>.</v>
      </c>
      <c r="D6" s="37" t="str">
        <f>Roster!E20</f>
        <v>.</v>
      </c>
      <c r="E6" s="37" t="str">
        <f>Roster!F20</f>
        <v>.</v>
      </c>
      <c r="F6" s="37" t="str">
        <f>Roster!G20</f>
        <v>.</v>
      </c>
      <c r="G6" s="37" t="str">
        <f>Roster!H20</f>
        <v>.</v>
      </c>
      <c r="H6" s="37" t="str">
        <f>Roster!I20</f>
        <v>.</v>
      </c>
      <c r="I6" s="37" t="str">
        <f>Roster!J20</f>
        <v>.</v>
      </c>
      <c r="J6" s="37" t="str">
        <f>Roster!K20</f>
        <v>.</v>
      </c>
      <c r="K6" s="37" t="str">
        <f>Roster!L20</f>
        <v>.</v>
      </c>
      <c r="L6" s="37" t="str">
        <f>Roster!M20</f>
        <v>.</v>
      </c>
      <c r="M6" s="37" t="str">
        <f>Roster!N20</f>
        <v>.</v>
      </c>
      <c r="N6" s="37" t="str">
        <f>Roster!O20</f>
        <v>.</v>
      </c>
      <c r="O6" s="37" t="str">
        <f>Roster!P20</f>
        <v>.</v>
      </c>
      <c r="P6" s="37" t="str">
        <f>Roster!Q20</f>
        <v>.</v>
      </c>
      <c r="Q6" s="37" t="str">
        <f>Roster!R20</f>
        <v>.</v>
      </c>
      <c r="R6" s="37" t="str">
        <f>Roster!S20</f>
        <v>.</v>
      </c>
      <c r="S6" s="37" t="str">
        <f>Roster!T20</f>
        <v>.</v>
      </c>
      <c r="T6" s="37" t="str">
        <f>Roster!U20</f>
        <v>.</v>
      </c>
      <c r="U6" s="37" t="str">
        <f>Roster!V20</f>
        <v>.</v>
      </c>
      <c r="V6" s="37" t="str">
        <f>Roster!W20</f>
        <v>.</v>
      </c>
      <c r="W6" s="37" t="str">
        <f>Roster!X20</f>
        <v>.</v>
      </c>
      <c r="X6" s="37" t="str">
        <f>Roster!Y20</f>
        <v>.</v>
      </c>
      <c r="Y6" s="37" t="str">
        <f>Roster!Z20</f>
        <v>.</v>
      </c>
      <c r="Z6" s="37" t="str">
        <f>Roster!AA20</f>
        <v>.</v>
      </c>
      <c r="AA6" s="37" t="str">
        <f>Roster!AB20</f>
        <v>.</v>
      </c>
      <c r="AB6" s="37" t="str">
        <f>Roster!AC20</f>
        <v>.</v>
      </c>
      <c r="AC6" s="37" t="str">
        <f>Roster!AD20</f>
        <v>.</v>
      </c>
      <c r="AD6" s="37" t="str">
        <f>Roster!AE20</f>
        <v>.</v>
      </c>
      <c r="AE6" s="37" t="str">
        <f>Roster!AF20</f>
        <v>.</v>
      </c>
      <c r="AF6" s="37" t="str">
        <f>Roster!AG20</f>
        <v>.</v>
      </c>
      <c r="AG6" s="38" t="str">
        <f>Roster!AH20</f>
        <v>.</v>
      </c>
    </row>
    <row r="7" spans="2:33" ht="14.4" thickTop="1" thickBot="1"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21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2019</v>
      </c>
      <c r="C9" s="36" t="str">
        <f>Roster!D51</f>
        <v>.</v>
      </c>
      <c r="D9" s="39" t="str">
        <f>Roster!E51</f>
        <v>.</v>
      </c>
      <c r="E9" s="37" t="str">
        <f>Roster!F51</f>
        <v>.</v>
      </c>
      <c r="F9" s="37" t="str">
        <f>Roster!G51</f>
        <v>.</v>
      </c>
      <c r="G9" s="37" t="str">
        <f>Roster!H51</f>
        <v>.</v>
      </c>
      <c r="H9" s="37" t="str">
        <f>Roster!I51</f>
        <v>.</v>
      </c>
      <c r="I9" s="37" t="str">
        <f>Roster!J51</f>
        <v>.</v>
      </c>
      <c r="J9" s="37" t="str">
        <f>Roster!K51</f>
        <v>.</v>
      </c>
      <c r="K9" s="37" t="str">
        <f>Roster!L51</f>
        <v>.</v>
      </c>
      <c r="L9" s="37" t="str">
        <f>Roster!M51</f>
        <v>.</v>
      </c>
      <c r="M9" s="37" t="str">
        <f>Roster!N51</f>
        <v>.</v>
      </c>
      <c r="N9" s="37" t="str">
        <f>Roster!O51</f>
        <v>.</v>
      </c>
      <c r="O9" s="37" t="str">
        <f>Roster!P51</f>
        <v>.</v>
      </c>
      <c r="P9" s="37" t="str">
        <f>Roster!Q51</f>
        <v>.</v>
      </c>
      <c r="Q9" s="37" t="str">
        <f>Roster!R51</f>
        <v>.</v>
      </c>
      <c r="R9" s="37" t="str">
        <f>Roster!S51</f>
        <v>.</v>
      </c>
      <c r="S9" s="37" t="str">
        <f>Roster!T51</f>
        <v>.</v>
      </c>
      <c r="T9" s="37" t="str">
        <f>Roster!U51</f>
        <v>.</v>
      </c>
      <c r="U9" s="37" t="str">
        <f>Roster!V51</f>
        <v>.</v>
      </c>
      <c r="V9" s="37" t="str">
        <f>Roster!W51</f>
        <v>.</v>
      </c>
      <c r="W9" s="37" t="str">
        <f>Roster!X51</f>
        <v>.</v>
      </c>
      <c r="X9" s="37" t="str">
        <f>Roster!Y51</f>
        <v>.</v>
      </c>
      <c r="Y9" s="37" t="str">
        <f>Roster!Z51</f>
        <v>.</v>
      </c>
      <c r="Z9" s="37" t="str">
        <f>Roster!AA51</f>
        <v>.</v>
      </c>
      <c r="AA9" s="37" t="str">
        <f>Roster!AB51</f>
        <v>.</v>
      </c>
      <c r="AB9" s="37" t="str">
        <f>Roster!AC51</f>
        <v>.</v>
      </c>
      <c r="AC9" s="37" t="str">
        <f>Roster!AD51</f>
        <v>.</v>
      </c>
      <c r="AD9" s="37" t="str">
        <f>Roster!AE51</f>
        <v>.</v>
      </c>
      <c r="AE9" s="37" t="str">
        <f>Roster!AF51</f>
        <v>.</v>
      </c>
      <c r="AF9" s="37" t="str">
        <f>Roster!AG51</f>
        <v>.</v>
      </c>
      <c r="AG9" s="38" t="str">
        <f>Roster!AH51</f>
        <v>.</v>
      </c>
    </row>
    <row r="10" spans="2:33" ht="14.4" thickTop="1" thickBot="1"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1" t="str">
        <f t="shared" si="2"/>
        <v>Su</v>
      </c>
      <c r="AF10" s="21" t="str">
        <f t="shared" si="2"/>
        <v>Mo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2019</v>
      </c>
      <c r="C12" s="36" t="str">
        <f>Roster!D82</f>
        <v>.</v>
      </c>
      <c r="D12" s="37" t="str">
        <f>Roster!E82</f>
        <v>.</v>
      </c>
      <c r="E12" s="37" t="str">
        <f>Roster!F82</f>
        <v>.</v>
      </c>
      <c r="F12" s="37" t="str">
        <f>Roster!G82</f>
        <v>.</v>
      </c>
      <c r="G12" s="37" t="str">
        <f>Roster!H82</f>
        <v>.</v>
      </c>
      <c r="H12" s="37" t="str">
        <f>Roster!I82</f>
        <v>.</v>
      </c>
      <c r="I12" s="37" t="str">
        <f>Roster!J82</f>
        <v>.</v>
      </c>
      <c r="J12" s="37" t="str">
        <f>Roster!K82</f>
        <v>.</v>
      </c>
      <c r="K12" s="37" t="str">
        <f>Roster!L82</f>
        <v>.</v>
      </c>
      <c r="L12" s="37" t="str">
        <f>Roster!M82</f>
        <v>.</v>
      </c>
      <c r="M12" s="37" t="str">
        <f>Roster!N82</f>
        <v>.</v>
      </c>
      <c r="N12" s="37" t="str">
        <f>Roster!O82</f>
        <v>.</v>
      </c>
      <c r="O12" s="37" t="str">
        <f>Roster!P82</f>
        <v>.</v>
      </c>
      <c r="P12" s="37" t="str">
        <f>Roster!Q82</f>
        <v>.</v>
      </c>
      <c r="Q12" s="37" t="str">
        <f>Roster!R82</f>
        <v>.</v>
      </c>
      <c r="R12" s="37" t="str">
        <f>Roster!S82</f>
        <v>.</v>
      </c>
      <c r="S12" s="37" t="str">
        <f>Roster!T82</f>
        <v>.</v>
      </c>
      <c r="T12" s="37" t="str">
        <f>Roster!U82</f>
        <v>.</v>
      </c>
      <c r="U12" s="37" t="str">
        <f>Roster!V82</f>
        <v>.</v>
      </c>
      <c r="V12" s="37" t="str">
        <f>Roster!W82</f>
        <v>.</v>
      </c>
      <c r="W12" s="37" t="str">
        <f>Roster!X82</f>
        <v>.</v>
      </c>
      <c r="X12" s="37" t="str">
        <f>Roster!Y82</f>
        <v>.</v>
      </c>
      <c r="Y12" s="37" t="str">
        <f>Roster!Z82</f>
        <v>.</v>
      </c>
      <c r="Z12" s="37" t="str">
        <f>Roster!AA82</f>
        <v>.</v>
      </c>
      <c r="AA12" s="37" t="str">
        <f>Roster!AB82</f>
        <v>.</v>
      </c>
      <c r="AB12" s="37" t="str">
        <f>Roster!AC82</f>
        <v>.</v>
      </c>
      <c r="AC12" s="37" t="str">
        <f>Roster!AD82</f>
        <v>.</v>
      </c>
      <c r="AD12" s="37" t="str">
        <f>Roster!AE82</f>
        <v>.</v>
      </c>
      <c r="AE12" s="37" t="str">
        <f>Roster!AF82</f>
        <v>.</v>
      </c>
      <c r="AF12" s="38" t="str">
        <f>Roster!AG82</f>
        <v>.</v>
      </c>
    </row>
    <row r="13" spans="2:33" ht="14.4" thickTop="1" thickBot="1"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20" t="str">
        <f t="shared" si="3"/>
        <v>Th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2019</v>
      </c>
      <c r="C15" s="36" t="str">
        <f>Roster!D113</f>
        <v>.</v>
      </c>
      <c r="D15" s="37" t="str">
        <f>Roster!E113</f>
        <v>.</v>
      </c>
      <c r="E15" s="37" t="str">
        <f>Roster!F113</f>
        <v>.</v>
      </c>
      <c r="F15" s="37" t="str">
        <f>Roster!G113</f>
        <v>.</v>
      </c>
      <c r="G15" s="37" t="str">
        <f>Roster!H113</f>
        <v>.</v>
      </c>
      <c r="H15" s="37" t="str">
        <f>Roster!I113</f>
        <v>.</v>
      </c>
      <c r="I15" s="37" t="str">
        <f>Roster!J113</f>
        <v>.</v>
      </c>
      <c r="J15" s="37" t="str">
        <f>Roster!K113</f>
        <v>.</v>
      </c>
      <c r="K15" s="37" t="str">
        <f>Roster!L113</f>
        <v>.</v>
      </c>
      <c r="L15" s="37" t="str">
        <f>Roster!M113</f>
        <v>.</v>
      </c>
      <c r="M15" s="37" t="str">
        <f>Roster!N113</f>
        <v>.</v>
      </c>
      <c r="N15" s="37" t="str">
        <f>Roster!O113</f>
        <v>.</v>
      </c>
      <c r="O15" s="37" t="str">
        <f>Roster!P113</f>
        <v>.</v>
      </c>
      <c r="P15" s="37" t="str">
        <f>Roster!Q113</f>
        <v>.</v>
      </c>
      <c r="Q15" s="37" t="str">
        <f>Roster!R113</f>
        <v>.</v>
      </c>
      <c r="R15" s="37" t="str">
        <f>Roster!S113</f>
        <v>.</v>
      </c>
      <c r="S15" s="37" t="str">
        <f>Roster!T113</f>
        <v>.</v>
      </c>
      <c r="T15" s="37" t="str">
        <f>Roster!U113</f>
        <v>.</v>
      </c>
      <c r="U15" s="37" t="str">
        <f>Roster!V113</f>
        <v>.</v>
      </c>
      <c r="V15" s="37" t="str">
        <f>Roster!W113</f>
        <v>.</v>
      </c>
      <c r="W15" s="37" t="str">
        <f>Roster!X113</f>
        <v>.</v>
      </c>
      <c r="X15" s="37" t="str">
        <f>Roster!Y113</f>
        <v>.</v>
      </c>
      <c r="Y15" s="37" t="str">
        <f>Roster!Z113</f>
        <v>.</v>
      </c>
      <c r="Z15" s="37" t="str">
        <f>Roster!AA113</f>
        <v>.</v>
      </c>
      <c r="AA15" s="37" t="str">
        <f>Roster!AB113</f>
        <v>.</v>
      </c>
      <c r="AB15" s="37" t="str">
        <f>Roster!AC113</f>
        <v>.</v>
      </c>
      <c r="AC15" s="37" t="str">
        <f>Roster!AD113</f>
        <v>.</v>
      </c>
      <c r="AD15" s="37" t="str">
        <f>Roster!AE113</f>
        <v>.</v>
      </c>
      <c r="AE15" s="37" t="str">
        <f>Roster!AF113</f>
        <v>.</v>
      </c>
      <c r="AF15" s="37" t="str">
        <f>Roster!AG113</f>
        <v>.</v>
      </c>
      <c r="AG15" s="38" t="str">
        <f>Roster!AH113</f>
        <v>.</v>
      </c>
    </row>
    <row r="16" spans="2:33" ht="14.4" thickTop="1" thickBot="1"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2019</v>
      </c>
      <c r="C18" s="36" t="str">
        <f>Roster!D144</f>
        <v>.</v>
      </c>
      <c r="D18" s="37" t="str">
        <f>Roster!E144</f>
        <v>.</v>
      </c>
      <c r="E18" s="37" t="str">
        <f>Roster!F144</f>
        <v>.</v>
      </c>
      <c r="F18" s="37" t="str">
        <f>Roster!G144</f>
        <v>.</v>
      </c>
      <c r="G18" s="37" t="str">
        <f>Roster!H144</f>
        <v>.</v>
      </c>
      <c r="H18" s="37" t="str">
        <f>Roster!I144</f>
        <v>.</v>
      </c>
      <c r="I18" s="37" t="str">
        <f>Roster!J144</f>
        <v>.</v>
      </c>
      <c r="J18" s="37" t="str">
        <f>Roster!K144</f>
        <v>.</v>
      </c>
      <c r="K18" s="37" t="str">
        <f>Roster!L144</f>
        <v>.</v>
      </c>
      <c r="L18" s="37" t="str">
        <f>Roster!M144</f>
        <v>.</v>
      </c>
      <c r="M18" s="37" t="str">
        <f>Roster!N144</f>
        <v>.</v>
      </c>
      <c r="N18" s="37" t="str">
        <f>Roster!O144</f>
        <v>.</v>
      </c>
      <c r="O18" s="37" t="str">
        <f>Roster!P144</f>
        <v>.</v>
      </c>
      <c r="P18" s="37" t="str">
        <f>Roster!Q144</f>
        <v>.</v>
      </c>
      <c r="Q18" s="37" t="str">
        <f>Roster!R144</f>
        <v>.</v>
      </c>
      <c r="R18" s="37" t="str">
        <f>Roster!S144</f>
        <v>.</v>
      </c>
      <c r="S18" s="37" t="str">
        <f>Roster!T144</f>
        <v>.</v>
      </c>
      <c r="T18" s="37" t="str">
        <f>Roster!U144</f>
        <v>.</v>
      </c>
      <c r="U18" s="37" t="str">
        <f>Roster!V144</f>
        <v>.</v>
      </c>
      <c r="V18" s="37" t="str">
        <f>Roster!W144</f>
        <v>.</v>
      </c>
      <c r="W18" s="37" t="str">
        <f>Roster!X144</f>
        <v>.</v>
      </c>
      <c r="X18" s="37" t="str">
        <f>Roster!Y144</f>
        <v>.</v>
      </c>
      <c r="Y18" s="37" t="str">
        <f>Roster!Z144</f>
        <v>.</v>
      </c>
      <c r="Z18" s="37" t="str">
        <f>Roster!AA144</f>
        <v>.</v>
      </c>
      <c r="AA18" s="37" t="str">
        <f>Roster!AB144</f>
        <v>.</v>
      </c>
      <c r="AB18" s="37" t="str">
        <f>Roster!AC144</f>
        <v>.</v>
      </c>
      <c r="AC18" s="37" t="str">
        <f>Roster!AD144</f>
        <v>.</v>
      </c>
      <c r="AD18" s="37" t="str">
        <f>Roster!AE144</f>
        <v>.</v>
      </c>
      <c r="AE18" s="37" t="str">
        <f>Roster!AF144</f>
        <v>.</v>
      </c>
      <c r="AF18" s="38" t="str">
        <f>Roster!AG144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2019</v>
      </c>
      <c r="C21" s="36" t="str">
        <f>Roster!D175</f>
        <v>.</v>
      </c>
      <c r="D21" s="37" t="str">
        <f>Roster!E175</f>
        <v>.</v>
      </c>
      <c r="E21" s="37" t="str">
        <f>Roster!F175</f>
        <v>.</v>
      </c>
      <c r="F21" s="37" t="str">
        <f>Roster!G175</f>
        <v>.</v>
      </c>
      <c r="G21" s="37" t="str">
        <f>Roster!H175</f>
        <v>.</v>
      </c>
      <c r="H21" s="37" t="str">
        <f>Roster!I175</f>
        <v>.</v>
      </c>
      <c r="I21" s="37" t="str">
        <f>Roster!J175</f>
        <v>.</v>
      </c>
      <c r="J21" s="37" t="str">
        <f>Roster!K175</f>
        <v>.</v>
      </c>
      <c r="K21" s="37" t="str">
        <f>Roster!L175</f>
        <v>.</v>
      </c>
      <c r="L21" s="37" t="str">
        <f>Roster!M175</f>
        <v>.</v>
      </c>
      <c r="M21" s="37" t="str">
        <f>Roster!N175</f>
        <v>.</v>
      </c>
      <c r="N21" s="37" t="str">
        <f>Roster!O175</f>
        <v>.</v>
      </c>
      <c r="O21" s="37" t="str">
        <f>Roster!P175</f>
        <v>.</v>
      </c>
      <c r="P21" s="37" t="str">
        <f>Roster!Q175</f>
        <v>.</v>
      </c>
      <c r="Q21" s="37" t="str">
        <f>Roster!R175</f>
        <v>.</v>
      </c>
      <c r="R21" s="37" t="str">
        <f>Roster!S175</f>
        <v>.</v>
      </c>
      <c r="S21" s="37" t="str">
        <f>Roster!T175</f>
        <v>.</v>
      </c>
      <c r="T21" s="37" t="str">
        <f>Roster!U175</f>
        <v>.</v>
      </c>
      <c r="U21" s="37" t="str">
        <f>Roster!V175</f>
        <v>.</v>
      </c>
      <c r="V21" s="37" t="str">
        <f>Roster!W175</f>
        <v>.</v>
      </c>
      <c r="W21" s="37" t="str">
        <f>Roster!X175</f>
        <v>.</v>
      </c>
      <c r="X21" s="37" t="str">
        <f>Roster!Y175</f>
        <v>.</v>
      </c>
      <c r="Y21" s="37" t="str">
        <f>Roster!Z175</f>
        <v>.</v>
      </c>
      <c r="Z21" s="37" t="str">
        <f>Roster!AA175</f>
        <v>.</v>
      </c>
      <c r="AA21" s="37" t="str">
        <f>Roster!AB175</f>
        <v>.</v>
      </c>
      <c r="AB21" s="37" t="str">
        <f>Roster!AC175</f>
        <v>.</v>
      </c>
      <c r="AC21" s="37" t="str">
        <f>Roster!AD175</f>
        <v>.</v>
      </c>
      <c r="AD21" s="37" t="str">
        <f>Roster!AE175</f>
        <v>.</v>
      </c>
      <c r="AE21" s="37" t="str">
        <f>Roster!AF175</f>
        <v>.</v>
      </c>
      <c r="AF21" s="37" t="str">
        <f>Roster!AG175</f>
        <v>.</v>
      </c>
      <c r="AG21" s="38" t="str">
        <f>Roster!AH175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We</v>
      </c>
      <c r="D22" s="19" t="str">
        <f t="shared" si="6"/>
        <v>Th</v>
      </c>
      <c r="E22" s="19" t="str">
        <f t="shared" si="6"/>
        <v>Fr</v>
      </c>
      <c r="F22" s="19" t="str">
        <f t="shared" si="6"/>
        <v>Sa</v>
      </c>
      <c r="G22" s="19" t="str">
        <f t="shared" si="6"/>
        <v>Su</v>
      </c>
      <c r="H22" s="19" t="str">
        <f t="shared" si="6"/>
        <v>Mo</v>
      </c>
      <c r="I22" s="19" t="str">
        <f t="shared" si="6"/>
        <v>Tu</v>
      </c>
      <c r="J22" s="19" t="str">
        <f t="shared" si="6"/>
        <v>We</v>
      </c>
      <c r="K22" s="19" t="str">
        <f t="shared" si="6"/>
        <v>Th</v>
      </c>
      <c r="L22" s="19" t="str">
        <f t="shared" si="6"/>
        <v>Fr</v>
      </c>
      <c r="M22" s="19" t="str">
        <f t="shared" si="6"/>
        <v>Sa</v>
      </c>
      <c r="N22" s="19" t="str">
        <f t="shared" si="6"/>
        <v>Su</v>
      </c>
      <c r="O22" s="19" t="str">
        <f t="shared" si="6"/>
        <v>Mo</v>
      </c>
      <c r="P22" s="19" t="str">
        <f t="shared" si="6"/>
        <v>Tu</v>
      </c>
      <c r="Q22" s="19" t="str">
        <f t="shared" si="6"/>
        <v>We</v>
      </c>
      <c r="R22" s="19" t="str">
        <f t="shared" si="6"/>
        <v>Th</v>
      </c>
      <c r="S22" s="19" t="str">
        <f t="shared" si="6"/>
        <v>Fr</v>
      </c>
      <c r="T22" s="19" t="str">
        <f t="shared" si="6"/>
        <v>Sa</v>
      </c>
      <c r="U22" s="19" t="str">
        <f t="shared" si="6"/>
        <v>Su</v>
      </c>
      <c r="V22" s="19" t="str">
        <f t="shared" si="6"/>
        <v>Mo</v>
      </c>
      <c r="W22" s="19" t="str">
        <f t="shared" si="6"/>
        <v>Tu</v>
      </c>
      <c r="X22" s="19" t="str">
        <f t="shared" si="6"/>
        <v>We</v>
      </c>
      <c r="Y22" s="19" t="str">
        <f t="shared" si="6"/>
        <v>Th</v>
      </c>
      <c r="Z22" s="19" t="str">
        <f t="shared" si="6"/>
        <v>Fr</v>
      </c>
      <c r="AA22" s="19" t="str">
        <f t="shared" si="6"/>
        <v>Sa</v>
      </c>
      <c r="AB22" s="19" t="str">
        <f t="shared" si="6"/>
        <v>Su</v>
      </c>
      <c r="AC22" s="19" t="str">
        <f t="shared" si="6"/>
        <v>Mo</v>
      </c>
      <c r="AD22" s="19" t="str">
        <f t="shared" si="6"/>
        <v>Tu</v>
      </c>
      <c r="AE22" s="19" t="str">
        <f t="shared" si="6"/>
        <v>We</v>
      </c>
      <c r="AF22" s="19" t="str">
        <f t="shared" si="6"/>
        <v>Th</v>
      </c>
      <c r="AG22" s="19" t="str">
        <f t="shared" si="6"/>
        <v>Fr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2020</v>
      </c>
      <c r="C24" s="52" t="str">
        <f>Roster!D206</f>
        <v>.</v>
      </c>
      <c r="D24" s="53" t="str">
        <f>Roster!E206</f>
        <v>.</v>
      </c>
      <c r="E24" s="53" t="str">
        <f>Roster!F206</f>
        <v>.</v>
      </c>
      <c r="F24" s="53" t="str">
        <f>Roster!G206</f>
        <v>.</v>
      </c>
      <c r="G24" s="53" t="str">
        <f>Roster!H206</f>
        <v>.</v>
      </c>
      <c r="H24" s="53" t="str">
        <f>Roster!I206</f>
        <v>.</v>
      </c>
      <c r="I24" s="53" t="str">
        <f>Roster!J206</f>
        <v>.</v>
      </c>
      <c r="J24" s="53" t="str">
        <f>Roster!K206</f>
        <v>.</v>
      </c>
      <c r="K24" s="53" t="str">
        <f>Roster!L206</f>
        <v>.</v>
      </c>
      <c r="L24" s="53" t="str">
        <f>Roster!M206</f>
        <v>.</v>
      </c>
      <c r="M24" s="53" t="str">
        <f>Roster!N206</f>
        <v>.</v>
      </c>
      <c r="N24" s="53" t="str">
        <f>Roster!O206</f>
        <v>.</v>
      </c>
      <c r="O24" s="53" t="str">
        <f>Roster!P206</f>
        <v>.</v>
      </c>
      <c r="P24" s="53" t="str">
        <f>Roster!Q206</f>
        <v>.</v>
      </c>
      <c r="Q24" s="53" t="str">
        <f>Roster!R206</f>
        <v>.</v>
      </c>
      <c r="R24" s="53" t="str">
        <f>Roster!S206</f>
        <v>.</v>
      </c>
      <c r="S24" s="53" t="str">
        <f>Roster!T206</f>
        <v>.</v>
      </c>
      <c r="T24" s="53" t="str">
        <f>Roster!U206</f>
        <v>.</v>
      </c>
      <c r="U24" s="53" t="str">
        <f>Roster!V206</f>
        <v>.</v>
      </c>
      <c r="V24" s="53" t="str">
        <f>Roster!W206</f>
        <v>.</v>
      </c>
      <c r="W24" s="53" t="str">
        <f>Roster!X206</f>
        <v>.</v>
      </c>
      <c r="X24" s="53" t="str">
        <f>Roster!Y206</f>
        <v>.</v>
      </c>
      <c r="Y24" s="53" t="str">
        <f>Roster!Z206</f>
        <v>.</v>
      </c>
      <c r="Z24" s="53" t="str">
        <f>Roster!AA206</f>
        <v>.</v>
      </c>
      <c r="AA24" s="53" t="str">
        <f>Roster!AB206</f>
        <v>.</v>
      </c>
      <c r="AB24" s="53" t="str">
        <f>Roster!AC206</f>
        <v>.</v>
      </c>
      <c r="AC24" s="53" t="str">
        <f>Roster!AD206</f>
        <v>.</v>
      </c>
      <c r="AD24" s="53" t="str">
        <f>Roster!AE206</f>
        <v>.</v>
      </c>
      <c r="AE24" s="53" t="str">
        <f>Roster!AF206</f>
        <v>.</v>
      </c>
      <c r="AF24" s="53" t="str">
        <f>Roster!AG206</f>
        <v>.</v>
      </c>
      <c r="AG24" s="54" t="str">
        <f>Roster!AH206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Sa</v>
      </c>
      <c r="D25" s="22" t="str">
        <f t="shared" si="7"/>
        <v>Su</v>
      </c>
      <c r="E25" s="22" t="str">
        <f t="shared" si="7"/>
        <v>Mo</v>
      </c>
      <c r="F25" s="22" t="str">
        <f t="shared" si="7"/>
        <v>Tu</v>
      </c>
      <c r="G25" s="22" t="str">
        <f t="shared" si="7"/>
        <v>We</v>
      </c>
      <c r="H25" s="22" t="str">
        <f t="shared" si="7"/>
        <v>Th</v>
      </c>
      <c r="I25" s="22" t="str">
        <f t="shared" si="7"/>
        <v>Fr</v>
      </c>
      <c r="J25" s="22" t="str">
        <f t="shared" si="7"/>
        <v>Sa</v>
      </c>
      <c r="K25" s="22" t="str">
        <f t="shared" si="7"/>
        <v>Su</v>
      </c>
      <c r="L25" s="22" t="str">
        <f t="shared" si="7"/>
        <v>Mo</v>
      </c>
      <c r="M25" s="22" t="str">
        <f t="shared" si="7"/>
        <v>Tu</v>
      </c>
      <c r="N25" s="22" t="str">
        <f t="shared" si="7"/>
        <v>We</v>
      </c>
      <c r="O25" s="22" t="str">
        <f t="shared" si="7"/>
        <v>Th</v>
      </c>
      <c r="P25" s="22" t="str">
        <f t="shared" si="7"/>
        <v>Fr</v>
      </c>
      <c r="Q25" s="22" t="str">
        <f t="shared" si="7"/>
        <v>Sa</v>
      </c>
      <c r="R25" s="22" t="str">
        <f t="shared" si="7"/>
        <v>Su</v>
      </c>
      <c r="S25" s="22" t="str">
        <f t="shared" si="7"/>
        <v>Mo</v>
      </c>
      <c r="T25" s="22" t="str">
        <f t="shared" si="7"/>
        <v>Tu</v>
      </c>
      <c r="U25" s="22" t="str">
        <f t="shared" si="7"/>
        <v>We</v>
      </c>
      <c r="V25" s="22" t="str">
        <f t="shared" si="7"/>
        <v>Th</v>
      </c>
      <c r="W25" s="22" t="str">
        <f t="shared" si="7"/>
        <v>Fr</v>
      </c>
      <c r="X25" s="22" t="str">
        <f t="shared" si="7"/>
        <v>Sa</v>
      </c>
      <c r="Y25" s="22" t="str">
        <f t="shared" si="7"/>
        <v>Su</v>
      </c>
      <c r="Z25" s="22" t="str">
        <f t="shared" si="7"/>
        <v>Mo</v>
      </c>
      <c r="AA25" s="22" t="str">
        <f t="shared" si="7"/>
        <v>Tu</v>
      </c>
      <c r="AB25" s="22" t="str">
        <f t="shared" si="7"/>
        <v>We</v>
      </c>
      <c r="AC25" s="22" t="str">
        <f t="shared" si="7"/>
        <v>Th</v>
      </c>
      <c r="AD25" s="22" t="str">
        <f t="shared" si="7"/>
        <v>Fr</v>
      </c>
      <c r="AE25" s="122" t="str">
        <f t="shared" si="7"/>
        <v>Sa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6">
        <v>29</v>
      </c>
      <c r="AF26" s="44"/>
    </row>
    <row r="27" spans="2:33" ht="14.4" thickTop="1" thickBot="1">
      <c r="B27" s="32" t="str">
        <f>CurYear</f>
        <v>2020</v>
      </c>
      <c r="C27" s="51" t="str">
        <f>Roster!D237</f>
        <v>.</v>
      </c>
      <c r="D27" s="37" t="str">
        <f>Roster!E237</f>
        <v>.</v>
      </c>
      <c r="E27" s="37" t="str">
        <f>Roster!F237</f>
        <v>.</v>
      </c>
      <c r="F27" s="37" t="str">
        <f>Roster!G237</f>
        <v>.</v>
      </c>
      <c r="G27" s="37" t="str">
        <f>Roster!H237</f>
        <v>.</v>
      </c>
      <c r="H27" s="37" t="str">
        <f>Roster!I237</f>
        <v>.</v>
      </c>
      <c r="I27" s="37" t="str">
        <f>Roster!J237</f>
        <v>.</v>
      </c>
      <c r="J27" s="37" t="str">
        <f>Roster!K237</f>
        <v>.</v>
      </c>
      <c r="K27" s="37" t="str">
        <f>Roster!L237</f>
        <v>.</v>
      </c>
      <c r="L27" s="37" t="str">
        <f>Roster!M237</f>
        <v>.</v>
      </c>
      <c r="M27" s="37" t="str">
        <f>Roster!N237</f>
        <v>.</v>
      </c>
      <c r="N27" s="37" t="str">
        <f>Roster!O237</f>
        <v>.</v>
      </c>
      <c r="O27" s="37" t="str">
        <f>Roster!P237</f>
        <v>.</v>
      </c>
      <c r="P27" s="37" t="str">
        <f>Roster!Q237</f>
        <v>.</v>
      </c>
      <c r="Q27" s="37" t="str">
        <f>Roster!R237</f>
        <v>.</v>
      </c>
      <c r="R27" s="37" t="str">
        <f>Roster!S237</f>
        <v>.</v>
      </c>
      <c r="S27" s="37" t="str">
        <f>Roster!T237</f>
        <v>.</v>
      </c>
      <c r="T27" s="37" t="str">
        <f>Roster!U237</f>
        <v>.</v>
      </c>
      <c r="U27" s="37" t="str">
        <f>Roster!V237</f>
        <v>.</v>
      </c>
      <c r="V27" s="37" t="str">
        <f>Roster!W237</f>
        <v>.</v>
      </c>
      <c r="W27" s="37" t="str">
        <f>Roster!X237</f>
        <v>.</v>
      </c>
      <c r="X27" s="37" t="str">
        <f>Roster!Y237</f>
        <v>.</v>
      </c>
      <c r="Y27" s="37" t="str">
        <f>Roster!Z237</f>
        <v>.</v>
      </c>
      <c r="Z27" s="37" t="str">
        <f>Roster!AA237</f>
        <v>.</v>
      </c>
      <c r="AA27" s="37" t="str">
        <f>Roster!AB237</f>
        <v>.</v>
      </c>
      <c r="AB27" s="37" t="str">
        <f>Roster!AC237</f>
        <v>.</v>
      </c>
      <c r="AC27" s="37" t="str">
        <f>Roster!AD237</f>
        <v>.</v>
      </c>
      <c r="AD27" s="43" t="str">
        <f>Roster!AE237</f>
        <v>.</v>
      </c>
      <c r="AE27" s="121" t="str">
        <f>Roster!AF237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26" t="str">
        <f t="shared" si="8"/>
        <v>Mo</v>
      </c>
      <c r="AG28" s="26" t="str">
        <f t="shared" si="8"/>
        <v>Tu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2020</v>
      </c>
      <c r="C30" s="36" t="str">
        <f>Roster!D268</f>
        <v>.</v>
      </c>
      <c r="D30" s="37" t="str">
        <f>Roster!E268</f>
        <v>.</v>
      </c>
      <c r="E30" s="37" t="str">
        <f>Roster!F268</f>
        <v>.</v>
      </c>
      <c r="F30" s="37" t="str">
        <f>Roster!G268</f>
        <v>.</v>
      </c>
      <c r="G30" s="37" t="str">
        <f>Roster!H268</f>
        <v>.</v>
      </c>
      <c r="H30" s="37" t="str">
        <f>Roster!I268</f>
        <v>.</v>
      </c>
      <c r="I30" s="37" t="str">
        <f>Roster!J268</f>
        <v>.</v>
      </c>
      <c r="J30" s="37" t="str">
        <f>Roster!K268</f>
        <v>.</v>
      </c>
      <c r="K30" s="37" t="str">
        <f>Roster!L268</f>
        <v>.</v>
      </c>
      <c r="L30" s="37" t="str">
        <f>Roster!M268</f>
        <v>.</v>
      </c>
      <c r="M30" s="37" t="str">
        <f>Roster!N268</f>
        <v>.</v>
      </c>
      <c r="N30" s="37" t="str">
        <f>Roster!O268</f>
        <v>.</v>
      </c>
      <c r="O30" s="37" t="str">
        <f>Roster!P268</f>
        <v>.</v>
      </c>
      <c r="P30" s="37" t="str">
        <f>Roster!Q268</f>
        <v>.</v>
      </c>
      <c r="Q30" s="37" t="str">
        <f>Roster!R268</f>
        <v>.</v>
      </c>
      <c r="R30" s="37" t="str">
        <f>Roster!S268</f>
        <v>.</v>
      </c>
      <c r="S30" s="37" t="str">
        <f>Roster!T268</f>
        <v>.</v>
      </c>
      <c r="T30" s="37" t="str">
        <f>Roster!U268</f>
        <v>.</v>
      </c>
      <c r="U30" s="37" t="str">
        <f>Roster!V268</f>
        <v>.</v>
      </c>
      <c r="V30" s="37" t="str">
        <f>Roster!W268</f>
        <v>.</v>
      </c>
      <c r="W30" s="37" t="str">
        <f>Roster!X268</f>
        <v>.</v>
      </c>
      <c r="X30" s="37" t="str">
        <f>Roster!Y268</f>
        <v>.</v>
      </c>
      <c r="Y30" s="37" t="str">
        <f>Roster!Z268</f>
        <v>.</v>
      </c>
      <c r="Z30" s="37" t="str">
        <f>Roster!AA268</f>
        <v>.</v>
      </c>
      <c r="AA30" s="37" t="str">
        <f>Roster!AB268</f>
        <v>.</v>
      </c>
      <c r="AB30" s="37" t="str">
        <f>Roster!AC268</f>
        <v>.</v>
      </c>
      <c r="AC30" s="37" t="str">
        <f>Roster!AD268</f>
        <v>.</v>
      </c>
      <c r="AD30" s="37" t="str">
        <f>Roster!AE268</f>
        <v>.</v>
      </c>
      <c r="AE30" s="37" t="str">
        <f>Roster!AF268</f>
        <v>.</v>
      </c>
      <c r="AF30" s="37" t="str">
        <f>Roster!AG268</f>
        <v>.</v>
      </c>
      <c r="AG30" s="38" t="str">
        <f>Roster!AH268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2020</v>
      </c>
      <c r="C33" s="36" t="str">
        <f>Roster!D299</f>
        <v>.</v>
      </c>
      <c r="D33" s="37" t="str">
        <f>Roster!E299</f>
        <v>.</v>
      </c>
      <c r="E33" s="37" t="str">
        <f>Roster!F299</f>
        <v>.</v>
      </c>
      <c r="F33" s="37" t="str">
        <f>Roster!G299</f>
        <v>.</v>
      </c>
      <c r="G33" s="37" t="str">
        <f>Roster!H299</f>
        <v>.</v>
      </c>
      <c r="H33" s="37" t="str">
        <f>Roster!I299</f>
        <v>.</v>
      </c>
      <c r="I33" s="37" t="str">
        <f>Roster!J299</f>
        <v>.</v>
      </c>
      <c r="J33" s="37" t="str">
        <f>Roster!K299</f>
        <v>.</v>
      </c>
      <c r="K33" s="37" t="str">
        <f>Roster!L299</f>
        <v>.</v>
      </c>
      <c r="L33" s="37" t="str">
        <f>Roster!M299</f>
        <v>.</v>
      </c>
      <c r="M33" s="37" t="str">
        <f>Roster!N299</f>
        <v>.</v>
      </c>
      <c r="N33" s="37" t="str">
        <f>Roster!O299</f>
        <v>.</v>
      </c>
      <c r="O33" s="37" t="str">
        <f>Roster!P299</f>
        <v>.</v>
      </c>
      <c r="P33" s="37" t="str">
        <f>Roster!Q299</f>
        <v>.</v>
      </c>
      <c r="Q33" s="37" t="str">
        <f>Roster!R299</f>
        <v>.</v>
      </c>
      <c r="R33" s="37" t="str">
        <f>Roster!S299</f>
        <v>.</v>
      </c>
      <c r="S33" s="37" t="str">
        <f>Roster!T299</f>
        <v>.</v>
      </c>
      <c r="T33" s="37" t="str">
        <f>Roster!U299</f>
        <v>.</v>
      </c>
      <c r="U33" s="37" t="str">
        <f>Roster!V299</f>
        <v>.</v>
      </c>
      <c r="V33" s="37" t="str">
        <f>Roster!W299</f>
        <v>.</v>
      </c>
      <c r="W33" s="37" t="str">
        <f>Roster!X299</f>
        <v>.</v>
      </c>
      <c r="X33" s="37" t="str">
        <f>Roster!Y299</f>
        <v>.</v>
      </c>
      <c r="Y33" s="37" t="str">
        <f>Roster!Z299</f>
        <v>.</v>
      </c>
      <c r="Z33" s="37" t="str">
        <f>Roster!AA299</f>
        <v>.</v>
      </c>
      <c r="AA33" s="37" t="str">
        <f>Roster!AB299</f>
        <v>.</v>
      </c>
      <c r="AB33" s="37" t="str">
        <f>Roster!AC299</f>
        <v>.</v>
      </c>
      <c r="AC33" s="37" t="str">
        <f>Roster!AD299</f>
        <v>.</v>
      </c>
      <c r="AD33" s="37" t="str">
        <f>Roster!AE299</f>
        <v>.</v>
      </c>
      <c r="AE33" s="37" t="str">
        <f>Roster!AF299</f>
        <v>.</v>
      </c>
      <c r="AF33" s="38" t="str">
        <f>Roster!AG299</f>
        <v>.</v>
      </c>
    </row>
    <row r="34" spans="2:33" ht="14.4" thickTop="1" thickBot="1"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20" t="str">
        <f t="shared" si="10"/>
        <v>Su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2020</v>
      </c>
      <c r="C36" s="36" t="str">
        <f>Roster!D330</f>
        <v>.</v>
      </c>
      <c r="D36" s="37" t="str">
        <f>Roster!E330</f>
        <v>.</v>
      </c>
      <c r="E36" s="37" t="str">
        <f>Roster!F330</f>
        <v>.</v>
      </c>
      <c r="F36" s="37" t="str">
        <f>Roster!G330</f>
        <v>.</v>
      </c>
      <c r="G36" s="37" t="str">
        <f>Roster!H330</f>
        <v>.</v>
      </c>
      <c r="H36" s="37" t="str">
        <f>Roster!I330</f>
        <v>.</v>
      </c>
      <c r="I36" s="37" t="str">
        <f>Roster!J330</f>
        <v>.</v>
      </c>
      <c r="J36" s="37" t="str">
        <f>Roster!K330</f>
        <v>.</v>
      </c>
      <c r="K36" s="37" t="str">
        <f>Roster!L330</f>
        <v>.</v>
      </c>
      <c r="L36" s="37" t="str">
        <f>Roster!M330</f>
        <v>.</v>
      </c>
      <c r="M36" s="37" t="str">
        <f>Roster!N330</f>
        <v>.</v>
      </c>
      <c r="N36" s="37" t="str">
        <f>Roster!O330</f>
        <v>.</v>
      </c>
      <c r="O36" s="37" t="str">
        <f>Roster!P330</f>
        <v>.</v>
      </c>
      <c r="P36" s="37" t="str">
        <f>Roster!Q330</f>
        <v>.</v>
      </c>
      <c r="Q36" s="37" t="str">
        <f>Roster!R330</f>
        <v>.</v>
      </c>
      <c r="R36" s="37" t="str">
        <f>Roster!S330</f>
        <v>.</v>
      </c>
      <c r="S36" s="37" t="str">
        <f>Roster!T330</f>
        <v>.</v>
      </c>
      <c r="T36" s="37" t="str">
        <f>Roster!U330</f>
        <v>.</v>
      </c>
      <c r="U36" s="37" t="str">
        <f>Roster!V330</f>
        <v>.</v>
      </c>
      <c r="V36" s="37" t="str">
        <f>Roster!W330</f>
        <v>.</v>
      </c>
      <c r="W36" s="37" t="str">
        <f>Roster!X330</f>
        <v>.</v>
      </c>
      <c r="X36" s="37" t="str">
        <f>Roster!Y330</f>
        <v>.</v>
      </c>
      <c r="Y36" s="37" t="str">
        <f>Roster!Z330</f>
        <v>.</v>
      </c>
      <c r="Z36" s="37" t="str">
        <f>Roster!AA330</f>
        <v>.</v>
      </c>
      <c r="AA36" s="37" t="str">
        <f>Roster!AB330</f>
        <v>.</v>
      </c>
      <c r="AB36" s="37" t="str">
        <f>Roster!AC330</f>
        <v>.</v>
      </c>
      <c r="AC36" s="37" t="str">
        <f>Roster!AD330</f>
        <v>.</v>
      </c>
      <c r="AD36" s="37" t="str">
        <f>Roster!AE330</f>
        <v>.</v>
      </c>
      <c r="AE36" s="37" t="str">
        <f>Roster!AF330</f>
        <v>.</v>
      </c>
      <c r="AF36" s="37" t="str">
        <f>Roster!AG330</f>
        <v>.</v>
      </c>
      <c r="AG36" s="38" t="str">
        <f>Roster!AH330</f>
        <v>.</v>
      </c>
    </row>
    <row r="37" spans="2:33" ht="14.4" thickTop="1" thickBot="1"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2020</v>
      </c>
      <c r="C39" s="36" t="str">
        <f>Roster!D361</f>
        <v>.</v>
      </c>
      <c r="D39" s="37" t="str">
        <f>Roster!E361</f>
        <v>.</v>
      </c>
      <c r="E39" s="37" t="str">
        <f>Roster!F361</f>
        <v>.</v>
      </c>
      <c r="F39" s="37" t="str">
        <f>Roster!G361</f>
        <v>.</v>
      </c>
      <c r="G39" s="37" t="str">
        <f>Roster!H361</f>
        <v>.</v>
      </c>
      <c r="H39" s="37" t="str">
        <f>Roster!I361</f>
        <v>.</v>
      </c>
      <c r="I39" s="37" t="str">
        <f>Roster!J361</f>
        <v>.</v>
      </c>
      <c r="J39" s="37" t="str">
        <f>Roster!K361</f>
        <v>.</v>
      </c>
      <c r="K39" s="37" t="str">
        <f>Roster!L361</f>
        <v>.</v>
      </c>
      <c r="L39" s="37" t="str">
        <f>Roster!M361</f>
        <v>.</v>
      </c>
      <c r="M39" s="37" t="str">
        <f>Roster!N361</f>
        <v>.</v>
      </c>
      <c r="N39" s="37" t="str">
        <f>Roster!O361</f>
        <v>.</v>
      </c>
      <c r="O39" s="37" t="str">
        <f>Roster!P361</f>
        <v>.</v>
      </c>
      <c r="P39" s="37" t="str">
        <f>Roster!Q361</f>
        <v>.</v>
      </c>
      <c r="Q39" s="37" t="str">
        <f>Roster!R361</f>
        <v>.</v>
      </c>
      <c r="R39" s="37" t="str">
        <f>Roster!S361</f>
        <v>.</v>
      </c>
      <c r="S39" s="37" t="str">
        <f>Roster!T361</f>
        <v>.</v>
      </c>
      <c r="T39" s="37" t="str">
        <f>Roster!U361</f>
        <v>.</v>
      </c>
      <c r="U39" s="37" t="str">
        <f>Roster!V361</f>
        <v>.</v>
      </c>
      <c r="V39" s="37" t="str">
        <f>Roster!W361</f>
        <v>.</v>
      </c>
      <c r="W39" s="37" t="str">
        <f>Roster!X361</f>
        <v>.</v>
      </c>
      <c r="X39" s="37" t="str">
        <f>Roster!Y361</f>
        <v>.</v>
      </c>
      <c r="Y39" s="37" t="str">
        <f>Roster!Z361</f>
        <v>.</v>
      </c>
      <c r="Z39" s="37" t="str">
        <f>Roster!AA361</f>
        <v>.</v>
      </c>
      <c r="AA39" s="37" t="str">
        <f>Roster!AB361</f>
        <v>.</v>
      </c>
      <c r="AB39" s="37" t="str">
        <f>Roster!AC361</f>
        <v>.</v>
      </c>
      <c r="AC39" s="37" t="str">
        <f>Roster!AD361</f>
        <v>.</v>
      </c>
      <c r="AD39" s="37" t="str">
        <f>Roster!AE361</f>
        <v>.</v>
      </c>
      <c r="AE39" s="37" t="str">
        <f>Roster!AF361</f>
        <v>.</v>
      </c>
      <c r="AF39" s="38" t="str">
        <f>Roster!AG361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8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2019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31"/>
      <c r="I3" s="133" t="s">
        <v>25</v>
      </c>
      <c r="R3" s="133" t="str">
        <f>EmpGName08 &amp;" " &amp; EmpSName08</f>
        <v>Charlie Horse</v>
      </c>
      <c r="S3" s="132"/>
      <c r="T3" s="132"/>
      <c r="U3" s="132"/>
      <c r="V3" s="132"/>
      <c r="W3" s="132"/>
      <c r="X3" s="132"/>
      <c r="Y3" s="132"/>
      <c r="Z3" s="132"/>
      <c r="AA3" s="132"/>
      <c r="AB3" s="132"/>
      <c r="AC3" s="132"/>
    </row>
    <row r="4" spans="2:33" ht="13.8" thickBot="1">
      <c r="C4" s="28" t="str">
        <f t="shared" ref="C4:AG4" si="0">LEFT(TEXT(C5&amp;"-"&amp;$B5&amp;"-"&amp;CurYear-1,"ddd"),2)</f>
        <v>Mo</v>
      </c>
      <c r="D4" s="28" t="str">
        <f t="shared" si="0"/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20" t="str">
        <f t="shared" si="0"/>
        <v>We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2019</v>
      </c>
      <c r="C6" s="36" t="str">
        <f>Roster!D21</f>
        <v>.</v>
      </c>
      <c r="D6" s="37" t="str">
        <f>Roster!E21</f>
        <v>.</v>
      </c>
      <c r="E6" s="37" t="str">
        <f>Roster!F21</f>
        <v>.</v>
      </c>
      <c r="F6" s="37" t="str">
        <f>Roster!G21</f>
        <v>.</v>
      </c>
      <c r="G6" s="37" t="str">
        <f>Roster!H21</f>
        <v>.</v>
      </c>
      <c r="H6" s="37" t="str">
        <f>Roster!I21</f>
        <v>.</v>
      </c>
      <c r="I6" s="37" t="str">
        <f>Roster!J21</f>
        <v>.</v>
      </c>
      <c r="J6" s="37" t="str">
        <f>Roster!K21</f>
        <v>.</v>
      </c>
      <c r="K6" s="37" t="str">
        <f>Roster!L21</f>
        <v>.</v>
      </c>
      <c r="L6" s="37" t="str">
        <f>Roster!M21</f>
        <v>.</v>
      </c>
      <c r="M6" s="37" t="str">
        <f>Roster!N21</f>
        <v>.</v>
      </c>
      <c r="N6" s="37" t="str">
        <f>Roster!O21</f>
        <v>.</v>
      </c>
      <c r="O6" s="37" t="str">
        <f>Roster!P21</f>
        <v>.</v>
      </c>
      <c r="P6" s="37" t="str">
        <f>Roster!Q21</f>
        <v>.</v>
      </c>
      <c r="Q6" s="37" t="str">
        <f>Roster!R21</f>
        <v>.</v>
      </c>
      <c r="R6" s="37" t="str">
        <f>Roster!S21</f>
        <v>.</v>
      </c>
      <c r="S6" s="37" t="str">
        <f>Roster!T21</f>
        <v>.</v>
      </c>
      <c r="T6" s="37" t="str">
        <f>Roster!U21</f>
        <v>.</v>
      </c>
      <c r="U6" s="37" t="str">
        <f>Roster!V21</f>
        <v>.</v>
      </c>
      <c r="V6" s="37" t="str">
        <f>Roster!W21</f>
        <v>.</v>
      </c>
      <c r="W6" s="37" t="str">
        <f>Roster!X21</f>
        <v>.</v>
      </c>
      <c r="X6" s="37" t="str">
        <f>Roster!Y21</f>
        <v>.</v>
      </c>
      <c r="Y6" s="37" t="str">
        <f>Roster!Z21</f>
        <v>.</v>
      </c>
      <c r="Z6" s="37" t="str">
        <f>Roster!AA21</f>
        <v>.</v>
      </c>
      <c r="AA6" s="37" t="str">
        <f>Roster!AB21</f>
        <v>.</v>
      </c>
      <c r="AB6" s="37" t="str">
        <f>Roster!AC21</f>
        <v>.</v>
      </c>
      <c r="AC6" s="37" t="str">
        <f>Roster!AD21</f>
        <v>.</v>
      </c>
      <c r="AD6" s="37" t="str">
        <f>Roster!AE21</f>
        <v>.</v>
      </c>
      <c r="AE6" s="37" t="str">
        <f>Roster!AF21</f>
        <v>.</v>
      </c>
      <c r="AF6" s="37" t="str">
        <f>Roster!AG21</f>
        <v>.</v>
      </c>
      <c r="AG6" s="38" t="str">
        <f>Roster!AH21</f>
        <v>.</v>
      </c>
    </row>
    <row r="7" spans="2:33" ht="14.4" thickTop="1" thickBot="1"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21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2019</v>
      </c>
      <c r="C9" s="36" t="str">
        <f>Roster!D52</f>
        <v>.</v>
      </c>
      <c r="D9" s="39" t="str">
        <f>Roster!E52</f>
        <v>.</v>
      </c>
      <c r="E9" s="37" t="str">
        <f>Roster!F52</f>
        <v>.</v>
      </c>
      <c r="F9" s="37" t="str">
        <f>Roster!G52</f>
        <v>.</v>
      </c>
      <c r="G9" s="37" t="str">
        <f>Roster!H52</f>
        <v>.</v>
      </c>
      <c r="H9" s="37" t="str">
        <f>Roster!I52</f>
        <v>.</v>
      </c>
      <c r="I9" s="37" t="str">
        <f>Roster!J52</f>
        <v>.</v>
      </c>
      <c r="J9" s="37" t="str">
        <f>Roster!K52</f>
        <v>.</v>
      </c>
      <c r="K9" s="37" t="str">
        <f>Roster!L52</f>
        <v>.</v>
      </c>
      <c r="L9" s="37" t="str">
        <f>Roster!M52</f>
        <v>.</v>
      </c>
      <c r="M9" s="37" t="str">
        <f>Roster!N52</f>
        <v>.</v>
      </c>
      <c r="N9" s="37" t="str">
        <f>Roster!O52</f>
        <v>.</v>
      </c>
      <c r="O9" s="37" t="str">
        <f>Roster!P52</f>
        <v>.</v>
      </c>
      <c r="P9" s="37" t="str">
        <f>Roster!Q52</f>
        <v>.</v>
      </c>
      <c r="Q9" s="37" t="str">
        <f>Roster!R52</f>
        <v>.</v>
      </c>
      <c r="R9" s="37" t="str">
        <f>Roster!S52</f>
        <v>.</v>
      </c>
      <c r="S9" s="37" t="str">
        <f>Roster!T52</f>
        <v>.</v>
      </c>
      <c r="T9" s="37" t="str">
        <f>Roster!U52</f>
        <v>.</v>
      </c>
      <c r="U9" s="37" t="str">
        <f>Roster!V52</f>
        <v>.</v>
      </c>
      <c r="V9" s="37" t="str">
        <f>Roster!W52</f>
        <v>.</v>
      </c>
      <c r="W9" s="37" t="str">
        <f>Roster!X52</f>
        <v>.</v>
      </c>
      <c r="X9" s="37" t="str">
        <f>Roster!Y52</f>
        <v>.</v>
      </c>
      <c r="Y9" s="37" t="str">
        <f>Roster!Z52</f>
        <v>.</v>
      </c>
      <c r="Z9" s="37" t="str">
        <f>Roster!AA52</f>
        <v>.</v>
      </c>
      <c r="AA9" s="37" t="str">
        <f>Roster!AB52</f>
        <v>.</v>
      </c>
      <c r="AB9" s="37" t="str">
        <f>Roster!AC52</f>
        <v>.</v>
      </c>
      <c r="AC9" s="37" t="str">
        <f>Roster!AD52</f>
        <v>.</v>
      </c>
      <c r="AD9" s="37" t="str">
        <f>Roster!AE52</f>
        <v>.</v>
      </c>
      <c r="AE9" s="37" t="str">
        <f>Roster!AF52</f>
        <v>.</v>
      </c>
      <c r="AF9" s="37" t="str">
        <f>Roster!AG52</f>
        <v>.</v>
      </c>
      <c r="AG9" s="38" t="str">
        <f>Roster!AH52</f>
        <v>.</v>
      </c>
    </row>
    <row r="10" spans="2:33" ht="14.4" thickTop="1" thickBot="1"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1" t="str">
        <f t="shared" si="2"/>
        <v>Su</v>
      </c>
      <c r="AF10" s="21" t="str">
        <f t="shared" si="2"/>
        <v>Mo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2019</v>
      </c>
      <c r="C12" s="36" t="str">
        <f>Roster!D83</f>
        <v>.</v>
      </c>
      <c r="D12" s="37" t="str">
        <f>Roster!E83</f>
        <v>.</v>
      </c>
      <c r="E12" s="37" t="str">
        <f>Roster!F83</f>
        <v>.</v>
      </c>
      <c r="F12" s="37" t="str">
        <f>Roster!G83</f>
        <v>.</v>
      </c>
      <c r="G12" s="37" t="str">
        <f>Roster!H83</f>
        <v>.</v>
      </c>
      <c r="H12" s="37" t="str">
        <f>Roster!I83</f>
        <v>.</v>
      </c>
      <c r="I12" s="37" t="str">
        <f>Roster!J83</f>
        <v>.</v>
      </c>
      <c r="J12" s="37" t="str">
        <f>Roster!K83</f>
        <v>.</v>
      </c>
      <c r="K12" s="37" t="str">
        <f>Roster!L83</f>
        <v>.</v>
      </c>
      <c r="L12" s="37" t="str">
        <f>Roster!M83</f>
        <v>.</v>
      </c>
      <c r="M12" s="37" t="str">
        <f>Roster!N83</f>
        <v>.</v>
      </c>
      <c r="N12" s="37" t="str">
        <f>Roster!O83</f>
        <v>.</v>
      </c>
      <c r="O12" s="37" t="str">
        <f>Roster!P83</f>
        <v>.</v>
      </c>
      <c r="P12" s="37" t="str">
        <f>Roster!Q83</f>
        <v>.</v>
      </c>
      <c r="Q12" s="37" t="str">
        <f>Roster!R83</f>
        <v>.</v>
      </c>
      <c r="R12" s="37" t="str">
        <f>Roster!S83</f>
        <v>.</v>
      </c>
      <c r="S12" s="37" t="str">
        <f>Roster!T83</f>
        <v>.</v>
      </c>
      <c r="T12" s="37" t="str">
        <f>Roster!U83</f>
        <v>.</v>
      </c>
      <c r="U12" s="37" t="str">
        <f>Roster!V83</f>
        <v>.</v>
      </c>
      <c r="V12" s="37" t="str">
        <f>Roster!W83</f>
        <v>.</v>
      </c>
      <c r="W12" s="37" t="str">
        <f>Roster!X83</f>
        <v>.</v>
      </c>
      <c r="X12" s="37" t="str">
        <f>Roster!Y83</f>
        <v>.</v>
      </c>
      <c r="Y12" s="37" t="str">
        <f>Roster!Z83</f>
        <v>.</v>
      </c>
      <c r="Z12" s="37" t="str">
        <f>Roster!AA83</f>
        <v>.</v>
      </c>
      <c r="AA12" s="37" t="str">
        <f>Roster!AB83</f>
        <v>.</v>
      </c>
      <c r="AB12" s="37" t="str">
        <f>Roster!AC83</f>
        <v>.</v>
      </c>
      <c r="AC12" s="37" t="str">
        <f>Roster!AD83</f>
        <v>.</v>
      </c>
      <c r="AD12" s="37" t="str">
        <f>Roster!AE83</f>
        <v>.</v>
      </c>
      <c r="AE12" s="37" t="str">
        <f>Roster!AF83</f>
        <v>.</v>
      </c>
      <c r="AF12" s="38" t="str">
        <f>Roster!AG83</f>
        <v>.</v>
      </c>
    </row>
    <row r="13" spans="2:33" ht="14.4" thickTop="1" thickBot="1"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20" t="str">
        <f t="shared" si="3"/>
        <v>Th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2019</v>
      </c>
      <c r="C15" s="36" t="str">
        <f>Roster!D114</f>
        <v>.</v>
      </c>
      <c r="D15" s="37" t="str">
        <f>Roster!E114</f>
        <v>.</v>
      </c>
      <c r="E15" s="37" t="str">
        <f>Roster!F114</f>
        <v>.</v>
      </c>
      <c r="F15" s="37" t="str">
        <f>Roster!G114</f>
        <v>.</v>
      </c>
      <c r="G15" s="37" t="str">
        <f>Roster!H114</f>
        <v>.</v>
      </c>
      <c r="H15" s="37" t="str">
        <f>Roster!I114</f>
        <v>.</v>
      </c>
      <c r="I15" s="37" t="str">
        <f>Roster!J114</f>
        <v>.</v>
      </c>
      <c r="J15" s="37" t="str">
        <f>Roster!K114</f>
        <v>.</v>
      </c>
      <c r="K15" s="37" t="str">
        <f>Roster!L114</f>
        <v>.</v>
      </c>
      <c r="L15" s="37" t="str">
        <f>Roster!M114</f>
        <v>.</v>
      </c>
      <c r="M15" s="37" t="str">
        <f>Roster!N114</f>
        <v>.</v>
      </c>
      <c r="N15" s="37" t="str">
        <f>Roster!O114</f>
        <v>.</v>
      </c>
      <c r="O15" s="37" t="str">
        <f>Roster!P114</f>
        <v>.</v>
      </c>
      <c r="P15" s="37" t="str">
        <f>Roster!Q114</f>
        <v>.</v>
      </c>
      <c r="Q15" s="37" t="str">
        <f>Roster!R114</f>
        <v>.</v>
      </c>
      <c r="R15" s="37" t="str">
        <f>Roster!S114</f>
        <v>.</v>
      </c>
      <c r="S15" s="37" t="str">
        <f>Roster!T114</f>
        <v>.</v>
      </c>
      <c r="T15" s="37" t="str">
        <f>Roster!U114</f>
        <v>.</v>
      </c>
      <c r="U15" s="37" t="str">
        <f>Roster!V114</f>
        <v>.</v>
      </c>
      <c r="V15" s="37" t="str">
        <f>Roster!W114</f>
        <v>.</v>
      </c>
      <c r="W15" s="37" t="str">
        <f>Roster!X114</f>
        <v>.</v>
      </c>
      <c r="X15" s="37" t="str">
        <f>Roster!Y114</f>
        <v>.</v>
      </c>
      <c r="Y15" s="37" t="str">
        <f>Roster!Z114</f>
        <v>.</v>
      </c>
      <c r="Z15" s="37" t="str">
        <f>Roster!AA114</f>
        <v>.</v>
      </c>
      <c r="AA15" s="37" t="str">
        <f>Roster!AB114</f>
        <v>.</v>
      </c>
      <c r="AB15" s="37" t="str">
        <f>Roster!AC114</f>
        <v>.</v>
      </c>
      <c r="AC15" s="37" t="str">
        <f>Roster!AD114</f>
        <v>.</v>
      </c>
      <c r="AD15" s="37" t="str">
        <f>Roster!AE114</f>
        <v>.</v>
      </c>
      <c r="AE15" s="37" t="str">
        <f>Roster!AF114</f>
        <v>.</v>
      </c>
      <c r="AF15" s="37" t="str">
        <f>Roster!AG114</f>
        <v>.</v>
      </c>
      <c r="AG15" s="38" t="str">
        <f>Roster!AH114</f>
        <v>.</v>
      </c>
    </row>
    <row r="16" spans="2:33" ht="14.4" thickTop="1" thickBot="1"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2019</v>
      </c>
      <c r="C18" s="36" t="str">
        <f>Roster!D145</f>
        <v>.</v>
      </c>
      <c r="D18" s="37" t="str">
        <f>Roster!E145</f>
        <v>.</v>
      </c>
      <c r="E18" s="37" t="str">
        <f>Roster!F145</f>
        <v>.</v>
      </c>
      <c r="F18" s="37" t="str">
        <f>Roster!G145</f>
        <v>.</v>
      </c>
      <c r="G18" s="37" t="str">
        <f>Roster!H145</f>
        <v>.</v>
      </c>
      <c r="H18" s="37" t="str">
        <f>Roster!I145</f>
        <v>.</v>
      </c>
      <c r="I18" s="37" t="str">
        <f>Roster!J145</f>
        <v>.</v>
      </c>
      <c r="J18" s="37" t="str">
        <f>Roster!K145</f>
        <v>.</v>
      </c>
      <c r="K18" s="37" t="str">
        <f>Roster!L145</f>
        <v>.</v>
      </c>
      <c r="L18" s="37" t="str">
        <f>Roster!M145</f>
        <v>.</v>
      </c>
      <c r="M18" s="37" t="str">
        <f>Roster!N145</f>
        <v>.</v>
      </c>
      <c r="N18" s="37" t="str">
        <f>Roster!O145</f>
        <v>.</v>
      </c>
      <c r="O18" s="37" t="str">
        <f>Roster!P145</f>
        <v>.</v>
      </c>
      <c r="P18" s="37" t="str">
        <f>Roster!Q145</f>
        <v>.</v>
      </c>
      <c r="Q18" s="37" t="str">
        <f>Roster!R145</f>
        <v>.</v>
      </c>
      <c r="R18" s="37" t="str">
        <f>Roster!S145</f>
        <v>.</v>
      </c>
      <c r="S18" s="37" t="str">
        <f>Roster!T145</f>
        <v>.</v>
      </c>
      <c r="T18" s="37" t="str">
        <f>Roster!U145</f>
        <v>.</v>
      </c>
      <c r="U18" s="37" t="str">
        <f>Roster!V145</f>
        <v>.</v>
      </c>
      <c r="V18" s="37" t="str">
        <f>Roster!W145</f>
        <v>.</v>
      </c>
      <c r="W18" s="37" t="str">
        <f>Roster!X145</f>
        <v>.</v>
      </c>
      <c r="X18" s="37" t="str">
        <f>Roster!Y145</f>
        <v>.</v>
      </c>
      <c r="Y18" s="37" t="str">
        <f>Roster!Z145</f>
        <v>.</v>
      </c>
      <c r="Z18" s="37" t="str">
        <f>Roster!AA145</f>
        <v>.</v>
      </c>
      <c r="AA18" s="37" t="str">
        <f>Roster!AB145</f>
        <v>.</v>
      </c>
      <c r="AB18" s="37" t="str">
        <f>Roster!AC145</f>
        <v>.</v>
      </c>
      <c r="AC18" s="37" t="str">
        <f>Roster!AD145</f>
        <v>.</v>
      </c>
      <c r="AD18" s="37" t="str">
        <f>Roster!AE145</f>
        <v>.</v>
      </c>
      <c r="AE18" s="37" t="str">
        <f>Roster!AF145</f>
        <v>.</v>
      </c>
      <c r="AF18" s="38" t="str">
        <f>Roster!AG145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2019</v>
      </c>
      <c r="C21" s="36" t="str">
        <f>Roster!D176</f>
        <v>.</v>
      </c>
      <c r="D21" s="37" t="str">
        <f>Roster!E176</f>
        <v>.</v>
      </c>
      <c r="E21" s="37" t="str">
        <f>Roster!F176</f>
        <v>.</v>
      </c>
      <c r="F21" s="37" t="str">
        <f>Roster!G176</f>
        <v>.</v>
      </c>
      <c r="G21" s="37" t="str">
        <f>Roster!H176</f>
        <v>.</v>
      </c>
      <c r="H21" s="37" t="str">
        <f>Roster!I176</f>
        <v>.</v>
      </c>
      <c r="I21" s="37" t="str">
        <f>Roster!J176</f>
        <v>.</v>
      </c>
      <c r="J21" s="37" t="str">
        <f>Roster!K176</f>
        <v>.</v>
      </c>
      <c r="K21" s="37" t="str">
        <f>Roster!L176</f>
        <v>.</v>
      </c>
      <c r="L21" s="37" t="str">
        <f>Roster!M176</f>
        <v>.</v>
      </c>
      <c r="M21" s="37" t="str">
        <f>Roster!N176</f>
        <v>.</v>
      </c>
      <c r="N21" s="37" t="str">
        <f>Roster!O176</f>
        <v>.</v>
      </c>
      <c r="O21" s="37" t="str">
        <f>Roster!P176</f>
        <v>.</v>
      </c>
      <c r="P21" s="37" t="str">
        <f>Roster!Q176</f>
        <v>.</v>
      </c>
      <c r="Q21" s="37" t="str">
        <f>Roster!R176</f>
        <v>.</v>
      </c>
      <c r="R21" s="37" t="str">
        <f>Roster!S176</f>
        <v>.</v>
      </c>
      <c r="S21" s="37" t="str">
        <f>Roster!T176</f>
        <v>.</v>
      </c>
      <c r="T21" s="37" t="str">
        <f>Roster!U176</f>
        <v>.</v>
      </c>
      <c r="U21" s="37" t="str">
        <f>Roster!V176</f>
        <v>.</v>
      </c>
      <c r="V21" s="37" t="str">
        <f>Roster!W176</f>
        <v>.</v>
      </c>
      <c r="W21" s="37" t="str">
        <f>Roster!X176</f>
        <v>.</v>
      </c>
      <c r="X21" s="37" t="str">
        <f>Roster!Y176</f>
        <v>.</v>
      </c>
      <c r="Y21" s="37" t="str">
        <f>Roster!Z176</f>
        <v>.</v>
      </c>
      <c r="Z21" s="37" t="str">
        <f>Roster!AA176</f>
        <v>.</v>
      </c>
      <c r="AA21" s="37" t="str">
        <f>Roster!AB176</f>
        <v>.</v>
      </c>
      <c r="AB21" s="37" t="str">
        <f>Roster!AC176</f>
        <v>.</v>
      </c>
      <c r="AC21" s="37" t="str">
        <f>Roster!AD176</f>
        <v>.</v>
      </c>
      <c r="AD21" s="37" t="str">
        <f>Roster!AE176</f>
        <v>.</v>
      </c>
      <c r="AE21" s="37" t="str">
        <f>Roster!AF176</f>
        <v>.</v>
      </c>
      <c r="AF21" s="37" t="str">
        <f>Roster!AG176</f>
        <v>.</v>
      </c>
      <c r="AG21" s="38" t="str">
        <f>Roster!AH176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We</v>
      </c>
      <c r="D22" s="19" t="str">
        <f t="shared" si="6"/>
        <v>Th</v>
      </c>
      <c r="E22" s="19" t="str">
        <f t="shared" si="6"/>
        <v>Fr</v>
      </c>
      <c r="F22" s="19" t="str">
        <f t="shared" si="6"/>
        <v>Sa</v>
      </c>
      <c r="G22" s="19" t="str">
        <f t="shared" si="6"/>
        <v>Su</v>
      </c>
      <c r="H22" s="19" t="str">
        <f t="shared" si="6"/>
        <v>Mo</v>
      </c>
      <c r="I22" s="19" t="str">
        <f t="shared" si="6"/>
        <v>Tu</v>
      </c>
      <c r="J22" s="19" t="str">
        <f t="shared" si="6"/>
        <v>We</v>
      </c>
      <c r="K22" s="19" t="str">
        <f t="shared" si="6"/>
        <v>Th</v>
      </c>
      <c r="L22" s="19" t="str">
        <f t="shared" si="6"/>
        <v>Fr</v>
      </c>
      <c r="M22" s="19" t="str">
        <f t="shared" si="6"/>
        <v>Sa</v>
      </c>
      <c r="N22" s="19" t="str">
        <f t="shared" si="6"/>
        <v>Su</v>
      </c>
      <c r="O22" s="19" t="str">
        <f t="shared" si="6"/>
        <v>Mo</v>
      </c>
      <c r="P22" s="19" t="str">
        <f t="shared" si="6"/>
        <v>Tu</v>
      </c>
      <c r="Q22" s="19" t="str">
        <f t="shared" si="6"/>
        <v>We</v>
      </c>
      <c r="R22" s="19" t="str">
        <f t="shared" si="6"/>
        <v>Th</v>
      </c>
      <c r="S22" s="19" t="str">
        <f t="shared" si="6"/>
        <v>Fr</v>
      </c>
      <c r="T22" s="19" t="str">
        <f t="shared" si="6"/>
        <v>Sa</v>
      </c>
      <c r="U22" s="19" t="str">
        <f t="shared" si="6"/>
        <v>Su</v>
      </c>
      <c r="V22" s="19" t="str">
        <f t="shared" si="6"/>
        <v>Mo</v>
      </c>
      <c r="W22" s="19" t="str">
        <f t="shared" si="6"/>
        <v>Tu</v>
      </c>
      <c r="X22" s="19" t="str">
        <f t="shared" si="6"/>
        <v>We</v>
      </c>
      <c r="Y22" s="19" t="str">
        <f t="shared" si="6"/>
        <v>Th</v>
      </c>
      <c r="Z22" s="19" t="str">
        <f t="shared" si="6"/>
        <v>Fr</v>
      </c>
      <c r="AA22" s="19" t="str">
        <f t="shared" si="6"/>
        <v>Sa</v>
      </c>
      <c r="AB22" s="19" t="str">
        <f t="shared" si="6"/>
        <v>Su</v>
      </c>
      <c r="AC22" s="19" t="str">
        <f t="shared" si="6"/>
        <v>Mo</v>
      </c>
      <c r="AD22" s="19" t="str">
        <f t="shared" si="6"/>
        <v>Tu</v>
      </c>
      <c r="AE22" s="19" t="str">
        <f t="shared" si="6"/>
        <v>We</v>
      </c>
      <c r="AF22" s="19" t="str">
        <f t="shared" si="6"/>
        <v>Th</v>
      </c>
      <c r="AG22" s="19" t="str">
        <f t="shared" si="6"/>
        <v>Fr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2020</v>
      </c>
      <c r="C24" s="52" t="str">
        <f>Roster!D207</f>
        <v>.</v>
      </c>
      <c r="D24" s="53" t="str">
        <f>Roster!E207</f>
        <v>.</v>
      </c>
      <c r="E24" s="53" t="str">
        <f>Roster!F207</f>
        <v>.</v>
      </c>
      <c r="F24" s="53" t="str">
        <f>Roster!G207</f>
        <v>.</v>
      </c>
      <c r="G24" s="53" t="str">
        <f>Roster!H207</f>
        <v>.</v>
      </c>
      <c r="H24" s="53" t="str">
        <f>Roster!I207</f>
        <v>.</v>
      </c>
      <c r="I24" s="53" t="str">
        <f>Roster!J207</f>
        <v>.</v>
      </c>
      <c r="J24" s="53" t="str">
        <f>Roster!K207</f>
        <v>.</v>
      </c>
      <c r="K24" s="53" t="str">
        <f>Roster!L207</f>
        <v>.</v>
      </c>
      <c r="L24" s="53" t="str">
        <f>Roster!M207</f>
        <v>.</v>
      </c>
      <c r="M24" s="53" t="str">
        <f>Roster!N207</f>
        <v>.</v>
      </c>
      <c r="N24" s="53" t="str">
        <f>Roster!O207</f>
        <v>.</v>
      </c>
      <c r="O24" s="53" t="str">
        <f>Roster!P207</f>
        <v>.</v>
      </c>
      <c r="P24" s="53" t="str">
        <f>Roster!Q207</f>
        <v>.</v>
      </c>
      <c r="Q24" s="53" t="str">
        <f>Roster!R207</f>
        <v>.</v>
      </c>
      <c r="R24" s="53" t="str">
        <f>Roster!S207</f>
        <v>.</v>
      </c>
      <c r="S24" s="53" t="str">
        <f>Roster!T207</f>
        <v>.</v>
      </c>
      <c r="T24" s="53" t="str">
        <f>Roster!U207</f>
        <v>.</v>
      </c>
      <c r="U24" s="53" t="str">
        <f>Roster!V207</f>
        <v>.</v>
      </c>
      <c r="V24" s="53" t="str">
        <f>Roster!W207</f>
        <v>.</v>
      </c>
      <c r="W24" s="53" t="str">
        <f>Roster!X207</f>
        <v>.</v>
      </c>
      <c r="X24" s="53" t="str">
        <f>Roster!Y207</f>
        <v>.</v>
      </c>
      <c r="Y24" s="53" t="str">
        <f>Roster!Z207</f>
        <v>.</v>
      </c>
      <c r="Z24" s="53" t="str">
        <f>Roster!AA207</f>
        <v>.</v>
      </c>
      <c r="AA24" s="53" t="str">
        <f>Roster!AB207</f>
        <v>.</v>
      </c>
      <c r="AB24" s="53" t="str">
        <f>Roster!AC207</f>
        <v>.</v>
      </c>
      <c r="AC24" s="53" t="str">
        <f>Roster!AD207</f>
        <v>.</v>
      </c>
      <c r="AD24" s="53" t="str">
        <f>Roster!AE207</f>
        <v>.</v>
      </c>
      <c r="AE24" s="53" t="str">
        <f>Roster!AF207</f>
        <v>.</v>
      </c>
      <c r="AF24" s="53" t="str">
        <f>Roster!AG207</f>
        <v>.</v>
      </c>
      <c r="AG24" s="54" t="str">
        <f>Roster!AH207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Sa</v>
      </c>
      <c r="D25" s="22" t="str">
        <f t="shared" si="7"/>
        <v>Su</v>
      </c>
      <c r="E25" s="22" t="str">
        <f t="shared" si="7"/>
        <v>Mo</v>
      </c>
      <c r="F25" s="22" t="str">
        <f t="shared" si="7"/>
        <v>Tu</v>
      </c>
      <c r="G25" s="22" t="str">
        <f t="shared" si="7"/>
        <v>We</v>
      </c>
      <c r="H25" s="22" t="str">
        <f t="shared" si="7"/>
        <v>Th</v>
      </c>
      <c r="I25" s="22" t="str">
        <f t="shared" si="7"/>
        <v>Fr</v>
      </c>
      <c r="J25" s="22" t="str">
        <f t="shared" si="7"/>
        <v>Sa</v>
      </c>
      <c r="K25" s="22" t="str">
        <f t="shared" si="7"/>
        <v>Su</v>
      </c>
      <c r="L25" s="22" t="str">
        <f t="shared" si="7"/>
        <v>Mo</v>
      </c>
      <c r="M25" s="22" t="str">
        <f t="shared" si="7"/>
        <v>Tu</v>
      </c>
      <c r="N25" s="22" t="str">
        <f t="shared" si="7"/>
        <v>We</v>
      </c>
      <c r="O25" s="22" t="str">
        <f t="shared" si="7"/>
        <v>Th</v>
      </c>
      <c r="P25" s="22" t="str">
        <f t="shared" si="7"/>
        <v>Fr</v>
      </c>
      <c r="Q25" s="22" t="str">
        <f t="shared" si="7"/>
        <v>Sa</v>
      </c>
      <c r="R25" s="22" t="str">
        <f t="shared" si="7"/>
        <v>Su</v>
      </c>
      <c r="S25" s="22" t="str">
        <f t="shared" si="7"/>
        <v>Mo</v>
      </c>
      <c r="T25" s="22" t="str">
        <f t="shared" si="7"/>
        <v>Tu</v>
      </c>
      <c r="U25" s="22" t="str">
        <f t="shared" si="7"/>
        <v>We</v>
      </c>
      <c r="V25" s="22" t="str">
        <f t="shared" si="7"/>
        <v>Th</v>
      </c>
      <c r="W25" s="22" t="str">
        <f t="shared" si="7"/>
        <v>Fr</v>
      </c>
      <c r="X25" s="22" t="str">
        <f t="shared" si="7"/>
        <v>Sa</v>
      </c>
      <c r="Y25" s="22" t="str">
        <f t="shared" si="7"/>
        <v>Su</v>
      </c>
      <c r="Z25" s="22" t="str">
        <f t="shared" si="7"/>
        <v>Mo</v>
      </c>
      <c r="AA25" s="22" t="str">
        <f t="shared" si="7"/>
        <v>Tu</v>
      </c>
      <c r="AB25" s="22" t="str">
        <f t="shared" si="7"/>
        <v>We</v>
      </c>
      <c r="AC25" s="22" t="str">
        <f t="shared" si="7"/>
        <v>Th</v>
      </c>
      <c r="AD25" s="22" t="str">
        <f t="shared" si="7"/>
        <v>Fr</v>
      </c>
      <c r="AE25" s="122" t="str">
        <f t="shared" si="7"/>
        <v>Sa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6">
        <v>29</v>
      </c>
      <c r="AF26" s="44"/>
    </row>
    <row r="27" spans="2:33" ht="14.4" thickTop="1" thickBot="1">
      <c r="B27" s="32" t="str">
        <f>CurYear</f>
        <v>2020</v>
      </c>
      <c r="C27" s="51" t="str">
        <f>Roster!D238</f>
        <v>.</v>
      </c>
      <c r="D27" s="37" t="str">
        <f>Roster!E238</f>
        <v>.</v>
      </c>
      <c r="E27" s="37" t="str">
        <f>Roster!F238</f>
        <v>.</v>
      </c>
      <c r="F27" s="37" t="str">
        <f>Roster!G238</f>
        <v>.</v>
      </c>
      <c r="G27" s="37" t="str">
        <f>Roster!H238</f>
        <v>.</v>
      </c>
      <c r="H27" s="37" t="str">
        <f>Roster!I238</f>
        <v>.</v>
      </c>
      <c r="I27" s="37" t="str">
        <f>Roster!J238</f>
        <v>.</v>
      </c>
      <c r="J27" s="37" t="str">
        <f>Roster!K238</f>
        <v>.</v>
      </c>
      <c r="K27" s="37" t="str">
        <f>Roster!L238</f>
        <v>.</v>
      </c>
      <c r="L27" s="37" t="str">
        <f>Roster!M238</f>
        <v>.</v>
      </c>
      <c r="M27" s="37" t="str">
        <f>Roster!N238</f>
        <v>.</v>
      </c>
      <c r="N27" s="37" t="str">
        <f>Roster!O238</f>
        <v>.</v>
      </c>
      <c r="O27" s="37" t="str">
        <f>Roster!P238</f>
        <v>.</v>
      </c>
      <c r="P27" s="37" t="str">
        <f>Roster!Q238</f>
        <v>.</v>
      </c>
      <c r="Q27" s="37" t="str">
        <f>Roster!R238</f>
        <v>.</v>
      </c>
      <c r="R27" s="37" t="str">
        <f>Roster!S238</f>
        <v>.</v>
      </c>
      <c r="S27" s="37" t="str">
        <f>Roster!T238</f>
        <v>.</v>
      </c>
      <c r="T27" s="37" t="str">
        <f>Roster!U238</f>
        <v>.</v>
      </c>
      <c r="U27" s="37" t="str">
        <f>Roster!V238</f>
        <v>.</v>
      </c>
      <c r="V27" s="37" t="str">
        <f>Roster!W238</f>
        <v>.</v>
      </c>
      <c r="W27" s="37" t="str">
        <f>Roster!X238</f>
        <v>.</v>
      </c>
      <c r="X27" s="37" t="str">
        <f>Roster!Y238</f>
        <v>.</v>
      </c>
      <c r="Y27" s="37" t="str">
        <f>Roster!Z238</f>
        <v>.</v>
      </c>
      <c r="Z27" s="37" t="str">
        <f>Roster!AA238</f>
        <v>.</v>
      </c>
      <c r="AA27" s="37" t="str">
        <f>Roster!AB238</f>
        <v>.</v>
      </c>
      <c r="AB27" s="37" t="str">
        <f>Roster!AC238</f>
        <v>.</v>
      </c>
      <c r="AC27" s="37" t="str">
        <f>Roster!AD238</f>
        <v>.</v>
      </c>
      <c r="AD27" s="43" t="str">
        <f>Roster!AE238</f>
        <v>.</v>
      </c>
      <c r="AE27" s="121" t="str">
        <f>Roster!AF238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26" t="str">
        <f t="shared" si="8"/>
        <v>Mo</v>
      </c>
      <c r="AG28" s="26" t="str">
        <f t="shared" si="8"/>
        <v>Tu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2020</v>
      </c>
      <c r="C30" s="36" t="str">
        <f>Roster!D269</f>
        <v>.</v>
      </c>
      <c r="D30" s="37" t="str">
        <f>Roster!E269</f>
        <v>.</v>
      </c>
      <c r="E30" s="37" t="str">
        <f>Roster!F269</f>
        <v>.</v>
      </c>
      <c r="F30" s="37" t="str">
        <f>Roster!G269</f>
        <v>.</v>
      </c>
      <c r="G30" s="37" t="str">
        <f>Roster!H269</f>
        <v>.</v>
      </c>
      <c r="H30" s="37" t="str">
        <f>Roster!I269</f>
        <v>.</v>
      </c>
      <c r="I30" s="37" t="str">
        <f>Roster!J269</f>
        <v>.</v>
      </c>
      <c r="J30" s="37" t="str">
        <f>Roster!K269</f>
        <v>.</v>
      </c>
      <c r="K30" s="37" t="str">
        <f>Roster!L269</f>
        <v>.</v>
      </c>
      <c r="L30" s="37" t="str">
        <f>Roster!M269</f>
        <v>.</v>
      </c>
      <c r="M30" s="37" t="str">
        <f>Roster!N269</f>
        <v>.</v>
      </c>
      <c r="N30" s="37" t="str">
        <f>Roster!O269</f>
        <v>.</v>
      </c>
      <c r="O30" s="37" t="str">
        <f>Roster!P269</f>
        <v>.</v>
      </c>
      <c r="P30" s="37" t="str">
        <f>Roster!Q269</f>
        <v>.</v>
      </c>
      <c r="Q30" s="37" t="str">
        <f>Roster!R269</f>
        <v>.</v>
      </c>
      <c r="R30" s="37" t="str">
        <f>Roster!S269</f>
        <v>.</v>
      </c>
      <c r="S30" s="37" t="str">
        <f>Roster!T269</f>
        <v>.</v>
      </c>
      <c r="T30" s="37" t="str">
        <f>Roster!U269</f>
        <v>.</v>
      </c>
      <c r="U30" s="37" t="str">
        <f>Roster!V269</f>
        <v>.</v>
      </c>
      <c r="V30" s="37" t="str">
        <f>Roster!W269</f>
        <v>.</v>
      </c>
      <c r="W30" s="37" t="str">
        <f>Roster!X269</f>
        <v>.</v>
      </c>
      <c r="X30" s="37" t="str">
        <f>Roster!Y269</f>
        <v>.</v>
      </c>
      <c r="Y30" s="37" t="str">
        <f>Roster!Z269</f>
        <v>.</v>
      </c>
      <c r="Z30" s="37" t="str">
        <f>Roster!AA269</f>
        <v>.</v>
      </c>
      <c r="AA30" s="37" t="str">
        <f>Roster!AB269</f>
        <v>.</v>
      </c>
      <c r="AB30" s="37" t="str">
        <f>Roster!AC269</f>
        <v>.</v>
      </c>
      <c r="AC30" s="37" t="str">
        <f>Roster!AD269</f>
        <v>.</v>
      </c>
      <c r="AD30" s="37" t="str">
        <f>Roster!AE269</f>
        <v>.</v>
      </c>
      <c r="AE30" s="37" t="str">
        <f>Roster!AF269</f>
        <v>.</v>
      </c>
      <c r="AF30" s="37" t="str">
        <f>Roster!AG269</f>
        <v>.</v>
      </c>
      <c r="AG30" s="38" t="str">
        <f>Roster!AH269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2020</v>
      </c>
      <c r="C33" s="36" t="str">
        <f>Roster!D300</f>
        <v>.</v>
      </c>
      <c r="D33" s="37" t="str">
        <f>Roster!E300</f>
        <v>.</v>
      </c>
      <c r="E33" s="37" t="str">
        <f>Roster!F300</f>
        <v>.</v>
      </c>
      <c r="F33" s="37" t="str">
        <f>Roster!G300</f>
        <v>.</v>
      </c>
      <c r="G33" s="37" t="str">
        <f>Roster!H300</f>
        <v>.</v>
      </c>
      <c r="H33" s="37" t="str">
        <f>Roster!I300</f>
        <v>.</v>
      </c>
      <c r="I33" s="37" t="str">
        <f>Roster!J300</f>
        <v>.</v>
      </c>
      <c r="J33" s="37" t="str">
        <f>Roster!K300</f>
        <v>.</v>
      </c>
      <c r="K33" s="37" t="str">
        <f>Roster!L300</f>
        <v>.</v>
      </c>
      <c r="L33" s="37" t="str">
        <f>Roster!M300</f>
        <v>.</v>
      </c>
      <c r="M33" s="37" t="str">
        <f>Roster!N300</f>
        <v>.</v>
      </c>
      <c r="N33" s="37" t="str">
        <f>Roster!O300</f>
        <v>.</v>
      </c>
      <c r="O33" s="37" t="str">
        <f>Roster!P300</f>
        <v>.</v>
      </c>
      <c r="P33" s="37" t="str">
        <f>Roster!Q300</f>
        <v>.</v>
      </c>
      <c r="Q33" s="37" t="str">
        <f>Roster!R300</f>
        <v>.</v>
      </c>
      <c r="R33" s="37" t="str">
        <f>Roster!S300</f>
        <v>.</v>
      </c>
      <c r="S33" s="37" t="str">
        <f>Roster!T300</f>
        <v>.</v>
      </c>
      <c r="T33" s="37" t="str">
        <f>Roster!U300</f>
        <v>.</v>
      </c>
      <c r="U33" s="37" t="str">
        <f>Roster!V300</f>
        <v>.</v>
      </c>
      <c r="V33" s="37" t="str">
        <f>Roster!W300</f>
        <v>.</v>
      </c>
      <c r="W33" s="37" t="str">
        <f>Roster!X300</f>
        <v>.</v>
      </c>
      <c r="X33" s="37" t="str">
        <f>Roster!Y300</f>
        <v>.</v>
      </c>
      <c r="Y33" s="37" t="str">
        <f>Roster!Z300</f>
        <v>.</v>
      </c>
      <c r="Z33" s="37" t="str">
        <f>Roster!AA300</f>
        <v>.</v>
      </c>
      <c r="AA33" s="37" t="str">
        <f>Roster!AB300</f>
        <v>.</v>
      </c>
      <c r="AB33" s="37" t="str">
        <f>Roster!AC300</f>
        <v>.</v>
      </c>
      <c r="AC33" s="37" t="str">
        <f>Roster!AD300</f>
        <v>.</v>
      </c>
      <c r="AD33" s="37" t="str">
        <f>Roster!AE300</f>
        <v>.</v>
      </c>
      <c r="AE33" s="37" t="str">
        <f>Roster!AF300</f>
        <v>.</v>
      </c>
      <c r="AF33" s="38" t="str">
        <f>Roster!AG300</f>
        <v>.</v>
      </c>
    </row>
    <row r="34" spans="2:33" ht="14.4" thickTop="1" thickBot="1"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20" t="str">
        <f t="shared" si="10"/>
        <v>Su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2020</v>
      </c>
      <c r="C36" s="36" t="str">
        <f>Roster!D331</f>
        <v>.</v>
      </c>
      <c r="D36" s="37" t="str">
        <f>Roster!E331</f>
        <v>.</v>
      </c>
      <c r="E36" s="37" t="str">
        <f>Roster!F331</f>
        <v>.</v>
      </c>
      <c r="F36" s="37" t="str">
        <f>Roster!G331</f>
        <v>.</v>
      </c>
      <c r="G36" s="37" t="str">
        <f>Roster!H331</f>
        <v>.</v>
      </c>
      <c r="H36" s="37" t="str">
        <f>Roster!I331</f>
        <v>.</v>
      </c>
      <c r="I36" s="37" t="str">
        <f>Roster!J331</f>
        <v>.</v>
      </c>
      <c r="J36" s="37" t="str">
        <f>Roster!K331</f>
        <v>.</v>
      </c>
      <c r="K36" s="37" t="str">
        <f>Roster!L331</f>
        <v>.</v>
      </c>
      <c r="L36" s="37" t="str">
        <f>Roster!M331</f>
        <v>.</v>
      </c>
      <c r="M36" s="37" t="str">
        <f>Roster!N331</f>
        <v>.</v>
      </c>
      <c r="N36" s="37" t="str">
        <f>Roster!O331</f>
        <v>.</v>
      </c>
      <c r="O36" s="37" t="str">
        <f>Roster!P331</f>
        <v>.</v>
      </c>
      <c r="P36" s="37" t="str">
        <f>Roster!Q331</f>
        <v>.</v>
      </c>
      <c r="Q36" s="37" t="str">
        <f>Roster!R331</f>
        <v>.</v>
      </c>
      <c r="R36" s="37" t="str">
        <f>Roster!S331</f>
        <v>.</v>
      </c>
      <c r="S36" s="37" t="str">
        <f>Roster!T331</f>
        <v>.</v>
      </c>
      <c r="T36" s="37" t="str">
        <f>Roster!U331</f>
        <v>.</v>
      </c>
      <c r="U36" s="37" t="str">
        <f>Roster!V331</f>
        <v>.</v>
      </c>
      <c r="V36" s="37" t="str">
        <f>Roster!W331</f>
        <v>.</v>
      </c>
      <c r="W36" s="37" t="str">
        <f>Roster!X331</f>
        <v>.</v>
      </c>
      <c r="X36" s="37" t="str">
        <f>Roster!Y331</f>
        <v>.</v>
      </c>
      <c r="Y36" s="37" t="str">
        <f>Roster!Z331</f>
        <v>.</v>
      </c>
      <c r="Z36" s="37" t="str">
        <f>Roster!AA331</f>
        <v>.</v>
      </c>
      <c r="AA36" s="37" t="str">
        <f>Roster!AB331</f>
        <v>.</v>
      </c>
      <c r="AB36" s="37" t="str">
        <f>Roster!AC331</f>
        <v>.</v>
      </c>
      <c r="AC36" s="37" t="str">
        <f>Roster!AD331</f>
        <v>.</v>
      </c>
      <c r="AD36" s="37" t="str">
        <f>Roster!AE331</f>
        <v>.</v>
      </c>
      <c r="AE36" s="37" t="str">
        <f>Roster!AF331</f>
        <v>.</v>
      </c>
      <c r="AF36" s="37" t="str">
        <f>Roster!AG331</f>
        <v>.</v>
      </c>
      <c r="AG36" s="38" t="str">
        <f>Roster!AH331</f>
        <v>.</v>
      </c>
    </row>
    <row r="37" spans="2:33" ht="14.4" thickTop="1" thickBot="1"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2020</v>
      </c>
      <c r="C39" s="36" t="str">
        <f>Roster!D362</f>
        <v>.</v>
      </c>
      <c r="D39" s="37" t="str">
        <f>Roster!E362</f>
        <v>.</v>
      </c>
      <c r="E39" s="37" t="str">
        <f>Roster!F362</f>
        <v>.</v>
      </c>
      <c r="F39" s="37" t="str">
        <f>Roster!G362</f>
        <v>.</v>
      </c>
      <c r="G39" s="37" t="str">
        <f>Roster!H362</f>
        <v>.</v>
      </c>
      <c r="H39" s="37" t="str">
        <f>Roster!I362</f>
        <v>.</v>
      </c>
      <c r="I39" s="37" t="str">
        <f>Roster!J362</f>
        <v>.</v>
      </c>
      <c r="J39" s="37" t="str">
        <f>Roster!K362</f>
        <v>.</v>
      </c>
      <c r="K39" s="37" t="str">
        <f>Roster!L362</f>
        <v>.</v>
      </c>
      <c r="L39" s="37" t="str">
        <f>Roster!M362</f>
        <v>.</v>
      </c>
      <c r="M39" s="37" t="str">
        <f>Roster!N362</f>
        <v>.</v>
      </c>
      <c r="N39" s="37" t="str">
        <f>Roster!O362</f>
        <v>.</v>
      </c>
      <c r="O39" s="37" t="str">
        <f>Roster!P362</f>
        <v>.</v>
      </c>
      <c r="P39" s="37" t="str">
        <f>Roster!Q362</f>
        <v>.</v>
      </c>
      <c r="Q39" s="37" t="str">
        <f>Roster!R362</f>
        <v>.</v>
      </c>
      <c r="R39" s="37" t="str">
        <f>Roster!S362</f>
        <v>.</v>
      </c>
      <c r="S39" s="37" t="str">
        <f>Roster!T362</f>
        <v>.</v>
      </c>
      <c r="T39" s="37" t="str">
        <f>Roster!U362</f>
        <v>.</v>
      </c>
      <c r="U39" s="37" t="str">
        <f>Roster!V362</f>
        <v>.</v>
      </c>
      <c r="V39" s="37" t="str">
        <f>Roster!W362</f>
        <v>.</v>
      </c>
      <c r="W39" s="37" t="str">
        <f>Roster!X362</f>
        <v>.</v>
      </c>
      <c r="X39" s="37" t="str">
        <f>Roster!Y362</f>
        <v>.</v>
      </c>
      <c r="Y39" s="37" t="str">
        <f>Roster!Z362</f>
        <v>.</v>
      </c>
      <c r="Z39" s="37" t="str">
        <f>Roster!AA362</f>
        <v>.</v>
      </c>
      <c r="AA39" s="37" t="str">
        <f>Roster!AB362</f>
        <v>.</v>
      </c>
      <c r="AB39" s="37" t="str">
        <f>Roster!AC362</f>
        <v>.</v>
      </c>
      <c r="AC39" s="37" t="str">
        <f>Roster!AD362</f>
        <v>.</v>
      </c>
      <c r="AD39" s="37" t="str">
        <f>Roster!AE362</f>
        <v>.</v>
      </c>
      <c r="AE39" s="37" t="str">
        <f>Roster!AF362</f>
        <v>.</v>
      </c>
      <c r="AF39" s="38" t="str">
        <f>Roster!AG362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9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2019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0" t="s">
        <v>25</v>
      </c>
      <c r="R3" s="130" t="str">
        <f>EmpGName09 &amp;" " &amp; EmpSName09</f>
        <v xml:space="preserve">Eddy Horse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44" customFormat="1" ht="13.8" thickBot="1">
      <c r="B4" s="134"/>
      <c r="C4" s="28" t="str">
        <f t="shared" ref="C4:AG4" si="0">LEFT(TEXT(C5&amp;"-"&amp;$B5&amp;"-"&amp;CurYear-1,"ddd"),2)</f>
        <v>Mo</v>
      </c>
      <c r="D4" s="28" t="str">
        <f t="shared" si="0"/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97" t="str">
        <f t="shared" si="0"/>
        <v>We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2019</v>
      </c>
      <c r="C6" s="36" t="str">
        <f>Roster!D22</f>
        <v>.</v>
      </c>
      <c r="D6" s="37" t="str">
        <f>Roster!E22</f>
        <v>.</v>
      </c>
      <c r="E6" s="37" t="str">
        <f>Roster!F22</f>
        <v>.</v>
      </c>
      <c r="F6" s="37" t="str">
        <f>Roster!G22</f>
        <v>.</v>
      </c>
      <c r="G6" s="37" t="str">
        <f>Roster!H22</f>
        <v>.</v>
      </c>
      <c r="H6" s="37" t="str">
        <f>Roster!I22</f>
        <v>.</v>
      </c>
      <c r="I6" s="37" t="str">
        <f>Roster!J22</f>
        <v>.</v>
      </c>
      <c r="J6" s="37" t="str">
        <f>Roster!K22</f>
        <v>.</v>
      </c>
      <c r="K6" s="37" t="str">
        <f>Roster!L22</f>
        <v>.</v>
      </c>
      <c r="L6" s="37" t="str">
        <f>Roster!M22</f>
        <v>.</v>
      </c>
      <c r="M6" s="37" t="str">
        <f>Roster!N22</f>
        <v>.</v>
      </c>
      <c r="N6" s="37" t="str">
        <f>Roster!O22</f>
        <v>.</v>
      </c>
      <c r="O6" s="37" t="str">
        <f>Roster!P22</f>
        <v>.</v>
      </c>
      <c r="P6" s="37" t="str">
        <f>Roster!Q22</f>
        <v>.</v>
      </c>
      <c r="Q6" s="37" t="str">
        <f>Roster!R22</f>
        <v>.</v>
      </c>
      <c r="R6" s="37" t="str">
        <f>Roster!S22</f>
        <v>.</v>
      </c>
      <c r="S6" s="37" t="str">
        <f>Roster!T22</f>
        <v>.</v>
      </c>
      <c r="T6" s="37" t="str">
        <f>Roster!U22</f>
        <v>.</v>
      </c>
      <c r="U6" s="37" t="str">
        <f>Roster!V22</f>
        <v>.</v>
      </c>
      <c r="V6" s="37" t="str">
        <f>Roster!W22</f>
        <v>.</v>
      </c>
      <c r="W6" s="37" t="str">
        <f>Roster!X22</f>
        <v>.</v>
      </c>
      <c r="X6" s="37" t="str">
        <f>Roster!Y22</f>
        <v>.</v>
      </c>
      <c r="Y6" s="37" t="str">
        <f>Roster!Z22</f>
        <v>.</v>
      </c>
      <c r="Z6" s="37" t="str">
        <f>Roster!AA22</f>
        <v>.</v>
      </c>
      <c r="AA6" s="37" t="str">
        <f>Roster!AB22</f>
        <v>.</v>
      </c>
      <c r="AB6" s="37" t="str">
        <f>Roster!AC22</f>
        <v>.</v>
      </c>
      <c r="AC6" s="37" t="str">
        <f>Roster!AD22</f>
        <v>.</v>
      </c>
      <c r="AD6" s="37" t="str">
        <f>Roster!AE22</f>
        <v>.</v>
      </c>
      <c r="AE6" s="37" t="str">
        <f>Roster!AF22</f>
        <v>.</v>
      </c>
      <c r="AF6" s="37" t="str">
        <f>Roster!AG22</f>
        <v>.</v>
      </c>
      <c r="AG6" s="38" t="str">
        <f>Roster!AH22</f>
        <v>.</v>
      </c>
    </row>
    <row r="7" spans="2:33" ht="14.4" thickTop="1" thickBot="1"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21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2019</v>
      </c>
      <c r="C9" s="36" t="str">
        <f>Roster!D53</f>
        <v>.</v>
      </c>
      <c r="D9" s="39" t="str">
        <f>Roster!E53</f>
        <v>.</v>
      </c>
      <c r="E9" s="37" t="str">
        <f>Roster!F53</f>
        <v>.</v>
      </c>
      <c r="F9" s="37" t="str">
        <f>Roster!G53</f>
        <v>.</v>
      </c>
      <c r="G9" s="37" t="str">
        <f>Roster!H53</f>
        <v>.</v>
      </c>
      <c r="H9" s="37" t="str">
        <f>Roster!I53</f>
        <v>.</v>
      </c>
      <c r="I9" s="37" t="str">
        <f>Roster!J53</f>
        <v>.</v>
      </c>
      <c r="J9" s="37" t="str">
        <f>Roster!K53</f>
        <v>.</v>
      </c>
      <c r="K9" s="37" t="str">
        <f>Roster!L53</f>
        <v>.</v>
      </c>
      <c r="L9" s="37" t="str">
        <f>Roster!M53</f>
        <v>.</v>
      </c>
      <c r="M9" s="37" t="str">
        <f>Roster!N53</f>
        <v>.</v>
      </c>
      <c r="N9" s="37" t="str">
        <f>Roster!O53</f>
        <v>.</v>
      </c>
      <c r="O9" s="37" t="str">
        <f>Roster!P53</f>
        <v>.</v>
      </c>
      <c r="P9" s="37" t="str">
        <f>Roster!Q53</f>
        <v>.</v>
      </c>
      <c r="Q9" s="37" t="str">
        <f>Roster!R53</f>
        <v>.</v>
      </c>
      <c r="R9" s="37" t="str">
        <f>Roster!S53</f>
        <v>.</v>
      </c>
      <c r="S9" s="37" t="str">
        <f>Roster!T53</f>
        <v>.</v>
      </c>
      <c r="T9" s="37" t="str">
        <f>Roster!U53</f>
        <v>.</v>
      </c>
      <c r="U9" s="37" t="str">
        <f>Roster!V53</f>
        <v>.</v>
      </c>
      <c r="V9" s="37" t="str">
        <f>Roster!W53</f>
        <v>.</v>
      </c>
      <c r="W9" s="37" t="str">
        <f>Roster!X53</f>
        <v>.</v>
      </c>
      <c r="X9" s="37" t="str">
        <f>Roster!Y53</f>
        <v>.</v>
      </c>
      <c r="Y9" s="37" t="str">
        <f>Roster!Z53</f>
        <v>.</v>
      </c>
      <c r="Z9" s="37" t="str">
        <f>Roster!AA53</f>
        <v>.</v>
      </c>
      <c r="AA9" s="37" t="str">
        <f>Roster!AB53</f>
        <v>.</v>
      </c>
      <c r="AB9" s="37" t="str">
        <f>Roster!AC53</f>
        <v>.</v>
      </c>
      <c r="AC9" s="37" t="str">
        <f>Roster!AD53</f>
        <v>.</v>
      </c>
      <c r="AD9" s="37" t="str">
        <f>Roster!AE53</f>
        <v>.</v>
      </c>
      <c r="AE9" s="37" t="str">
        <f>Roster!AF53</f>
        <v>.</v>
      </c>
      <c r="AF9" s="37" t="str">
        <f>Roster!AG53</f>
        <v>.</v>
      </c>
      <c r="AG9" s="38" t="str">
        <f>Roster!AH53</f>
        <v>.</v>
      </c>
    </row>
    <row r="10" spans="2:33" ht="14.4" thickTop="1" thickBot="1"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1" t="str">
        <f t="shared" si="2"/>
        <v>Su</v>
      </c>
      <c r="AF10" s="21" t="str">
        <f t="shared" si="2"/>
        <v>Mo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2019</v>
      </c>
      <c r="C12" s="36" t="str">
        <f>Roster!D84</f>
        <v>.</v>
      </c>
      <c r="D12" s="37" t="str">
        <f>Roster!E84</f>
        <v>.</v>
      </c>
      <c r="E12" s="37" t="str">
        <f>Roster!F84</f>
        <v>.</v>
      </c>
      <c r="F12" s="37" t="str">
        <f>Roster!G84</f>
        <v>.</v>
      </c>
      <c r="G12" s="37" t="str">
        <f>Roster!H84</f>
        <v>.</v>
      </c>
      <c r="H12" s="37" t="str">
        <f>Roster!I84</f>
        <v>.</v>
      </c>
      <c r="I12" s="37" t="str">
        <f>Roster!J84</f>
        <v>.</v>
      </c>
      <c r="J12" s="37" t="str">
        <f>Roster!K84</f>
        <v>.</v>
      </c>
      <c r="K12" s="37" t="str">
        <f>Roster!L84</f>
        <v>.</v>
      </c>
      <c r="L12" s="37" t="str">
        <f>Roster!M84</f>
        <v>.</v>
      </c>
      <c r="M12" s="37" t="str">
        <f>Roster!N84</f>
        <v>.</v>
      </c>
      <c r="N12" s="37" t="str">
        <f>Roster!O84</f>
        <v>.</v>
      </c>
      <c r="O12" s="37" t="str">
        <f>Roster!P84</f>
        <v>.</v>
      </c>
      <c r="P12" s="37" t="str">
        <f>Roster!Q84</f>
        <v>.</v>
      </c>
      <c r="Q12" s="37" t="str">
        <f>Roster!R84</f>
        <v>.</v>
      </c>
      <c r="R12" s="37" t="str">
        <f>Roster!S84</f>
        <v>.</v>
      </c>
      <c r="S12" s="37" t="str">
        <f>Roster!T84</f>
        <v>.</v>
      </c>
      <c r="T12" s="37" t="str">
        <f>Roster!U84</f>
        <v>.</v>
      </c>
      <c r="U12" s="37" t="str">
        <f>Roster!V84</f>
        <v>.</v>
      </c>
      <c r="V12" s="37" t="str">
        <f>Roster!W84</f>
        <v>.</v>
      </c>
      <c r="W12" s="37" t="str">
        <f>Roster!X84</f>
        <v>.</v>
      </c>
      <c r="X12" s="37" t="str">
        <f>Roster!Y84</f>
        <v>.</v>
      </c>
      <c r="Y12" s="37" t="str">
        <f>Roster!Z84</f>
        <v>.</v>
      </c>
      <c r="Z12" s="37" t="str">
        <f>Roster!AA84</f>
        <v>.</v>
      </c>
      <c r="AA12" s="37" t="str">
        <f>Roster!AB84</f>
        <v>.</v>
      </c>
      <c r="AB12" s="37" t="str">
        <f>Roster!AC84</f>
        <v>.</v>
      </c>
      <c r="AC12" s="37" t="str">
        <f>Roster!AD84</f>
        <v>.</v>
      </c>
      <c r="AD12" s="37" t="str">
        <f>Roster!AE84</f>
        <v>.</v>
      </c>
      <c r="AE12" s="37" t="str">
        <f>Roster!AF84</f>
        <v>.</v>
      </c>
      <c r="AF12" s="38" t="str">
        <f>Roster!AG84</f>
        <v>.</v>
      </c>
    </row>
    <row r="13" spans="2:33" ht="14.4" thickTop="1" thickBot="1"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20" t="str">
        <f t="shared" si="3"/>
        <v>Th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2019</v>
      </c>
      <c r="C15" s="36" t="str">
        <f>Roster!D115</f>
        <v>.</v>
      </c>
      <c r="D15" s="37" t="str">
        <f>Roster!E115</f>
        <v>.</v>
      </c>
      <c r="E15" s="37" t="str">
        <f>Roster!F115</f>
        <v>.</v>
      </c>
      <c r="F15" s="37" t="str">
        <f>Roster!G115</f>
        <v>.</v>
      </c>
      <c r="G15" s="37" t="str">
        <f>Roster!H115</f>
        <v>.</v>
      </c>
      <c r="H15" s="37" t="str">
        <f>Roster!I115</f>
        <v>.</v>
      </c>
      <c r="I15" s="37" t="str">
        <f>Roster!J115</f>
        <v>.</v>
      </c>
      <c r="J15" s="37" t="str">
        <f>Roster!K115</f>
        <v>.</v>
      </c>
      <c r="K15" s="37" t="str">
        <f>Roster!L115</f>
        <v>.</v>
      </c>
      <c r="L15" s="37" t="str">
        <f>Roster!M115</f>
        <v>.</v>
      </c>
      <c r="M15" s="37" t="str">
        <f>Roster!N115</f>
        <v>.</v>
      </c>
      <c r="N15" s="37" t="str">
        <f>Roster!O115</f>
        <v>.</v>
      </c>
      <c r="O15" s="37" t="str">
        <f>Roster!P115</f>
        <v>.</v>
      </c>
      <c r="P15" s="37" t="str">
        <f>Roster!Q115</f>
        <v>.</v>
      </c>
      <c r="Q15" s="37" t="str">
        <f>Roster!R115</f>
        <v>.</v>
      </c>
      <c r="R15" s="37" t="str">
        <f>Roster!S115</f>
        <v>.</v>
      </c>
      <c r="S15" s="37" t="str">
        <f>Roster!T115</f>
        <v>.</v>
      </c>
      <c r="T15" s="37" t="str">
        <f>Roster!U115</f>
        <v>.</v>
      </c>
      <c r="U15" s="37" t="str">
        <f>Roster!V115</f>
        <v>.</v>
      </c>
      <c r="V15" s="37" t="str">
        <f>Roster!W115</f>
        <v>.</v>
      </c>
      <c r="W15" s="37" t="str">
        <f>Roster!X115</f>
        <v>.</v>
      </c>
      <c r="X15" s="37" t="str">
        <f>Roster!Y115</f>
        <v>.</v>
      </c>
      <c r="Y15" s="37" t="str">
        <f>Roster!Z115</f>
        <v>.</v>
      </c>
      <c r="Z15" s="37" t="str">
        <f>Roster!AA115</f>
        <v>.</v>
      </c>
      <c r="AA15" s="37" t="str">
        <f>Roster!AB115</f>
        <v>.</v>
      </c>
      <c r="AB15" s="37" t="str">
        <f>Roster!AC115</f>
        <v>.</v>
      </c>
      <c r="AC15" s="37" t="str">
        <f>Roster!AD115</f>
        <v>.</v>
      </c>
      <c r="AD15" s="37" t="str">
        <f>Roster!AE115</f>
        <v>.</v>
      </c>
      <c r="AE15" s="37" t="str">
        <f>Roster!AF115</f>
        <v>.</v>
      </c>
      <c r="AF15" s="37" t="str">
        <f>Roster!AG115</f>
        <v>.</v>
      </c>
      <c r="AG15" s="38" t="str">
        <f>Roster!AH115</f>
        <v>.</v>
      </c>
    </row>
    <row r="16" spans="2:33" ht="14.4" thickTop="1" thickBot="1"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2019</v>
      </c>
      <c r="C18" s="36" t="str">
        <f>Roster!D146</f>
        <v>.</v>
      </c>
      <c r="D18" s="37" t="str">
        <f>Roster!E146</f>
        <v>.</v>
      </c>
      <c r="E18" s="37" t="str">
        <f>Roster!F146</f>
        <v>.</v>
      </c>
      <c r="F18" s="37" t="str">
        <f>Roster!G146</f>
        <v>.</v>
      </c>
      <c r="G18" s="37" t="str">
        <f>Roster!H146</f>
        <v>.</v>
      </c>
      <c r="H18" s="37" t="str">
        <f>Roster!I146</f>
        <v>.</v>
      </c>
      <c r="I18" s="37" t="str">
        <f>Roster!J146</f>
        <v>.</v>
      </c>
      <c r="J18" s="37" t="str">
        <f>Roster!K146</f>
        <v>.</v>
      </c>
      <c r="K18" s="37" t="str">
        <f>Roster!L146</f>
        <v>.</v>
      </c>
      <c r="L18" s="37" t="str">
        <f>Roster!M146</f>
        <v>.</v>
      </c>
      <c r="M18" s="37" t="str">
        <f>Roster!N146</f>
        <v>.</v>
      </c>
      <c r="N18" s="37" t="str">
        <f>Roster!O146</f>
        <v>.</v>
      </c>
      <c r="O18" s="37" t="str">
        <f>Roster!P146</f>
        <v>.</v>
      </c>
      <c r="P18" s="37" t="str">
        <f>Roster!Q146</f>
        <v>.</v>
      </c>
      <c r="Q18" s="37" t="str">
        <f>Roster!R146</f>
        <v>.</v>
      </c>
      <c r="R18" s="37" t="str">
        <f>Roster!S146</f>
        <v>.</v>
      </c>
      <c r="S18" s="37" t="str">
        <f>Roster!T146</f>
        <v>.</v>
      </c>
      <c r="T18" s="37" t="str">
        <f>Roster!U146</f>
        <v>.</v>
      </c>
      <c r="U18" s="37" t="str">
        <f>Roster!V146</f>
        <v>.</v>
      </c>
      <c r="V18" s="37" t="str">
        <f>Roster!W146</f>
        <v>.</v>
      </c>
      <c r="W18" s="37" t="str">
        <f>Roster!X146</f>
        <v>.</v>
      </c>
      <c r="X18" s="37" t="str">
        <f>Roster!Y146</f>
        <v>.</v>
      </c>
      <c r="Y18" s="37" t="str">
        <f>Roster!Z146</f>
        <v>.</v>
      </c>
      <c r="Z18" s="37" t="str">
        <f>Roster!AA146</f>
        <v>.</v>
      </c>
      <c r="AA18" s="37" t="str">
        <f>Roster!AB146</f>
        <v>.</v>
      </c>
      <c r="AB18" s="37" t="str">
        <f>Roster!AC146</f>
        <v>.</v>
      </c>
      <c r="AC18" s="37" t="str">
        <f>Roster!AD146</f>
        <v>.</v>
      </c>
      <c r="AD18" s="37" t="str">
        <f>Roster!AE146</f>
        <v>.</v>
      </c>
      <c r="AE18" s="37" t="str">
        <f>Roster!AF146</f>
        <v>.</v>
      </c>
      <c r="AF18" s="38" t="str">
        <f>Roster!AG146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2019</v>
      </c>
      <c r="C21" s="36" t="str">
        <f>Roster!D177</f>
        <v>.</v>
      </c>
      <c r="D21" s="37" t="str">
        <f>Roster!E177</f>
        <v>.</v>
      </c>
      <c r="E21" s="37" t="str">
        <f>Roster!F177</f>
        <v>.</v>
      </c>
      <c r="F21" s="37" t="str">
        <f>Roster!G177</f>
        <v>.</v>
      </c>
      <c r="G21" s="37" t="str">
        <f>Roster!H177</f>
        <v>.</v>
      </c>
      <c r="H21" s="37" t="str">
        <f>Roster!I177</f>
        <v>.</v>
      </c>
      <c r="I21" s="37" t="str">
        <f>Roster!J177</f>
        <v>.</v>
      </c>
      <c r="J21" s="37" t="str">
        <f>Roster!K177</f>
        <v>.</v>
      </c>
      <c r="K21" s="37" t="str">
        <f>Roster!L177</f>
        <v>.</v>
      </c>
      <c r="L21" s="37" t="str">
        <f>Roster!M177</f>
        <v>.</v>
      </c>
      <c r="M21" s="37" t="str">
        <f>Roster!N177</f>
        <v>.</v>
      </c>
      <c r="N21" s="37" t="str">
        <f>Roster!O177</f>
        <v>.</v>
      </c>
      <c r="O21" s="37" t="str">
        <f>Roster!P177</f>
        <v>.</v>
      </c>
      <c r="P21" s="37" t="str">
        <f>Roster!Q177</f>
        <v>.</v>
      </c>
      <c r="Q21" s="37" t="str">
        <f>Roster!R177</f>
        <v>.</v>
      </c>
      <c r="R21" s="37" t="str">
        <f>Roster!S177</f>
        <v>.</v>
      </c>
      <c r="S21" s="37" t="str">
        <f>Roster!T177</f>
        <v>.</v>
      </c>
      <c r="T21" s="37" t="str">
        <f>Roster!U177</f>
        <v>.</v>
      </c>
      <c r="U21" s="37" t="str">
        <f>Roster!V177</f>
        <v>.</v>
      </c>
      <c r="V21" s="37" t="str">
        <f>Roster!W177</f>
        <v>.</v>
      </c>
      <c r="W21" s="37" t="str">
        <f>Roster!X177</f>
        <v>.</v>
      </c>
      <c r="X21" s="37" t="str">
        <f>Roster!Y177</f>
        <v>.</v>
      </c>
      <c r="Y21" s="37" t="str">
        <f>Roster!Z177</f>
        <v>.</v>
      </c>
      <c r="Z21" s="37" t="str">
        <f>Roster!AA177</f>
        <v>.</v>
      </c>
      <c r="AA21" s="37" t="str">
        <f>Roster!AB177</f>
        <v>.</v>
      </c>
      <c r="AB21" s="37" t="str">
        <f>Roster!AC177</f>
        <v>.</v>
      </c>
      <c r="AC21" s="37" t="str">
        <f>Roster!AD177</f>
        <v>.</v>
      </c>
      <c r="AD21" s="37" t="str">
        <f>Roster!AE177</f>
        <v>.</v>
      </c>
      <c r="AE21" s="37" t="str">
        <f>Roster!AF177</f>
        <v>.</v>
      </c>
      <c r="AF21" s="37" t="str">
        <f>Roster!AG177</f>
        <v>.</v>
      </c>
      <c r="AG21" s="38" t="str">
        <f>Roster!AH177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We</v>
      </c>
      <c r="D22" s="19" t="str">
        <f t="shared" si="6"/>
        <v>Th</v>
      </c>
      <c r="E22" s="19" t="str">
        <f t="shared" si="6"/>
        <v>Fr</v>
      </c>
      <c r="F22" s="19" t="str">
        <f t="shared" si="6"/>
        <v>Sa</v>
      </c>
      <c r="G22" s="19" t="str">
        <f t="shared" si="6"/>
        <v>Su</v>
      </c>
      <c r="H22" s="19" t="str">
        <f t="shared" si="6"/>
        <v>Mo</v>
      </c>
      <c r="I22" s="19" t="str">
        <f t="shared" si="6"/>
        <v>Tu</v>
      </c>
      <c r="J22" s="19" t="str">
        <f t="shared" si="6"/>
        <v>We</v>
      </c>
      <c r="K22" s="19" t="str">
        <f t="shared" si="6"/>
        <v>Th</v>
      </c>
      <c r="L22" s="19" t="str">
        <f t="shared" si="6"/>
        <v>Fr</v>
      </c>
      <c r="M22" s="19" t="str">
        <f t="shared" si="6"/>
        <v>Sa</v>
      </c>
      <c r="N22" s="19" t="str">
        <f t="shared" si="6"/>
        <v>Su</v>
      </c>
      <c r="O22" s="19" t="str">
        <f t="shared" si="6"/>
        <v>Mo</v>
      </c>
      <c r="P22" s="19" t="str">
        <f t="shared" si="6"/>
        <v>Tu</v>
      </c>
      <c r="Q22" s="19" t="str">
        <f t="shared" si="6"/>
        <v>We</v>
      </c>
      <c r="R22" s="19" t="str">
        <f t="shared" si="6"/>
        <v>Th</v>
      </c>
      <c r="S22" s="19" t="str">
        <f t="shared" si="6"/>
        <v>Fr</v>
      </c>
      <c r="T22" s="19" t="str">
        <f t="shared" si="6"/>
        <v>Sa</v>
      </c>
      <c r="U22" s="19" t="str">
        <f t="shared" si="6"/>
        <v>Su</v>
      </c>
      <c r="V22" s="19" t="str">
        <f t="shared" si="6"/>
        <v>Mo</v>
      </c>
      <c r="W22" s="19" t="str">
        <f t="shared" si="6"/>
        <v>Tu</v>
      </c>
      <c r="X22" s="19" t="str">
        <f t="shared" si="6"/>
        <v>We</v>
      </c>
      <c r="Y22" s="19" t="str">
        <f t="shared" si="6"/>
        <v>Th</v>
      </c>
      <c r="Z22" s="19" t="str">
        <f t="shared" si="6"/>
        <v>Fr</v>
      </c>
      <c r="AA22" s="19" t="str">
        <f t="shared" si="6"/>
        <v>Sa</v>
      </c>
      <c r="AB22" s="19" t="str">
        <f t="shared" si="6"/>
        <v>Su</v>
      </c>
      <c r="AC22" s="19" t="str">
        <f t="shared" si="6"/>
        <v>Mo</v>
      </c>
      <c r="AD22" s="19" t="str">
        <f t="shared" si="6"/>
        <v>Tu</v>
      </c>
      <c r="AE22" s="19" t="str">
        <f t="shared" si="6"/>
        <v>We</v>
      </c>
      <c r="AF22" s="19" t="str">
        <f t="shared" si="6"/>
        <v>Th</v>
      </c>
      <c r="AG22" s="19" t="str">
        <f t="shared" si="6"/>
        <v>Fr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2020</v>
      </c>
      <c r="C24" s="52" t="str">
        <f>Roster!D208</f>
        <v>.</v>
      </c>
      <c r="D24" s="53" t="str">
        <f>Roster!E208</f>
        <v>.</v>
      </c>
      <c r="E24" s="53" t="str">
        <f>Roster!F208</f>
        <v>.</v>
      </c>
      <c r="F24" s="53" t="str">
        <f>Roster!G208</f>
        <v>.</v>
      </c>
      <c r="G24" s="53" t="str">
        <f>Roster!H208</f>
        <v>.</v>
      </c>
      <c r="H24" s="53" t="str">
        <f>Roster!I208</f>
        <v>.</v>
      </c>
      <c r="I24" s="53" t="str">
        <f>Roster!J208</f>
        <v>.</v>
      </c>
      <c r="J24" s="53" t="str">
        <f>Roster!K208</f>
        <v>.</v>
      </c>
      <c r="K24" s="53" t="str">
        <f>Roster!L208</f>
        <v>.</v>
      </c>
      <c r="L24" s="53" t="str">
        <f>Roster!M208</f>
        <v>.</v>
      </c>
      <c r="M24" s="53" t="str">
        <f>Roster!N208</f>
        <v>.</v>
      </c>
      <c r="N24" s="53" t="str">
        <f>Roster!O208</f>
        <v>.</v>
      </c>
      <c r="O24" s="53" t="str">
        <f>Roster!P208</f>
        <v>.</v>
      </c>
      <c r="P24" s="53" t="str">
        <f>Roster!Q208</f>
        <v>.</v>
      </c>
      <c r="Q24" s="53" t="str">
        <f>Roster!R208</f>
        <v>.</v>
      </c>
      <c r="R24" s="53" t="str">
        <f>Roster!S208</f>
        <v>.</v>
      </c>
      <c r="S24" s="53" t="str">
        <f>Roster!T208</f>
        <v>.</v>
      </c>
      <c r="T24" s="53" t="str">
        <f>Roster!U208</f>
        <v>.</v>
      </c>
      <c r="U24" s="53" t="str">
        <f>Roster!V208</f>
        <v>.</v>
      </c>
      <c r="V24" s="53" t="str">
        <f>Roster!W208</f>
        <v>.</v>
      </c>
      <c r="W24" s="53" t="str">
        <f>Roster!X208</f>
        <v>.</v>
      </c>
      <c r="X24" s="53" t="str">
        <f>Roster!Y208</f>
        <v>.</v>
      </c>
      <c r="Y24" s="53" t="str">
        <f>Roster!Z208</f>
        <v>.</v>
      </c>
      <c r="Z24" s="53" t="str">
        <f>Roster!AA208</f>
        <v>.</v>
      </c>
      <c r="AA24" s="53" t="str">
        <f>Roster!AB208</f>
        <v>.</v>
      </c>
      <c r="AB24" s="53" t="str">
        <f>Roster!AC208</f>
        <v>.</v>
      </c>
      <c r="AC24" s="53" t="str">
        <f>Roster!AD208</f>
        <v>.</v>
      </c>
      <c r="AD24" s="53" t="str">
        <f>Roster!AE208</f>
        <v>.</v>
      </c>
      <c r="AE24" s="53" t="str">
        <f>Roster!AF208</f>
        <v>.</v>
      </c>
      <c r="AF24" s="53" t="str">
        <f>Roster!AG208</f>
        <v>.</v>
      </c>
      <c r="AG24" s="54" t="str">
        <f>Roster!AH208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Sa</v>
      </c>
      <c r="D25" s="22" t="str">
        <f t="shared" si="7"/>
        <v>Su</v>
      </c>
      <c r="E25" s="22" t="str">
        <f t="shared" si="7"/>
        <v>Mo</v>
      </c>
      <c r="F25" s="22" t="str">
        <f t="shared" si="7"/>
        <v>Tu</v>
      </c>
      <c r="G25" s="22" t="str">
        <f t="shared" si="7"/>
        <v>We</v>
      </c>
      <c r="H25" s="22" t="str">
        <f t="shared" si="7"/>
        <v>Th</v>
      </c>
      <c r="I25" s="22" t="str">
        <f t="shared" si="7"/>
        <v>Fr</v>
      </c>
      <c r="J25" s="22" t="str">
        <f t="shared" si="7"/>
        <v>Sa</v>
      </c>
      <c r="K25" s="22" t="str">
        <f t="shared" si="7"/>
        <v>Su</v>
      </c>
      <c r="L25" s="22" t="str">
        <f t="shared" si="7"/>
        <v>Mo</v>
      </c>
      <c r="M25" s="22" t="str">
        <f t="shared" si="7"/>
        <v>Tu</v>
      </c>
      <c r="N25" s="22" t="str">
        <f t="shared" si="7"/>
        <v>We</v>
      </c>
      <c r="O25" s="22" t="str">
        <f t="shared" si="7"/>
        <v>Th</v>
      </c>
      <c r="P25" s="22" t="str">
        <f t="shared" si="7"/>
        <v>Fr</v>
      </c>
      <c r="Q25" s="22" t="str">
        <f t="shared" si="7"/>
        <v>Sa</v>
      </c>
      <c r="R25" s="22" t="str">
        <f t="shared" si="7"/>
        <v>Su</v>
      </c>
      <c r="S25" s="22" t="str">
        <f t="shared" si="7"/>
        <v>Mo</v>
      </c>
      <c r="T25" s="22" t="str">
        <f t="shared" si="7"/>
        <v>Tu</v>
      </c>
      <c r="U25" s="22" t="str">
        <f t="shared" si="7"/>
        <v>We</v>
      </c>
      <c r="V25" s="22" t="str">
        <f t="shared" si="7"/>
        <v>Th</v>
      </c>
      <c r="W25" s="22" t="str">
        <f t="shared" si="7"/>
        <v>Fr</v>
      </c>
      <c r="X25" s="22" t="str">
        <f t="shared" si="7"/>
        <v>Sa</v>
      </c>
      <c r="Y25" s="22" t="str">
        <f t="shared" si="7"/>
        <v>Su</v>
      </c>
      <c r="Z25" s="22" t="str">
        <f t="shared" si="7"/>
        <v>Mo</v>
      </c>
      <c r="AA25" s="22" t="str">
        <f t="shared" si="7"/>
        <v>Tu</v>
      </c>
      <c r="AB25" s="22" t="str">
        <f t="shared" si="7"/>
        <v>We</v>
      </c>
      <c r="AC25" s="22" t="str">
        <f t="shared" si="7"/>
        <v>Th</v>
      </c>
      <c r="AD25" s="22" t="str">
        <f t="shared" si="7"/>
        <v>Fr</v>
      </c>
      <c r="AE25" s="122" t="str">
        <f t="shared" si="7"/>
        <v>Sa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6">
        <v>29</v>
      </c>
      <c r="AF26" s="44"/>
    </row>
    <row r="27" spans="2:33" ht="14.4" thickTop="1" thickBot="1">
      <c r="B27" s="32" t="str">
        <f>CurYear</f>
        <v>2020</v>
      </c>
      <c r="C27" s="51" t="str">
        <f>Roster!D239</f>
        <v>.</v>
      </c>
      <c r="D27" s="37" t="str">
        <f>Roster!E238</f>
        <v>.</v>
      </c>
      <c r="E27" s="37" t="str">
        <f>Roster!F238</f>
        <v>.</v>
      </c>
      <c r="F27" s="37" t="str">
        <f>Roster!G238</f>
        <v>.</v>
      </c>
      <c r="G27" s="37" t="str">
        <f>Roster!H238</f>
        <v>.</v>
      </c>
      <c r="H27" s="37" t="str">
        <f>Roster!I238</f>
        <v>.</v>
      </c>
      <c r="I27" s="37" t="str">
        <f>Roster!J238</f>
        <v>.</v>
      </c>
      <c r="J27" s="37" t="str">
        <f>Roster!K238</f>
        <v>.</v>
      </c>
      <c r="K27" s="37" t="str">
        <f>Roster!L238</f>
        <v>.</v>
      </c>
      <c r="L27" s="37" t="str">
        <f>Roster!M238</f>
        <v>.</v>
      </c>
      <c r="M27" s="37" t="str">
        <f>Roster!N238</f>
        <v>.</v>
      </c>
      <c r="N27" s="37" t="str">
        <f>Roster!O238</f>
        <v>.</v>
      </c>
      <c r="O27" s="37" t="str">
        <f>Roster!P238</f>
        <v>.</v>
      </c>
      <c r="P27" s="37" t="str">
        <f>Roster!Q238</f>
        <v>.</v>
      </c>
      <c r="Q27" s="37" t="str">
        <f>Roster!R238</f>
        <v>.</v>
      </c>
      <c r="R27" s="37" t="str">
        <f>Roster!S238</f>
        <v>.</v>
      </c>
      <c r="S27" s="37" t="str">
        <f>Roster!T238</f>
        <v>.</v>
      </c>
      <c r="T27" s="37" t="str">
        <f>Roster!U238</f>
        <v>.</v>
      </c>
      <c r="U27" s="37" t="str">
        <f>Roster!V238</f>
        <v>.</v>
      </c>
      <c r="V27" s="37" t="str">
        <f>Roster!W238</f>
        <v>.</v>
      </c>
      <c r="W27" s="37" t="str">
        <f>Roster!X238</f>
        <v>.</v>
      </c>
      <c r="X27" s="37" t="str">
        <f>Roster!Y238</f>
        <v>.</v>
      </c>
      <c r="Y27" s="37" t="str">
        <f>Roster!Z238</f>
        <v>.</v>
      </c>
      <c r="Z27" s="37" t="str">
        <f>Roster!AA238</f>
        <v>.</v>
      </c>
      <c r="AA27" s="37" t="str">
        <f>Roster!AB238</f>
        <v>.</v>
      </c>
      <c r="AB27" s="37" t="str">
        <f>Roster!AC238</f>
        <v>.</v>
      </c>
      <c r="AC27" s="37" t="str">
        <f>Roster!AD238</f>
        <v>.</v>
      </c>
      <c r="AD27" s="43" t="str">
        <f>Roster!AE238</f>
        <v>.</v>
      </c>
      <c r="AE27" s="121" t="str">
        <f>Roster!AF238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26" t="str">
        <f t="shared" si="8"/>
        <v>Mo</v>
      </c>
      <c r="AG28" s="26" t="str">
        <f t="shared" si="8"/>
        <v>Tu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2020</v>
      </c>
      <c r="C30" s="36" t="str">
        <f>Roster!D270</f>
        <v>.</v>
      </c>
      <c r="D30" s="37" t="str">
        <f>Roster!E270</f>
        <v>.</v>
      </c>
      <c r="E30" s="37" t="str">
        <f>Roster!F270</f>
        <v>.</v>
      </c>
      <c r="F30" s="37" t="str">
        <f>Roster!G270</f>
        <v>.</v>
      </c>
      <c r="G30" s="37" t="str">
        <f>Roster!H270</f>
        <v>.</v>
      </c>
      <c r="H30" s="37" t="str">
        <f>Roster!I270</f>
        <v>.</v>
      </c>
      <c r="I30" s="37" t="str">
        <f>Roster!J270</f>
        <v>.</v>
      </c>
      <c r="J30" s="37" t="str">
        <f>Roster!K270</f>
        <v>.</v>
      </c>
      <c r="K30" s="37" t="str">
        <f>Roster!L270</f>
        <v>.</v>
      </c>
      <c r="L30" s="37" t="str">
        <f>Roster!M270</f>
        <v>.</v>
      </c>
      <c r="M30" s="37" t="str">
        <f>Roster!N270</f>
        <v>.</v>
      </c>
      <c r="N30" s="37" t="str">
        <f>Roster!O270</f>
        <v>.</v>
      </c>
      <c r="O30" s="37" t="str">
        <f>Roster!P270</f>
        <v>.</v>
      </c>
      <c r="P30" s="37" t="str">
        <f>Roster!Q270</f>
        <v>.</v>
      </c>
      <c r="Q30" s="37" t="str">
        <f>Roster!R270</f>
        <v>.</v>
      </c>
      <c r="R30" s="37" t="str">
        <f>Roster!S270</f>
        <v>.</v>
      </c>
      <c r="S30" s="37" t="str">
        <f>Roster!T270</f>
        <v>.</v>
      </c>
      <c r="T30" s="37" t="str">
        <f>Roster!U270</f>
        <v>.</v>
      </c>
      <c r="U30" s="37" t="str">
        <f>Roster!V270</f>
        <v>.</v>
      </c>
      <c r="V30" s="37" t="str">
        <f>Roster!W270</f>
        <v>.</v>
      </c>
      <c r="W30" s="37" t="str">
        <f>Roster!X270</f>
        <v>.</v>
      </c>
      <c r="X30" s="37" t="str">
        <f>Roster!Y270</f>
        <v>.</v>
      </c>
      <c r="Y30" s="37" t="str">
        <f>Roster!Z270</f>
        <v>.</v>
      </c>
      <c r="Z30" s="37" t="str">
        <f>Roster!AA270</f>
        <v>.</v>
      </c>
      <c r="AA30" s="37" t="str">
        <f>Roster!AB270</f>
        <v>.</v>
      </c>
      <c r="AB30" s="37" t="str">
        <f>Roster!AC270</f>
        <v>.</v>
      </c>
      <c r="AC30" s="37" t="str">
        <f>Roster!AD270</f>
        <v>.</v>
      </c>
      <c r="AD30" s="37" t="str">
        <f>Roster!AE270</f>
        <v>.</v>
      </c>
      <c r="AE30" s="37" t="str">
        <f>Roster!AF270</f>
        <v>.</v>
      </c>
      <c r="AF30" s="37" t="str">
        <f>Roster!AG270</f>
        <v>.</v>
      </c>
      <c r="AG30" s="38" t="str">
        <f>Roster!AH270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2020</v>
      </c>
      <c r="C33" s="36" t="str">
        <f>Roster!D301</f>
        <v>.</v>
      </c>
      <c r="D33" s="37" t="str">
        <f>Roster!E301</f>
        <v>.</v>
      </c>
      <c r="E33" s="37" t="str">
        <f>Roster!F301</f>
        <v>.</v>
      </c>
      <c r="F33" s="37" t="str">
        <f>Roster!G301</f>
        <v>.</v>
      </c>
      <c r="G33" s="37" t="str">
        <f>Roster!H301</f>
        <v>.</v>
      </c>
      <c r="H33" s="37" t="str">
        <f>Roster!I301</f>
        <v>.</v>
      </c>
      <c r="I33" s="37" t="str">
        <f>Roster!J301</f>
        <v>.</v>
      </c>
      <c r="J33" s="37" t="str">
        <f>Roster!K301</f>
        <v>.</v>
      </c>
      <c r="K33" s="37" t="str">
        <f>Roster!L301</f>
        <v>.</v>
      </c>
      <c r="L33" s="37" t="str">
        <f>Roster!M301</f>
        <v>.</v>
      </c>
      <c r="M33" s="37" t="str">
        <f>Roster!N301</f>
        <v>.</v>
      </c>
      <c r="N33" s="37" t="str">
        <f>Roster!O301</f>
        <v>.</v>
      </c>
      <c r="O33" s="37" t="str">
        <f>Roster!P301</f>
        <v>.</v>
      </c>
      <c r="P33" s="37" t="str">
        <f>Roster!Q301</f>
        <v>.</v>
      </c>
      <c r="Q33" s="37" t="str">
        <f>Roster!R301</f>
        <v>.</v>
      </c>
      <c r="R33" s="37" t="str">
        <f>Roster!S301</f>
        <v>.</v>
      </c>
      <c r="S33" s="37" t="str">
        <f>Roster!T301</f>
        <v>.</v>
      </c>
      <c r="T33" s="37" t="str">
        <f>Roster!U301</f>
        <v>.</v>
      </c>
      <c r="U33" s="37" t="str">
        <f>Roster!V301</f>
        <v>.</v>
      </c>
      <c r="V33" s="37" t="str">
        <f>Roster!W301</f>
        <v>.</v>
      </c>
      <c r="W33" s="37" t="str">
        <f>Roster!X301</f>
        <v>.</v>
      </c>
      <c r="X33" s="37" t="str">
        <f>Roster!Y301</f>
        <v>.</v>
      </c>
      <c r="Y33" s="37" t="str">
        <f>Roster!Z301</f>
        <v>.</v>
      </c>
      <c r="Z33" s="37" t="str">
        <f>Roster!AA301</f>
        <v>.</v>
      </c>
      <c r="AA33" s="37" t="str">
        <f>Roster!AB301</f>
        <v>.</v>
      </c>
      <c r="AB33" s="37" t="str">
        <f>Roster!AC301</f>
        <v>.</v>
      </c>
      <c r="AC33" s="37" t="str">
        <f>Roster!AD301</f>
        <v>.</v>
      </c>
      <c r="AD33" s="37" t="str">
        <f>Roster!AE301</f>
        <v>.</v>
      </c>
      <c r="AE33" s="37" t="str">
        <f>Roster!AF301</f>
        <v>.</v>
      </c>
      <c r="AF33" s="38" t="str">
        <f>Roster!AG301</f>
        <v>.</v>
      </c>
    </row>
    <row r="34" spans="2:33" ht="14.4" thickTop="1" thickBot="1"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20" t="str">
        <f t="shared" si="10"/>
        <v>Su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2020</v>
      </c>
      <c r="C36" s="36" t="str">
        <f>Roster!D332</f>
        <v>.</v>
      </c>
      <c r="D36" s="37" t="str">
        <f>Roster!E332</f>
        <v>.</v>
      </c>
      <c r="E36" s="37" t="str">
        <f>Roster!F332</f>
        <v>.</v>
      </c>
      <c r="F36" s="37" t="str">
        <f>Roster!G332</f>
        <v>.</v>
      </c>
      <c r="G36" s="37" t="str">
        <f>Roster!H332</f>
        <v>.</v>
      </c>
      <c r="H36" s="37" t="str">
        <f>Roster!I332</f>
        <v>.</v>
      </c>
      <c r="I36" s="37" t="str">
        <f>Roster!J332</f>
        <v>.</v>
      </c>
      <c r="J36" s="37" t="str">
        <f>Roster!K332</f>
        <v>.</v>
      </c>
      <c r="K36" s="37" t="str">
        <f>Roster!L332</f>
        <v>.</v>
      </c>
      <c r="L36" s="37" t="str">
        <f>Roster!M332</f>
        <v>.</v>
      </c>
      <c r="M36" s="37" t="str">
        <f>Roster!N332</f>
        <v>.</v>
      </c>
      <c r="N36" s="37" t="str">
        <f>Roster!O332</f>
        <v>.</v>
      </c>
      <c r="O36" s="37" t="str">
        <f>Roster!P332</f>
        <v>.</v>
      </c>
      <c r="P36" s="37" t="str">
        <f>Roster!Q332</f>
        <v>.</v>
      </c>
      <c r="Q36" s="37" t="str">
        <f>Roster!R332</f>
        <v>.</v>
      </c>
      <c r="R36" s="37" t="str">
        <f>Roster!S332</f>
        <v>.</v>
      </c>
      <c r="S36" s="37" t="str">
        <f>Roster!T332</f>
        <v>.</v>
      </c>
      <c r="T36" s="37" t="str">
        <f>Roster!U332</f>
        <v>.</v>
      </c>
      <c r="U36" s="37" t="str">
        <f>Roster!V332</f>
        <v>.</v>
      </c>
      <c r="V36" s="37" t="str">
        <f>Roster!W332</f>
        <v>.</v>
      </c>
      <c r="W36" s="37" t="str">
        <f>Roster!X332</f>
        <v>.</v>
      </c>
      <c r="X36" s="37" t="str">
        <f>Roster!Y332</f>
        <v>.</v>
      </c>
      <c r="Y36" s="37" t="str">
        <f>Roster!Z332</f>
        <v>.</v>
      </c>
      <c r="Z36" s="37" t="str">
        <f>Roster!AA332</f>
        <v>.</v>
      </c>
      <c r="AA36" s="37" t="str">
        <f>Roster!AB332</f>
        <v>.</v>
      </c>
      <c r="AB36" s="37" t="str">
        <f>Roster!AC332</f>
        <v>.</v>
      </c>
      <c r="AC36" s="37" t="str">
        <f>Roster!AD332</f>
        <v>.</v>
      </c>
      <c r="AD36" s="37" t="str">
        <f>Roster!AE332</f>
        <v>.</v>
      </c>
      <c r="AE36" s="37" t="str">
        <f>Roster!AF332</f>
        <v>.</v>
      </c>
      <c r="AF36" s="37" t="str">
        <f>Roster!AG332</f>
        <v>.</v>
      </c>
      <c r="AG36" s="38" t="str">
        <f>Roster!AH332</f>
        <v>.</v>
      </c>
    </row>
    <row r="37" spans="2:33" ht="14.4" thickTop="1" thickBot="1"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2020</v>
      </c>
      <c r="C39" s="36" t="str">
        <f>Roster!D363</f>
        <v>.</v>
      </c>
      <c r="D39" s="37" t="str">
        <f>Roster!E363</f>
        <v>.</v>
      </c>
      <c r="E39" s="37" t="str">
        <f>Roster!F363</f>
        <v>.</v>
      </c>
      <c r="F39" s="37" t="str">
        <f>Roster!G363</f>
        <v>.</v>
      </c>
      <c r="G39" s="37" t="str">
        <f>Roster!H363</f>
        <v>.</v>
      </c>
      <c r="H39" s="37" t="str">
        <f>Roster!I363</f>
        <v>.</v>
      </c>
      <c r="I39" s="37" t="str">
        <f>Roster!J363</f>
        <v>.</v>
      </c>
      <c r="J39" s="37" t="str">
        <f>Roster!K363</f>
        <v>.</v>
      </c>
      <c r="K39" s="37" t="str">
        <f>Roster!L363</f>
        <v>.</v>
      </c>
      <c r="L39" s="37" t="str">
        <f>Roster!M363</f>
        <v>.</v>
      </c>
      <c r="M39" s="37" t="str">
        <f>Roster!N363</f>
        <v>.</v>
      </c>
      <c r="N39" s="37" t="str">
        <f>Roster!O363</f>
        <v>.</v>
      </c>
      <c r="O39" s="37" t="str">
        <f>Roster!P363</f>
        <v>.</v>
      </c>
      <c r="P39" s="37" t="str">
        <f>Roster!Q363</f>
        <v>.</v>
      </c>
      <c r="Q39" s="37" t="str">
        <f>Roster!R363</f>
        <v>.</v>
      </c>
      <c r="R39" s="37" t="str">
        <f>Roster!S363</f>
        <v>.</v>
      </c>
      <c r="S39" s="37" t="str">
        <f>Roster!T363</f>
        <v>.</v>
      </c>
      <c r="T39" s="37" t="str">
        <f>Roster!U363</f>
        <v>.</v>
      </c>
      <c r="U39" s="37" t="str">
        <f>Roster!V363</f>
        <v>.</v>
      </c>
      <c r="V39" s="37" t="str">
        <f>Roster!W363</f>
        <v>.</v>
      </c>
      <c r="W39" s="37" t="str">
        <f>Roster!X363</f>
        <v>.</v>
      </c>
      <c r="X39" s="37" t="str">
        <f>Roster!Y363</f>
        <v>.</v>
      </c>
      <c r="Y39" s="37" t="str">
        <f>Roster!Z363</f>
        <v>.</v>
      </c>
      <c r="Z39" s="37" t="str">
        <f>Roster!AA363</f>
        <v>.</v>
      </c>
      <c r="AA39" s="37" t="str">
        <f>Roster!AB363</f>
        <v>.</v>
      </c>
      <c r="AB39" s="37" t="str">
        <f>Roster!AC363</f>
        <v>.</v>
      </c>
      <c r="AC39" s="37" t="str">
        <f>Roster!AD363</f>
        <v>.</v>
      </c>
      <c r="AD39" s="37" t="str">
        <f>Roster!AE363</f>
        <v>.</v>
      </c>
      <c r="AE39" s="37" t="str">
        <f>Roster!AF363</f>
        <v>.</v>
      </c>
      <c r="AF39" s="38" t="str">
        <f>Roster!AG363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0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2019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0" t="s">
        <v>25</v>
      </c>
      <c r="R3" s="130" t="str">
        <f>EmpGName10 &amp;" " &amp; EmpSName10</f>
        <v>John Smeegal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Mo</v>
      </c>
      <c r="D4" s="28" t="str">
        <f t="shared" si="0"/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20" t="str">
        <f t="shared" si="0"/>
        <v>We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2019</v>
      </c>
      <c r="C6" s="36" t="str">
        <f>Roster!D23</f>
        <v>.</v>
      </c>
      <c r="D6" s="37" t="str">
        <f>Roster!E23</f>
        <v>.</v>
      </c>
      <c r="E6" s="37" t="str">
        <f>Roster!F23</f>
        <v>.</v>
      </c>
      <c r="F6" s="37" t="str">
        <f>Roster!G23</f>
        <v>.</v>
      </c>
      <c r="G6" s="37" t="str">
        <f>Roster!H23</f>
        <v>.</v>
      </c>
      <c r="H6" s="37" t="str">
        <f>Roster!I23</f>
        <v>.</v>
      </c>
      <c r="I6" s="37" t="str">
        <f>Roster!J23</f>
        <v>.</v>
      </c>
      <c r="J6" s="37" t="str">
        <f>Roster!K23</f>
        <v>.</v>
      </c>
      <c r="K6" s="37" t="str">
        <f>Roster!L23</f>
        <v>.</v>
      </c>
      <c r="L6" s="37" t="str">
        <f>Roster!M23</f>
        <v>.</v>
      </c>
      <c r="M6" s="37" t="str">
        <f>Roster!N23</f>
        <v>.</v>
      </c>
      <c r="N6" s="37" t="str">
        <f>Roster!O23</f>
        <v>.</v>
      </c>
      <c r="O6" s="37" t="str">
        <f>Roster!P23</f>
        <v>.</v>
      </c>
      <c r="P6" s="37" t="str">
        <f>Roster!Q23</f>
        <v>.</v>
      </c>
      <c r="Q6" s="37" t="str">
        <f>Roster!R23</f>
        <v>.</v>
      </c>
      <c r="R6" s="37" t="str">
        <f>Roster!S23</f>
        <v>.</v>
      </c>
      <c r="S6" s="37" t="str">
        <f>Roster!T23</f>
        <v>.</v>
      </c>
      <c r="T6" s="37" t="str">
        <f>Roster!U23</f>
        <v>.</v>
      </c>
      <c r="U6" s="37" t="str">
        <f>Roster!V23</f>
        <v>.</v>
      </c>
      <c r="V6" s="37" t="str">
        <f>Roster!W23</f>
        <v>.</v>
      </c>
      <c r="W6" s="37" t="str">
        <f>Roster!X23</f>
        <v>.</v>
      </c>
      <c r="X6" s="37" t="str">
        <f>Roster!Y23</f>
        <v>.</v>
      </c>
      <c r="Y6" s="37" t="str">
        <f>Roster!Z23</f>
        <v>.</v>
      </c>
      <c r="Z6" s="37" t="str">
        <f>Roster!AA23</f>
        <v>.</v>
      </c>
      <c r="AA6" s="37" t="str">
        <f>Roster!AB23</f>
        <v>.</v>
      </c>
      <c r="AB6" s="37" t="str">
        <f>Roster!AC23</f>
        <v>.</v>
      </c>
      <c r="AC6" s="37" t="str">
        <f>Roster!AD23</f>
        <v>.</v>
      </c>
      <c r="AD6" s="37" t="str">
        <f>Roster!AE23</f>
        <v>.</v>
      </c>
      <c r="AE6" s="37" t="str">
        <f>Roster!AF23</f>
        <v>.</v>
      </c>
      <c r="AF6" s="37" t="str">
        <f>Roster!AG23</f>
        <v>.</v>
      </c>
      <c r="AG6" s="38" t="str">
        <f>Roster!AH23</f>
        <v>.</v>
      </c>
    </row>
    <row r="7" spans="2:33" ht="14.4" thickTop="1" thickBot="1"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21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2019</v>
      </c>
      <c r="C9" s="36" t="str">
        <f>Roster!D54</f>
        <v>.</v>
      </c>
      <c r="D9" s="39" t="str">
        <f>Roster!E54</f>
        <v>.</v>
      </c>
      <c r="E9" s="37" t="str">
        <f>Roster!F54</f>
        <v>.</v>
      </c>
      <c r="F9" s="37" t="str">
        <f>Roster!G54</f>
        <v>.</v>
      </c>
      <c r="G9" s="37" t="str">
        <f>Roster!H54</f>
        <v>.</v>
      </c>
      <c r="H9" s="37" t="str">
        <f>Roster!I54</f>
        <v>.</v>
      </c>
      <c r="I9" s="37" t="str">
        <f>Roster!J54</f>
        <v>.</v>
      </c>
      <c r="J9" s="37" t="str">
        <f>Roster!K54</f>
        <v>.</v>
      </c>
      <c r="K9" s="37" t="str">
        <f>Roster!L54</f>
        <v>.</v>
      </c>
      <c r="L9" s="37" t="str">
        <f>Roster!M54</f>
        <v>.</v>
      </c>
      <c r="M9" s="37" t="str">
        <f>Roster!N54</f>
        <v>.</v>
      </c>
      <c r="N9" s="37" t="str">
        <f>Roster!O54</f>
        <v>.</v>
      </c>
      <c r="O9" s="37" t="str">
        <f>Roster!P54</f>
        <v>.</v>
      </c>
      <c r="P9" s="37" t="str">
        <f>Roster!Q54</f>
        <v>.</v>
      </c>
      <c r="Q9" s="37" t="str">
        <f>Roster!R54</f>
        <v>.</v>
      </c>
      <c r="R9" s="37" t="str">
        <f>Roster!S54</f>
        <v>.</v>
      </c>
      <c r="S9" s="37" t="str">
        <f>Roster!T54</f>
        <v>.</v>
      </c>
      <c r="T9" s="37" t="str">
        <f>Roster!U54</f>
        <v>.</v>
      </c>
      <c r="U9" s="37" t="str">
        <f>Roster!V54</f>
        <v>.</v>
      </c>
      <c r="V9" s="37" t="str">
        <f>Roster!W54</f>
        <v>.</v>
      </c>
      <c r="W9" s="37" t="str">
        <f>Roster!X54</f>
        <v>.</v>
      </c>
      <c r="X9" s="37" t="str">
        <f>Roster!Y54</f>
        <v>.</v>
      </c>
      <c r="Y9" s="37" t="str">
        <f>Roster!Z54</f>
        <v>.</v>
      </c>
      <c r="Z9" s="37" t="str">
        <f>Roster!AA54</f>
        <v>.</v>
      </c>
      <c r="AA9" s="37" t="str">
        <f>Roster!AB54</f>
        <v>.</v>
      </c>
      <c r="AB9" s="37" t="str">
        <f>Roster!AC54</f>
        <v>.</v>
      </c>
      <c r="AC9" s="37" t="str">
        <f>Roster!AD54</f>
        <v>.</v>
      </c>
      <c r="AD9" s="37" t="str">
        <f>Roster!AE54</f>
        <v>.</v>
      </c>
      <c r="AE9" s="37" t="str">
        <f>Roster!AF54</f>
        <v>.</v>
      </c>
      <c r="AF9" s="37" t="str">
        <f>Roster!AG54</f>
        <v>.</v>
      </c>
      <c r="AG9" s="38" t="str">
        <f>Roster!AH54</f>
        <v>.</v>
      </c>
    </row>
    <row r="10" spans="2:33" ht="14.4" thickTop="1" thickBot="1"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1" t="str">
        <f t="shared" si="2"/>
        <v>Su</v>
      </c>
      <c r="AF10" s="21" t="str">
        <f t="shared" si="2"/>
        <v>Mo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2019</v>
      </c>
      <c r="C12" s="36" t="str">
        <f>Roster!D85</f>
        <v>.</v>
      </c>
      <c r="D12" s="37" t="str">
        <f>Roster!E85</f>
        <v>.</v>
      </c>
      <c r="E12" s="37" t="str">
        <f>Roster!F85</f>
        <v>.</v>
      </c>
      <c r="F12" s="37" t="str">
        <f>Roster!G85</f>
        <v>.</v>
      </c>
      <c r="G12" s="37" t="str">
        <f>Roster!H85</f>
        <v>.</v>
      </c>
      <c r="H12" s="37" t="str">
        <f>Roster!I85</f>
        <v>.</v>
      </c>
      <c r="I12" s="37" t="str">
        <f>Roster!J85</f>
        <v>.</v>
      </c>
      <c r="J12" s="37" t="str">
        <f>Roster!K85</f>
        <v>.</v>
      </c>
      <c r="K12" s="37" t="str">
        <f>Roster!L85</f>
        <v>.</v>
      </c>
      <c r="L12" s="37" t="str">
        <f>Roster!M85</f>
        <v>.</v>
      </c>
      <c r="M12" s="37" t="str">
        <f>Roster!N85</f>
        <v>.</v>
      </c>
      <c r="N12" s="37" t="str">
        <f>Roster!O85</f>
        <v>.</v>
      </c>
      <c r="O12" s="37" t="str">
        <f>Roster!P85</f>
        <v>.</v>
      </c>
      <c r="P12" s="37" t="str">
        <f>Roster!Q85</f>
        <v>.</v>
      </c>
      <c r="Q12" s="37" t="str">
        <f>Roster!R85</f>
        <v>.</v>
      </c>
      <c r="R12" s="37" t="str">
        <f>Roster!S85</f>
        <v>.</v>
      </c>
      <c r="S12" s="37" t="str">
        <f>Roster!T85</f>
        <v>.</v>
      </c>
      <c r="T12" s="37" t="str">
        <f>Roster!U85</f>
        <v>.</v>
      </c>
      <c r="U12" s="37" t="str">
        <f>Roster!V85</f>
        <v>.</v>
      </c>
      <c r="V12" s="37" t="str">
        <f>Roster!W85</f>
        <v>.</v>
      </c>
      <c r="W12" s="37" t="str">
        <f>Roster!X85</f>
        <v>.</v>
      </c>
      <c r="X12" s="37" t="str">
        <f>Roster!Y85</f>
        <v>.</v>
      </c>
      <c r="Y12" s="37" t="str">
        <f>Roster!Z85</f>
        <v>.</v>
      </c>
      <c r="Z12" s="37" t="str">
        <f>Roster!AA85</f>
        <v>.</v>
      </c>
      <c r="AA12" s="37" t="str">
        <f>Roster!AB85</f>
        <v>.</v>
      </c>
      <c r="AB12" s="37" t="str">
        <f>Roster!AC85</f>
        <v>.</v>
      </c>
      <c r="AC12" s="37" t="str">
        <f>Roster!AD85</f>
        <v>.</v>
      </c>
      <c r="AD12" s="37" t="str">
        <f>Roster!AE85</f>
        <v>.</v>
      </c>
      <c r="AE12" s="37" t="str">
        <f>Roster!AF85</f>
        <v>.</v>
      </c>
      <c r="AF12" s="38" t="str">
        <f>Roster!AG85</f>
        <v>.</v>
      </c>
    </row>
    <row r="13" spans="2:33" ht="14.4" thickTop="1" thickBot="1"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20" t="str">
        <f t="shared" si="3"/>
        <v>Th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2019</v>
      </c>
      <c r="C15" s="36" t="str">
        <f>Roster!D116</f>
        <v>.</v>
      </c>
      <c r="D15" s="37" t="str">
        <f>Roster!E116</f>
        <v>.</v>
      </c>
      <c r="E15" s="37" t="str">
        <f>Roster!F116</f>
        <v>.</v>
      </c>
      <c r="F15" s="37" t="str">
        <f>Roster!G116</f>
        <v>.</v>
      </c>
      <c r="G15" s="37" t="str">
        <f>Roster!H116</f>
        <v>.</v>
      </c>
      <c r="H15" s="37" t="str">
        <f>Roster!I116</f>
        <v>.</v>
      </c>
      <c r="I15" s="37" t="str">
        <f>Roster!J116</f>
        <v>.</v>
      </c>
      <c r="J15" s="37" t="str">
        <f>Roster!K116</f>
        <v>.</v>
      </c>
      <c r="K15" s="37" t="str">
        <f>Roster!L116</f>
        <v>.</v>
      </c>
      <c r="L15" s="37" t="str">
        <f>Roster!M116</f>
        <v>.</v>
      </c>
      <c r="M15" s="37" t="str">
        <f>Roster!N116</f>
        <v>.</v>
      </c>
      <c r="N15" s="37" t="str">
        <f>Roster!O116</f>
        <v>.</v>
      </c>
      <c r="O15" s="37" t="str">
        <f>Roster!P116</f>
        <v>.</v>
      </c>
      <c r="P15" s="37" t="str">
        <f>Roster!Q116</f>
        <v>.</v>
      </c>
      <c r="Q15" s="37" t="str">
        <f>Roster!R116</f>
        <v>.</v>
      </c>
      <c r="R15" s="37" t="str">
        <f>Roster!S116</f>
        <v>.</v>
      </c>
      <c r="S15" s="37" t="str">
        <f>Roster!T116</f>
        <v>.</v>
      </c>
      <c r="T15" s="37" t="str">
        <f>Roster!U116</f>
        <v>.</v>
      </c>
      <c r="U15" s="37" t="str">
        <f>Roster!V116</f>
        <v>.</v>
      </c>
      <c r="V15" s="37" t="str">
        <f>Roster!W116</f>
        <v>.</v>
      </c>
      <c r="W15" s="37" t="str">
        <f>Roster!X116</f>
        <v>.</v>
      </c>
      <c r="X15" s="37" t="str">
        <f>Roster!Y116</f>
        <v>.</v>
      </c>
      <c r="Y15" s="37" t="str">
        <f>Roster!Z116</f>
        <v>.</v>
      </c>
      <c r="Z15" s="37" t="str">
        <f>Roster!AA116</f>
        <v>.</v>
      </c>
      <c r="AA15" s="37" t="str">
        <f>Roster!AB116</f>
        <v>.</v>
      </c>
      <c r="AB15" s="37" t="str">
        <f>Roster!AC116</f>
        <v>.</v>
      </c>
      <c r="AC15" s="37" t="str">
        <f>Roster!AD116</f>
        <v>.</v>
      </c>
      <c r="AD15" s="37" t="str">
        <f>Roster!AE116</f>
        <v>.</v>
      </c>
      <c r="AE15" s="37" t="str">
        <f>Roster!AF116</f>
        <v>.</v>
      </c>
      <c r="AF15" s="37" t="str">
        <f>Roster!AG116</f>
        <v>.</v>
      </c>
      <c r="AG15" s="38" t="str">
        <f>Roster!AH116</f>
        <v>.</v>
      </c>
    </row>
    <row r="16" spans="2:33" ht="14.4" thickTop="1" thickBot="1"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2019</v>
      </c>
      <c r="C18" s="36" t="str">
        <f>Roster!D147</f>
        <v>.</v>
      </c>
      <c r="D18" s="37" t="str">
        <f>Roster!E147</f>
        <v>.</v>
      </c>
      <c r="E18" s="37" t="str">
        <f>Roster!F147</f>
        <v>.</v>
      </c>
      <c r="F18" s="37" t="str">
        <f>Roster!G147</f>
        <v>.</v>
      </c>
      <c r="G18" s="37" t="str">
        <f>Roster!H147</f>
        <v>.</v>
      </c>
      <c r="H18" s="37" t="str">
        <f>Roster!I147</f>
        <v>.</v>
      </c>
      <c r="I18" s="37" t="str">
        <f>Roster!J147</f>
        <v>.</v>
      </c>
      <c r="J18" s="37" t="str">
        <f>Roster!K147</f>
        <v>.</v>
      </c>
      <c r="K18" s="37" t="str">
        <f>Roster!L147</f>
        <v>.</v>
      </c>
      <c r="L18" s="37" t="str">
        <f>Roster!M147</f>
        <v>.</v>
      </c>
      <c r="M18" s="37" t="str">
        <f>Roster!N147</f>
        <v>.</v>
      </c>
      <c r="N18" s="37" t="str">
        <f>Roster!O147</f>
        <v>.</v>
      </c>
      <c r="O18" s="37" t="str">
        <f>Roster!P147</f>
        <v>.</v>
      </c>
      <c r="P18" s="37" t="str">
        <f>Roster!Q147</f>
        <v>.</v>
      </c>
      <c r="Q18" s="37" t="str">
        <f>Roster!R147</f>
        <v>.</v>
      </c>
      <c r="R18" s="37" t="str">
        <f>Roster!S147</f>
        <v>.</v>
      </c>
      <c r="S18" s="37" t="str">
        <f>Roster!T147</f>
        <v>.</v>
      </c>
      <c r="T18" s="37" t="str">
        <f>Roster!U147</f>
        <v>.</v>
      </c>
      <c r="U18" s="37" t="str">
        <f>Roster!V147</f>
        <v>.</v>
      </c>
      <c r="V18" s="37" t="str">
        <f>Roster!W147</f>
        <v>.</v>
      </c>
      <c r="W18" s="37" t="str">
        <f>Roster!X147</f>
        <v>.</v>
      </c>
      <c r="X18" s="37" t="str">
        <f>Roster!Y147</f>
        <v>.</v>
      </c>
      <c r="Y18" s="37" t="str">
        <f>Roster!Z147</f>
        <v>.</v>
      </c>
      <c r="Z18" s="37" t="str">
        <f>Roster!AA147</f>
        <v>.</v>
      </c>
      <c r="AA18" s="37" t="str">
        <f>Roster!AB147</f>
        <v>.</v>
      </c>
      <c r="AB18" s="37" t="str">
        <f>Roster!AC147</f>
        <v>.</v>
      </c>
      <c r="AC18" s="37" t="str">
        <f>Roster!AD147</f>
        <v>.</v>
      </c>
      <c r="AD18" s="37" t="str">
        <f>Roster!AE147</f>
        <v>.</v>
      </c>
      <c r="AE18" s="37" t="str">
        <f>Roster!AF147</f>
        <v>.</v>
      </c>
      <c r="AF18" s="38" t="str">
        <f>Roster!AG147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2019</v>
      </c>
      <c r="C21" s="36" t="str">
        <f>Roster!D178</f>
        <v>.</v>
      </c>
      <c r="D21" s="37" t="str">
        <f>Roster!E178</f>
        <v>.</v>
      </c>
      <c r="E21" s="37" t="str">
        <f>Roster!F178</f>
        <v>.</v>
      </c>
      <c r="F21" s="37" t="str">
        <f>Roster!G178</f>
        <v>.</v>
      </c>
      <c r="G21" s="37" t="str">
        <f>Roster!H178</f>
        <v>.</v>
      </c>
      <c r="H21" s="37" t="str">
        <f>Roster!I178</f>
        <v>.</v>
      </c>
      <c r="I21" s="37" t="str">
        <f>Roster!J178</f>
        <v>.</v>
      </c>
      <c r="J21" s="37" t="str">
        <f>Roster!K178</f>
        <v>.</v>
      </c>
      <c r="K21" s="37" t="str">
        <f>Roster!L178</f>
        <v>.</v>
      </c>
      <c r="L21" s="37" t="str">
        <f>Roster!M178</f>
        <v>.</v>
      </c>
      <c r="M21" s="37" t="str">
        <f>Roster!N178</f>
        <v>.</v>
      </c>
      <c r="N21" s="37" t="str">
        <f>Roster!O178</f>
        <v>.</v>
      </c>
      <c r="O21" s="37" t="str">
        <f>Roster!P178</f>
        <v>.</v>
      </c>
      <c r="P21" s="37" t="str">
        <f>Roster!Q178</f>
        <v>.</v>
      </c>
      <c r="Q21" s="37" t="str">
        <f>Roster!R178</f>
        <v>.</v>
      </c>
      <c r="R21" s="37" t="str">
        <f>Roster!S178</f>
        <v>.</v>
      </c>
      <c r="S21" s="37" t="str">
        <f>Roster!T178</f>
        <v>.</v>
      </c>
      <c r="T21" s="37" t="str">
        <f>Roster!U178</f>
        <v>.</v>
      </c>
      <c r="U21" s="37" t="str">
        <f>Roster!V178</f>
        <v>.</v>
      </c>
      <c r="V21" s="37" t="str">
        <f>Roster!W178</f>
        <v>.</v>
      </c>
      <c r="W21" s="37" t="str">
        <f>Roster!X178</f>
        <v>.</v>
      </c>
      <c r="X21" s="37" t="str">
        <f>Roster!Y178</f>
        <v>.</v>
      </c>
      <c r="Y21" s="37" t="str">
        <f>Roster!Z178</f>
        <v>.</v>
      </c>
      <c r="Z21" s="37" t="str">
        <f>Roster!AA178</f>
        <v>.</v>
      </c>
      <c r="AA21" s="37" t="str">
        <f>Roster!AB178</f>
        <v>.</v>
      </c>
      <c r="AB21" s="37" t="str">
        <f>Roster!AC178</f>
        <v>.</v>
      </c>
      <c r="AC21" s="37" t="str">
        <f>Roster!AD178</f>
        <v>.</v>
      </c>
      <c r="AD21" s="37" t="str">
        <f>Roster!AE178</f>
        <v>.</v>
      </c>
      <c r="AE21" s="37" t="str">
        <f>Roster!AF178</f>
        <v>.</v>
      </c>
      <c r="AF21" s="37" t="str">
        <f>Roster!AG178</f>
        <v>.</v>
      </c>
      <c r="AG21" s="38" t="str">
        <f>Roster!AH178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We</v>
      </c>
      <c r="D22" s="19" t="str">
        <f t="shared" si="6"/>
        <v>Th</v>
      </c>
      <c r="E22" s="19" t="str">
        <f t="shared" si="6"/>
        <v>Fr</v>
      </c>
      <c r="F22" s="19" t="str">
        <f t="shared" si="6"/>
        <v>Sa</v>
      </c>
      <c r="G22" s="19" t="str">
        <f t="shared" si="6"/>
        <v>Su</v>
      </c>
      <c r="H22" s="19" t="str">
        <f t="shared" si="6"/>
        <v>Mo</v>
      </c>
      <c r="I22" s="19" t="str">
        <f t="shared" si="6"/>
        <v>Tu</v>
      </c>
      <c r="J22" s="19" t="str">
        <f t="shared" si="6"/>
        <v>We</v>
      </c>
      <c r="K22" s="19" t="str">
        <f t="shared" si="6"/>
        <v>Th</v>
      </c>
      <c r="L22" s="19" t="str">
        <f t="shared" si="6"/>
        <v>Fr</v>
      </c>
      <c r="M22" s="19" t="str">
        <f t="shared" si="6"/>
        <v>Sa</v>
      </c>
      <c r="N22" s="19" t="str">
        <f t="shared" si="6"/>
        <v>Su</v>
      </c>
      <c r="O22" s="19" t="str">
        <f t="shared" si="6"/>
        <v>Mo</v>
      </c>
      <c r="P22" s="19" t="str">
        <f t="shared" si="6"/>
        <v>Tu</v>
      </c>
      <c r="Q22" s="19" t="str">
        <f t="shared" si="6"/>
        <v>We</v>
      </c>
      <c r="R22" s="19" t="str">
        <f t="shared" si="6"/>
        <v>Th</v>
      </c>
      <c r="S22" s="19" t="str">
        <f t="shared" si="6"/>
        <v>Fr</v>
      </c>
      <c r="T22" s="19" t="str">
        <f t="shared" si="6"/>
        <v>Sa</v>
      </c>
      <c r="U22" s="19" t="str">
        <f t="shared" si="6"/>
        <v>Su</v>
      </c>
      <c r="V22" s="19" t="str">
        <f t="shared" si="6"/>
        <v>Mo</v>
      </c>
      <c r="W22" s="19" t="str">
        <f t="shared" si="6"/>
        <v>Tu</v>
      </c>
      <c r="X22" s="19" t="str">
        <f t="shared" si="6"/>
        <v>We</v>
      </c>
      <c r="Y22" s="19" t="str">
        <f t="shared" si="6"/>
        <v>Th</v>
      </c>
      <c r="Z22" s="19" t="str">
        <f t="shared" si="6"/>
        <v>Fr</v>
      </c>
      <c r="AA22" s="19" t="str">
        <f t="shared" si="6"/>
        <v>Sa</v>
      </c>
      <c r="AB22" s="19" t="str">
        <f t="shared" si="6"/>
        <v>Su</v>
      </c>
      <c r="AC22" s="19" t="str">
        <f t="shared" si="6"/>
        <v>Mo</v>
      </c>
      <c r="AD22" s="19" t="str">
        <f t="shared" si="6"/>
        <v>Tu</v>
      </c>
      <c r="AE22" s="19" t="str">
        <f t="shared" si="6"/>
        <v>We</v>
      </c>
      <c r="AF22" s="19" t="str">
        <f t="shared" si="6"/>
        <v>Th</v>
      </c>
      <c r="AG22" s="19" t="str">
        <f t="shared" si="6"/>
        <v>Fr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2020</v>
      </c>
      <c r="C24" s="52" t="str">
        <f>Roster!D209</f>
        <v>.</v>
      </c>
      <c r="D24" s="74" t="str">
        <f>Roster!E209</f>
        <v>.</v>
      </c>
      <c r="E24" s="74" t="str">
        <f>Roster!F209</f>
        <v>.</v>
      </c>
      <c r="F24" s="74" t="str">
        <f>Roster!G209</f>
        <v>.</v>
      </c>
      <c r="G24" s="74" t="str">
        <f>Roster!H209</f>
        <v>.</v>
      </c>
      <c r="H24" s="74" t="str">
        <f>Roster!I209</f>
        <v>.</v>
      </c>
      <c r="I24" s="74" t="str">
        <f>Roster!J209</f>
        <v>.</v>
      </c>
      <c r="J24" s="74" t="str">
        <f>Roster!K209</f>
        <v>.</v>
      </c>
      <c r="K24" s="74" t="str">
        <f>Roster!L209</f>
        <v>.</v>
      </c>
      <c r="L24" s="74" t="str">
        <f>Roster!M209</f>
        <v>.</v>
      </c>
      <c r="M24" s="74" t="str">
        <f>Roster!N209</f>
        <v>.</v>
      </c>
      <c r="N24" s="74" t="str">
        <f>Roster!O209</f>
        <v>.</v>
      </c>
      <c r="O24" s="74" t="str">
        <f>Roster!P209</f>
        <v>.</v>
      </c>
      <c r="P24" s="74" t="str">
        <f>Roster!Q209</f>
        <v>.</v>
      </c>
      <c r="Q24" s="74" t="str">
        <f>Roster!R209</f>
        <v>.</v>
      </c>
      <c r="R24" s="74" t="str">
        <f>Roster!S209</f>
        <v>.</v>
      </c>
      <c r="S24" s="74" t="str">
        <f>Roster!T209</f>
        <v>.</v>
      </c>
      <c r="T24" s="74" t="str">
        <f>Roster!U209</f>
        <v>.</v>
      </c>
      <c r="U24" s="74" t="str">
        <f>Roster!V209</f>
        <v>.</v>
      </c>
      <c r="V24" s="74" t="str">
        <f>Roster!W209</f>
        <v>.</v>
      </c>
      <c r="W24" s="74" t="str">
        <f>Roster!X209</f>
        <v>.</v>
      </c>
      <c r="X24" s="74" t="str">
        <f>Roster!Y209</f>
        <v>.</v>
      </c>
      <c r="Y24" s="74" t="str">
        <f>Roster!Z209</f>
        <v>.</v>
      </c>
      <c r="Z24" s="74" t="str">
        <f>Roster!AA209</f>
        <v>.</v>
      </c>
      <c r="AA24" s="74" t="str">
        <f>Roster!AB209</f>
        <v>.</v>
      </c>
      <c r="AB24" s="74" t="str">
        <f>Roster!AC209</f>
        <v>.</v>
      </c>
      <c r="AC24" s="74" t="str">
        <f>Roster!AD209</f>
        <v>.</v>
      </c>
      <c r="AD24" s="74" t="str">
        <f>Roster!AE209</f>
        <v>.</v>
      </c>
      <c r="AE24" s="74" t="str">
        <f>Roster!AF209</f>
        <v>.</v>
      </c>
      <c r="AF24" s="74" t="str">
        <f>Roster!AG209</f>
        <v>.</v>
      </c>
      <c r="AG24" s="75" t="str">
        <f>Roster!AH209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Sa</v>
      </c>
      <c r="D25" s="22" t="str">
        <f t="shared" si="7"/>
        <v>Su</v>
      </c>
      <c r="E25" s="22" t="str">
        <f t="shared" si="7"/>
        <v>Mo</v>
      </c>
      <c r="F25" s="22" t="str">
        <f t="shared" si="7"/>
        <v>Tu</v>
      </c>
      <c r="G25" s="22" t="str">
        <f t="shared" si="7"/>
        <v>We</v>
      </c>
      <c r="H25" s="22" t="str">
        <f t="shared" si="7"/>
        <v>Th</v>
      </c>
      <c r="I25" s="22" t="str">
        <f t="shared" si="7"/>
        <v>Fr</v>
      </c>
      <c r="J25" s="22" t="str">
        <f t="shared" si="7"/>
        <v>Sa</v>
      </c>
      <c r="K25" s="22" t="str">
        <f t="shared" si="7"/>
        <v>Su</v>
      </c>
      <c r="L25" s="22" t="str">
        <f t="shared" si="7"/>
        <v>Mo</v>
      </c>
      <c r="M25" s="22" t="str">
        <f t="shared" si="7"/>
        <v>Tu</v>
      </c>
      <c r="N25" s="22" t="str">
        <f t="shared" si="7"/>
        <v>We</v>
      </c>
      <c r="O25" s="22" t="str">
        <f t="shared" si="7"/>
        <v>Th</v>
      </c>
      <c r="P25" s="22" t="str">
        <f t="shared" si="7"/>
        <v>Fr</v>
      </c>
      <c r="Q25" s="22" t="str">
        <f t="shared" si="7"/>
        <v>Sa</v>
      </c>
      <c r="R25" s="22" t="str">
        <f t="shared" si="7"/>
        <v>Su</v>
      </c>
      <c r="S25" s="22" t="str">
        <f t="shared" si="7"/>
        <v>Mo</v>
      </c>
      <c r="T25" s="22" t="str">
        <f t="shared" si="7"/>
        <v>Tu</v>
      </c>
      <c r="U25" s="22" t="str">
        <f t="shared" si="7"/>
        <v>We</v>
      </c>
      <c r="V25" s="22" t="str">
        <f t="shared" si="7"/>
        <v>Th</v>
      </c>
      <c r="W25" s="22" t="str">
        <f t="shared" si="7"/>
        <v>Fr</v>
      </c>
      <c r="X25" s="22" t="str">
        <f t="shared" si="7"/>
        <v>Sa</v>
      </c>
      <c r="Y25" s="22" t="str">
        <f t="shared" si="7"/>
        <v>Su</v>
      </c>
      <c r="Z25" s="22" t="str">
        <f t="shared" si="7"/>
        <v>Mo</v>
      </c>
      <c r="AA25" s="22" t="str">
        <f t="shared" si="7"/>
        <v>Tu</v>
      </c>
      <c r="AB25" s="22" t="str">
        <f t="shared" si="7"/>
        <v>We</v>
      </c>
      <c r="AC25" s="22" t="str">
        <f t="shared" si="7"/>
        <v>Th</v>
      </c>
      <c r="AD25" s="22" t="str">
        <f t="shared" si="7"/>
        <v>Fr</v>
      </c>
      <c r="AE25" s="122" t="str">
        <f t="shared" si="7"/>
        <v>Sa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6">
        <v>29</v>
      </c>
      <c r="AF26" s="44"/>
    </row>
    <row r="27" spans="2:33" ht="14.4" thickTop="1" thickBot="1">
      <c r="B27" s="32" t="str">
        <f>CurYear</f>
        <v>2020</v>
      </c>
      <c r="C27" s="51" t="str">
        <f>Roster!D240</f>
        <v>.</v>
      </c>
      <c r="D27" s="37" t="str">
        <f>Roster!E240</f>
        <v>.</v>
      </c>
      <c r="E27" s="37" t="str">
        <f>Roster!F240</f>
        <v>.</v>
      </c>
      <c r="F27" s="37" t="str">
        <f>Roster!G240</f>
        <v>.</v>
      </c>
      <c r="G27" s="37" t="str">
        <f>Roster!H240</f>
        <v>.</v>
      </c>
      <c r="H27" s="37" t="str">
        <f>Roster!I240</f>
        <v>.</v>
      </c>
      <c r="I27" s="37" t="str">
        <f>Roster!J240</f>
        <v>.</v>
      </c>
      <c r="J27" s="37" t="str">
        <f>Roster!K240</f>
        <v>.</v>
      </c>
      <c r="K27" s="37" t="str">
        <f>Roster!L240</f>
        <v>.</v>
      </c>
      <c r="L27" s="37" t="str">
        <f>Roster!M240</f>
        <v>.</v>
      </c>
      <c r="M27" s="37" t="str">
        <f>Roster!N240</f>
        <v>.</v>
      </c>
      <c r="N27" s="37" t="str">
        <f>Roster!O240</f>
        <v>.</v>
      </c>
      <c r="O27" s="37" t="str">
        <f>Roster!P240</f>
        <v>.</v>
      </c>
      <c r="P27" s="37" t="str">
        <f>Roster!Q240</f>
        <v>.</v>
      </c>
      <c r="Q27" s="37" t="str">
        <f>Roster!R240</f>
        <v>.</v>
      </c>
      <c r="R27" s="37" t="str">
        <f>Roster!S240</f>
        <v>.</v>
      </c>
      <c r="S27" s="37" t="str">
        <f>Roster!T240</f>
        <v>.</v>
      </c>
      <c r="T27" s="37" t="str">
        <f>Roster!U240</f>
        <v>.</v>
      </c>
      <c r="U27" s="37" t="str">
        <f>Roster!V240</f>
        <v>.</v>
      </c>
      <c r="V27" s="37" t="str">
        <f>Roster!W240</f>
        <v>.</v>
      </c>
      <c r="W27" s="37" t="str">
        <f>Roster!X240</f>
        <v>.</v>
      </c>
      <c r="X27" s="37" t="str">
        <f>Roster!Y240</f>
        <v>.</v>
      </c>
      <c r="Y27" s="37" t="str">
        <f>Roster!Z240</f>
        <v>.</v>
      </c>
      <c r="Z27" s="37" t="str">
        <f>Roster!AA240</f>
        <v>.</v>
      </c>
      <c r="AA27" s="37" t="str">
        <f>Roster!AB240</f>
        <v>.</v>
      </c>
      <c r="AB27" s="37" t="str">
        <f>Roster!AC240</f>
        <v>.</v>
      </c>
      <c r="AC27" s="37" t="str">
        <f>Roster!AD240</f>
        <v>.</v>
      </c>
      <c r="AD27" s="43" t="str">
        <f>Roster!AE240</f>
        <v>.</v>
      </c>
      <c r="AE27" s="121" t="str">
        <f>Roster!AF238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26" t="str">
        <f t="shared" si="8"/>
        <v>Mo</v>
      </c>
      <c r="AG28" s="26" t="str">
        <f t="shared" si="8"/>
        <v>Tu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2020</v>
      </c>
      <c r="C30" s="36" t="str">
        <f>Roster!D271</f>
        <v>.</v>
      </c>
      <c r="D30" s="37" t="str">
        <f>Roster!E271</f>
        <v>.</v>
      </c>
      <c r="E30" s="37" t="str">
        <f>Roster!F271</f>
        <v>.</v>
      </c>
      <c r="F30" s="37" t="str">
        <f>Roster!G271</f>
        <v>.</v>
      </c>
      <c r="G30" s="37" t="str">
        <f>Roster!H271</f>
        <v>.</v>
      </c>
      <c r="H30" s="37" t="str">
        <f>Roster!I271</f>
        <v>.</v>
      </c>
      <c r="I30" s="37" t="str">
        <f>Roster!J271</f>
        <v>.</v>
      </c>
      <c r="J30" s="37" t="str">
        <f>Roster!K271</f>
        <v>.</v>
      </c>
      <c r="K30" s="37" t="str">
        <f>Roster!L271</f>
        <v>.</v>
      </c>
      <c r="L30" s="37" t="str">
        <f>Roster!M271</f>
        <v>.</v>
      </c>
      <c r="M30" s="37" t="str">
        <f>Roster!N271</f>
        <v>.</v>
      </c>
      <c r="N30" s="37" t="str">
        <f>Roster!O271</f>
        <v>.</v>
      </c>
      <c r="O30" s="37" t="str">
        <f>Roster!P271</f>
        <v>.</v>
      </c>
      <c r="P30" s="37" t="str">
        <f>Roster!Q271</f>
        <v>.</v>
      </c>
      <c r="Q30" s="37" t="str">
        <f>Roster!R271</f>
        <v>.</v>
      </c>
      <c r="R30" s="37" t="str">
        <f>Roster!S271</f>
        <v>.</v>
      </c>
      <c r="S30" s="37" t="str">
        <f>Roster!T271</f>
        <v>.</v>
      </c>
      <c r="T30" s="37" t="str">
        <f>Roster!U271</f>
        <v>.</v>
      </c>
      <c r="U30" s="37" t="str">
        <f>Roster!V271</f>
        <v>.</v>
      </c>
      <c r="V30" s="37" t="str">
        <f>Roster!W271</f>
        <v>.</v>
      </c>
      <c r="W30" s="37" t="str">
        <f>Roster!X271</f>
        <v>.</v>
      </c>
      <c r="X30" s="37" t="str">
        <f>Roster!Y271</f>
        <v>.</v>
      </c>
      <c r="Y30" s="37" t="str">
        <f>Roster!Z271</f>
        <v>.</v>
      </c>
      <c r="Z30" s="37" t="str">
        <f>Roster!AA271</f>
        <v>.</v>
      </c>
      <c r="AA30" s="37" t="str">
        <f>Roster!AB271</f>
        <v>.</v>
      </c>
      <c r="AB30" s="37" t="str">
        <f>Roster!AC271</f>
        <v>.</v>
      </c>
      <c r="AC30" s="37" t="str">
        <f>Roster!AD271</f>
        <v>.</v>
      </c>
      <c r="AD30" s="37" t="str">
        <f>Roster!AE271</f>
        <v>.</v>
      </c>
      <c r="AE30" s="37" t="str">
        <f>Roster!AF271</f>
        <v>.</v>
      </c>
      <c r="AF30" s="37" t="str">
        <f>Roster!AG271</f>
        <v>.</v>
      </c>
      <c r="AG30" s="38" t="str">
        <f>Roster!AH271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2020</v>
      </c>
      <c r="C33" s="36" t="str">
        <f>Roster!D302</f>
        <v>.</v>
      </c>
      <c r="D33" s="37" t="str">
        <f>Roster!E302</f>
        <v>.</v>
      </c>
      <c r="E33" s="37" t="str">
        <f>Roster!F302</f>
        <v>.</v>
      </c>
      <c r="F33" s="37" t="str">
        <f>Roster!G302</f>
        <v>.</v>
      </c>
      <c r="G33" s="37" t="str">
        <f>Roster!H302</f>
        <v>.</v>
      </c>
      <c r="H33" s="37" t="str">
        <f>Roster!I302</f>
        <v>.</v>
      </c>
      <c r="I33" s="37" t="str">
        <f>Roster!J302</f>
        <v>.</v>
      </c>
      <c r="J33" s="37" t="str">
        <f>Roster!K302</f>
        <v>.</v>
      </c>
      <c r="K33" s="37" t="str">
        <f>Roster!L302</f>
        <v>.</v>
      </c>
      <c r="L33" s="37" t="str">
        <f>Roster!M302</f>
        <v>.</v>
      </c>
      <c r="M33" s="37" t="str">
        <f>Roster!N302</f>
        <v>.</v>
      </c>
      <c r="N33" s="37" t="str">
        <f>Roster!O302</f>
        <v>.</v>
      </c>
      <c r="O33" s="37" t="str">
        <f>Roster!P302</f>
        <v>.</v>
      </c>
      <c r="P33" s="37" t="str">
        <f>Roster!Q302</f>
        <v>.</v>
      </c>
      <c r="Q33" s="37" t="str">
        <f>Roster!R302</f>
        <v>.</v>
      </c>
      <c r="R33" s="37" t="str">
        <f>Roster!S302</f>
        <v>.</v>
      </c>
      <c r="S33" s="37" t="str">
        <f>Roster!T302</f>
        <v>.</v>
      </c>
      <c r="T33" s="37" t="str">
        <f>Roster!U302</f>
        <v>.</v>
      </c>
      <c r="U33" s="37" t="str">
        <f>Roster!V302</f>
        <v>.</v>
      </c>
      <c r="V33" s="37" t="str">
        <f>Roster!W302</f>
        <v>.</v>
      </c>
      <c r="W33" s="37" t="str">
        <f>Roster!X302</f>
        <v>.</v>
      </c>
      <c r="X33" s="37" t="str">
        <f>Roster!Y302</f>
        <v>.</v>
      </c>
      <c r="Y33" s="37" t="str">
        <f>Roster!Z302</f>
        <v>.</v>
      </c>
      <c r="Z33" s="37" t="str">
        <f>Roster!AA302</f>
        <v>.</v>
      </c>
      <c r="AA33" s="37" t="str">
        <f>Roster!AB302</f>
        <v>.</v>
      </c>
      <c r="AB33" s="37" t="str">
        <f>Roster!AC302</f>
        <v>.</v>
      </c>
      <c r="AC33" s="37" t="str">
        <f>Roster!AD302</f>
        <v>.</v>
      </c>
      <c r="AD33" s="37" t="str">
        <f>Roster!AE302</f>
        <v>.</v>
      </c>
      <c r="AE33" s="37" t="str">
        <f>Roster!AF302</f>
        <v>.</v>
      </c>
      <c r="AF33" s="38" t="str">
        <f>Roster!AG302</f>
        <v>.</v>
      </c>
    </row>
    <row r="34" spans="2:33" ht="14.4" thickTop="1" thickBot="1"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20" t="str">
        <f t="shared" si="10"/>
        <v>Su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2020</v>
      </c>
      <c r="C36" s="36" t="str">
        <f>Roster!D333</f>
        <v>.</v>
      </c>
      <c r="D36" s="37" t="str">
        <f>Roster!E333</f>
        <v>.</v>
      </c>
      <c r="E36" s="37" t="str">
        <f>Roster!F333</f>
        <v>.</v>
      </c>
      <c r="F36" s="37" t="str">
        <f>Roster!G333</f>
        <v>.</v>
      </c>
      <c r="G36" s="37" t="str">
        <f>Roster!H333</f>
        <v>.</v>
      </c>
      <c r="H36" s="37" t="str">
        <f>Roster!I333</f>
        <v>.</v>
      </c>
      <c r="I36" s="37" t="str">
        <f>Roster!J333</f>
        <v>.</v>
      </c>
      <c r="J36" s="37" t="str">
        <f>Roster!K333</f>
        <v>.</v>
      </c>
      <c r="K36" s="37" t="str">
        <f>Roster!L333</f>
        <v>.</v>
      </c>
      <c r="L36" s="37" t="str">
        <f>Roster!M333</f>
        <v>.</v>
      </c>
      <c r="M36" s="37" t="str">
        <f>Roster!N333</f>
        <v>.</v>
      </c>
      <c r="N36" s="37" t="str">
        <f>Roster!O333</f>
        <v>.</v>
      </c>
      <c r="O36" s="37" t="str">
        <f>Roster!P333</f>
        <v>.</v>
      </c>
      <c r="P36" s="37" t="str">
        <f>Roster!Q333</f>
        <v>.</v>
      </c>
      <c r="Q36" s="37" t="str">
        <f>Roster!R333</f>
        <v>.</v>
      </c>
      <c r="R36" s="37" t="str">
        <f>Roster!S333</f>
        <v>.</v>
      </c>
      <c r="S36" s="37" t="str">
        <f>Roster!T333</f>
        <v>.</v>
      </c>
      <c r="T36" s="37" t="str">
        <f>Roster!U333</f>
        <v>.</v>
      </c>
      <c r="U36" s="37" t="str">
        <f>Roster!V333</f>
        <v>.</v>
      </c>
      <c r="V36" s="37" t="str">
        <f>Roster!W333</f>
        <v>.</v>
      </c>
      <c r="W36" s="37" t="str">
        <f>Roster!X333</f>
        <v>.</v>
      </c>
      <c r="X36" s="37" t="str">
        <f>Roster!Y333</f>
        <v>.</v>
      </c>
      <c r="Y36" s="37" t="str">
        <f>Roster!Z333</f>
        <v>.</v>
      </c>
      <c r="Z36" s="37" t="str">
        <f>Roster!AA333</f>
        <v>.</v>
      </c>
      <c r="AA36" s="37" t="str">
        <f>Roster!AB333</f>
        <v>.</v>
      </c>
      <c r="AB36" s="37" t="str">
        <f>Roster!AC333</f>
        <v>.</v>
      </c>
      <c r="AC36" s="37" t="str">
        <f>Roster!AD333</f>
        <v>.</v>
      </c>
      <c r="AD36" s="37" t="str">
        <f>Roster!AE333</f>
        <v>.</v>
      </c>
      <c r="AE36" s="37" t="str">
        <f>Roster!AF333</f>
        <v>.</v>
      </c>
      <c r="AF36" s="37" t="str">
        <f>Roster!AG333</f>
        <v>.</v>
      </c>
      <c r="AG36" s="38" t="str">
        <f>Roster!AH333</f>
        <v>.</v>
      </c>
    </row>
    <row r="37" spans="2:33" ht="14.4" thickTop="1" thickBot="1"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2020</v>
      </c>
      <c r="C39" s="36" t="str">
        <f>Roster!D364</f>
        <v>.</v>
      </c>
      <c r="D39" s="37" t="str">
        <f>Roster!E364</f>
        <v>.</v>
      </c>
      <c r="E39" s="37" t="str">
        <f>Roster!F364</f>
        <v>.</v>
      </c>
      <c r="F39" s="37" t="str">
        <f>Roster!G364</f>
        <v>.</v>
      </c>
      <c r="G39" s="37" t="str">
        <f>Roster!H364</f>
        <v>.</v>
      </c>
      <c r="H39" s="37" t="str">
        <f>Roster!I364</f>
        <v>.</v>
      </c>
      <c r="I39" s="37" t="str">
        <f>Roster!J364</f>
        <v>.</v>
      </c>
      <c r="J39" s="37" t="str">
        <f>Roster!K364</f>
        <v>.</v>
      </c>
      <c r="K39" s="37" t="str">
        <f>Roster!L364</f>
        <v>.</v>
      </c>
      <c r="L39" s="37" t="str">
        <f>Roster!M364</f>
        <v>.</v>
      </c>
      <c r="M39" s="37" t="str">
        <f>Roster!N364</f>
        <v>.</v>
      </c>
      <c r="N39" s="37" t="str">
        <f>Roster!O364</f>
        <v>.</v>
      </c>
      <c r="O39" s="37" t="str">
        <f>Roster!P364</f>
        <v>.</v>
      </c>
      <c r="P39" s="37" t="str">
        <f>Roster!Q364</f>
        <v>.</v>
      </c>
      <c r="Q39" s="37" t="str">
        <f>Roster!R364</f>
        <v>.</v>
      </c>
      <c r="R39" s="37" t="str">
        <f>Roster!S364</f>
        <v>.</v>
      </c>
      <c r="S39" s="37" t="str">
        <f>Roster!T364</f>
        <v>.</v>
      </c>
      <c r="T39" s="37" t="str">
        <f>Roster!U364</f>
        <v>.</v>
      </c>
      <c r="U39" s="37" t="str">
        <f>Roster!V364</f>
        <v>.</v>
      </c>
      <c r="V39" s="37" t="str">
        <f>Roster!W364</f>
        <v>.</v>
      </c>
      <c r="W39" s="37" t="str">
        <f>Roster!X364</f>
        <v>.</v>
      </c>
      <c r="X39" s="37" t="str">
        <f>Roster!Y364</f>
        <v>.</v>
      </c>
      <c r="Y39" s="37" t="str">
        <f>Roster!Z364</f>
        <v>.</v>
      </c>
      <c r="Z39" s="37" t="str">
        <f>Roster!AA364</f>
        <v>.</v>
      </c>
      <c r="AA39" s="37" t="str">
        <f>Roster!AB364</f>
        <v>.</v>
      </c>
      <c r="AB39" s="37" t="str">
        <f>Roster!AC364</f>
        <v>.</v>
      </c>
      <c r="AC39" s="37" t="str">
        <f>Roster!AD364</f>
        <v>.</v>
      </c>
      <c r="AD39" s="37" t="str">
        <f>Roster!AE364</f>
        <v>.</v>
      </c>
      <c r="AE39" s="37" t="str">
        <f>Roster!AF364</f>
        <v>.</v>
      </c>
      <c r="AF39" s="38" t="str">
        <f>Roster!AG364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1"/>
  <dimension ref="B1:AG40"/>
  <sheetViews>
    <sheetView showGridLines="0" showRowColHeaders="0" showZeros="0" topLeftCell="A2" zoomScale="86" zoomScaleNormal="86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2019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0" t="s">
        <v>25</v>
      </c>
      <c r="R3" s="130" t="str">
        <f>EmpGName11 &amp;" " &amp; EmpSName11</f>
        <v>Edwin Smeegal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Mo</v>
      </c>
      <c r="D4" s="28" t="str">
        <f t="shared" si="0"/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20" t="str">
        <f t="shared" si="0"/>
        <v>We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2019</v>
      </c>
      <c r="C6" s="36" t="str">
        <f>Roster!D24</f>
        <v>.</v>
      </c>
      <c r="D6" s="37" t="str">
        <f>Roster!E24</f>
        <v>.</v>
      </c>
      <c r="E6" s="37" t="str">
        <f>Roster!F24</f>
        <v>.</v>
      </c>
      <c r="F6" s="37" t="str">
        <f>Roster!G24</f>
        <v>.</v>
      </c>
      <c r="G6" s="37" t="str">
        <f>Roster!H24</f>
        <v>.</v>
      </c>
      <c r="H6" s="37" t="str">
        <f>Roster!I24</f>
        <v>.</v>
      </c>
      <c r="I6" s="37" t="str">
        <f>Roster!J24</f>
        <v>.</v>
      </c>
      <c r="J6" s="37" t="str">
        <f>Roster!K24</f>
        <v>.</v>
      </c>
      <c r="K6" s="37" t="str">
        <f>Roster!L24</f>
        <v>.</v>
      </c>
      <c r="L6" s="37" t="str">
        <f>Roster!M24</f>
        <v>.</v>
      </c>
      <c r="M6" s="37" t="str">
        <f>Roster!N24</f>
        <v>.</v>
      </c>
      <c r="N6" s="37" t="str">
        <f>Roster!O24</f>
        <v>.</v>
      </c>
      <c r="O6" s="37" t="str">
        <f>Roster!P24</f>
        <v>.</v>
      </c>
      <c r="P6" s="37" t="str">
        <f>Roster!Q24</f>
        <v>.</v>
      </c>
      <c r="Q6" s="37" t="str">
        <f>Roster!R24</f>
        <v>.</v>
      </c>
      <c r="R6" s="37" t="str">
        <f>Roster!S24</f>
        <v>.</v>
      </c>
      <c r="S6" s="37" t="str">
        <f>Roster!T24</f>
        <v>.</v>
      </c>
      <c r="T6" s="37" t="str">
        <f>Roster!U24</f>
        <v>.</v>
      </c>
      <c r="U6" s="37" t="str">
        <f>Roster!V24</f>
        <v>.</v>
      </c>
      <c r="V6" s="37" t="str">
        <f>Roster!W24</f>
        <v>.</v>
      </c>
      <c r="W6" s="37" t="str">
        <f>Roster!X24</f>
        <v>.</v>
      </c>
      <c r="X6" s="37" t="str">
        <f>Roster!Y24</f>
        <v>.</v>
      </c>
      <c r="Y6" s="37" t="str">
        <f>Roster!Z24</f>
        <v>.</v>
      </c>
      <c r="Z6" s="37" t="str">
        <f>Roster!AA24</f>
        <v>.</v>
      </c>
      <c r="AA6" s="37" t="str">
        <f>Roster!AB24</f>
        <v>.</v>
      </c>
      <c r="AB6" s="37" t="str">
        <f>Roster!AC24</f>
        <v>.</v>
      </c>
      <c r="AC6" s="37" t="str">
        <f>Roster!AD24</f>
        <v>.</v>
      </c>
      <c r="AD6" s="37" t="str">
        <f>Roster!AE24</f>
        <v>.</v>
      </c>
      <c r="AE6" s="37" t="str">
        <f>Roster!AF24</f>
        <v>.</v>
      </c>
      <c r="AF6" s="37" t="str">
        <f>Roster!AG24</f>
        <v>.</v>
      </c>
      <c r="AG6" s="38" t="str">
        <f>Roster!AH24</f>
        <v>.</v>
      </c>
    </row>
    <row r="7" spans="2:33" ht="14.4" thickTop="1" thickBot="1"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21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2019</v>
      </c>
      <c r="C9" s="36" t="str">
        <f>Roster!D55</f>
        <v>.</v>
      </c>
      <c r="D9" s="39" t="str">
        <f>Roster!E55</f>
        <v>.</v>
      </c>
      <c r="E9" s="37" t="str">
        <f>Roster!F55</f>
        <v>.</v>
      </c>
      <c r="F9" s="37" t="str">
        <f>Roster!G55</f>
        <v>.</v>
      </c>
      <c r="G9" s="37" t="str">
        <f>Roster!H55</f>
        <v>.</v>
      </c>
      <c r="H9" s="37" t="str">
        <f>Roster!I55</f>
        <v>.</v>
      </c>
      <c r="I9" s="37" t="str">
        <f>Roster!J55</f>
        <v>.</v>
      </c>
      <c r="J9" s="37" t="str">
        <f>Roster!K55</f>
        <v>.</v>
      </c>
      <c r="K9" s="37" t="str">
        <f>Roster!L55</f>
        <v>.</v>
      </c>
      <c r="L9" s="37" t="str">
        <f>Roster!M55</f>
        <v>.</v>
      </c>
      <c r="M9" s="37" t="str">
        <f>Roster!N55</f>
        <v>.</v>
      </c>
      <c r="N9" s="37" t="str">
        <f>Roster!O55</f>
        <v>.</v>
      </c>
      <c r="O9" s="37" t="str">
        <f>Roster!P55</f>
        <v>.</v>
      </c>
      <c r="P9" s="37" t="str">
        <f>Roster!Q55</f>
        <v>.</v>
      </c>
      <c r="Q9" s="37" t="str">
        <f>Roster!R55</f>
        <v>.</v>
      </c>
      <c r="R9" s="37" t="str">
        <f>Roster!S55</f>
        <v>.</v>
      </c>
      <c r="S9" s="37" t="str">
        <f>Roster!T55</f>
        <v>.</v>
      </c>
      <c r="T9" s="37" t="str">
        <f>Roster!U55</f>
        <v>.</v>
      </c>
      <c r="U9" s="37" t="str">
        <f>Roster!V55</f>
        <v>.</v>
      </c>
      <c r="V9" s="37" t="str">
        <f>Roster!W55</f>
        <v>.</v>
      </c>
      <c r="W9" s="37" t="str">
        <f>Roster!X55</f>
        <v>.</v>
      </c>
      <c r="X9" s="37" t="str">
        <f>Roster!Y55</f>
        <v>.</v>
      </c>
      <c r="Y9" s="37" t="str">
        <f>Roster!Z55</f>
        <v>.</v>
      </c>
      <c r="Z9" s="37" t="str">
        <f>Roster!AA55</f>
        <v>.</v>
      </c>
      <c r="AA9" s="37" t="str">
        <f>Roster!AB55</f>
        <v>.</v>
      </c>
      <c r="AB9" s="37" t="str">
        <f>Roster!AC55</f>
        <v>.</v>
      </c>
      <c r="AC9" s="37" t="str">
        <f>Roster!AD55</f>
        <v>.</v>
      </c>
      <c r="AD9" s="37" t="str">
        <f>Roster!AE55</f>
        <v>.</v>
      </c>
      <c r="AE9" s="37" t="str">
        <f>Roster!AF55</f>
        <v>.</v>
      </c>
      <c r="AF9" s="37" t="str">
        <f>Roster!AG55</f>
        <v>.</v>
      </c>
      <c r="AG9" s="38" t="str">
        <f>Roster!AH55</f>
        <v>.</v>
      </c>
    </row>
    <row r="10" spans="2:33" ht="14.4" thickTop="1" thickBot="1"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1" t="str">
        <f t="shared" si="2"/>
        <v>Su</v>
      </c>
      <c r="AF10" s="21" t="str">
        <f t="shared" si="2"/>
        <v>Mo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2019</v>
      </c>
      <c r="C12" s="36" t="str">
        <f>Roster!D86</f>
        <v>.</v>
      </c>
      <c r="D12" s="37" t="str">
        <f>Roster!E86</f>
        <v>.</v>
      </c>
      <c r="E12" s="37" t="str">
        <f>Roster!F86</f>
        <v>.</v>
      </c>
      <c r="F12" s="37" t="str">
        <f>Roster!G86</f>
        <v>.</v>
      </c>
      <c r="G12" s="37" t="str">
        <f>Roster!H86</f>
        <v>.</v>
      </c>
      <c r="H12" s="37" t="str">
        <f>Roster!I86</f>
        <v>.</v>
      </c>
      <c r="I12" s="37" t="str">
        <f>Roster!J86</f>
        <v>.</v>
      </c>
      <c r="J12" s="37" t="str">
        <f>Roster!K86</f>
        <v>.</v>
      </c>
      <c r="K12" s="37" t="str">
        <f>Roster!L86</f>
        <v>.</v>
      </c>
      <c r="L12" s="37" t="str">
        <f>Roster!M86</f>
        <v>.</v>
      </c>
      <c r="M12" s="37" t="str">
        <f>Roster!N86</f>
        <v>.</v>
      </c>
      <c r="N12" s="37" t="str">
        <f>Roster!O86</f>
        <v>.</v>
      </c>
      <c r="O12" s="37" t="str">
        <f>Roster!P86</f>
        <v>.</v>
      </c>
      <c r="P12" s="37" t="str">
        <f>Roster!Q86</f>
        <v>.</v>
      </c>
      <c r="Q12" s="37" t="str">
        <f>Roster!R86</f>
        <v>.</v>
      </c>
      <c r="R12" s="37" t="str">
        <f>Roster!S86</f>
        <v>.</v>
      </c>
      <c r="S12" s="37" t="str">
        <f>Roster!T86</f>
        <v>.</v>
      </c>
      <c r="T12" s="37" t="str">
        <f>Roster!U86</f>
        <v>.</v>
      </c>
      <c r="U12" s="37" t="str">
        <f>Roster!V86</f>
        <v>.</v>
      </c>
      <c r="V12" s="37" t="str">
        <f>Roster!W86</f>
        <v>.</v>
      </c>
      <c r="W12" s="37" t="str">
        <f>Roster!X86</f>
        <v>.</v>
      </c>
      <c r="X12" s="37" t="str">
        <f>Roster!Y86</f>
        <v>.</v>
      </c>
      <c r="Y12" s="37" t="str">
        <f>Roster!Z86</f>
        <v>.</v>
      </c>
      <c r="Z12" s="37" t="str">
        <f>Roster!AA86</f>
        <v>.</v>
      </c>
      <c r="AA12" s="37" t="str">
        <f>Roster!AB86</f>
        <v>.</v>
      </c>
      <c r="AB12" s="37" t="str">
        <f>Roster!AC86</f>
        <v>.</v>
      </c>
      <c r="AC12" s="37" t="str">
        <f>Roster!AD86</f>
        <v>.</v>
      </c>
      <c r="AD12" s="37" t="str">
        <f>Roster!AE86</f>
        <v>.</v>
      </c>
      <c r="AE12" s="37" t="str">
        <f>Roster!AF86</f>
        <v>.</v>
      </c>
      <c r="AF12" s="38" t="str">
        <f>Roster!AG86</f>
        <v>.</v>
      </c>
    </row>
    <row r="13" spans="2:33" ht="14.4" thickTop="1" thickBot="1"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20" t="str">
        <f t="shared" si="3"/>
        <v>Th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2019</v>
      </c>
      <c r="C15" s="36" t="str">
        <f>Roster!D117</f>
        <v>.</v>
      </c>
      <c r="D15" s="37" t="str">
        <f>Roster!E117</f>
        <v>.</v>
      </c>
      <c r="E15" s="37" t="str">
        <f>Roster!F117</f>
        <v>.</v>
      </c>
      <c r="F15" s="37" t="str">
        <f>Roster!G117</f>
        <v>.</v>
      </c>
      <c r="G15" s="37" t="str">
        <f>Roster!H117</f>
        <v>.</v>
      </c>
      <c r="H15" s="37" t="str">
        <f>Roster!I117</f>
        <v>.</v>
      </c>
      <c r="I15" s="37" t="str">
        <f>Roster!J117</f>
        <v>.</v>
      </c>
      <c r="J15" s="37" t="str">
        <f>Roster!K117</f>
        <v>.</v>
      </c>
      <c r="K15" s="37" t="str">
        <f>Roster!L117</f>
        <v>.</v>
      </c>
      <c r="L15" s="37" t="str">
        <f>Roster!M117</f>
        <v>.</v>
      </c>
      <c r="M15" s="37" t="str">
        <f>Roster!N117</f>
        <v>.</v>
      </c>
      <c r="N15" s="37" t="str">
        <f>Roster!O117</f>
        <v>.</v>
      </c>
      <c r="O15" s="37" t="str">
        <f>Roster!P117</f>
        <v>.</v>
      </c>
      <c r="P15" s="37" t="str">
        <f>Roster!Q117</f>
        <v>.</v>
      </c>
      <c r="Q15" s="37" t="str">
        <f>Roster!R117</f>
        <v>.</v>
      </c>
      <c r="R15" s="37" t="str">
        <f>Roster!S117</f>
        <v>.</v>
      </c>
      <c r="S15" s="37" t="str">
        <f>Roster!T117</f>
        <v>.</v>
      </c>
      <c r="T15" s="37" t="str">
        <f>Roster!U117</f>
        <v>.</v>
      </c>
      <c r="U15" s="37" t="str">
        <f>Roster!V117</f>
        <v>.</v>
      </c>
      <c r="V15" s="37" t="str">
        <f>Roster!W117</f>
        <v>.</v>
      </c>
      <c r="W15" s="37" t="str">
        <f>Roster!X117</f>
        <v>.</v>
      </c>
      <c r="X15" s="37" t="str">
        <f>Roster!Y117</f>
        <v>.</v>
      </c>
      <c r="Y15" s="37" t="str">
        <f>Roster!Z117</f>
        <v>.</v>
      </c>
      <c r="Z15" s="37" t="str">
        <f>Roster!AA117</f>
        <v>.</v>
      </c>
      <c r="AA15" s="37" t="str">
        <f>Roster!AB117</f>
        <v>.</v>
      </c>
      <c r="AB15" s="37" t="str">
        <f>Roster!AC117</f>
        <v>.</v>
      </c>
      <c r="AC15" s="37" t="str">
        <f>Roster!AD117</f>
        <v>.</v>
      </c>
      <c r="AD15" s="37" t="str">
        <f>Roster!AE117</f>
        <v>.</v>
      </c>
      <c r="AE15" s="37" t="str">
        <f>Roster!AF117</f>
        <v>.</v>
      </c>
      <c r="AF15" s="37" t="str">
        <f>Roster!AG117</f>
        <v>.</v>
      </c>
      <c r="AG15" s="38" t="str">
        <f>Roster!AH117</f>
        <v>.</v>
      </c>
    </row>
    <row r="16" spans="2:33" ht="14.4" thickTop="1" thickBot="1"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2019</v>
      </c>
      <c r="C18" s="36" t="str">
        <f>Roster!D148</f>
        <v>.</v>
      </c>
      <c r="D18" s="37" t="str">
        <f>Roster!E148</f>
        <v>.</v>
      </c>
      <c r="E18" s="37" t="str">
        <f>Roster!F148</f>
        <v>.</v>
      </c>
      <c r="F18" s="37" t="str">
        <f>Roster!G148</f>
        <v>.</v>
      </c>
      <c r="G18" s="37" t="str">
        <f>Roster!H148</f>
        <v>.</v>
      </c>
      <c r="H18" s="37" t="str">
        <f>Roster!I148</f>
        <v>.</v>
      </c>
      <c r="I18" s="37" t="str">
        <f>Roster!J148</f>
        <v>.</v>
      </c>
      <c r="J18" s="37" t="str">
        <f>Roster!K148</f>
        <v>.</v>
      </c>
      <c r="K18" s="37" t="str">
        <f>Roster!L148</f>
        <v>.</v>
      </c>
      <c r="L18" s="37" t="str">
        <f>Roster!M148</f>
        <v>.</v>
      </c>
      <c r="M18" s="37" t="str">
        <f>Roster!N148</f>
        <v>.</v>
      </c>
      <c r="N18" s="37" t="str">
        <f>Roster!O148</f>
        <v>.</v>
      </c>
      <c r="O18" s="37" t="str">
        <f>Roster!P148</f>
        <v>.</v>
      </c>
      <c r="P18" s="37" t="str">
        <f>Roster!Q148</f>
        <v>.</v>
      </c>
      <c r="Q18" s="37" t="str">
        <f>Roster!R148</f>
        <v>.</v>
      </c>
      <c r="R18" s="37" t="str">
        <f>Roster!S148</f>
        <v>.</v>
      </c>
      <c r="S18" s="37" t="str">
        <f>Roster!T148</f>
        <v>.</v>
      </c>
      <c r="T18" s="37" t="str">
        <f>Roster!U148</f>
        <v>.</v>
      </c>
      <c r="U18" s="37" t="str">
        <f>Roster!V148</f>
        <v>.</v>
      </c>
      <c r="V18" s="37" t="str">
        <f>Roster!W148</f>
        <v>.</v>
      </c>
      <c r="W18" s="37" t="str">
        <f>Roster!X148</f>
        <v>.</v>
      </c>
      <c r="X18" s="37" t="str">
        <f>Roster!Y148</f>
        <v>.</v>
      </c>
      <c r="Y18" s="37" t="str">
        <f>Roster!Z148</f>
        <v>.</v>
      </c>
      <c r="Z18" s="37" t="str">
        <f>Roster!AA148</f>
        <v>.</v>
      </c>
      <c r="AA18" s="37" t="str">
        <f>Roster!AB148</f>
        <v>.</v>
      </c>
      <c r="AB18" s="37" t="str">
        <f>Roster!AC148</f>
        <v>.</v>
      </c>
      <c r="AC18" s="37" t="str">
        <f>Roster!AD148</f>
        <v>.</v>
      </c>
      <c r="AD18" s="37" t="str">
        <f>Roster!AE148</f>
        <v>.</v>
      </c>
      <c r="AE18" s="37" t="str">
        <f>Roster!AF148</f>
        <v>.</v>
      </c>
      <c r="AF18" s="38" t="str">
        <f>Roster!AG148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2019</v>
      </c>
      <c r="C21" s="36" t="str">
        <f>Roster!D179</f>
        <v>.</v>
      </c>
      <c r="D21" s="37" t="str">
        <f>Roster!E179</f>
        <v>.</v>
      </c>
      <c r="E21" s="37" t="str">
        <f>Roster!F179</f>
        <v>.</v>
      </c>
      <c r="F21" s="37" t="str">
        <f>Roster!G179</f>
        <v>.</v>
      </c>
      <c r="G21" s="37" t="str">
        <f>Roster!H179</f>
        <v>.</v>
      </c>
      <c r="H21" s="37" t="str">
        <f>Roster!I179</f>
        <v>.</v>
      </c>
      <c r="I21" s="37" t="str">
        <f>Roster!J179</f>
        <v>.</v>
      </c>
      <c r="J21" s="37" t="str">
        <f>Roster!K179</f>
        <v>.</v>
      </c>
      <c r="K21" s="37" t="str">
        <f>Roster!L179</f>
        <v>.</v>
      </c>
      <c r="L21" s="37" t="str">
        <f>Roster!M179</f>
        <v>.</v>
      </c>
      <c r="M21" s="37" t="str">
        <f>Roster!N179</f>
        <v>.</v>
      </c>
      <c r="N21" s="37" t="str">
        <f>Roster!O179</f>
        <v>.</v>
      </c>
      <c r="O21" s="37" t="str">
        <f>Roster!P179</f>
        <v>.</v>
      </c>
      <c r="P21" s="37" t="str">
        <f>Roster!Q179</f>
        <v>.</v>
      </c>
      <c r="Q21" s="37" t="str">
        <f>Roster!R179</f>
        <v>.</v>
      </c>
      <c r="R21" s="37" t="str">
        <f>Roster!S179</f>
        <v>.</v>
      </c>
      <c r="S21" s="37" t="str">
        <f>Roster!T179</f>
        <v>.</v>
      </c>
      <c r="T21" s="37" t="str">
        <f>Roster!U179</f>
        <v>.</v>
      </c>
      <c r="U21" s="37" t="str">
        <f>Roster!V179</f>
        <v>.</v>
      </c>
      <c r="V21" s="37" t="str">
        <f>Roster!W179</f>
        <v>.</v>
      </c>
      <c r="W21" s="37" t="str">
        <f>Roster!X179</f>
        <v>.</v>
      </c>
      <c r="X21" s="37" t="str">
        <f>Roster!Y179</f>
        <v>.</v>
      </c>
      <c r="Y21" s="37" t="str">
        <f>Roster!Z179</f>
        <v>.</v>
      </c>
      <c r="Z21" s="37" t="str">
        <f>Roster!AA179</f>
        <v>.</v>
      </c>
      <c r="AA21" s="37" t="str">
        <f>Roster!AB179</f>
        <v>.</v>
      </c>
      <c r="AB21" s="37" t="str">
        <f>Roster!AC179</f>
        <v>.</v>
      </c>
      <c r="AC21" s="37" t="str">
        <f>Roster!AD179</f>
        <v>.</v>
      </c>
      <c r="AD21" s="37" t="str">
        <f>Roster!AE179</f>
        <v>.</v>
      </c>
      <c r="AE21" s="37" t="str">
        <f>Roster!AF179</f>
        <v>.</v>
      </c>
      <c r="AF21" s="37" t="str">
        <f>Roster!AG179</f>
        <v>.</v>
      </c>
      <c r="AG21" s="38" t="str">
        <f>Roster!AH179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We</v>
      </c>
      <c r="D22" s="19" t="str">
        <f t="shared" si="6"/>
        <v>Th</v>
      </c>
      <c r="E22" s="19" t="str">
        <f t="shared" si="6"/>
        <v>Fr</v>
      </c>
      <c r="F22" s="19" t="str">
        <f t="shared" si="6"/>
        <v>Sa</v>
      </c>
      <c r="G22" s="19" t="str">
        <f t="shared" si="6"/>
        <v>Su</v>
      </c>
      <c r="H22" s="19" t="str">
        <f t="shared" si="6"/>
        <v>Mo</v>
      </c>
      <c r="I22" s="19" t="str">
        <f t="shared" si="6"/>
        <v>Tu</v>
      </c>
      <c r="J22" s="19" t="str">
        <f t="shared" si="6"/>
        <v>We</v>
      </c>
      <c r="K22" s="19" t="str">
        <f t="shared" si="6"/>
        <v>Th</v>
      </c>
      <c r="L22" s="19" t="str">
        <f t="shared" si="6"/>
        <v>Fr</v>
      </c>
      <c r="M22" s="19" t="str">
        <f t="shared" si="6"/>
        <v>Sa</v>
      </c>
      <c r="N22" s="19" t="str">
        <f t="shared" si="6"/>
        <v>Su</v>
      </c>
      <c r="O22" s="19" t="str">
        <f t="shared" si="6"/>
        <v>Mo</v>
      </c>
      <c r="P22" s="19" t="str">
        <f t="shared" si="6"/>
        <v>Tu</v>
      </c>
      <c r="Q22" s="19" t="str">
        <f t="shared" si="6"/>
        <v>We</v>
      </c>
      <c r="R22" s="19" t="str">
        <f t="shared" si="6"/>
        <v>Th</v>
      </c>
      <c r="S22" s="19" t="str">
        <f t="shared" si="6"/>
        <v>Fr</v>
      </c>
      <c r="T22" s="19" t="str">
        <f t="shared" si="6"/>
        <v>Sa</v>
      </c>
      <c r="U22" s="19" t="str">
        <f t="shared" si="6"/>
        <v>Su</v>
      </c>
      <c r="V22" s="19" t="str">
        <f t="shared" si="6"/>
        <v>Mo</v>
      </c>
      <c r="W22" s="19" t="str">
        <f t="shared" si="6"/>
        <v>Tu</v>
      </c>
      <c r="X22" s="19" t="str">
        <f t="shared" si="6"/>
        <v>We</v>
      </c>
      <c r="Y22" s="19" t="str">
        <f t="shared" si="6"/>
        <v>Th</v>
      </c>
      <c r="Z22" s="19" t="str">
        <f t="shared" si="6"/>
        <v>Fr</v>
      </c>
      <c r="AA22" s="19" t="str">
        <f t="shared" si="6"/>
        <v>Sa</v>
      </c>
      <c r="AB22" s="19" t="str">
        <f t="shared" si="6"/>
        <v>Su</v>
      </c>
      <c r="AC22" s="19" t="str">
        <f t="shared" si="6"/>
        <v>Mo</v>
      </c>
      <c r="AD22" s="19" t="str">
        <f t="shared" si="6"/>
        <v>Tu</v>
      </c>
      <c r="AE22" s="19" t="str">
        <f t="shared" si="6"/>
        <v>We</v>
      </c>
      <c r="AF22" s="19" t="str">
        <f t="shared" si="6"/>
        <v>Th</v>
      </c>
      <c r="AG22" s="19" t="str">
        <f t="shared" si="6"/>
        <v>Fr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2020</v>
      </c>
      <c r="C24" s="52" t="str">
        <f>Roster!D210</f>
        <v>.</v>
      </c>
      <c r="D24" s="53" t="str">
        <f>Roster!E210</f>
        <v>.</v>
      </c>
      <c r="E24" s="53" t="str">
        <f>Roster!F210</f>
        <v>.</v>
      </c>
      <c r="F24" s="53" t="str">
        <f>Roster!G210</f>
        <v>.</v>
      </c>
      <c r="G24" s="53" t="str">
        <f>Roster!H210</f>
        <v>.</v>
      </c>
      <c r="H24" s="53" t="str">
        <f>Roster!I210</f>
        <v>.</v>
      </c>
      <c r="I24" s="53" t="str">
        <f>Roster!J210</f>
        <v>.</v>
      </c>
      <c r="J24" s="53" t="str">
        <f>Roster!K210</f>
        <v>.</v>
      </c>
      <c r="K24" s="53" t="str">
        <f>Roster!L210</f>
        <v>.</v>
      </c>
      <c r="L24" s="53" t="str">
        <f>Roster!M210</f>
        <v>.</v>
      </c>
      <c r="M24" s="53" t="str">
        <f>Roster!N210</f>
        <v>.</v>
      </c>
      <c r="N24" s="53" t="str">
        <f>Roster!O210</f>
        <v>.</v>
      </c>
      <c r="O24" s="53" t="str">
        <f>Roster!P210</f>
        <v>.</v>
      </c>
      <c r="P24" s="53" t="str">
        <f>Roster!Q210</f>
        <v>.</v>
      </c>
      <c r="Q24" s="53" t="str">
        <f>Roster!R210</f>
        <v>.</v>
      </c>
      <c r="R24" s="53" t="str">
        <f>Roster!S210</f>
        <v>.</v>
      </c>
      <c r="S24" s="53" t="str">
        <f>Roster!T210</f>
        <v>.</v>
      </c>
      <c r="T24" s="53" t="str">
        <f>Roster!U210</f>
        <v>.</v>
      </c>
      <c r="U24" s="53" t="str">
        <f>Roster!V210</f>
        <v>.</v>
      </c>
      <c r="V24" s="53" t="str">
        <f>Roster!W210</f>
        <v>.</v>
      </c>
      <c r="W24" s="53" t="str">
        <f>Roster!X210</f>
        <v>.</v>
      </c>
      <c r="X24" s="53" t="str">
        <f>Roster!Y210</f>
        <v>.</v>
      </c>
      <c r="Y24" s="53" t="str">
        <f>Roster!Z210</f>
        <v>.</v>
      </c>
      <c r="Z24" s="53" t="str">
        <f>Roster!AA210</f>
        <v>.</v>
      </c>
      <c r="AA24" s="53" t="str">
        <f>Roster!AB210</f>
        <v>.</v>
      </c>
      <c r="AB24" s="53" t="str">
        <f>Roster!AC210</f>
        <v>.</v>
      </c>
      <c r="AC24" s="53" t="str">
        <f>Roster!AD210</f>
        <v>.</v>
      </c>
      <c r="AD24" s="53" t="str">
        <f>Roster!AE210</f>
        <v>.</v>
      </c>
      <c r="AE24" s="53" t="str">
        <f>Roster!AF210</f>
        <v>.</v>
      </c>
      <c r="AF24" s="53" t="str">
        <f>Roster!AG210</f>
        <v>.</v>
      </c>
      <c r="AG24" s="54" t="str">
        <f>Roster!AH210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Sa</v>
      </c>
      <c r="D25" s="22" t="str">
        <f t="shared" si="7"/>
        <v>Su</v>
      </c>
      <c r="E25" s="22" t="str">
        <f t="shared" si="7"/>
        <v>Mo</v>
      </c>
      <c r="F25" s="22" t="str">
        <f t="shared" si="7"/>
        <v>Tu</v>
      </c>
      <c r="G25" s="22" t="str">
        <f t="shared" si="7"/>
        <v>We</v>
      </c>
      <c r="H25" s="22" t="str">
        <f t="shared" si="7"/>
        <v>Th</v>
      </c>
      <c r="I25" s="22" t="str">
        <f t="shared" si="7"/>
        <v>Fr</v>
      </c>
      <c r="J25" s="22" t="str">
        <f t="shared" si="7"/>
        <v>Sa</v>
      </c>
      <c r="K25" s="22" t="str">
        <f t="shared" si="7"/>
        <v>Su</v>
      </c>
      <c r="L25" s="22" t="str">
        <f t="shared" si="7"/>
        <v>Mo</v>
      </c>
      <c r="M25" s="22" t="str">
        <f t="shared" si="7"/>
        <v>Tu</v>
      </c>
      <c r="N25" s="22" t="str">
        <f t="shared" si="7"/>
        <v>We</v>
      </c>
      <c r="O25" s="22" t="str">
        <f t="shared" si="7"/>
        <v>Th</v>
      </c>
      <c r="P25" s="22" t="str">
        <f t="shared" si="7"/>
        <v>Fr</v>
      </c>
      <c r="Q25" s="22" t="str">
        <f t="shared" si="7"/>
        <v>Sa</v>
      </c>
      <c r="R25" s="22" t="str">
        <f t="shared" si="7"/>
        <v>Su</v>
      </c>
      <c r="S25" s="22" t="str">
        <f t="shared" si="7"/>
        <v>Mo</v>
      </c>
      <c r="T25" s="22" t="str">
        <f t="shared" si="7"/>
        <v>Tu</v>
      </c>
      <c r="U25" s="22" t="str">
        <f t="shared" si="7"/>
        <v>We</v>
      </c>
      <c r="V25" s="22" t="str">
        <f t="shared" si="7"/>
        <v>Th</v>
      </c>
      <c r="W25" s="22" t="str">
        <f t="shared" si="7"/>
        <v>Fr</v>
      </c>
      <c r="X25" s="22" t="str">
        <f t="shared" si="7"/>
        <v>Sa</v>
      </c>
      <c r="Y25" s="22" t="str">
        <f t="shared" si="7"/>
        <v>Su</v>
      </c>
      <c r="Z25" s="22" t="str">
        <f t="shared" si="7"/>
        <v>Mo</v>
      </c>
      <c r="AA25" s="22" t="str">
        <f t="shared" si="7"/>
        <v>Tu</v>
      </c>
      <c r="AB25" s="22" t="str">
        <f t="shared" si="7"/>
        <v>We</v>
      </c>
      <c r="AC25" s="22" t="str">
        <f t="shared" si="7"/>
        <v>Th</v>
      </c>
      <c r="AD25" s="22" t="str">
        <f t="shared" si="7"/>
        <v>Fr</v>
      </c>
      <c r="AE25" s="122" t="str">
        <f t="shared" si="7"/>
        <v>Sa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6">
        <v>29</v>
      </c>
      <c r="AF26" s="44"/>
    </row>
    <row r="27" spans="2:33" ht="14.4" thickTop="1" thickBot="1">
      <c r="B27" s="32" t="str">
        <f>CurYear</f>
        <v>2020</v>
      </c>
      <c r="C27" s="51" t="str">
        <f>Roster!D241</f>
        <v>.</v>
      </c>
      <c r="D27" s="37" t="str">
        <f>Roster!E241</f>
        <v>.</v>
      </c>
      <c r="E27" s="37" t="str">
        <f>Roster!F241</f>
        <v>.</v>
      </c>
      <c r="F27" s="37" t="str">
        <f>Roster!G241</f>
        <v>.</v>
      </c>
      <c r="G27" s="37" t="str">
        <f>Roster!H241</f>
        <v>.</v>
      </c>
      <c r="H27" s="37" t="str">
        <f>Roster!I241</f>
        <v>.</v>
      </c>
      <c r="I27" s="37" t="str">
        <f>Roster!J241</f>
        <v>.</v>
      </c>
      <c r="J27" s="37" t="str">
        <f>Roster!K241</f>
        <v>.</v>
      </c>
      <c r="K27" s="37" t="str">
        <f>Roster!L241</f>
        <v>.</v>
      </c>
      <c r="L27" s="37" t="str">
        <f>Roster!M241</f>
        <v>.</v>
      </c>
      <c r="M27" s="37" t="str">
        <f>Roster!N241</f>
        <v>.</v>
      </c>
      <c r="N27" s="37" t="str">
        <f>Roster!O241</f>
        <v>.</v>
      </c>
      <c r="O27" s="37" t="str">
        <f>Roster!P241</f>
        <v>.</v>
      </c>
      <c r="P27" s="37" t="str">
        <f>Roster!Q241</f>
        <v>.</v>
      </c>
      <c r="Q27" s="37" t="str">
        <f>Roster!R241</f>
        <v>.</v>
      </c>
      <c r="R27" s="37" t="str">
        <f>Roster!S241</f>
        <v>.</v>
      </c>
      <c r="S27" s="37" t="str">
        <f>Roster!T241</f>
        <v>.</v>
      </c>
      <c r="T27" s="37" t="str">
        <f>Roster!U241</f>
        <v>.</v>
      </c>
      <c r="U27" s="37" t="str">
        <f>Roster!V241</f>
        <v>.</v>
      </c>
      <c r="V27" s="37" t="str">
        <f>Roster!W241</f>
        <v>.</v>
      </c>
      <c r="W27" s="37" t="str">
        <f>Roster!X241</f>
        <v>.</v>
      </c>
      <c r="X27" s="37" t="str">
        <f>Roster!Y241</f>
        <v>.</v>
      </c>
      <c r="Y27" s="37" t="str">
        <f>Roster!Z241</f>
        <v>.</v>
      </c>
      <c r="Z27" s="37" t="str">
        <f>Roster!AA241</f>
        <v>.</v>
      </c>
      <c r="AA27" s="37" t="str">
        <f>Roster!AB241</f>
        <v>.</v>
      </c>
      <c r="AB27" s="37" t="str">
        <f>Roster!AC241</f>
        <v>.</v>
      </c>
      <c r="AC27" s="37" t="str">
        <f>Roster!AD241</f>
        <v>.</v>
      </c>
      <c r="AD27" s="43" t="str">
        <f>Roster!AE241</f>
        <v>.</v>
      </c>
      <c r="AE27" s="121" t="str">
        <f>Roster!AF238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26" t="str">
        <f t="shared" si="8"/>
        <v>Mo</v>
      </c>
      <c r="AG28" s="26" t="str">
        <f t="shared" si="8"/>
        <v>Tu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2020</v>
      </c>
      <c r="C30" s="36" t="str">
        <f>Roster!D272</f>
        <v>.</v>
      </c>
      <c r="D30" s="37" t="str">
        <f>Roster!E272</f>
        <v>.</v>
      </c>
      <c r="E30" s="37" t="str">
        <f>Roster!F272</f>
        <v>.</v>
      </c>
      <c r="F30" s="37" t="str">
        <f>Roster!G272</f>
        <v>.</v>
      </c>
      <c r="G30" s="37" t="str">
        <f>Roster!H272</f>
        <v>.</v>
      </c>
      <c r="H30" s="37" t="str">
        <f>Roster!I272</f>
        <v>.</v>
      </c>
      <c r="I30" s="37" t="str">
        <f>Roster!J272</f>
        <v>.</v>
      </c>
      <c r="J30" s="37" t="str">
        <f>Roster!K272</f>
        <v>.</v>
      </c>
      <c r="K30" s="37" t="str">
        <f>Roster!L272</f>
        <v>.</v>
      </c>
      <c r="L30" s="37" t="str">
        <f>Roster!M272</f>
        <v>.</v>
      </c>
      <c r="M30" s="37" t="str">
        <f>Roster!N272</f>
        <v>.</v>
      </c>
      <c r="N30" s="37" t="str">
        <f>Roster!O272</f>
        <v>.</v>
      </c>
      <c r="O30" s="37" t="str">
        <f>Roster!P272</f>
        <v>.</v>
      </c>
      <c r="P30" s="37" t="str">
        <f>Roster!Q272</f>
        <v>.</v>
      </c>
      <c r="Q30" s="37" t="str">
        <f>Roster!R272</f>
        <v>.</v>
      </c>
      <c r="R30" s="37" t="str">
        <f>Roster!S272</f>
        <v>.</v>
      </c>
      <c r="S30" s="37" t="str">
        <f>Roster!T272</f>
        <v>.</v>
      </c>
      <c r="T30" s="37" t="str">
        <f>Roster!U272</f>
        <v>.</v>
      </c>
      <c r="U30" s="37" t="str">
        <f>Roster!V272</f>
        <v>.</v>
      </c>
      <c r="V30" s="37" t="str">
        <f>Roster!W272</f>
        <v>.</v>
      </c>
      <c r="W30" s="37" t="str">
        <f>Roster!X272</f>
        <v>.</v>
      </c>
      <c r="X30" s="37" t="str">
        <f>Roster!Y272</f>
        <v>.</v>
      </c>
      <c r="Y30" s="37" t="str">
        <f>Roster!Z272</f>
        <v>.</v>
      </c>
      <c r="Z30" s="37" t="str">
        <f>Roster!AA272</f>
        <v>.</v>
      </c>
      <c r="AA30" s="37" t="str">
        <f>Roster!AB272</f>
        <v>.</v>
      </c>
      <c r="AB30" s="37" t="str">
        <f>Roster!AC272</f>
        <v>.</v>
      </c>
      <c r="AC30" s="37" t="str">
        <f>Roster!AD272</f>
        <v>.</v>
      </c>
      <c r="AD30" s="37" t="str">
        <f>Roster!AE272</f>
        <v>.</v>
      </c>
      <c r="AE30" s="37" t="str">
        <f>Roster!AF272</f>
        <v>.</v>
      </c>
      <c r="AF30" s="37" t="str">
        <f>Roster!AG272</f>
        <v>.</v>
      </c>
      <c r="AG30" s="38" t="str">
        <f>Roster!AH272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2020</v>
      </c>
      <c r="C33" s="36" t="str">
        <f>Roster!D303</f>
        <v>.</v>
      </c>
      <c r="D33" s="37" t="str">
        <f>Roster!E303</f>
        <v>.</v>
      </c>
      <c r="E33" s="37" t="str">
        <f>Roster!F303</f>
        <v>.</v>
      </c>
      <c r="F33" s="37" t="str">
        <f>Roster!G303</f>
        <v>.</v>
      </c>
      <c r="G33" s="37" t="str">
        <f>Roster!H303</f>
        <v>.</v>
      </c>
      <c r="H33" s="37" t="str">
        <f>Roster!I303</f>
        <v>.</v>
      </c>
      <c r="I33" s="37" t="str">
        <f>Roster!J303</f>
        <v>.</v>
      </c>
      <c r="J33" s="37" t="str">
        <f>Roster!K303</f>
        <v>.</v>
      </c>
      <c r="K33" s="37" t="str">
        <f>Roster!L303</f>
        <v>.</v>
      </c>
      <c r="L33" s="37" t="str">
        <f>Roster!M303</f>
        <v>.</v>
      </c>
      <c r="M33" s="37" t="str">
        <f>Roster!N303</f>
        <v>.</v>
      </c>
      <c r="N33" s="37" t="str">
        <f>Roster!O303</f>
        <v>.</v>
      </c>
      <c r="O33" s="37" t="str">
        <f>Roster!P303</f>
        <v>.</v>
      </c>
      <c r="P33" s="37" t="str">
        <f>Roster!Q303</f>
        <v>.</v>
      </c>
      <c r="Q33" s="37" t="str">
        <f>Roster!R303</f>
        <v>.</v>
      </c>
      <c r="R33" s="37" t="str">
        <f>Roster!S303</f>
        <v>.</v>
      </c>
      <c r="S33" s="37" t="str">
        <f>Roster!T303</f>
        <v>.</v>
      </c>
      <c r="T33" s="37" t="str">
        <f>Roster!U303</f>
        <v>.</v>
      </c>
      <c r="U33" s="37" t="str">
        <f>Roster!V303</f>
        <v>.</v>
      </c>
      <c r="V33" s="37" t="str">
        <f>Roster!W303</f>
        <v>.</v>
      </c>
      <c r="W33" s="37" t="str">
        <f>Roster!X303</f>
        <v>.</v>
      </c>
      <c r="X33" s="37" t="str">
        <f>Roster!Y303</f>
        <v>.</v>
      </c>
      <c r="Y33" s="37" t="str">
        <f>Roster!Z303</f>
        <v>.</v>
      </c>
      <c r="Z33" s="37" t="str">
        <f>Roster!AA303</f>
        <v>.</v>
      </c>
      <c r="AA33" s="37" t="str">
        <f>Roster!AB303</f>
        <v>.</v>
      </c>
      <c r="AB33" s="37" t="str">
        <f>Roster!AC303</f>
        <v>.</v>
      </c>
      <c r="AC33" s="37" t="str">
        <f>Roster!AD303</f>
        <v>.</v>
      </c>
      <c r="AD33" s="37" t="str">
        <f>Roster!AE303</f>
        <v>.</v>
      </c>
      <c r="AE33" s="37" t="str">
        <f>Roster!AF303</f>
        <v>.</v>
      </c>
      <c r="AF33" s="38" t="str">
        <f>Roster!AG303</f>
        <v>.</v>
      </c>
    </row>
    <row r="34" spans="2:33" ht="14.4" thickTop="1" thickBot="1"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20" t="str">
        <f t="shared" si="10"/>
        <v>Su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2020</v>
      </c>
      <c r="C36" s="36" t="str">
        <f>Roster!D334</f>
        <v>.</v>
      </c>
      <c r="D36" s="37" t="str">
        <f>Roster!E334</f>
        <v>.</v>
      </c>
      <c r="E36" s="37" t="str">
        <f>Roster!F334</f>
        <v>.</v>
      </c>
      <c r="F36" s="37" t="str">
        <f>Roster!G334</f>
        <v>.</v>
      </c>
      <c r="G36" s="37" t="str">
        <f>Roster!H334</f>
        <v>.</v>
      </c>
      <c r="H36" s="37" t="str">
        <f>Roster!I334</f>
        <v>.</v>
      </c>
      <c r="I36" s="37" t="str">
        <f>Roster!J334</f>
        <v>.</v>
      </c>
      <c r="J36" s="37" t="str">
        <f>Roster!K334</f>
        <v>.</v>
      </c>
      <c r="K36" s="37" t="str">
        <f>Roster!L334</f>
        <v>.</v>
      </c>
      <c r="L36" s="37" t="str">
        <f>Roster!M334</f>
        <v>.</v>
      </c>
      <c r="M36" s="37" t="str">
        <f>Roster!N334</f>
        <v>.</v>
      </c>
      <c r="N36" s="37" t="str">
        <f>Roster!O334</f>
        <v>.</v>
      </c>
      <c r="O36" s="37" t="str">
        <f>Roster!P334</f>
        <v>.</v>
      </c>
      <c r="P36" s="37" t="str">
        <f>Roster!Q334</f>
        <v>.</v>
      </c>
      <c r="Q36" s="37" t="str">
        <f>Roster!R334</f>
        <v>.</v>
      </c>
      <c r="R36" s="37" t="str">
        <f>Roster!S334</f>
        <v>.</v>
      </c>
      <c r="S36" s="37" t="str">
        <f>Roster!T334</f>
        <v>.</v>
      </c>
      <c r="T36" s="37" t="str">
        <f>Roster!U334</f>
        <v>.</v>
      </c>
      <c r="U36" s="37" t="str">
        <f>Roster!V334</f>
        <v>.</v>
      </c>
      <c r="V36" s="37" t="str">
        <f>Roster!W334</f>
        <v>.</v>
      </c>
      <c r="W36" s="37" t="str">
        <f>Roster!X334</f>
        <v>.</v>
      </c>
      <c r="X36" s="37" t="str">
        <f>Roster!Y334</f>
        <v>.</v>
      </c>
      <c r="Y36" s="37" t="str">
        <f>Roster!Z334</f>
        <v>.</v>
      </c>
      <c r="Z36" s="37" t="str">
        <f>Roster!AA334</f>
        <v>.</v>
      </c>
      <c r="AA36" s="37" t="str">
        <f>Roster!AB334</f>
        <v>.</v>
      </c>
      <c r="AB36" s="37" t="str">
        <f>Roster!AC334</f>
        <v>.</v>
      </c>
      <c r="AC36" s="37" t="str">
        <f>Roster!AD334</f>
        <v>.</v>
      </c>
      <c r="AD36" s="37" t="str">
        <f>Roster!AE334</f>
        <v>.</v>
      </c>
      <c r="AE36" s="37" t="str">
        <f>Roster!AF334</f>
        <v>.</v>
      </c>
      <c r="AF36" s="37" t="str">
        <f>Roster!AG334</f>
        <v>.</v>
      </c>
      <c r="AG36" s="38" t="str">
        <f>Roster!AH334</f>
        <v>.</v>
      </c>
    </row>
    <row r="37" spans="2:33" ht="14.4" thickTop="1" thickBot="1"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2020</v>
      </c>
      <c r="C39" s="36" t="str">
        <f>Roster!D365</f>
        <v>.</v>
      </c>
      <c r="D39" s="37" t="str">
        <f>Roster!E365</f>
        <v>.</v>
      </c>
      <c r="E39" s="37" t="str">
        <f>Roster!F365</f>
        <v>.</v>
      </c>
      <c r="F39" s="37" t="str">
        <f>Roster!G365</f>
        <v>.</v>
      </c>
      <c r="G39" s="37" t="str">
        <f>Roster!H365</f>
        <v>.</v>
      </c>
      <c r="H39" s="37" t="str">
        <f>Roster!I365</f>
        <v>.</v>
      </c>
      <c r="I39" s="37" t="str">
        <f>Roster!J365</f>
        <v>.</v>
      </c>
      <c r="J39" s="37" t="str">
        <f>Roster!K365</f>
        <v>.</v>
      </c>
      <c r="K39" s="37" t="str">
        <f>Roster!L365</f>
        <v>.</v>
      </c>
      <c r="L39" s="37" t="str">
        <f>Roster!M365</f>
        <v>.</v>
      </c>
      <c r="M39" s="37" t="str">
        <f>Roster!N365</f>
        <v>.</v>
      </c>
      <c r="N39" s="37" t="str">
        <f>Roster!O365</f>
        <v>.</v>
      </c>
      <c r="O39" s="37" t="str">
        <f>Roster!P365</f>
        <v>.</v>
      </c>
      <c r="P39" s="37" t="str">
        <f>Roster!Q365</f>
        <v>.</v>
      </c>
      <c r="Q39" s="37" t="str">
        <f>Roster!R365</f>
        <v>.</v>
      </c>
      <c r="R39" s="37" t="str">
        <f>Roster!S365</f>
        <v>.</v>
      </c>
      <c r="S39" s="37" t="str">
        <f>Roster!T365</f>
        <v>.</v>
      </c>
      <c r="T39" s="37" t="str">
        <f>Roster!U365</f>
        <v>.</v>
      </c>
      <c r="U39" s="37" t="str">
        <f>Roster!V365</f>
        <v>.</v>
      </c>
      <c r="V39" s="37" t="str">
        <f>Roster!W365</f>
        <v>.</v>
      </c>
      <c r="W39" s="37" t="str">
        <f>Roster!X365</f>
        <v>.</v>
      </c>
      <c r="X39" s="37" t="str">
        <f>Roster!Y365</f>
        <v>.</v>
      </c>
      <c r="Y39" s="37" t="str">
        <f>Roster!Z365</f>
        <v>.</v>
      </c>
      <c r="Z39" s="37" t="str">
        <f>Roster!AA365</f>
        <v>.</v>
      </c>
      <c r="AA39" s="37" t="str">
        <f>Roster!AB365</f>
        <v>.</v>
      </c>
      <c r="AB39" s="37" t="str">
        <f>Roster!AC365</f>
        <v>.</v>
      </c>
      <c r="AC39" s="37" t="str">
        <f>Roster!AD365</f>
        <v>.</v>
      </c>
      <c r="AD39" s="37" t="str">
        <f>Roster!AE365</f>
        <v>.</v>
      </c>
      <c r="AE39" s="37" t="str">
        <f>Roster!AF365</f>
        <v>.</v>
      </c>
      <c r="AF39" s="38" t="str">
        <f>Roster!AG365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2"/>
  <dimension ref="B1:AG40"/>
  <sheetViews>
    <sheetView showGridLines="0" showRowColHeaders="0" showZeros="0" topLeftCell="A2" zoomScale="68" zoomScaleNormal="68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2019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0" t="s">
        <v>25</v>
      </c>
      <c r="R3" s="130" t="str">
        <f>EmpGName12 &amp;" " &amp; EmpSName12</f>
        <v>Jimmy James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Mo</v>
      </c>
      <c r="D4" s="28" t="str">
        <f t="shared" si="0"/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20" t="str">
        <f t="shared" si="0"/>
        <v>We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2019</v>
      </c>
      <c r="C6" s="36" t="str">
        <f>Roster!D25</f>
        <v>.</v>
      </c>
      <c r="D6" s="37" t="str">
        <f>Roster!E25</f>
        <v>.</v>
      </c>
      <c r="E6" s="37" t="str">
        <f>Roster!F25</f>
        <v>.</v>
      </c>
      <c r="F6" s="37" t="str">
        <f>Roster!G25</f>
        <v>.</v>
      </c>
      <c r="G6" s="37" t="str">
        <f>Roster!H25</f>
        <v>.</v>
      </c>
      <c r="H6" s="37" t="str">
        <f>Roster!I25</f>
        <v>.</v>
      </c>
      <c r="I6" s="37" t="str">
        <f>Roster!J25</f>
        <v>.</v>
      </c>
      <c r="J6" s="37" t="str">
        <f>Roster!K25</f>
        <v>.</v>
      </c>
      <c r="K6" s="37" t="str">
        <f>Roster!L25</f>
        <v>.</v>
      </c>
      <c r="L6" s="37" t="str">
        <f>Roster!M25</f>
        <v>.</v>
      </c>
      <c r="M6" s="37" t="str">
        <f>Roster!N25</f>
        <v>.</v>
      </c>
      <c r="N6" s="37" t="str">
        <f>Roster!O25</f>
        <v>.</v>
      </c>
      <c r="O6" s="37" t="str">
        <f>Roster!P25</f>
        <v>.</v>
      </c>
      <c r="P6" s="37" t="str">
        <f>Roster!Q25</f>
        <v>.</v>
      </c>
      <c r="Q6" s="37" t="str">
        <f>Roster!R25</f>
        <v>.</v>
      </c>
      <c r="R6" s="37" t="str">
        <f>Roster!S25</f>
        <v>.</v>
      </c>
      <c r="S6" s="37" t="str">
        <f>Roster!T25</f>
        <v>.</v>
      </c>
      <c r="T6" s="37" t="str">
        <f>Roster!U25</f>
        <v>.</v>
      </c>
      <c r="U6" s="37" t="str">
        <f>Roster!V25</f>
        <v>.</v>
      </c>
      <c r="V6" s="37" t="str">
        <f>Roster!W25</f>
        <v>.</v>
      </c>
      <c r="W6" s="37" t="str">
        <f>Roster!X25</f>
        <v>.</v>
      </c>
      <c r="X6" s="37" t="str">
        <f>Roster!Y25</f>
        <v>.</v>
      </c>
      <c r="Y6" s="37" t="str">
        <f>Roster!Z25</f>
        <v>.</v>
      </c>
      <c r="Z6" s="37" t="str">
        <f>Roster!AA25</f>
        <v>.</v>
      </c>
      <c r="AA6" s="37" t="str">
        <f>Roster!AB25</f>
        <v>.</v>
      </c>
      <c r="AB6" s="37" t="str">
        <f>Roster!AC25</f>
        <v>.</v>
      </c>
      <c r="AC6" s="37" t="str">
        <f>Roster!AD25</f>
        <v>.</v>
      </c>
      <c r="AD6" s="37" t="str">
        <f>Roster!AE25</f>
        <v>.</v>
      </c>
      <c r="AE6" s="37" t="str">
        <f>Roster!AF25</f>
        <v>.</v>
      </c>
      <c r="AF6" s="37" t="str">
        <f>Roster!AG25</f>
        <v>.</v>
      </c>
      <c r="AG6" s="38" t="str">
        <f>Roster!AH25</f>
        <v>.</v>
      </c>
    </row>
    <row r="7" spans="2:33" ht="14.4" thickTop="1" thickBot="1"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21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2019</v>
      </c>
      <c r="C9" s="36" t="str">
        <f>Roster!D56</f>
        <v>.</v>
      </c>
      <c r="D9" s="39" t="str">
        <f>Roster!E56</f>
        <v>.</v>
      </c>
      <c r="E9" s="37" t="str">
        <f>Roster!F56</f>
        <v>.</v>
      </c>
      <c r="F9" s="37" t="str">
        <f>Roster!G56</f>
        <v>.</v>
      </c>
      <c r="G9" s="37" t="str">
        <f>Roster!H56</f>
        <v>.</v>
      </c>
      <c r="H9" s="37" t="str">
        <f>Roster!I56</f>
        <v>.</v>
      </c>
      <c r="I9" s="37" t="str">
        <f>Roster!J56</f>
        <v>.</v>
      </c>
      <c r="J9" s="37" t="str">
        <f>Roster!K56</f>
        <v>.</v>
      </c>
      <c r="K9" s="37" t="str">
        <f>Roster!L56</f>
        <v>.</v>
      </c>
      <c r="L9" s="37" t="str">
        <f>Roster!M56</f>
        <v>.</v>
      </c>
      <c r="M9" s="37" t="str">
        <f>Roster!N56</f>
        <v>.</v>
      </c>
      <c r="N9" s="37" t="str">
        <f>Roster!O56</f>
        <v>.</v>
      </c>
      <c r="O9" s="37" t="str">
        <f>Roster!P56</f>
        <v>.</v>
      </c>
      <c r="P9" s="37" t="str">
        <f>Roster!Q56</f>
        <v>.</v>
      </c>
      <c r="Q9" s="37" t="str">
        <f>Roster!R56</f>
        <v>.</v>
      </c>
      <c r="R9" s="37" t="str">
        <f>Roster!S56</f>
        <v>.</v>
      </c>
      <c r="S9" s="37" t="str">
        <f>Roster!T56</f>
        <v>.</v>
      </c>
      <c r="T9" s="37" t="str">
        <f>Roster!U56</f>
        <v>.</v>
      </c>
      <c r="U9" s="37" t="str">
        <f>Roster!V56</f>
        <v>.</v>
      </c>
      <c r="V9" s="37" t="str">
        <f>Roster!W56</f>
        <v>.</v>
      </c>
      <c r="W9" s="37" t="str">
        <f>Roster!X56</f>
        <v>.</v>
      </c>
      <c r="X9" s="37" t="str">
        <f>Roster!Y56</f>
        <v>.</v>
      </c>
      <c r="Y9" s="37" t="str">
        <f>Roster!Z56</f>
        <v>.</v>
      </c>
      <c r="Z9" s="37" t="str">
        <f>Roster!AA56</f>
        <v>.</v>
      </c>
      <c r="AA9" s="37" t="str">
        <f>Roster!AB56</f>
        <v>.</v>
      </c>
      <c r="AB9" s="37" t="str">
        <f>Roster!AC56</f>
        <v>.</v>
      </c>
      <c r="AC9" s="37" t="str">
        <f>Roster!AD56</f>
        <v>.</v>
      </c>
      <c r="AD9" s="37" t="str">
        <f>Roster!AE56</f>
        <v>.</v>
      </c>
      <c r="AE9" s="37" t="str">
        <f>Roster!AF56</f>
        <v>.</v>
      </c>
      <c r="AF9" s="37" t="str">
        <f>Roster!AG56</f>
        <v>.</v>
      </c>
      <c r="AG9" s="38" t="str">
        <f>Roster!AH56</f>
        <v>.</v>
      </c>
    </row>
    <row r="10" spans="2:33" ht="14.4" thickTop="1" thickBot="1"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1" t="str">
        <f t="shared" si="2"/>
        <v>Su</v>
      </c>
      <c r="AF10" s="21" t="str">
        <f t="shared" si="2"/>
        <v>Mo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2019</v>
      </c>
      <c r="C12" s="36" t="str">
        <f>Roster!D87</f>
        <v>.</v>
      </c>
      <c r="D12" s="37" t="str">
        <f>Roster!E87</f>
        <v>.</v>
      </c>
      <c r="E12" s="37" t="str">
        <f>Roster!F87</f>
        <v>.</v>
      </c>
      <c r="F12" s="37" t="str">
        <f>Roster!G87</f>
        <v>.</v>
      </c>
      <c r="G12" s="37" t="str">
        <f>Roster!H87</f>
        <v>.</v>
      </c>
      <c r="H12" s="37" t="str">
        <f>Roster!I87</f>
        <v>.</v>
      </c>
      <c r="I12" s="37" t="str">
        <f>Roster!J87</f>
        <v>.</v>
      </c>
      <c r="J12" s="37" t="str">
        <f>Roster!K87</f>
        <v>.</v>
      </c>
      <c r="K12" s="37" t="str">
        <f>Roster!L87</f>
        <v>.</v>
      </c>
      <c r="L12" s="37" t="str">
        <f>Roster!M87</f>
        <v>.</v>
      </c>
      <c r="M12" s="37" t="str">
        <f>Roster!N87</f>
        <v>.</v>
      </c>
      <c r="N12" s="37" t="str">
        <f>Roster!O87</f>
        <v>.</v>
      </c>
      <c r="O12" s="37" t="str">
        <f>Roster!P87</f>
        <v>.</v>
      </c>
      <c r="P12" s="37" t="str">
        <f>Roster!Q87</f>
        <v>.</v>
      </c>
      <c r="Q12" s="37" t="str">
        <f>Roster!R87</f>
        <v>.</v>
      </c>
      <c r="R12" s="37" t="str">
        <f>Roster!S87</f>
        <v>.</v>
      </c>
      <c r="S12" s="37" t="str">
        <f>Roster!T87</f>
        <v>.</v>
      </c>
      <c r="T12" s="37" t="str">
        <f>Roster!U87</f>
        <v>.</v>
      </c>
      <c r="U12" s="37" t="str">
        <f>Roster!V87</f>
        <v>.</v>
      </c>
      <c r="V12" s="37" t="str">
        <f>Roster!W87</f>
        <v>.</v>
      </c>
      <c r="W12" s="37" t="str">
        <f>Roster!X87</f>
        <v>.</v>
      </c>
      <c r="X12" s="37" t="str">
        <f>Roster!Y87</f>
        <v>.</v>
      </c>
      <c r="Y12" s="37" t="str">
        <f>Roster!Z87</f>
        <v>.</v>
      </c>
      <c r="Z12" s="37" t="str">
        <f>Roster!AA87</f>
        <v>.</v>
      </c>
      <c r="AA12" s="37" t="str">
        <f>Roster!AB87</f>
        <v>.</v>
      </c>
      <c r="AB12" s="37" t="str">
        <f>Roster!AC87</f>
        <v>.</v>
      </c>
      <c r="AC12" s="37" t="str">
        <f>Roster!AD87</f>
        <v>.</v>
      </c>
      <c r="AD12" s="37" t="str">
        <f>Roster!AE87</f>
        <v>.</v>
      </c>
      <c r="AE12" s="37" t="str">
        <f>Roster!AF87</f>
        <v>.</v>
      </c>
      <c r="AF12" s="38" t="str">
        <f>Roster!AG87</f>
        <v>.</v>
      </c>
    </row>
    <row r="13" spans="2:33" ht="14.4" thickTop="1" thickBot="1"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20" t="str">
        <f t="shared" si="3"/>
        <v>Th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2019</v>
      </c>
      <c r="C15" s="36" t="str">
        <f>Roster!D118</f>
        <v>.</v>
      </c>
      <c r="D15" s="37" t="str">
        <f>Roster!E118</f>
        <v>.</v>
      </c>
      <c r="E15" s="37" t="str">
        <f>Roster!F118</f>
        <v>.</v>
      </c>
      <c r="F15" s="37" t="str">
        <f>Roster!G118</f>
        <v>.</v>
      </c>
      <c r="G15" s="37" t="str">
        <f>Roster!H118</f>
        <v>.</v>
      </c>
      <c r="H15" s="37" t="str">
        <f>Roster!I118</f>
        <v>.</v>
      </c>
      <c r="I15" s="37" t="str">
        <f>Roster!J118</f>
        <v>.</v>
      </c>
      <c r="J15" s="37" t="str">
        <f>Roster!K118</f>
        <v>.</v>
      </c>
      <c r="K15" s="37" t="str">
        <f>Roster!L118</f>
        <v>.</v>
      </c>
      <c r="L15" s="37" t="str">
        <f>Roster!M118</f>
        <v>.</v>
      </c>
      <c r="M15" s="37" t="str">
        <f>Roster!N118</f>
        <v>.</v>
      </c>
      <c r="N15" s="37" t="str">
        <f>Roster!O118</f>
        <v>.</v>
      </c>
      <c r="O15" s="37" t="str">
        <f>Roster!P118</f>
        <v>.</v>
      </c>
      <c r="P15" s="37" t="str">
        <f>Roster!Q118</f>
        <v>.</v>
      </c>
      <c r="Q15" s="37" t="str">
        <f>Roster!R118</f>
        <v>.</v>
      </c>
      <c r="R15" s="37" t="str">
        <f>Roster!S118</f>
        <v>.</v>
      </c>
      <c r="S15" s="37" t="str">
        <f>Roster!T118</f>
        <v>.</v>
      </c>
      <c r="T15" s="37" t="str">
        <f>Roster!U118</f>
        <v>.</v>
      </c>
      <c r="U15" s="37" t="str">
        <f>Roster!V118</f>
        <v>.</v>
      </c>
      <c r="V15" s="37" t="str">
        <f>Roster!W118</f>
        <v>.</v>
      </c>
      <c r="W15" s="37" t="str">
        <f>Roster!X118</f>
        <v>.</v>
      </c>
      <c r="X15" s="37" t="str">
        <f>Roster!Y118</f>
        <v>.</v>
      </c>
      <c r="Y15" s="37" t="str">
        <f>Roster!Z118</f>
        <v>.</v>
      </c>
      <c r="Z15" s="37" t="str">
        <f>Roster!AA118</f>
        <v>.</v>
      </c>
      <c r="AA15" s="37" t="str">
        <f>Roster!AB118</f>
        <v>.</v>
      </c>
      <c r="AB15" s="37" t="str">
        <f>Roster!AC118</f>
        <v>.</v>
      </c>
      <c r="AC15" s="37" t="str">
        <f>Roster!AD118</f>
        <v>.</v>
      </c>
      <c r="AD15" s="37" t="str">
        <f>Roster!AE118</f>
        <v>.</v>
      </c>
      <c r="AE15" s="37" t="str">
        <f>Roster!AF118</f>
        <v>.</v>
      </c>
      <c r="AF15" s="37" t="str">
        <f>Roster!AG118</f>
        <v>.</v>
      </c>
      <c r="AG15" s="38" t="str">
        <f>Roster!AH118</f>
        <v>.</v>
      </c>
    </row>
    <row r="16" spans="2:33" ht="14.4" thickTop="1" thickBot="1"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2019</v>
      </c>
      <c r="C18" s="36" t="str">
        <f>Roster!D149</f>
        <v>.</v>
      </c>
      <c r="D18" s="37" t="str">
        <f>Roster!E149</f>
        <v>.</v>
      </c>
      <c r="E18" s="37" t="str">
        <f>Roster!F149</f>
        <v>.</v>
      </c>
      <c r="F18" s="37" t="str">
        <f>Roster!G149</f>
        <v>.</v>
      </c>
      <c r="G18" s="37" t="str">
        <f>Roster!H149</f>
        <v>.</v>
      </c>
      <c r="H18" s="37" t="str">
        <f>Roster!I149</f>
        <v>.</v>
      </c>
      <c r="I18" s="37" t="str">
        <f>Roster!J149</f>
        <v>.</v>
      </c>
      <c r="J18" s="37" t="str">
        <f>Roster!K149</f>
        <v>.</v>
      </c>
      <c r="K18" s="37" t="str">
        <f>Roster!L149</f>
        <v>.</v>
      </c>
      <c r="L18" s="37" t="str">
        <f>Roster!M149</f>
        <v>.</v>
      </c>
      <c r="M18" s="37" t="str">
        <f>Roster!N149</f>
        <v>.</v>
      </c>
      <c r="N18" s="37" t="str">
        <f>Roster!O149</f>
        <v>.</v>
      </c>
      <c r="O18" s="37" t="str">
        <f>Roster!P149</f>
        <v>.</v>
      </c>
      <c r="P18" s="37" t="str">
        <f>Roster!Q149</f>
        <v>.</v>
      </c>
      <c r="Q18" s="37" t="str">
        <f>Roster!R149</f>
        <v>.</v>
      </c>
      <c r="R18" s="37" t="str">
        <f>Roster!S149</f>
        <v>.</v>
      </c>
      <c r="S18" s="37" t="str">
        <f>Roster!T149</f>
        <v>.</v>
      </c>
      <c r="T18" s="37" t="str">
        <f>Roster!U149</f>
        <v>.</v>
      </c>
      <c r="U18" s="37" t="str">
        <f>Roster!V149</f>
        <v>.</v>
      </c>
      <c r="V18" s="37" t="str">
        <f>Roster!W149</f>
        <v>.</v>
      </c>
      <c r="W18" s="37" t="str">
        <f>Roster!X149</f>
        <v>.</v>
      </c>
      <c r="X18" s="37" t="str">
        <f>Roster!Y149</f>
        <v>.</v>
      </c>
      <c r="Y18" s="37" t="str">
        <f>Roster!Z149</f>
        <v>.</v>
      </c>
      <c r="Z18" s="37" t="str">
        <f>Roster!AA149</f>
        <v>.</v>
      </c>
      <c r="AA18" s="37" t="str">
        <f>Roster!AB149</f>
        <v>.</v>
      </c>
      <c r="AB18" s="37" t="str">
        <f>Roster!AC149</f>
        <v>.</v>
      </c>
      <c r="AC18" s="37" t="str">
        <f>Roster!AD149</f>
        <v>.</v>
      </c>
      <c r="AD18" s="37" t="str">
        <f>Roster!AE149</f>
        <v>.</v>
      </c>
      <c r="AE18" s="37" t="str">
        <f>Roster!AF149</f>
        <v>.</v>
      </c>
      <c r="AF18" s="38" t="str">
        <f>Roster!AG149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2019</v>
      </c>
      <c r="C21" s="36" t="str">
        <f>Roster!D180</f>
        <v>.</v>
      </c>
      <c r="D21" s="37" t="str">
        <f>Roster!E180</f>
        <v>.</v>
      </c>
      <c r="E21" s="37" t="str">
        <f>Roster!F180</f>
        <v>.</v>
      </c>
      <c r="F21" s="37" t="str">
        <f>Roster!G180</f>
        <v>.</v>
      </c>
      <c r="G21" s="37" t="str">
        <f>Roster!H180</f>
        <v>.</v>
      </c>
      <c r="H21" s="37" t="str">
        <f>Roster!I180</f>
        <v>.</v>
      </c>
      <c r="I21" s="37" t="str">
        <f>Roster!J180</f>
        <v>.</v>
      </c>
      <c r="J21" s="37" t="str">
        <f>Roster!K180</f>
        <v>.</v>
      </c>
      <c r="K21" s="37" t="str">
        <f>Roster!L180</f>
        <v>.</v>
      </c>
      <c r="L21" s="37" t="str">
        <f>Roster!M180</f>
        <v>.</v>
      </c>
      <c r="M21" s="37" t="str">
        <f>Roster!N180</f>
        <v>.</v>
      </c>
      <c r="N21" s="37" t="str">
        <f>Roster!O180</f>
        <v>.</v>
      </c>
      <c r="O21" s="37" t="str">
        <f>Roster!P180</f>
        <v>.</v>
      </c>
      <c r="P21" s="37" t="str">
        <f>Roster!Q180</f>
        <v>.</v>
      </c>
      <c r="Q21" s="37" t="str">
        <f>Roster!R180</f>
        <v>.</v>
      </c>
      <c r="R21" s="37" t="str">
        <f>Roster!S180</f>
        <v>.</v>
      </c>
      <c r="S21" s="37" t="str">
        <f>Roster!T180</f>
        <v>.</v>
      </c>
      <c r="T21" s="37" t="str">
        <f>Roster!U180</f>
        <v>.</v>
      </c>
      <c r="U21" s="37" t="str">
        <f>Roster!V180</f>
        <v>.</v>
      </c>
      <c r="V21" s="37" t="str">
        <f>Roster!W180</f>
        <v>.</v>
      </c>
      <c r="W21" s="37" t="str">
        <f>Roster!X180</f>
        <v>.</v>
      </c>
      <c r="X21" s="37" t="str">
        <f>Roster!Y180</f>
        <v>.</v>
      </c>
      <c r="Y21" s="37" t="str">
        <f>Roster!Z180</f>
        <v>.</v>
      </c>
      <c r="Z21" s="37" t="str">
        <f>Roster!AA180</f>
        <v>.</v>
      </c>
      <c r="AA21" s="37" t="str">
        <f>Roster!AB180</f>
        <v>.</v>
      </c>
      <c r="AB21" s="37" t="str">
        <f>Roster!AC180</f>
        <v>.</v>
      </c>
      <c r="AC21" s="37" t="str">
        <f>Roster!AD180</f>
        <v>.</v>
      </c>
      <c r="AD21" s="37" t="str">
        <f>Roster!AE180</f>
        <v>.</v>
      </c>
      <c r="AE21" s="37" t="str">
        <f>Roster!AF180</f>
        <v>.</v>
      </c>
      <c r="AF21" s="37" t="str">
        <f>Roster!AG180</f>
        <v>.</v>
      </c>
      <c r="AG21" s="38" t="str">
        <f>Roster!AH180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We</v>
      </c>
      <c r="D22" s="19" t="str">
        <f t="shared" si="6"/>
        <v>Th</v>
      </c>
      <c r="E22" s="19" t="str">
        <f t="shared" si="6"/>
        <v>Fr</v>
      </c>
      <c r="F22" s="19" t="str">
        <f t="shared" si="6"/>
        <v>Sa</v>
      </c>
      <c r="G22" s="19" t="str">
        <f t="shared" si="6"/>
        <v>Su</v>
      </c>
      <c r="H22" s="19" t="str">
        <f t="shared" si="6"/>
        <v>Mo</v>
      </c>
      <c r="I22" s="19" t="str">
        <f t="shared" si="6"/>
        <v>Tu</v>
      </c>
      <c r="J22" s="19" t="str">
        <f t="shared" si="6"/>
        <v>We</v>
      </c>
      <c r="K22" s="19" t="str">
        <f t="shared" si="6"/>
        <v>Th</v>
      </c>
      <c r="L22" s="19" t="str">
        <f t="shared" si="6"/>
        <v>Fr</v>
      </c>
      <c r="M22" s="19" t="str">
        <f t="shared" si="6"/>
        <v>Sa</v>
      </c>
      <c r="N22" s="19" t="str">
        <f t="shared" si="6"/>
        <v>Su</v>
      </c>
      <c r="O22" s="19" t="str">
        <f t="shared" si="6"/>
        <v>Mo</v>
      </c>
      <c r="P22" s="19" t="str">
        <f t="shared" si="6"/>
        <v>Tu</v>
      </c>
      <c r="Q22" s="19" t="str">
        <f t="shared" si="6"/>
        <v>We</v>
      </c>
      <c r="R22" s="19" t="str">
        <f t="shared" si="6"/>
        <v>Th</v>
      </c>
      <c r="S22" s="19" t="str">
        <f t="shared" si="6"/>
        <v>Fr</v>
      </c>
      <c r="T22" s="19" t="str">
        <f t="shared" si="6"/>
        <v>Sa</v>
      </c>
      <c r="U22" s="19" t="str">
        <f t="shared" si="6"/>
        <v>Su</v>
      </c>
      <c r="V22" s="19" t="str">
        <f t="shared" si="6"/>
        <v>Mo</v>
      </c>
      <c r="W22" s="19" t="str">
        <f t="shared" si="6"/>
        <v>Tu</v>
      </c>
      <c r="X22" s="19" t="str">
        <f t="shared" si="6"/>
        <v>We</v>
      </c>
      <c r="Y22" s="19" t="str">
        <f t="shared" si="6"/>
        <v>Th</v>
      </c>
      <c r="Z22" s="19" t="str">
        <f t="shared" si="6"/>
        <v>Fr</v>
      </c>
      <c r="AA22" s="19" t="str">
        <f t="shared" si="6"/>
        <v>Sa</v>
      </c>
      <c r="AB22" s="19" t="str">
        <f t="shared" si="6"/>
        <v>Su</v>
      </c>
      <c r="AC22" s="19" t="str">
        <f t="shared" si="6"/>
        <v>Mo</v>
      </c>
      <c r="AD22" s="19" t="str">
        <f t="shared" si="6"/>
        <v>Tu</v>
      </c>
      <c r="AE22" s="19" t="str">
        <f t="shared" si="6"/>
        <v>We</v>
      </c>
      <c r="AF22" s="19" t="str">
        <f t="shared" si="6"/>
        <v>Th</v>
      </c>
      <c r="AG22" s="19" t="str">
        <f t="shared" si="6"/>
        <v>Fr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2020</v>
      </c>
      <c r="C24" s="52" t="str">
        <f>Roster!D211</f>
        <v>.</v>
      </c>
      <c r="D24" s="53" t="str">
        <f>Roster!E211</f>
        <v>.</v>
      </c>
      <c r="E24" s="53" t="str">
        <f>Roster!F211</f>
        <v>.</v>
      </c>
      <c r="F24" s="53" t="str">
        <f>Roster!G211</f>
        <v>.</v>
      </c>
      <c r="G24" s="53" t="str">
        <f>Roster!H211</f>
        <v>.</v>
      </c>
      <c r="H24" s="53" t="str">
        <f>Roster!I211</f>
        <v>.</v>
      </c>
      <c r="I24" s="53" t="str">
        <f>Roster!J211</f>
        <v>.</v>
      </c>
      <c r="J24" s="53" t="str">
        <f>Roster!K211</f>
        <v>.</v>
      </c>
      <c r="K24" s="53" t="str">
        <f>Roster!L211</f>
        <v>.</v>
      </c>
      <c r="L24" s="53" t="str">
        <f>Roster!M211</f>
        <v>.</v>
      </c>
      <c r="M24" s="53" t="str">
        <f>Roster!N211</f>
        <v>.</v>
      </c>
      <c r="N24" s="53" t="str">
        <f>Roster!O211</f>
        <v>.</v>
      </c>
      <c r="O24" s="53" t="str">
        <f>Roster!P211</f>
        <v>.</v>
      </c>
      <c r="P24" s="53" t="str">
        <f>Roster!Q211</f>
        <v>.</v>
      </c>
      <c r="Q24" s="53" t="str">
        <f>Roster!R211</f>
        <v>.</v>
      </c>
      <c r="R24" s="53" t="str">
        <f>Roster!S211</f>
        <v>.</v>
      </c>
      <c r="S24" s="53" t="str">
        <f>Roster!T211</f>
        <v>.</v>
      </c>
      <c r="T24" s="53" t="str">
        <f>Roster!U211</f>
        <v>.</v>
      </c>
      <c r="U24" s="53" t="str">
        <f>Roster!V211</f>
        <v>.</v>
      </c>
      <c r="V24" s="53" t="str">
        <f>Roster!W211</f>
        <v>.</v>
      </c>
      <c r="W24" s="53" t="str">
        <f>Roster!X211</f>
        <v>.</v>
      </c>
      <c r="X24" s="53" t="str">
        <f>Roster!Y211</f>
        <v>.</v>
      </c>
      <c r="Y24" s="53" t="str">
        <f>Roster!Z211</f>
        <v>.</v>
      </c>
      <c r="Z24" s="53" t="str">
        <f>Roster!AA211</f>
        <v>.</v>
      </c>
      <c r="AA24" s="53" t="str">
        <f>Roster!AB211</f>
        <v>.</v>
      </c>
      <c r="AB24" s="53" t="str">
        <f>Roster!AC211</f>
        <v>.</v>
      </c>
      <c r="AC24" s="53" t="str">
        <f>Roster!AD211</f>
        <v>.</v>
      </c>
      <c r="AD24" s="53" t="str">
        <f>Roster!AE211</f>
        <v>.</v>
      </c>
      <c r="AE24" s="53" t="str">
        <f>Roster!AF211</f>
        <v>.</v>
      </c>
      <c r="AF24" s="53" t="str">
        <f>Roster!AG211</f>
        <v>.</v>
      </c>
      <c r="AG24" s="54" t="str">
        <f>Roster!AH211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Sa</v>
      </c>
      <c r="D25" s="22" t="str">
        <f t="shared" si="7"/>
        <v>Su</v>
      </c>
      <c r="E25" s="22" t="str">
        <f t="shared" si="7"/>
        <v>Mo</v>
      </c>
      <c r="F25" s="22" t="str">
        <f t="shared" si="7"/>
        <v>Tu</v>
      </c>
      <c r="G25" s="22" t="str">
        <f t="shared" si="7"/>
        <v>We</v>
      </c>
      <c r="H25" s="22" t="str">
        <f t="shared" si="7"/>
        <v>Th</v>
      </c>
      <c r="I25" s="22" t="str">
        <f t="shared" si="7"/>
        <v>Fr</v>
      </c>
      <c r="J25" s="22" t="str">
        <f t="shared" si="7"/>
        <v>Sa</v>
      </c>
      <c r="K25" s="22" t="str">
        <f t="shared" si="7"/>
        <v>Su</v>
      </c>
      <c r="L25" s="22" t="str">
        <f t="shared" si="7"/>
        <v>Mo</v>
      </c>
      <c r="M25" s="22" t="str">
        <f t="shared" si="7"/>
        <v>Tu</v>
      </c>
      <c r="N25" s="22" t="str">
        <f t="shared" si="7"/>
        <v>We</v>
      </c>
      <c r="O25" s="22" t="str">
        <f t="shared" si="7"/>
        <v>Th</v>
      </c>
      <c r="P25" s="22" t="str">
        <f t="shared" si="7"/>
        <v>Fr</v>
      </c>
      <c r="Q25" s="22" t="str">
        <f t="shared" si="7"/>
        <v>Sa</v>
      </c>
      <c r="R25" s="22" t="str">
        <f t="shared" si="7"/>
        <v>Su</v>
      </c>
      <c r="S25" s="22" t="str">
        <f t="shared" si="7"/>
        <v>Mo</v>
      </c>
      <c r="T25" s="22" t="str">
        <f t="shared" si="7"/>
        <v>Tu</v>
      </c>
      <c r="U25" s="22" t="str">
        <f t="shared" si="7"/>
        <v>We</v>
      </c>
      <c r="V25" s="22" t="str">
        <f t="shared" si="7"/>
        <v>Th</v>
      </c>
      <c r="W25" s="22" t="str">
        <f t="shared" si="7"/>
        <v>Fr</v>
      </c>
      <c r="X25" s="22" t="str">
        <f t="shared" si="7"/>
        <v>Sa</v>
      </c>
      <c r="Y25" s="22" t="str">
        <f t="shared" si="7"/>
        <v>Su</v>
      </c>
      <c r="Z25" s="22" t="str">
        <f t="shared" si="7"/>
        <v>Mo</v>
      </c>
      <c r="AA25" s="22" t="str">
        <f t="shared" si="7"/>
        <v>Tu</v>
      </c>
      <c r="AB25" s="22" t="str">
        <f t="shared" si="7"/>
        <v>We</v>
      </c>
      <c r="AC25" s="22" t="str">
        <f t="shared" si="7"/>
        <v>Th</v>
      </c>
      <c r="AD25" s="22" t="str">
        <f t="shared" si="7"/>
        <v>Fr</v>
      </c>
      <c r="AE25" s="184" t="str">
        <f t="shared" si="7"/>
        <v>Sa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85">
        <v>29</v>
      </c>
      <c r="AF26" s="44"/>
    </row>
    <row r="27" spans="2:33" ht="14.4" thickTop="1" thickBot="1">
      <c r="B27" s="32" t="str">
        <f>CurYear</f>
        <v>2020</v>
      </c>
      <c r="C27" s="51" t="str">
        <f>Roster!D242</f>
        <v>.</v>
      </c>
      <c r="D27" s="37" t="str">
        <f>Roster!E242</f>
        <v>.</v>
      </c>
      <c r="E27" s="37" t="str">
        <f>Roster!F242</f>
        <v>.</v>
      </c>
      <c r="F27" s="37" t="str">
        <f>Roster!G242</f>
        <v>.</v>
      </c>
      <c r="G27" s="37" t="str">
        <f>Roster!H242</f>
        <v>.</v>
      </c>
      <c r="H27" s="37" t="str">
        <f>Roster!I242</f>
        <v>.</v>
      </c>
      <c r="I27" s="37" t="str">
        <f>Roster!J242</f>
        <v>.</v>
      </c>
      <c r="J27" s="37" t="str">
        <f>Roster!K242</f>
        <v>.</v>
      </c>
      <c r="K27" s="37" t="str">
        <f>Roster!L242</f>
        <v>.</v>
      </c>
      <c r="L27" s="37" t="str">
        <f>Roster!M242</f>
        <v>.</v>
      </c>
      <c r="M27" s="37" t="str">
        <f>Roster!N242</f>
        <v>.</v>
      </c>
      <c r="N27" s="37" t="str">
        <f>Roster!O242</f>
        <v>.</v>
      </c>
      <c r="O27" s="37" t="str">
        <f>Roster!P242</f>
        <v>.</v>
      </c>
      <c r="P27" s="37" t="str">
        <f>Roster!Q242</f>
        <v>.</v>
      </c>
      <c r="Q27" s="37" t="str">
        <f>Roster!R242</f>
        <v>.</v>
      </c>
      <c r="R27" s="37" t="str">
        <f>Roster!S242</f>
        <v>.</v>
      </c>
      <c r="S27" s="37" t="str">
        <f>Roster!T242</f>
        <v>.</v>
      </c>
      <c r="T27" s="37" t="str">
        <f>Roster!U242</f>
        <v>.</v>
      </c>
      <c r="U27" s="37" t="str">
        <f>Roster!V242</f>
        <v>.</v>
      </c>
      <c r="V27" s="37" t="str">
        <f>Roster!W242</f>
        <v>.</v>
      </c>
      <c r="W27" s="37" t="str">
        <f>Roster!X242</f>
        <v>.</v>
      </c>
      <c r="X27" s="37" t="str">
        <f>Roster!Y242</f>
        <v>.</v>
      </c>
      <c r="Y27" s="37" t="str">
        <f>Roster!Z242</f>
        <v>.</v>
      </c>
      <c r="Z27" s="37" t="str">
        <f>Roster!AA242</f>
        <v>.</v>
      </c>
      <c r="AA27" s="37" t="str">
        <f>Roster!AB242</f>
        <v>.</v>
      </c>
      <c r="AB27" s="37" t="str">
        <f>Roster!AC242</f>
        <v>.</v>
      </c>
      <c r="AC27" s="37" t="str">
        <f>Roster!AD242</f>
        <v>.</v>
      </c>
      <c r="AD27" s="43" t="str">
        <f>Roster!AE242</f>
        <v>.</v>
      </c>
      <c r="AE27" s="186" t="str">
        <f>Roster!AF242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26" t="str">
        <f t="shared" si="8"/>
        <v>Mo</v>
      </c>
      <c r="AG28" s="26" t="str">
        <f t="shared" si="8"/>
        <v>Tu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2020</v>
      </c>
      <c r="C30" s="36" t="str">
        <f>Roster!D273</f>
        <v>.</v>
      </c>
      <c r="D30" s="37" t="str">
        <f>Roster!E273</f>
        <v>.</v>
      </c>
      <c r="E30" s="37" t="str">
        <f>Roster!F273</f>
        <v>.</v>
      </c>
      <c r="F30" s="37" t="str">
        <f>Roster!G273</f>
        <v>.</v>
      </c>
      <c r="G30" s="37" t="str">
        <f>Roster!H273</f>
        <v>.</v>
      </c>
      <c r="H30" s="37" t="str">
        <f>Roster!I273</f>
        <v>.</v>
      </c>
      <c r="I30" s="37" t="str">
        <f>Roster!J273</f>
        <v>.</v>
      </c>
      <c r="J30" s="37" t="str">
        <f>Roster!K273</f>
        <v>.</v>
      </c>
      <c r="K30" s="37" t="str">
        <f>Roster!L273</f>
        <v>.</v>
      </c>
      <c r="L30" s="37" t="str">
        <f>Roster!M273</f>
        <v>.</v>
      </c>
      <c r="M30" s="37" t="str">
        <f>Roster!N273</f>
        <v>.</v>
      </c>
      <c r="N30" s="37" t="str">
        <f>Roster!O273</f>
        <v>.</v>
      </c>
      <c r="O30" s="37" t="str">
        <f>Roster!P273</f>
        <v>.</v>
      </c>
      <c r="P30" s="37" t="str">
        <f>Roster!Q273</f>
        <v>.</v>
      </c>
      <c r="Q30" s="37" t="str">
        <f>Roster!R273</f>
        <v>.</v>
      </c>
      <c r="R30" s="37" t="str">
        <f>Roster!S273</f>
        <v>.</v>
      </c>
      <c r="S30" s="37" t="str">
        <f>Roster!T273</f>
        <v>.</v>
      </c>
      <c r="T30" s="37" t="str">
        <f>Roster!U273</f>
        <v>.</v>
      </c>
      <c r="U30" s="37" t="str">
        <f>Roster!V273</f>
        <v>.</v>
      </c>
      <c r="V30" s="37" t="str">
        <f>Roster!W273</f>
        <v>.</v>
      </c>
      <c r="W30" s="37" t="str">
        <f>Roster!X273</f>
        <v>.</v>
      </c>
      <c r="X30" s="37" t="str">
        <f>Roster!Y273</f>
        <v>.</v>
      </c>
      <c r="Y30" s="37" t="str">
        <f>Roster!Z273</f>
        <v>.</v>
      </c>
      <c r="Z30" s="37" t="str">
        <f>Roster!AA273</f>
        <v>.</v>
      </c>
      <c r="AA30" s="37" t="str">
        <f>Roster!AB273</f>
        <v>.</v>
      </c>
      <c r="AB30" s="37" t="str">
        <f>Roster!AC273</f>
        <v>.</v>
      </c>
      <c r="AC30" s="37" t="str">
        <f>Roster!AD273</f>
        <v>.</v>
      </c>
      <c r="AD30" s="37" t="str">
        <f>Roster!AE273</f>
        <v>.</v>
      </c>
      <c r="AE30" s="37" t="str">
        <f>Roster!AF273</f>
        <v>.</v>
      </c>
      <c r="AF30" s="37" t="str">
        <f>Roster!AG273</f>
        <v>.</v>
      </c>
      <c r="AG30" s="38" t="str">
        <f>Roster!AH273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2020</v>
      </c>
      <c r="C33" s="36" t="str">
        <f>Roster!D304</f>
        <v>.</v>
      </c>
      <c r="D33" s="37" t="str">
        <f>Roster!E304</f>
        <v>.</v>
      </c>
      <c r="E33" s="37" t="str">
        <f>Roster!F304</f>
        <v>.</v>
      </c>
      <c r="F33" s="37" t="str">
        <f>Roster!G304</f>
        <v>.</v>
      </c>
      <c r="G33" s="37" t="str">
        <f>Roster!H304</f>
        <v>.</v>
      </c>
      <c r="H33" s="37" t="str">
        <f>Roster!I304</f>
        <v>.</v>
      </c>
      <c r="I33" s="37" t="str">
        <f>Roster!J304</f>
        <v>.</v>
      </c>
      <c r="J33" s="37" t="str">
        <f>Roster!K304</f>
        <v>.</v>
      </c>
      <c r="K33" s="37" t="str">
        <f>Roster!L304</f>
        <v>.</v>
      </c>
      <c r="L33" s="37" t="str">
        <f>Roster!M304</f>
        <v>.</v>
      </c>
      <c r="M33" s="37" t="str">
        <f>Roster!N304</f>
        <v>.</v>
      </c>
      <c r="N33" s="37" t="str">
        <f>Roster!O304</f>
        <v>.</v>
      </c>
      <c r="O33" s="37" t="str">
        <f>Roster!P304</f>
        <v>.</v>
      </c>
      <c r="P33" s="37" t="str">
        <f>Roster!Q304</f>
        <v>.</v>
      </c>
      <c r="Q33" s="37" t="str">
        <f>Roster!R304</f>
        <v>.</v>
      </c>
      <c r="R33" s="37" t="str">
        <f>Roster!S304</f>
        <v>.</v>
      </c>
      <c r="S33" s="37" t="str">
        <f>Roster!T304</f>
        <v>.</v>
      </c>
      <c r="T33" s="37" t="str">
        <f>Roster!U304</f>
        <v>.</v>
      </c>
      <c r="U33" s="37" t="str">
        <f>Roster!V304</f>
        <v>.</v>
      </c>
      <c r="V33" s="37" t="str">
        <f>Roster!W304</f>
        <v>.</v>
      </c>
      <c r="W33" s="37" t="str">
        <f>Roster!X304</f>
        <v>.</v>
      </c>
      <c r="X33" s="37" t="str">
        <f>Roster!Y304</f>
        <v>.</v>
      </c>
      <c r="Y33" s="37" t="str">
        <f>Roster!Z304</f>
        <v>.</v>
      </c>
      <c r="Z33" s="37" t="str">
        <f>Roster!AA304</f>
        <v>.</v>
      </c>
      <c r="AA33" s="37" t="str">
        <f>Roster!AB304</f>
        <v>.</v>
      </c>
      <c r="AB33" s="37" t="str">
        <f>Roster!AC304</f>
        <v>.</v>
      </c>
      <c r="AC33" s="37" t="str">
        <f>Roster!AD304</f>
        <v>.</v>
      </c>
      <c r="AD33" s="37" t="str">
        <f>Roster!AE304</f>
        <v>.</v>
      </c>
      <c r="AE33" s="37" t="str">
        <f>Roster!AF304</f>
        <v>.</v>
      </c>
      <c r="AF33" s="38" t="str">
        <f>Roster!AG304</f>
        <v>.</v>
      </c>
    </row>
    <row r="34" spans="2:33" ht="14.4" thickTop="1" thickBot="1"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20" t="str">
        <f t="shared" si="10"/>
        <v>Su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2020</v>
      </c>
      <c r="C36" s="36" t="str">
        <f>Roster!D335</f>
        <v>.</v>
      </c>
      <c r="D36" s="37" t="str">
        <f>Roster!E335</f>
        <v>.</v>
      </c>
      <c r="E36" s="37" t="str">
        <f>Roster!F335</f>
        <v>.</v>
      </c>
      <c r="F36" s="37" t="str">
        <f>Roster!G335</f>
        <v>.</v>
      </c>
      <c r="G36" s="37" t="str">
        <f>Roster!H335</f>
        <v>.</v>
      </c>
      <c r="H36" s="37" t="str">
        <f>Roster!I335</f>
        <v>.</v>
      </c>
      <c r="I36" s="37" t="str">
        <f>Roster!J335</f>
        <v>.</v>
      </c>
      <c r="J36" s="37" t="str">
        <f>Roster!K335</f>
        <v>.</v>
      </c>
      <c r="K36" s="37" t="str">
        <f>Roster!L335</f>
        <v>.</v>
      </c>
      <c r="L36" s="37" t="str">
        <f>Roster!M335</f>
        <v>.</v>
      </c>
      <c r="M36" s="37" t="str">
        <f>Roster!N335</f>
        <v>.</v>
      </c>
      <c r="N36" s="37" t="str">
        <f>Roster!O335</f>
        <v>.</v>
      </c>
      <c r="O36" s="37" t="str">
        <f>Roster!P335</f>
        <v>.</v>
      </c>
      <c r="P36" s="37" t="str">
        <f>Roster!Q335</f>
        <v>.</v>
      </c>
      <c r="Q36" s="37" t="str">
        <f>Roster!R335</f>
        <v>.</v>
      </c>
      <c r="R36" s="37" t="str">
        <f>Roster!S335</f>
        <v>.</v>
      </c>
      <c r="S36" s="37" t="str">
        <f>Roster!T335</f>
        <v>.</v>
      </c>
      <c r="T36" s="37" t="str">
        <f>Roster!U335</f>
        <v>.</v>
      </c>
      <c r="U36" s="37" t="str">
        <f>Roster!V335</f>
        <v>.</v>
      </c>
      <c r="V36" s="37" t="str">
        <f>Roster!W335</f>
        <v>.</v>
      </c>
      <c r="W36" s="37" t="str">
        <f>Roster!X335</f>
        <v>.</v>
      </c>
      <c r="X36" s="37" t="str">
        <f>Roster!Y335</f>
        <v>.</v>
      </c>
      <c r="Y36" s="37" t="str">
        <f>Roster!Z335</f>
        <v>.</v>
      </c>
      <c r="Z36" s="37" t="str">
        <f>Roster!AA335</f>
        <v>.</v>
      </c>
      <c r="AA36" s="37" t="str">
        <f>Roster!AB335</f>
        <v>.</v>
      </c>
      <c r="AB36" s="37" t="str">
        <f>Roster!AC335</f>
        <v>.</v>
      </c>
      <c r="AC36" s="37" t="str">
        <f>Roster!AD335</f>
        <v>.</v>
      </c>
      <c r="AD36" s="37" t="str">
        <f>Roster!AE335</f>
        <v>.</v>
      </c>
      <c r="AE36" s="37" t="str">
        <f>Roster!AF335</f>
        <v>.</v>
      </c>
      <c r="AF36" s="37" t="str">
        <f>Roster!AG335</f>
        <v>.</v>
      </c>
      <c r="AG36" s="38" t="str">
        <f>Roster!AH335</f>
        <v>.</v>
      </c>
    </row>
    <row r="37" spans="2:33" ht="14.4" thickTop="1" thickBot="1"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2020</v>
      </c>
      <c r="C39" s="36" t="str">
        <f>Roster!D366</f>
        <v>.</v>
      </c>
      <c r="D39" s="37" t="str">
        <f>Roster!E366</f>
        <v>.</v>
      </c>
      <c r="E39" s="37" t="str">
        <f>Roster!F366</f>
        <v>.</v>
      </c>
      <c r="F39" s="37" t="str">
        <f>Roster!G366</f>
        <v>.</v>
      </c>
      <c r="G39" s="37" t="str">
        <f>Roster!H366</f>
        <v>.</v>
      </c>
      <c r="H39" s="37" t="str">
        <f>Roster!I366</f>
        <v>.</v>
      </c>
      <c r="I39" s="37" t="str">
        <f>Roster!J366</f>
        <v>.</v>
      </c>
      <c r="J39" s="37" t="str">
        <f>Roster!K366</f>
        <v>.</v>
      </c>
      <c r="K39" s="37" t="str">
        <f>Roster!L366</f>
        <v>.</v>
      </c>
      <c r="L39" s="37" t="str">
        <f>Roster!M366</f>
        <v>.</v>
      </c>
      <c r="M39" s="37" t="str">
        <f>Roster!N366</f>
        <v>.</v>
      </c>
      <c r="N39" s="37" t="str">
        <f>Roster!O366</f>
        <v>.</v>
      </c>
      <c r="O39" s="37" t="str">
        <f>Roster!P366</f>
        <v>.</v>
      </c>
      <c r="P39" s="37" t="str">
        <f>Roster!Q366</f>
        <v>.</v>
      </c>
      <c r="Q39" s="37" t="str">
        <f>Roster!R366</f>
        <v>.</v>
      </c>
      <c r="R39" s="37" t="str">
        <f>Roster!S366</f>
        <v>.</v>
      </c>
      <c r="S39" s="37" t="str">
        <f>Roster!T366</f>
        <v>.</v>
      </c>
      <c r="T39" s="37" t="str">
        <f>Roster!U366</f>
        <v>.</v>
      </c>
      <c r="U39" s="37" t="str">
        <f>Roster!V366</f>
        <v>.</v>
      </c>
      <c r="V39" s="37" t="str">
        <f>Roster!W366</f>
        <v>.</v>
      </c>
      <c r="W39" s="37" t="str">
        <f>Roster!X366</f>
        <v>.</v>
      </c>
      <c r="X39" s="37" t="str">
        <f>Roster!Y366</f>
        <v>.</v>
      </c>
      <c r="Y39" s="37" t="str">
        <f>Roster!Z366</f>
        <v>.</v>
      </c>
      <c r="Z39" s="37" t="str">
        <f>Roster!AA366</f>
        <v>.</v>
      </c>
      <c r="AA39" s="37" t="str">
        <f>Roster!AB366</f>
        <v>.</v>
      </c>
      <c r="AB39" s="37" t="str">
        <f>Roster!AC366</f>
        <v>.</v>
      </c>
      <c r="AC39" s="37" t="str">
        <f>Roster!AD366</f>
        <v>.</v>
      </c>
      <c r="AD39" s="37" t="str">
        <f>Roster!AE366</f>
        <v>.</v>
      </c>
      <c r="AE39" s="37" t="str">
        <f>Roster!AF366</f>
        <v>.</v>
      </c>
      <c r="AF39" s="38" t="str">
        <f>Roster!AG366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/>
  <dimension ref="B1:N41"/>
  <sheetViews>
    <sheetView showGridLines="0" showRowColHeaders="0" topLeftCell="A2" zoomScale="210" zoomScaleNormal="210" workbookViewId="0">
      <selection activeCell="A2" sqref="A2:M16"/>
    </sheetView>
  </sheetViews>
  <sheetFormatPr defaultColWidth="9.109375" defaultRowHeight="13.2"/>
  <cols>
    <col min="1" max="1" width="9.109375" style="56"/>
    <col min="2" max="2" width="2.77734375" style="56" customWidth="1"/>
    <col min="3" max="3" width="10.6640625" style="56" customWidth="1"/>
    <col min="4" max="4" width="9.6640625" style="56" customWidth="1"/>
    <col min="5" max="6" width="5.109375" style="56" customWidth="1"/>
    <col min="7" max="13" width="5.33203125" style="56" customWidth="1"/>
    <col min="14" max="16384" width="9.109375" style="56"/>
  </cols>
  <sheetData>
    <row r="1" spans="2:14" s="55" customFormat="1" ht="24" customHeight="1"/>
    <row r="2" spans="2:14" s="55" customFormat="1" ht="21" customHeight="1">
      <c r="C2" s="57"/>
      <c r="D2" s="57"/>
    </row>
    <row r="3" spans="2:14" s="55" customFormat="1">
      <c r="C3" s="220" t="str">
        <f>CurYear-1 &amp; "/"&amp;CurYear</f>
        <v>2019/2020</v>
      </c>
      <c r="D3" s="220"/>
      <c r="E3" s="92" t="s">
        <v>9</v>
      </c>
      <c r="F3" s="92" t="s">
        <v>11</v>
      </c>
      <c r="G3" s="92" t="s">
        <v>10</v>
      </c>
      <c r="H3" s="92" t="s">
        <v>71</v>
      </c>
      <c r="I3" s="92" t="s">
        <v>39</v>
      </c>
      <c r="J3" s="92" t="s">
        <v>40</v>
      </c>
      <c r="K3" s="92" t="s">
        <v>45</v>
      </c>
      <c r="L3" s="95" t="s">
        <v>51</v>
      </c>
      <c r="M3" s="92" t="s">
        <v>46</v>
      </c>
      <c r="N3" s="92" t="s">
        <v>29</v>
      </c>
    </row>
    <row r="4" spans="2:14" s="55" customFormat="1">
      <c r="B4" s="55">
        <v>1</v>
      </c>
      <c r="C4" s="180" t="str">
        <f>EmpGName01</f>
        <v>Luciano</v>
      </c>
      <c r="D4" s="180" t="str">
        <f>EmpSName01</f>
        <v>Marampon</v>
      </c>
      <c r="E4" s="78">
        <f>COUNTIF(Emp01Jan,"D")+COUNTIF(Emp01Feb,"D")+COUNTIF(Emp01Mar,"D")+COUNTIF(Emp01Apr,"D")+COUNTIF(Emp01May,"D")+COUNTIF(Emp01Jun,"D")+COUNTIF(Emp01Jul,"D")+COUNTIF(Emp01Aug,"D")+COUNTIF(Emp01Sep,"D")+COUNTIF(Emp01Oct,"D")+COUNTIF(Emp01Nov,"D")+COUNTIF(Emp01Dec,"D")</f>
        <v>0</v>
      </c>
      <c r="F4" s="78">
        <f>COUNTIF(Emp01Jan,"N")+COUNTIF(Emp01Feb,"N")+COUNTIF(Emp01Mar,"N")+COUNTIF(Emp01Apr,"N")+COUNTIF(Emp01May,"N")+COUNTIF(Emp01Jun,"N")+COUNTIF(Emp01Jul,"N")+COUNTIF(Emp01Aug,"N")+COUNTIF(Emp01Sep,"N")+COUNTIF(Emp01Oct,"N")+COUNTIF(Emp01Nov,"N")+COUNTIF(Emp01Dec,"N")</f>
        <v>0</v>
      </c>
      <c r="G4" s="78">
        <f>COUNTIF(Emp01Jan,"A")+COUNTIF(Emp01Feb,"A")+COUNTIF(Emp01Mar,"A")+COUNTIF(Emp01Apr,"A")+COUNTIF(Emp01May,"A")+COUNTIF(Emp01Jun,"A")+COUNTIF(Emp01Jul,"A")+COUNTIF(Emp01Aug,"A")+COUNTIF(Emp01Sep,"A")+COUNTIF(Emp01Oct,"A")+COUNTIF(Emp01Nov,"A")+COUNTIF(Emp01Dec,"A")</f>
        <v>0</v>
      </c>
      <c r="H4" s="78">
        <f>COUNTIF(Emp01Jan,"X")+COUNTIF(Emp01Feb,"X")+COUNTIF(Emp01Mar,"X")+COUNTIF(Emp01Apr,"X")+COUNTIF(Emp01May,"X")+COUNTIF(Emp01Jun,"X")+COUNTIF(Emp01Jul,"X")+COUNTIF(Emp01Aug,"X")+COUNTIF(Emp01Sep,"X")+COUNTIF(Emp01Oct,"X")+COUNTIF(Emp01Nov,"X")+COUNTIF(Emp01Dec,"X")</f>
        <v>0</v>
      </c>
      <c r="I4" s="78">
        <f>COUNTIF(Emp01Jan,"SL")+COUNTIF(Emp01Feb,"SL")+COUNTIF(Emp01Mar,"SL")+COUNTIF(Emp01Apr,"SL")+COUNTIF(Emp01May,"SL")+COUNTIF(Emp01Jun,"SL")+COUNTIF(Emp01Jul,"SL")+COUNTIF(Emp01Aug,"SL")+COUNTIF(Emp01Sep,"SL")+COUNTIF(Emp01Oct,"SL")+COUNTIF(Emp01Nov,"SL")+COUNTIF(Emp01Dec,"SL")</f>
        <v>0</v>
      </c>
      <c r="J4" s="78">
        <f>COUNTIF(Emp01Jan,"AL")+COUNTIF(Emp01Feb,"AL")+COUNTIF(Emp01Mar,"AL")+COUNTIF(Emp01Apr,"AL")+COUNTIF(Emp01May,"AL")+COUNTIF(Emp01Jun,"AL")+COUNTIF(Emp01Jul,"AL")+COUNTIF(Emp01Aug,"AL")+COUNTIF(Emp01Sep,"AL")+COUNTIF(Emp01Oct,"AL")+COUNTIF(Emp01Nov,"AL")+COUNTIF(Emp01Dec,"AL")</f>
        <v>0</v>
      </c>
      <c r="K4" s="78">
        <f>COUNTIF(Emp01Jan,"H")+COUNTIF(Emp01Feb,"H")+COUNTIF(Emp01Mar,"H")+COUNTIF(Emp01Apr,"H")+COUNTIF(Emp01May,"H")+COUNTIF(Emp01Jun,"H")+COUNTIF(Emp01Jul,"H")+COUNTIF(Emp01Aug,"H")+COUNTIF(Emp01Sep,"H")+COUNTIF(Emp01Oct,"H")+COUNTIF(Emp01Nov,"H")+COUNTIF(Emp01Dec,"H")</f>
        <v>0</v>
      </c>
      <c r="L4" s="78">
        <f>COUNTIF(Emp01Jan,"NA")+COUNTIF(Emp01Feb,"NA")+COUNTIF(Emp01Mar,"NA")+COUNTIF(Emp01Apr,"NA")+COUNTIF(Emp01May,"NA")+COUNTIF(Emp01Jun,"NA")+COUNTIF(Emp01Jul,"NA")+COUNTIF(Emp01Aug,"NA")+COUNTIF(Emp01Sep,"NA")+COUNTIF(Emp01Oct,"NA")+COUNTIF(Emp01Nov,"NA")+COUNTIF(Emp01Dec,"NA")</f>
        <v>0</v>
      </c>
      <c r="M4" s="78">
        <f>COUNTIF(Emp01Jan,"SP")+COUNTIF(Emp01Feb,"SP")+COUNTIF(Emp01Mar,"SP")+COUNTIF(Emp01Apr,"SP")+COUNTIF(Emp01May,"SP")+COUNTIF(Emp01Jun,"SP")+COUNTIF(Emp01Jul,"SP")+COUNTIF(Emp01Aug,"SP")+COUNTIF(Emp01Sep,"SP")+COUNTIF(Emp01Oct,"SP")+COUNTIF(Emp01Nov,"SP")+COUNTIF(Emp01Dec,"SP")</f>
        <v>0</v>
      </c>
      <c r="N4" s="80">
        <f>SUM(E4:M4)</f>
        <v>0</v>
      </c>
    </row>
    <row r="5" spans="2:14" s="55" customFormat="1">
      <c r="B5" s="55">
        <v>2</v>
      </c>
      <c r="C5" s="181" t="str">
        <f>EmpGName02</f>
        <v>Kevin</v>
      </c>
      <c r="D5" s="181" t="str">
        <f>EmpSName02</f>
        <v>Stone</v>
      </c>
      <c r="E5" s="77">
        <f>COUNTIF(Emp02Jan,"D")+COUNTIF(Emp02Feb,"D")+COUNTIF(Emp02Mar,"D")+COUNTIF(Emp02Apr,"D")+COUNTIF(Emp02May,"D")+COUNTIF(Emp02Jun,"D")+COUNTIF(Emp02Jul,"D")+COUNTIF(Emp02Aug,"D")+COUNTIF(Emp02Sep,"D")+COUNTIF(Emp02Oct,"D")+COUNTIF(Emp02Nov,"D")+COUNTIF(Emp02Dec,"D")</f>
        <v>0</v>
      </c>
      <c r="F5" s="77">
        <f>COUNTIF(Emp02Jan,"N")+COUNTIF(Emp02Feb,"N")+COUNTIF(Emp02Mar,"N")+COUNTIF(Emp02Apr,"N")+COUNTIF(Emp02May,"N")+COUNTIF(Emp02Jun,"N")+COUNTIF(Emp02Jul,"N")+COUNTIF(Emp02Aug,"N")+COUNTIF(Emp02Sep,"N")+COUNTIF(Emp02Oct,"N")+COUNTIF(Emp02Nov,"N")+COUNTIF(Emp02Dec,"N")</f>
        <v>0</v>
      </c>
      <c r="G5" s="77">
        <f>COUNTIF(Emp02Jan,"A")+COUNTIF(Emp02Feb,"A")+COUNTIF(Emp02Mar,"A")+COUNTIF(Emp02Apr,"A")+COUNTIF(Emp02May,"A")+COUNTIF(Emp02Jun,"A")+COUNTIF(Emp02Jul,"A")+COUNTIF(Emp02Aug,"A")+COUNTIF(Emp02Sep,"A")+COUNTIF(Emp02Oct,"A")+COUNTIF(Emp02Nov,"A")+COUNTIF(Emp02Dec,"A")</f>
        <v>0</v>
      </c>
      <c r="H5" s="77">
        <f>COUNTIF(Emp02Jan,"X")+COUNTIF(Emp02Feb,"X")+COUNTIF(Emp02Mar,"X")+COUNTIF(Emp02Apr,"X")+COUNTIF(Emp02May,"X")+COUNTIF(Emp02Jun,"X")+COUNTIF(Emp02Jul,"X")+COUNTIF(Emp02Aug,"X")+COUNTIF(Emp02Sep,"X")+COUNTIF(Emp02Oct,"X")+COUNTIF(Emp02Nov,"X")+COUNTIF(Emp02Dec,"X")</f>
        <v>0</v>
      </c>
      <c r="I5" s="77">
        <f>COUNTIF(Emp02Jan,"SL")+COUNTIF(Emp02Feb,"SL")+COUNTIF(Emp02Mar,"SL")+COUNTIF(Emp02Apr,"SL")+COUNTIF(Emp02May,"SL")+COUNTIF(Emp02Jun,"SL")+COUNTIF(Emp02Jul,"SL")+COUNTIF(Emp02Aug,"SL")+COUNTIF(Emp02Sep,"SL")+COUNTIF(Emp02Oct,"SL")+COUNTIF(Emp02Nov,"SL")+COUNTIF(Emp02Dec,"SL")</f>
        <v>0</v>
      </c>
      <c r="J5" s="77">
        <f>COUNTIF(Emp02Jan,"AL")+COUNTIF(Emp02Feb,"AL")+COUNTIF(Emp02Mar,"AL")+COUNTIF(Emp02Apr,"AL")+COUNTIF(Emp02May,"AL")+COUNTIF(Emp02Jun,"AL")+COUNTIF(Emp02Jul,"AL")+COUNTIF(Emp02Aug,"AL")+COUNTIF(Emp02Sep,"AL")+COUNTIF(Emp02Oct,"AL")+COUNTIF(Emp02Nov,"AL")+COUNTIF(Emp02Dec,"AL")</f>
        <v>0</v>
      </c>
      <c r="K5" s="77">
        <f>COUNTIF(Emp02Jan,"H")+COUNTIF(Emp02Feb,"H")+COUNTIF(Emp02Mar,"H")+COUNTIF(Emp02Apr,"H")+COUNTIF(Emp02May,"H")+COUNTIF(Emp02Jun,"H")+COUNTIF(Emp02Jul,"H")+COUNTIF(Emp02Aug,"H")+COUNTIF(Emp02Sep,"H")+COUNTIF(Emp02Oct,"H")+COUNTIF(Emp02Nov,"H")+COUNTIF(Emp02Dec,"H")</f>
        <v>0</v>
      </c>
      <c r="L5" s="77">
        <f>COUNTIF(Emp02Jan,"NA")+COUNTIF(Emp02Feb,"NA")+COUNTIF(Emp02Mar,"NA")+COUNTIF(Emp02Apr,"NA")+COUNTIF(Emp02May,"NA")+COUNTIF(Emp02Jun,"NA")+COUNTIF(Emp02Jul,"NA")+COUNTIF(Emp02Aug,"NA")+COUNTIF(Emp02Sep,"NA")+COUNTIF(Emp02Oct,"NA")+COUNTIF(Emp02Nov,"NA")+COUNTIF(Emp02Dec,"NA")</f>
        <v>0</v>
      </c>
      <c r="M5" s="77">
        <f>COUNTIF(Emp02Jan,"SP")+COUNTIF(Emp02Feb,"SP")+COUNTIF(Emp02Mar,"SP")+COUNTIF(Emp02Apr,"SP")+COUNTIF(Emp02May,"SP")+COUNTIF(Emp02Jun,"SP")+COUNTIF(Emp02Jul,"SP")+COUNTIF(Emp02Aug,"SP")+COUNTIF(Emp02Sep,"SP")+COUNTIF(Emp02Oct,"SP")+COUNTIF(Emp02Nov,"SP")+COUNTIF(Emp02Dec,"SP")</f>
        <v>0</v>
      </c>
      <c r="N5" s="79">
        <f>SUM(E5:M5)</f>
        <v>0</v>
      </c>
    </row>
    <row r="6" spans="2:14" s="55" customFormat="1">
      <c r="B6" s="55">
        <v>3</v>
      </c>
      <c r="C6" s="180" t="str">
        <f>EmpGName03</f>
        <v>Ian</v>
      </c>
      <c r="D6" s="180" t="str">
        <f>EmpSName03</f>
        <v>Thelning</v>
      </c>
      <c r="E6" s="78">
        <f>COUNTIF(Emp03Jan,"D")+COUNTIF(Emp03Feb,"D")+COUNTIF(Emp03Mar,"D")+COUNTIF(Emp03Apr,"D")+COUNTIF(Emp03May,"D")+COUNTIF(Emp03Jun,"D")+COUNTIF(Emp03Jul,"D")+COUNTIF(Emp03Aug,"D")+COUNTIF(Emp03Sep,"D")+COUNTIF(Emp03Oct,"D")+COUNTIF(Emp03Nov,"D")+COUNTIF(Emp03Dec,"D")</f>
        <v>0</v>
      </c>
      <c r="F6" s="78">
        <f>COUNTIF(Emp03Jan,"N")+COUNTIF(Emp03Feb,"N")+COUNTIF(Emp03Mar,"N")+COUNTIF(Emp03Apr,"N")+COUNTIF(Emp03May,"N")+COUNTIF(Emp03Jun,"N")+COUNTIF(Emp03Jul,"N")+COUNTIF(Emp03Aug,"N")+COUNTIF(Emp03Sep,"N")+COUNTIF(Emp03Oct,"N")+COUNTIF(Emp03Nov,"N")+COUNTIF(Emp03Dec,"N")</f>
        <v>0</v>
      </c>
      <c r="G6" s="78">
        <f>COUNTIF(Emp03Jan,"A")+COUNTIF(Emp03Feb,"A")+COUNTIF(Emp03Mar,"A")+COUNTIF(Emp03Apr,"A")+COUNTIF(Emp03May,"A")+COUNTIF(Emp03Jun,"A")+COUNTIF(Emp03Jul,"A")+COUNTIF(Emp03Aug,"A")+COUNTIF(Emp03Sep,"A")+COUNTIF(Emp03Oct,"A")+COUNTIF(Emp03Nov,"A")+COUNTIF(Emp03Dec,"A")</f>
        <v>0</v>
      </c>
      <c r="H6" s="78">
        <f>COUNTIF(Emp03Jan,"X")+COUNTIF(Emp03Feb,"X")+COUNTIF(Emp03Mar,"X")+COUNTIF(Emp03Apr,"X")+COUNTIF(Emp03May,"X")+COUNTIF(Emp03Jun,"X")+COUNTIF(Emp03Jul,"X")+COUNTIF(Emp03Aug,"X")+COUNTIF(Emp03Sep,"X")+COUNTIF(Emp03Oct,"X")+COUNTIF(Emp03Nov,"X")+COUNTIF(Emp03Dec,"X")</f>
        <v>0</v>
      </c>
      <c r="I6" s="78">
        <f>COUNTIF(Emp03Jan,"SL")+COUNTIF(Emp03Feb,"SL")+COUNTIF(Emp03Mar,"SL")+COUNTIF(Emp03Apr,"SL")+COUNTIF(Emp03May,"SL")+COUNTIF(Emp03Jun,"SL")+COUNTIF(Emp03Jul,"SL")+COUNTIF(Emp03Aug,"SL")+COUNTIF(Emp03Sep,"SL")+COUNTIF(Emp03Oct,"SL")+COUNTIF(Emp03Nov,"SL")+COUNTIF(Emp03Dec,"SL")</f>
        <v>0</v>
      </c>
      <c r="J6" s="78">
        <f>COUNTIF(Emp03Jan,"AL")+COUNTIF(Emp03Feb,"AL")+COUNTIF(Emp03Mar,"AL")+COUNTIF(Emp03Apr,"AL")+COUNTIF(Emp03May,"AL")+COUNTIF(Emp03Jun,"AL")+COUNTIF(Emp03Jul,"AL")+COUNTIF(Emp03Aug,"AL")+COUNTIF(Emp03Sep,"AL")+COUNTIF(Emp03Oct,"AL")+COUNTIF(Emp03Nov,"AL")+COUNTIF(Emp03Dec,"AL")</f>
        <v>0</v>
      </c>
      <c r="K6" s="78">
        <f>COUNTIF(Emp03Jan,"H")+COUNTIF(Emp03Feb,"H")+COUNTIF(Emp03Mar,"H")+COUNTIF(Emp03Apr,"H")+COUNTIF(Emp03May,"H")+COUNTIF(Emp03Jun,"H")+COUNTIF(Emp03Jul,"H")+COUNTIF(Emp03Aug,"H")+COUNTIF(Emp03Sep,"H")+COUNTIF(Emp03Oct,"H")+COUNTIF(Emp03Nov,"H")+COUNTIF(Emp03Dec,"H")</f>
        <v>0</v>
      </c>
      <c r="L6" s="78">
        <f>COUNTIF(Emp03Jan,"NA")+COUNTIF(Emp03Feb,"NA")+COUNTIF(Emp03Mar,"NA")+COUNTIF(Emp03Apr,"NA")+COUNTIF(Emp03May,"NA")+COUNTIF(Emp03Jun,"NA")+COUNTIF(Emp03Jul,"NA")+COUNTIF(Emp03Aug,"NA")+COUNTIF(Emp03Sep,"NA")+COUNTIF(Emp03Oct,"NA")+COUNTIF(Emp03Nov,"NA")+COUNTIF(Emp03Dec,"NA")</f>
        <v>0</v>
      </c>
      <c r="M6" s="78">
        <f>COUNTIF(Emp03Jan,"SP")+COUNTIF(Emp03Feb,"SP")+COUNTIF(Emp03Mar,"SP")+COUNTIF(Emp03Apr,"SP")+COUNTIF(Emp03May,"SP")+COUNTIF(Emp03Jun,"SP")+COUNTIF(Emp03Jul,"SP")+COUNTIF(Emp03Aug,"SP")+COUNTIF(Emp03Sep,"SP")+COUNTIF(Emp03Oct,"SP")+COUNTIF(Emp03Nov,"SP")+COUNTIF(Emp03Dec,"SP")</f>
        <v>0</v>
      </c>
      <c r="N6" s="80">
        <f>SUM(E6:M6)</f>
        <v>0</v>
      </c>
    </row>
    <row r="7" spans="2:14" s="55" customFormat="1">
      <c r="B7" s="55">
        <v>4</v>
      </c>
      <c r="C7" s="181" t="str">
        <f>EmpGName04</f>
        <v>Leon</v>
      </c>
      <c r="D7" s="181" t="str">
        <f>EmpSName04</f>
        <v>King</v>
      </c>
      <c r="E7" s="77">
        <f>COUNTIF(Emp04Jan,"D")+COUNTIF(Emp04Feb,"D")+COUNTIF(Emp04Mar,"D")+COUNTIF(Emp04Apr,"D")+COUNTIF(Emp04May,"D")+COUNTIF(Emp04Jun,"D")+COUNTIF(Emp04Jul,"D")+COUNTIF(Emp04Aug,"D")+COUNTIF(Emp04Sep,"D")+COUNTIF(Emp04Oct,"D")+COUNTIF(Emp04Nov,"D")+COUNTIF(Emp04Dec,"D")</f>
        <v>0</v>
      </c>
      <c r="F7" s="77">
        <f>COUNTIF(Emp04Jan,"N")+COUNTIF(Emp04Feb,"N")+COUNTIF(Emp04Mar,"N")+COUNTIF(Emp04Apr,"N")+COUNTIF(Emp04May,"N")+COUNTIF(Emp04Jun,"N")+COUNTIF(Emp04Jul,"N")+COUNTIF(Emp04Aug,"N")+COUNTIF(Emp04Sep,"N")+COUNTIF(Emp04Oct,"N")+COUNTIF(Emp04Nov,"N")+COUNTIF(Emp04Dec,"N")</f>
        <v>0</v>
      </c>
      <c r="G7" s="77">
        <f>COUNTIF(Emp04Jan,"A")+COUNTIF(Emp04Feb,"A")+COUNTIF(Emp04Mar,"A")+COUNTIF(Emp04Apr,"A")+COUNTIF(Emp04May,"A")+COUNTIF(Emp04Jun,"A")+COUNTIF(Emp04Jul,"A")+COUNTIF(Emp04Aug,"A")+COUNTIF(Emp04Sep,"A")+COUNTIF(Emp04Oct,"A")+COUNTIF(Emp04Nov,"A")+COUNTIF(Emp04Dec,"A")</f>
        <v>0</v>
      </c>
      <c r="H7" s="77">
        <f>COUNTIF(Emp04Jan,"X")+COUNTIF(Emp04Feb,"X")+COUNTIF(Emp04Mar,"X")+COUNTIF(Emp04Apr,"X")+COUNTIF(Emp04May,"X")+COUNTIF(Emp04Jun,"X")+COUNTIF(Emp04Jul,"X")+COUNTIF(Emp04Aug,"X")+COUNTIF(Emp04Sep,"X")+COUNTIF(Emp04Oct,"X")+COUNTIF(Emp04Nov,"X")+COUNTIF(Emp04Dec,"X")</f>
        <v>0</v>
      </c>
      <c r="I7" s="77">
        <f>COUNTIF(Emp04Jan,"SL")+COUNTIF(Emp04Feb,"SL")+COUNTIF(Emp04Mar,"SL")+COUNTIF(Emp04Apr,"SL")+COUNTIF(Emp04May,"SL")+COUNTIF(Emp04Jun,"SL")+COUNTIF(Emp04Jul,"SL")+COUNTIF(Emp04Aug,"SL")+COUNTIF(Emp04Sep,"SL")+COUNTIF(Emp04Oct,"SL")+COUNTIF(Emp04Nov,"SL")+COUNTIF(Emp04Dec,"SL")</f>
        <v>0</v>
      </c>
      <c r="J7" s="77">
        <f>COUNTIF(Emp04Jan,"AL")+COUNTIF(Emp04Feb,"AL")+COUNTIF(Emp04Mar,"AL")+COUNTIF(Emp04Apr,"AL")+COUNTIF(Emp04May,"AL")+COUNTIF(Emp04Jun,"AL")+COUNTIF(Emp04Jul,"AL")+COUNTIF(Emp04Aug,"AL")+COUNTIF(Emp04Sep,"AL")+COUNTIF(Emp04Oct,"AL")+COUNTIF(Emp04Nov,"AL")+COUNTIF(Emp04Dec,"AL")</f>
        <v>0</v>
      </c>
      <c r="K7" s="77">
        <f>COUNTIF(Emp04Jan,"H")+COUNTIF(Emp04Feb,"H")+COUNTIF(Emp04Mar,"H")+COUNTIF(Emp04Apr,"H")+COUNTIF(Emp04May,"H")+COUNTIF(Emp04Jun,"H")+COUNTIF(Emp04Jul,"H")+COUNTIF(Emp04Aug,"H")+COUNTIF(Emp04Sep,"H")+COUNTIF(Emp04Oct,"H")+COUNTIF(Emp04Nov,"H")+COUNTIF(Emp04Dec,"H")</f>
        <v>0</v>
      </c>
      <c r="L7" s="77">
        <f>COUNTIF(Emp04Jan,"NA")+COUNTIF(Emp04Feb,"NA")+COUNTIF(Emp04Mar,"NA")+COUNTIF(Emp04Apr,"NA")+COUNTIF(Emp04May,"NA")+COUNTIF(Emp04Jun,"NA")+COUNTIF(Emp04Jul,"NA")+COUNTIF(Emp04Aug,"NA")+COUNTIF(Emp04Sep,"NA")+COUNTIF(Emp04Oct,"NA")+COUNTIF(Emp04Nov,"NA")+COUNTIF(Emp04Dec,"NA")</f>
        <v>0</v>
      </c>
      <c r="M7" s="77">
        <f>COUNTIF(Emp04Jan,"SP")+COUNTIF(Emp04Feb,"SP")+COUNTIF(Emp04Mar,"SP")+COUNTIF(Emp04Apr,"SP")+COUNTIF(Emp04May,"SP")+COUNTIF(Emp04Jun,"SP")+COUNTIF(Emp04Jul,"SP")+COUNTIF(Emp04Aug,"SP")+COUNTIF(Emp04Sep,"SP")+COUNTIF(Emp04Oct,"SP")+COUNTIF(Emp04Nov,"SP")+COUNTIF(Emp04Dec,"SP")</f>
        <v>0</v>
      </c>
      <c r="N7" s="79">
        <f t="shared" ref="N7:N11" si="0">SUM(E7:M7)</f>
        <v>0</v>
      </c>
    </row>
    <row r="8" spans="2:14" s="55" customFormat="1">
      <c r="B8" s="55">
        <v>5</v>
      </c>
      <c r="C8" s="180" t="str">
        <f>EmpGName05</f>
        <v>David</v>
      </c>
      <c r="D8" s="180" t="str">
        <f>EmpSName05</f>
        <v>Castle</v>
      </c>
      <c r="E8" s="78">
        <f>COUNTIF(Emp05Jan,"D")+COUNTIF(Emp05Feb,"D")+COUNTIF(Emp05Mar,"D")+COUNTIF(Emp05Apr,"D")+COUNTIF(Emp05May,"D")+COUNTIF(Emp05Jun,"D")+COUNTIF(Emp05Jul,"D")+COUNTIF(Emp05Aug,"D")+COUNTIF(Emp05Sep,"D")+COUNTIF(Emp05Oct,"D")+COUNTIF(Emp05Nov,"D")+COUNTIF(Emp05Dec,"D")</f>
        <v>0</v>
      </c>
      <c r="F8" s="78">
        <f>COUNTIF(Emp05Jan,"N")+COUNTIF(Emp05Feb,"N")+COUNTIF(Emp05Mar,"N")+COUNTIF(Emp05Apr,"N")+COUNTIF(Emp05May,"N")+COUNTIF(Emp05Jun,"N")+COUNTIF(Emp05Jul,"N")+COUNTIF(Emp05Aug,"N")+COUNTIF(Emp05Sep,"N")+COUNTIF(Emp05Oct,"N")+COUNTIF(Emp05Nov,"N")+COUNTIF(Emp05Dec,"N")</f>
        <v>0</v>
      </c>
      <c r="G8" s="78">
        <f>COUNTIF(Emp05Jan,"A")+COUNTIF(Emp05Feb,"A")+COUNTIF(Emp05Mar,"A")+COUNTIF(Emp05Apr,"A")+COUNTIF(Emp05May,"A")+COUNTIF(Emp05Jun,"A")+COUNTIF(Emp05Jul,"A")+COUNTIF(Emp05Aug,"A")+COUNTIF(Emp05Sep,"A")+COUNTIF(Emp05Oct,"A")+COUNTIF(Emp05Nov,"A")+COUNTIF(Emp05Dec,"A")</f>
        <v>0</v>
      </c>
      <c r="H8" s="78">
        <f>COUNTIF(Emp05Jan,"X")+COUNTIF(Emp05Feb,"X")+COUNTIF(Emp05Mar,"X")+COUNTIF(Emp05Apr,"X")+COUNTIF(Emp05May,"X")+COUNTIF(Emp05Jun,"X")+COUNTIF(Emp05Jul,"X")+COUNTIF(Emp05Aug,"X")+COUNTIF(Emp05Sep,"X")+COUNTIF(Emp05Oct,"X")+COUNTIF(Emp05Nov,"X")+COUNTIF(Emp05Dec,"X")</f>
        <v>0</v>
      </c>
      <c r="I8" s="78">
        <f>COUNTIF(Emp05Jan,"SL")+COUNTIF(Emp05Feb,"SL")+COUNTIF(Emp05Mar,"SL")+COUNTIF(Emp05Apr,"SL")+COUNTIF(Emp05May,"SL")+COUNTIF(Emp05Jun,"SL")+COUNTIF(Emp05Jul,"SL")+COUNTIF(Emp05Aug,"SL")+COUNTIF(Emp05Sep,"SL")+COUNTIF(Emp05Oct,"SL")+COUNTIF(Emp05Nov,"SL")+COUNTIF(Emp05Dec,"SL")</f>
        <v>0</v>
      </c>
      <c r="J8" s="78">
        <f>COUNTIF(Emp05Jan,"AL")+COUNTIF(Emp05Feb,"AL")+COUNTIF(Emp05Mar,"AL")+COUNTIF(Emp05Apr,"AL")+COUNTIF(Emp05May,"AL")+COUNTIF(Emp05Jun,"AL")+COUNTIF(Emp05Jul,"AL")+COUNTIF(Emp05Aug,"AL")+COUNTIF(Emp05Sep,"AL")+COUNTIF(Emp05Oct,"AL")+COUNTIF(Emp05Nov,"AL")+COUNTIF(Emp05Dec,"AL")</f>
        <v>0</v>
      </c>
      <c r="K8" s="78">
        <f>COUNTIF(Emp05Jan,"H")+COUNTIF(Emp05Feb,"H")+COUNTIF(Emp05Mar,"H")+COUNTIF(Emp05Apr,"H")+COUNTIF(Emp05May,"H")+COUNTIF(Emp05Jun,"H")+COUNTIF(Emp05Jul,"H")+COUNTIF(Emp05Aug,"H")+COUNTIF(Emp05Sep,"H")+COUNTIF(Emp05Oct,"H")+COUNTIF(Emp05Nov,"H")+COUNTIF(Emp05Dec,"H")</f>
        <v>0</v>
      </c>
      <c r="L8" s="78">
        <f>COUNTIF(Emp05Jan,"NA")+COUNTIF(Emp05Feb,"NA")+COUNTIF(Emp05Mar,"NA")+COUNTIF(Emp05Apr,"NA")+COUNTIF(Emp05May,"NA")+COUNTIF(Emp05Jun,"NA")+COUNTIF(Emp05Jul,"NA")+COUNTIF(Emp05Aug,"NA")+COUNTIF(Emp05Sep,"NA")+COUNTIF(Emp05Oct,"NA")+COUNTIF(Emp05Nov,"NA")+COUNTIF(Emp05Dec,"NA")</f>
        <v>0</v>
      </c>
      <c r="M8" s="78">
        <f>COUNTIF(Emp05Jan,"SP")+COUNTIF(Emp05Feb,"SP")+COUNTIF(Emp05Mar,"SP")+COUNTIF(Emp05Apr,"SP")+COUNTIF(Emp05May,"SP")+COUNTIF(Emp05Jun,"SP")+COUNTIF(Emp05Jul,"SP")+COUNTIF(Emp05Aug,"SP")+COUNTIF(Emp05Sep,"SP")+COUNTIF(Emp05Oct,"SP")+COUNTIF(Emp05Nov,"SP")+COUNTIF(Emp05Dec,"SP")</f>
        <v>0</v>
      </c>
      <c r="N8" s="80">
        <f t="shared" si="0"/>
        <v>0</v>
      </c>
    </row>
    <row r="9" spans="2:14" s="55" customFormat="1">
      <c r="B9" s="55">
        <v>6</v>
      </c>
      <c r="C9" s="181" t="str">
        <f>EmpGName06</f>
        <v>Robin</v>
      </c>
      <c r="D9" s="181" t="str">
        <f>EmpSName06</f>
        <v>Fielding</v>
      </c>
      <c r="E9" s="77">
        <f>COUNTIF(Emp06Jan,"D")+COUNTIF(Emp06Feb,"D")+COUNTIF(Emp06Mar,"D")+COUNTIF(Emp06Apr,"D")+COUNTIF(Emp06May,"D")+COUNTIF(Emp06Jun,"D")+COUNTIF(Emp06Jul,"D")+COUNTIF(Emp06Aug,"D")+COUNTIF(Emp06Sep,"D")+COUNTIF(Emp06Oct,"D")+COUNTIF(Emp06Nov,"D")+COUNTIF(Emp06Dec,"D")</f>
        <v>0</v>
      </c>
      <c r="F9" s="77">
        <f>COUNTIF(Emp06Jan,"N")+COUNTIF(Emp06Feb,"N")+COUNTIF(Emp06Mar,"N")+COUNTIF(Emp06Apr,"N")+COUNTIF(Emp06May,"N")+COUNTIF(Emp06Jun,"N")+COUNTIF(Emp06Jul,"N")+COUNTIF(Emp06Aug,"N")+COUNTIF(Emp06Sep,"N")+COUNTIF(Emp06Oct,"N")+COUNTIF(Emp06Nov,"N")+COUNTIF(Emp06Dec,"N")</f>
        <v>0</v>
      </c>
      <c r="G9" s="77">
        <f>COUNTIF(Emp06Jan,"A")+COUNTIF(Emp06Feb,"A")+COUNTIF(Emp06Mar,"A")+COUNTIF(Emp06Apr,"A")+COUNTIF(Emp06May,"A")+COUNTIF(Emp06Jun,"A")+COUNTIF(Emp06Jul,"A")+COUNTIF(Emp06Aug,"A")+COUNTIF(Emp06Sep,"A")+COUNTIF(Emp06Oct,"A")+COUNTIF(Emp06Nov,"A")+COUNTIF(Emp06Dec,"A")</f>
        <v>0</v>
      </c>
      <c r="H9" s="77">
        <f>COUNTIF(Emp06Jan,"X")+COUNTIF(Emp06Feb,"X")+COUNTIF(Emp06Mar,"X")+COUNTIF(Emp06Apr,"X")+COUNTIF(Emp06May,"X")+COUNTIF(Emp06Jun,"X")+COUNTIF(Emp06Jul,"X")+COUNTIF(Emp06Aug,"X")+COUNTIF(Emp06Sep,"X")+COUNTIF(Emp06Oct,"X")+COUNTIF(Emp06Nov,"X")+COUNTIF(Emp06Dec,"X")</f>
        <v>0</v>
      </c>
      <c r="I9" s="77">
        <f>COUNTIF(Emp06Jan,"SL")+COUNTIF(Emp06Feb,"SL")+COUNTIF(Emp06Mar,"SL")+COUNTIF(Emp06Apr,"SL")+COUNTIF(Emp06May,"SL")+COUNTIF(Emp06Jun,"SL")+COUNTIF(Emp06Jul,"SL")+COUNTIF(Emp06Aug,"SL")+COUNTIF(Emp06Sep,"SL")+COUNTIF(Emp06Oct,"SL")+COUNTIF(Emp06Nov,"SL")+COUNTIF(Emp06Dec,"SL")</f>
        <v>0</v>
      </c>
      <c r="J9" s="77">
        <f>COUNTIF(Emp06Jan,"AL")+COUNTIF(Emp06Feb,"AL")+COUNTIF(Emp06Mar,"AL")+COUNTIF(Emp06Apr,"AL")+COUNTIF(Emp06May,"AL")+COUNTIF(Emp06Jun,"AL")+COUNTIF(Emp06Jul,"AL")+COUNTIF(Emp06Aug,"AL")+COUNTIF(Emp06Sep,"AL")+COUNTIF(Emp06Oct,"AL")+COUNTIF(Emp06Nov,"AL")+COUNTIF(Emp06Dec,"AL")</f>
        <v>0</v>
      </c>
      <c r="K9" s="77">
        <f>COUNTIF(Emp06Jan,"H")+COUNTIF(Emp06Feb,"H")+COUNTIF(Emp06Mar,"H")+COUNTIF(Emp06Apr,"H")+COUNTIF(Emp06May,"H")+COUNTIF(Emp06Jun,"H")+COUNTIF(Emp06Jul,"H")+COUNTIF(Emp06Aug,"H")+COUNTIF(Emp06Sep,"H")+COUNTIF(Emp06Oct,"H")+COUNTIF(Emp06Nov,"H")+COUNTIF(Emp06Dec,"H")</f>
        <v>0</v>
      </c>
      <c r="L9" s="77">
        <f>COUNTIF(Emp06Jan,"NA")+COUNTIF(Emp06Feb,"NA")+COUNTIF(Emp06Mar,"NA")+COUNTIF(Emp06Apr,"NA")+COUNTIF(Emp06May,"NA")+COUNTIF(Emp06Jun,"NA")+COUNTIF(Emp06Jul,"NA")+COUNTIF(Emp06Aug,"NA")+COUNTIF(Emp06Sep,"NA")+COUNTIF(Emp06Oct,"NA")+COUNTIF(Emp06Nov,"NA")+COUNTIF(Emp06Dec,"NA")</f>
        <v>0</v>
      </c>
      <c r="M9" s="77">
        <f>COUNTIF(Emp06Jan,"SP")+COUNTIF(Emp06Feb,"SP")+COUNTIF(Emp06Mar,"SP")+COUNTIF(Emp06Apr,"SP")+COUNTIF(Emp06May,"SP")+COUNTIF(Emp06Jun,"SP")+COUNTIF(Emp06Jul,"SP")+COUNTIF(Emp06Aug,"SP")+COUNTIF(Emp06Sep,"SP")+COUNTIF(Emp06Oct,"SP")+COUNTIF(Emp06Nov,"SP")+COUNTIF(Emp06Dec,"SP")</f>
        <v>0</v>
      </c>
      <c r="N9" s="79">
        <f t="shared" si="0"/>
        <v>0</v>
      </c>
    </row>
    <row r="10" spans="2:14" s="55" customFormat="1">
      <c r="B10" s="55">
        <v>7</v>
      </c>
      <c r="C10" s="180" t="str">
        <f>EmpGName07</f>
        <v>Troy</v>
      </c>
      <c r="D10" s="180" t="str">
        <f>EmpSName07</f>
        <v>Sorensen</v>
      </c>
      <c r="E10" s="80">
        <f>COUNTIF(Emp07Jan,"D")+COUNTIF(Emp07Feb,"D")+COUNTIF(Emp07Mar,"D")+COUNTIF(Emp07Apr,"D")+COUNTIF(Emp07May,"D")+COUNTIF(Emp07Jun,"D")+COUNTIF(Emp07Jul,"D")+COUNTIF(Emp07Aug,"D")+COUNTIF(Emp07Sep,"D")+COUNTIF(Emp07Oct,"D")+COUNTIF(Emp07Nov,"D")+COUNTIF(Emp07Dec,"D")</f>
        <v>0</v>
      </c>
      <c r="F10" s="80">
        <f>COUNTIF(Emp07Jan,"N")+COUNTIF(Emp07Feb,"N")+COUNTIF(Emp07Mar,"N")+COUNTIF(Emp07Apr,"N")+COUNTIF(Emp07May,"N")+COUNTIF(Emp07Jun,"N")+COUNTIF(Emp07Jul,"N")+COUNTIF(Emp07Aug,"N")+COUNTIF(Emp07Sep,"N")+COUNTIF(Emp07Oct,"N")+COUNTIF(Emp07Nov,"N")+COUNTIF(Emp07Dec,"N")</f>
        <v>0</v>
      </c>
      <c r="G10" s="80">
        <f>COUNTIF(Emp07Jan,"A")+COUNTIF(Emp07Feb,"A")+COUNTIF(Emp07Mar,"A")+COUNTIF(Emp07Apr,"A")+COUNTIF(Emp07May,"A")+COUNTIF(Emp07Jun,"A")+COUNTIF(Emp07Jul,"A")+COUNTIF(Emp07Aug,"A")+COUNTIF(Emp07Sep,"A")+COUNTIF(Emp07Oct,"A")+COUNTIF(Emp07Nov,"A")+COUNTIF(Emp07Dec,"A")</f>
        <v>0</v>
      </c>
      <c r="H10" s="80">
        <f>COUNTIF(Emp07Jan,"X")+COUNTIF(Emp07Feb,"X")+COUNTIF(Emp07Mar,"X")+COUNTIF(Emp07Apr,"X")+COUNTIF(Emp07May,"X")+COUNTIF(Emp07Jun,"X")+COUNTIF(Emp07Jul,"X")+COUNTIF(Emp07Aug,"X")+COUNTIF(Emp07Sep,"X")+COUNTIF(Emp07Oct,"X")+COUNTIF(Emp07Nov,"X")+COUNTIF(Emp07Dec,"X")</f>
        <v>0</v>
      </c>
      <c r="I10" s="78">
        <f>COUNTIF(Emp07Jan,"SL")+COUNTIF(Emp07Feb,"SL")+COUNTIF(Emp07Mar,"SL")+COUNTIF(Emp07Apr,"SL")+COUNTIF(Emp07May,"SL")+COUNTIF(Emp07Jun,"SL")+COUNTIF(Emp07Jul,"SL")+COUNTIF(Emp07Aug,"SL")+COUNTIF(Emp07Sep,"SL")+COUNTIF(Emp07Oct,"SL")+COUNTIF(Emp07Nov,"SL")+COUNTIF(Emp07Dec,"SL")</f>
        <v>0</v>
      </c>
      <c r="J10" s="78">
        <f>COUNTIF(Emp07Jan,"AL")+COUNTIF(Emp07Feb,"AL")+COUNTIF(Emp07Mar,"AL")+COUNTIF(Emp07Apr,"AL")+COUNTIF(Emp07May,"AL")+COUNTIF(Emp07Jun,"AL")+COUNTIF(Emp07Jul,"AL")+COUNTIF(Emp07Aug,"AL")+COUNTIF(Emp07Sep,"AL")+COUNTIF(Emp07Oct,"AL")+COUNTIF(Emp07Nov,"AL")+COUNTIF(Emp07Dec,"AL")</f>
        <v>0</v>
      </c>
      <c r="K10" s="78">
        <f>COUNTIF(Emp07Jan,"H")+COUNTIF(Emp07Feb,"H")+COUNTIF(Emp07Mar,"H")+COUNTIF(Emp07Apr,"H")+COUNTIF(Emp07May,"H")+COUNTIF(Emp07Jun,"H")+COUNTIF(Emp07Jul,"H")+COUNTIF(Emp07Aug,"H")+COUNTIF(Emp07Sep,"H")+COUNTIF(Emp07Oct,"H")+COUNTIF(Emp07Nov,"H")+COUNTIF(Emp07Dec,"H")</f>
        <v>0</v>
      </c>
      <c r="L10" s="80">
        <f>COUNTIF(Emp07Jan,"NA")+COUNTIF(Emp07Feb,"NA")+COUNTIF(Emp07Mar,"NA")+COUNTIF(Emp07Apr,"NA")+COUNTIF(Emp07May,"NA")+COUNTIF(Emp07Jun,"NA")+COUNTIF(Emp07Jul,"NA")+COUNTIF(Emp07Aug,"NA")+COUNTIF(Emp07Sep,"NA")+COUNTIF(Emp07Oct,"NA")+COUNTIF(Emp07Nov,"NA")+COUNTIF(Emp07Dec,"NA")</f>
        <v>0</v>
      </c>
      <c r="M10" s="78">
        <f>COUNTIF(Emp07Jan,"SP")+COUNTIF(Emp07Feb,"SP")+COUNTIF(Emp07Mar,"SP")+COUNTIF(Emp07Apr,"SP")+COUNTIF(Emp07May,"SP")+COUNTIF(Emp07Jun,"SP")+COUNTIF(Emp07Jul,"SP")+COUNTIF(Emp07Aug,"SP")+COUNTIF(Emp07Sep,"SP")+COUNTIF(Emp07Oct,"SP")+COUNTIF(Emp07Nov,"SP")+COUNTIF(Emp07Dec,"SP")</f>
        <v>0</v>
      </c>
      <c r="N10" s="80">
        <f t="shared" si="0"/>
        <v>0</v>
      </c>
    </row>
    <row r="11" spans="2:14" s="55" customFormat="1">
      <c r="B11" s="55">
        <v>8</v>
      </c>
      <c r="C11" s="181" t="str">
        <f>EmpGName08</f>
        <v>Charlie</v>
      </c>
      <c r="D11" s="181" t="str">
        <f>EmpSName08</f>
        <v>Horse</v>
      </c>
      <c r="E11" s="79">
        <f>COUNTIF(Emp08Jan,"D")+COUNTIF(Emp08Feb,"D")+COUNTIF(Emp08Mar,"D")+COUNTIF(Emp08Apr,"D")+COUNTIF(Emp08May,"D")+COUNTIF(Emp08Jun,"D")+COUNTIF(Emp08Jul,"D")+COUNTIF(Emp08Aug,"D")+COUNTIF(Emp08Sep,"D")+COUNTIF(Emp08Oct,"D")+COUNTIF(Emp08Nov,"D")+COUNTIF(Emp08Dec,"D")</f>
        <v>0</v>
      </c>
      <c r="F11" s="79">
        <f>COUNTIF(Emp08Jan,"N")+COUNTIF(Emp08Feb,"N")+COUNTIF(Emp08Mar,"N")+COUNTIF(Emp08Apr,"N")+COUNTIF(Emp08May,"N")+COUNTIF(Emp08Jun,"N")+COUNTIF(Emp08Jul,"N")+COUNTIF(Emp08Aug,"N")+COUNTIF(Emp08Sep,"N")+COUNTIF(Emp08Oct,"N")+COUNTIF(Emp08Nov,"N")+COUNTIF(Emp08Dec,"N")</f>
        <v>0</v>
      </c>
      <c r="G11" s="79">
        <f>COUNTIF(Emp08Jan,"A")+COUNTIF(Emp08Feb,"A")+COUNTIF(Emp08Mar,"A")+COUNTIF(Emp08Apr,"A")+COUNTIF(Emp08May,"A")+COUNTIF(Emp08Jun,"A")+COUNTIF(Emp08Jul,"A")+COUNTIF(Emp08Aug,"A")+COUNTIF(Emp08Sep,"A")+COUNTIF(Emp08Oct,"A")+COUNTIF(Emp08Nov,"A")+COUNTIF(Emp08Dec,"A")</f>
        <v>0</v>
      </c>
      <c r="H11" s="79">
        <f>COUNTIF(Emp08Jan,"X")+COUNTIF(Emp08Feb,"X")+COUNTIF(Emp08Mar,"X")+COUNTIF(Emp08Apr,"X")+COUNTIF(Emp08May,"X")+COUNTIF(Emp08Jun,"X")+COUNTIF(Emp08Jul,"X")+COUNTIF(Emp08Aug,"X")+COUNTIF(Emp08Sep,"X")+COUNTIF(Emp08Oct,"X")+COUNTIF(Emp08Nov,"X")+COUNTIF(Emp08Dec,"X")</f>
        <v>0</v>
      </c>
      <c r="I11" s="77">
        <f>COUNTIF(Emp08Jan,"SL")+COUNTIF(Emp08Feb,"SL")+COUNTIF(Emp08Mar,"SL")+COUNTIF(Emp08Apr,"SL")+COUNTIF(Emp08May,"SL")+COUNTIF(Emp08Jun,"SL")+COUNTIF(Emp08Jul,"SL")+COUNTIF(Emp08Aug,"SL")+COUNTIF(Emp08Sep,"SL")+COUNTIF(Emp08Oct,"SL")+COUNTIF(Emp08Nov,"SL")+COUNTIF(Emp08Dec,"SL")</f>
        <v>0</v>
      </c>
      <c r="J11" s="77">
        <f>COUNTIF(Emp08Jan,"AL")+COUNTIF(Emp08Feb,"AL")+COUNTIF(Emp08Mar,"AL")+COUNTIF(Emp08Apr,"AL")+COUNTIF(Emp08May,"AL")+COUNTIF(Emp08Jun,"AL")+COUNTIF(Emp08Jul,"AL")+COUNTIF(Emp08Aug,"AL")+COUNTIF(Emp08Sep,"AL")+COUNTIF(Emp08Oct,"AL")+COUNTIF(Emp08Nov,"AL")+COUNTIF(Emp08Dec,"AL")</f>
        <v>0</v>
      </c>
      <c r="K11" s="77">
        <f>COUNTIF(Emp08Jan,"H")+COUNTIF(Emp08Feb,"H")+COUNTIF(Emp08Mar,"H")+COUNTIF(Emp08Apr,"H")+COUNTIF(Emp08May,"H")+COUNTIF(Emp08Jun,"H")+COUNTIF(Emp08Jul,"H")+COUNTIF(Emp08Aug,"H")+COUNTIF(Emp08Sep,"H")+COUNTIF(Emp08Oct,"H")+COUNTIF(Emp08Nov,"H")+COUNTIF(Emp08Dec,"H")</f>
        <v>0</v>
      </c>
      <c r="L11" s="79">
        <f>COUNTIF(Emp08Jan,"NA")+COUNTIF(Emp08Feb,"NA")+COUNTIF(Emp08Mar,"NA")+COUNTIF(Emp08Apr,"NA")+COUNTIF(Emp08May,"NA")+COUNTIF(Emp08Jun,"NA")+COUNTIF(Emp08Jul,"NA")+COUNTIF(Emp08Aug,"NA")+COUNTIF(Emp08Sep,"NA")+COUNTIF(Emp08Oct,"NA")+COUNTIF(Emp08Nov,"NA")+COUNTIF(Emp08Dec,"NA")</f>
        <v>0</v>
      </c>
      <c r="M11" s="77">
        <f>COUNTIF(Emp08Jan,"SP")+COUNTIF(Emp08Feb,"SP")+COUNTIF(Emp08Mar,"SP")+COUNTIF(Emp08Apr,"SP")+COUNTIF(Emp08May,"SP")+COUNTIF(Emp08Jun,"SP")+COUNTIF(Emp08Jul,"SP")+COUNTIF(Emp08Aug,"SP")+COUNTIF(Emp08Sep,"SP")+COUNTIF(Emp08Oct,"SP")+COUNTIF(Emp08Nov,"SP")+COUNTIF(Emp08Dec,"SP")</f>
        <v>0</v>
      </c>
      <c r="N11" s="79">
        <f t="shared" si="0"/>
        <v>0</v>
      </c>
    </row>
    <row r="12" spans="2:14" s="55" customFormat="1">
      <c r="B12" s="55">
        <v>9</v>
      </c>
      <c r="C12" s="180" t="str">
        <f>EmpGName09</f>
        <v>Eddy</v>
      </c>
      <c r="D12" s="180" t="str">
        <f>EmpSName09</f>
        <v xml:space="preserve">Horse </v>
      </c>
      <c r="E12" s="80">
        <f>COUNTIF(Emp09Jan,"D")+COUNTIF(Emp09Feb,"D")+COUNTIF(Emp09Mar,"D")+COUNTIF(Emp09Apr,"D")+COUNTIF(Emp09May,"D")+COUNTIF(Emp09Jun,"D")+COUNTIF(Emp09Jul,"D")+COUNTIF(Emp09Aug,"D")+COUNTIF(Emp09Sep,"D")+COUNTIF(Emp09Oct,"D")+COUNTIF(Emp09Nov,"D")+COUNTIF(Emp09Dec,"D")</f>
        <v>0</v>
      </c>
      <c r="F12" s="80">
        <f>COUNTIF(Emp09Jan,"N")+COUNTIF(Emp09Feb,"N")+COUNTIF(Emp09Mar,"N")+COUNTIF(Emp09Apr,"N")+COUNTIF(Emp09May,"N")+COUNTIF(Emp09Jun,"N")+COUNTIF(Emp09Jul,"N")+COUNTIF(Emp09Aug,"N")+COUNTIF(Emp09Sep,"N")+COUNTIF(Emp09Oct,"N")+COUNTIF(Emp09Nov,"N")+COUNTIF(Emp09Dec,"N")</f>
        <v>0</v>
      </c>
      <c r="G12" s="80">
        <f>COUNTIF(Emp09Jan,"A")+COUNTIF(Emp09Feb,"A")+COUNTIF(Emp09Mar,"A")+COUNTIF(Emp09Apr,"A")+COUNTIF(Emp09May,"A")+COUNTIF(Emp09Jun,"A")+COUNTIF(Emp09Jul,"A")+COUNTIF(Emp09Aug,"A")+COUNTIF(Emp09Sep,"A")+COUNTIF(Emp09Oct,"A")+COUNTIF(Emp09Nov,"A")+COUNTIF(Emp09Dec,"A")</f>
        <v>0</v>
      </c>
      <c r="H12" s="80">
        <f>COUNTIF(Emp09Jan,"X")+COUNTIF(Emp09Feb,"X")+COUNTIF(Emp09Mar,"X")+COUNTIF(Emp09Apr,"X")+COUNTIF(Emp09May,"X")+COUNTIF(Emp09Jun,"X")+COUNTIF(Emp09Jul,"X")+COUNTIF(Emp09Aug,"X")+COUNTIF(Emp09Sep,"X")+COUNTIF(Emp09Oct,"X")+COUNTIF(Emp09Nov,"X")+COUNTIF(Emp09Dec,"X")</f>
        <v>0</v>
      </c>
      <c r="I12" s="78">
        <f>COUNTIF(Emp09Jan,"SL")+COUNTIF(Emp09Feb,"SL")+COUNTIF(Emp09Mar,"SL")+COUNTIF(Emp09Apr,"SL")+COUNTIF(Emp09May,"SL")+COUNTIF(Emp09Jun,"SL")+COUNTIF(Emp09Jul,"SL")+COUNTIF(Emp09Aug,"SL")+COUNTIF(Emp09Sep,"SL")+COUNTIF(Emp09Oct,"SL")+COUNTIF(Emp09Nov,"SL")+COUNTIF(Emp09Dec,"SL")</f>
        <v>0</v>
      </c>
      <c r="J12" s="78">
        <f>COUNTIF(Emp09Jan,"AL")+COUNTIF(Emp09Feb,"AL")+COUNTIF(Emp09Mar,"AL")+COUNTIF(Emp09Apr,"AL")+COUNTIF(Emp09May,"AL")+COUNTIF(Emp09Jun,"AL")+COUNTIF(Emp09Jul,"AL")+COUNTIF(Emp09Aug,"AL")+COUNTIF(Emp09Sep,"AL")+COUNTIF(Emp09Oct,"AL")+COUNTIF(Emp09Nov,"AL")+COUNTIF(Emp09Dec,"AL")</f>
        <v>0</v>
      </c>
      <c r="K12" s="78">
        <f>COUNTIF(Emp09Jan,"H")+COUNTIF(Emp09Feb,"H")+COUNTIF(Emp09Mar,"H")+COUNTIF(Emp09Apr,"H")+COUNTIF(Emp09May,"H")+COUNTIF(Emp09Jun,"H")+COUNTIF(Emp09Jul,"H")+COUNTIF(Emp09Aug,"H")+COUNTIF(Emp09Sep,"H")+COUNTIF(Emp09Oct,"H")+COUNTIF(Emp09Nov,"H")+COUNTIF(Emp09Dec,"H")</f>
        <v>0</v>
      </c>
      <c r="L12" s="80">
        <f>COUNTIF(Emp09Jan,"NA")+COUNTIF(Emp09Feb,"NA")+COUNTIF(Emp09Mar,"NA")+COUNTIF(Emp09Apr,"NA")+COUNTIF(Emp09May,"NA")+COUNTIF(Emp09Jun,"NA")+COUNTIF(Emp09Jul,"NA")+COUNTIF(Emp09Aug,"NA")+COUNTIF(Emp09Sep,"NA")+COUNTIF(Emp09Oct,"NA")+COUNTIF(Emp09Nov,"NA")+COUNTIF(Emp09Dec,"NA")</f>
        <v>0</v>
      </c>
      <c r="M12" s="78">
        <f>COUNTIF(Emp09Jan,"SP")+COUNTIF(Emp09Feb,"SP")+COUNTIF(Emp09Mar,"SP")+COUNTIF(Emp09Apr,"SP")+COUNTIF(Emp09May,"SP")+COUNTIF(Emp09Jun,"SP")+COUNTIF(Emp09Jul,"SP")+COUNTIF(Emp09Aug,"SP")+COUNTIF(Emp09Sep,"SP")+COUNTIF(Emp09Oct,"SP")+COUNTIF(Emp09Nov,"SP")+COUNTIF(Emp09Dec,"SP")</f>
        <v>0</v>
      </c>
      <c r="N12" s="80">
        <f>SUM(E12:M12)</f>
        <v>0</v>
      </c>
    </row>
    <row r="13" spans="2:14" s="55" customFormat="1">
      <c r="B13" s="55">
        <v>10</v>
      </c>
      <c r="C13" s="181" t="str">
        <f>EmpSName10</f>
        <v>Smeegal</v>
      </c>
      <c r="D13" s="181" t="str">
        <f>EmpGName10</f>
        <v>John</v>
      </c>
      <c r="E13" s="79">
        <f>COUNTIF(Emp10Jan,"D")+COUNTIF(Emp10Feb,"D")+COUNTIF(Emp10Mar,"D")+COUNTIF(Emp10Apr,"D")+COUNTIF(Emp10May,"D")+COUNTIF(Emp10Jun,"D")+COUNTIF(Emp10Jul,"D")+COUNTIF(Emp10Aug,"D")+COUNTIF(Emp10Sep,"D")+COUNTIF(Emp10Oct,"D")+COUNTIF(Emp10Nov,"D")+COUNTIF(Emp10Dec,"D")</f>
        <v>0</v>
      </c>
      <c r="F13" s="79">
        <f>COUNTIF(Emp10Jan,"N")+COUNTIF(Emp10Feb,"N")+COUNTIF(Emp10Mar,"N")+COUNTIF(Emp10Apr,"N")+COUNTIF(Emp10May,"N")+COUNTIF(Emp10Jun,"N")+COUNTIF(Emp10Jul,"N")+COUNTIF(Emp10Aug,"N")+COUNTIF(Emp10Sep,"N")+COUNTIF(Emp10Oct,"N")+COUNTIF(Emp10Nov,"N")+COUNTIF(Emp10Dec,"N")</f>
        <v>0</v>
      </c>
      <c r="G13" s="79">
        <f>COUNTIF(Emp10Jan,"A")+COUNTIF(Emp10Feb,"A")+COUNTIF(Emp10Mar,"A")+COUNTIF(Emp10Apr,"A")+COUNTIF(Emp10May,"A")+COUNTIF(Emp10Jun,"A")+COUNTIF(Emp10Jul,"A")+COUNTIF(Emp10Aug,"A")+COUNTIF(Emp10Sep,"A")+COUNTIF(Emp10Oct,"A")+COUNTIF(Emp10Nov,"A")+COUNTIF(Emp10Dec,"A")</f>
        <v>0</v>
      </c>
      <c r="H13" s="79">
        <f>COUNTIF(Emp10Jan,"X")+COUNTIF(Emp10Feb,"X")+COUNTIF(Emp10Mar,"X")+COUNTIF(Emp10Apr,"X")+COUNTIF(Emp10May,"X")+COUNTIF(Emp10Jun,"X")+COUNTIF(Emp10Jul,"X")+COUNTIF(Emp10Aug,"X")+COUNTIF(Emp10Sep,"X")+COUNTIF(Emp10Oct,"X")+COUNTIF(Emp10Nov,"X")+COUNTIF(Emp10Dec,"X")</f>
        <v>0</v>
      </c>
      <c r="I13" s="77">
        <f>COUNTIF(Emp10Jan,"SL")+COUNTIF(Emp10Feb,"SL")+COUNTIF(Emp10Mar,"SL")+COUNTIF(Emp10Apr,"SL")+COUNTIF(Emp10May,"SL")+COUNTIF(Emp10Jun,"SL")+COUNTIF(Emp10Jul,"SL")+COUNTIF(Emp10Aug,"SL")+COUNTIF(Emp10Sep,"SL")+COUNTIF(Emp10Oct,"SL")+COUNTIF(Emp10Nov,"SL")+COUNTIF(Emp10Dec,"SL")</f>
        <v>0</v>
      </c>
      <c r="J13" s="77">
        <f>COUNTIF(Emp10Jan,"AL")+COUNTIF(Emp10Feb,"AL")+COUNTIF(Emp10Mar,"AL")+COUNTIF(Emp10Apr,"AL")+COUNTIF(Emp10May,"AL")+COUNTIF(Emp10Jun,"AL")+COUNTIF(Emp10Jul,"AL")+COUNTIF(Emp10Aug,"AL")+COUNTIF(Emp10Sep,"AL")+COUNTIF(Emp10Oct,"AL")+COUNTIF(Emp10Nov,"AL")+COUNTIF(Emp10Dec,"AL")</f>
        <v>0</v>
      </c>
      <c r="K13" s="77">
        <f>COUNTIF(Emp10Jan,"H")+COUNTIF(Emp10Feb,"H")+COUNTIF(Emp10Mar,"H")+COUNTIF(Emp10Apr,"H")+COUNTIF(Emp10May,"H")+COUNTIF(Emp10Jun,"H")+COUNTIF(Emp10Jul,"H")+COUNTIF(Emp10Aug,"H")+COUNTIF(Emp10Sep,"H")+COUNTIF(Emp10Oct,"H")+COUNTIF(Emp10Nov,"H")+COUNTIF(Emp10Dec,"H")</f>
        <v>0</v>
      </c>
      <c r="L13" s="79">
        <f>COUNTIF(Emp10Jan,"NA")+COUNTIF(Emp10Feb,"NA")+COUNTIF(Emp10Mar,"NA")+COUNTIF(Emp10Apr,"NA")+COUNTIF(Emp10May,"NA")+COUNTIF(Emp10Jun,"NA")+COUNTIF(Emp10Jul,"NA")+COUNTIF(Emp10Aug,"NA")+COUNTIF(Emp10Sep,"NA")+COUNTIF(Emp10Oct,"NA")+COUNTIF(Emp10Nov,"NA")+COUNTIF(Emp10Dec,"NA")</f>
        <v>0</v>
      </c>
      <c r="M13" s="77">
        <f>COUNTIF(Emp10Jan,"SP")+COUNTIF(Emp10Feb,"SP")+COUNTIF(Emp10Mar,"SP")+COUNTIF(Emp10Apr,"SP")+COUNTIF(Emp10May,"SP")+COUNTIF(Emp10Jun,"SP")+COUNTIF(Emp10Jul,"SP")+COUNTIF(Emp10Aug,"SP")+COUNTIF(Emp10Sep,"SP")+COUNTIF(Emp10Oct,"SP")+COUNTIF(Emp10Nov,"SP")+COUNTIF(Emp10Dec,"SP")</f>
        <v>0</v>
      </c>
      <c r="N13" s="79">
        <f t="shared" ref="N13:N16" si="1">SUM(E13:M13)</f>
        <v>0</v>
      </c>
    </row>
    <row r="14" spans="2:14" s="55" customFormat="1">
      <c r="B14" s="55">
        <v>11</v>
      </c>
      <c r="C14" s="180" t="str">
        <f>EmpSName11</f>
        <v>Smeegal</v>
      </c>
      <c r="D14" s="180" t="str">
        <f>EmpGName11</f>
        <v>Edwin</v>
      </c>
      <c r="E14" s="80">
        <f>COUNTIF(Emp11Jan,"D")+COUNTIF(Emp11Feb,"D")+COUNTIF(Emp11Mar,"D")+COUNTIF(Emp11Apr,"D")+COUNTIF(Emp11May,"D")+COUNTIF(Emp11Jun,"D")+COUNTIF(Emp11Jul,"D")+COUNTIF(Emp11Aug,"D")+COUNTIF(Emp11Sep,"D")+COUNTIF(Emp11Oct,"D")+COUNTIF(Emp11Nov,"D")+COUNTIF(Emp11Dec,"D")</f>
        <v>0</v>
      </c>
      <c r="F14" s="80">
        <f>COUNTIF(Emp11Jan,"N")+COUNTIF(Emp11Feb,"N")+COUNTIF(Emp11Mar,"N")+COUNTIF(Emp11Apr,"N")+COUNTIF(Emp11May,"N")+COUNTIF(Emp11Jun,"N")+COUNTIF(Emp11Jul,"N")+COUNTIF(Emp11Aug,"N")+COUNTIF(Emp11Sep,"N")+COUNTIF(Emp11Oct,"N")+COUNTIF(Emp11Nov,"N")+COUNTIF(Emp11Dec,"N")</f>
        <v>0</v>
      </c>
      <c r="G14" s="80">
        <f>COUNTIF(Emp11Jan,"A")+COUNTIF(Emp11Feb,"A")+COUNTIF(Emp11Mar,"A")+COUNTIF(Emp11Apr,"A")+COUNTIF(Emp11May,"A")+COUNTIF(Emp11Jun,"A")+COUNTIF(Emp11Jul,"A")+COUNTIF(Emp11Aug,"A")+COUNTIF(Emp11Sep,"A")+COUNTIF(Emp11Oct,"A")+COUNTIF(Emp11Nov,"A")+COUNTIF(Emp11Dec,"A")</f>
        <v>0</v>
      </c>
      <c r="H14" s="80">
        <f>COUNTIF(Emp11Jan,"X")+COUNTIF(Emp11Feb,"X")+COUNTIF(Emp11Mar,"X")+COUNTIF(Emp11Apr,"X")+COUNTIF(Emp11May,"X")+COUNTIF(Emp11Jun,"X")+COUNTIF(Emp11Jul,"X")+COUNTIF(Emp11Aug,"X")+COUNTIF(Emp11Sep,"X")+COUNTIF(Emp11Oct,"X")+COUNTIF(Emp11Nov,"X")+COUNTIF(Emp11Dec,"X")</f>
        <v>0</v>
      </c>
      <c r="I14" s="78">
        <f>COUNTIF(Emp11Jan,"SL")+COUNTIF(Emp11Feb,"SL")+COUNTIF(Emp11Mar,"SL")+COUNTIF(Emp11Apr,"SL")+COUNTIF(Emp11May,"SL")+COUNTIF(Emp11Jun,"SL")+COUNTIF(Emp11Jul,"SL")+COUNTIF(Emp11Aug,"SL")+COUNTIF(Emp11Sep,"SL")+COUNTIF(Emp11Oct,"SL")+COUNTIF(Emp11Nov,"SL")+COUNTIF(Emp11Dec,"SL")</f>
        <v>0</v>
      </c>
      <c r="J14" s="78">
        <f>COUNTIF(Emp11Jan,"AL")+COUNTIF(Emp11Feb,"AL")+COUNTIF(Emp11Mar,"AL")+COUNTIF(Emp11Apr,"AL")+COUNTIF(Emp11May,"AL")+COUNTIF(Emp11Jun,"AL")+COUNTIF(Emp11Jul,"AL")+COUNTIF(Emp11Aug,"AL")+COUNTIF(Emp11Sep,"AL")+COUNTIF(Emp11Oct,"AL")+COUNTIF(Emp11Nov,"AL")+COUNTIF(Emp11Dec,"AL")</f>
        <v>0</v>
      </c>
      <c r="K14" s="78">
        <f>COUNTIF(Emp11Jan,"H")+COUNTIF(Emp11Feb,"H")+COUNTIF(Emp11Mar,"H")+COUNTIF(Emp11Apr,"H")+COUNTIF(Emp11May,"H")+COUNTIF(Emp11Jun,"H")+COUNTIF(Emp11Jul,"H")+COUNTIF(Emp11Aug,"H")+COUNTIF(Emp11Sep,"H")+COUNTIF(Emp11Oct,"H")+COUNTIF(Emp11Nov,"H")+COUNTIF(Emp11Dec,"H")</f>
        <v>0</v>
      </c>
      <c r="L14" s="80">
        <f>COUNTIF(Emp11Jan,"NA")+COUNTIF(Emp11Feb,"NA")+COUNTIF(Emp11Mar,"NA")+COUNTIF(Emp11Apr,"NA")+COUNTIF(Emp11May,"NA")+COUNTIF(Emp11Jun,"NA")+COUNTIF(Emp11Jul,"NA")+COUNTIF(Emp11Aug,"NA")+COUNTIF(Emp11Sep,"NA")+COUNTIF(Emp11Oct,"NA")+COUNTIF(Emp11Nov,"NA")+COUNTIF(Emp11Dec,"NA")</f>
        <v>0</v>
      </c>
      <c r="M14" s="78">
        <f>COUNTIF(Emp11Jan,"SP")+COUNTIF(Emp11Feb,"SP")+COUNTIF(Emp11Mar,"SP")+COUNTIF(Emp11Apr,"SP")+COUNTIF(Emp11May,"SP")+COUNTIF(Emp11Jun,"SP")+COUNTIF(Emp11Jul,"SP")+COUNTIF(Emp11Aug,"SP")+COUNTIF(Emp11Sep,"SP")+COUNTIF(Emp11Oct,"SP")+COUNTIF(Emp11Nov,"SP")+COUNTIF(Emp11Dec,"SP")</f>
        <v>0</v>
      </c>
      <c r="N14" s="80">
        <f t="shared" si="1"/>
        <v>0</v>
      </c>
    </row>
    <row r="15" spans="2:14" s="55" customFormat="1" ht="15" customHeight="1">
      <c r="B15" s="55">
        <v>12</v>
      </c>
      <c r="C15" s="181" t="str">
        <f>EmpSName12</f>
        <v>James</v>
      </c>
      <c r="D15" s="181" t="str">
        <f>EmpGName12</f>
        <v>Jimmy</v>
      </c>
      <c r="E15" s="79">
        <f>COUNTIF(Emp12Jan,"D")+COUNTIF(Emp12Feb,"D")+COUNTIF(Emp12Mar,"D")+COUNTIF(Emp12Apr,"D")+COUNTIF(Emp12May,"D")+COUNTIF(Emp12Jun,"D")+COUNTIF(Emp12Jul,"D")+COUNTIF(Emp12Aug,"D")+COUNTIF(Emp12Sep,"D")+COUNTIF(Emp12Oct,"D")+COUNTIF(Emp12Nov,"D")+COUNTIF(Emp12Dec,"D")</f>
        <v>0</v>
      </c>
      <c r="F15" s="79">
        <f>COUNTIF(Emp12Jan,"N")+COUNTIF(Emp12Feb,"N")+COUNTIF(Emp12Mar,"N")+COUNTIF(Emp12Apr,"N")+COUNTIF(Emp12May,"N")+COUNTIF(Emp12Jun,"N")+COUNTIF(Emp12Jul,"N")+COUNTIF(Emp12Aug,"N")+COUNTIF(Emp12Sep,"N")+COUNTIF(Emp12Oct,"N")+COUNTIF(Emp12Nov,"N")+COUNTIF(Emp12Dec,"N")</f>
        <v>0</v>
      </c>
      <c r="G15" s="79">
        <f>COUNTIF(Emp12Jan,"A")+COUNTIF(Emp12Feb,"A")+COUNTIF(Emp12Mar,"A")+COUNTIF(Emp12Apr,"A")+COUNTIF(Emp12May,"A")+COUNTIF(Emp12Jun,"A")+COUNTIF(Emp12Jul,"A")+COUNTIF(Emp12Aug,"A")+COUNTIF(Emp12Sep,"A")+COUNTIF(Emp12Oct,"A")+COUNTIF(Emp12Nov,"A")+COUNTIF(Emp12Dec,"A")</f>
        <v>0</v>
      </c>
      <c r="H15" s="79">
        <f>COUNTIF(Emp12Jan,"PO")+COUNTIF(Emp12Feb,"PO")+COUNTIF(Emp12Mar,"PO")+COUNTIF(Emp12Apr,"PO")+COUNTIF(Emp12May,"PO")+COUNTIF(Emp12Jun,"PO")+COUNTIF(Emp12Jul,"PO")+COUNTIF(Emp12Aug,"PO")+COUNTIF(Emp12Sep,"PO")+COUNTIF(Emp12Oct,"PO")+COUNTIF(Emp12Nov,"PO")+COUNTIF(Emp12Dec,"PO")</f>
        <v>0</v>
      </c>
      <c r="I15" s="79">
        <f>COUNTIF(Emp12Jan,"SL")+COUNTIF(Emp12Feb,"SL")+COUNTIF(Emp12Mar,"SL")+COUNTIF(Emp12Apr,"SL")+COUNTIF(Emp12May,"SL")+COUNTIF(Emp12Jun,"SL")+COUNTIF(Emp12Jul,"SL")+COUNTIF(Emp12Aug,"SL")+COUNTIF(Emp12Sep,"SL")+COUNTIF(Emp12Oct,"SL")+COUNTIF(Emp12Nov,"SL")+COUNTIF(Emp12Dec,"SL")</f>
        <v>0</v>
      </c>
      <c r="J15" s="79">
        <f>COUNTIF(Emp12Jan,"AL")+COUNTIF(Emp12Feb,"AL")+COUNTIF(Emp12Mar,"AL")+COUNTIF(Emp12Apr,"AL")+COUNTIF(Emp12May,"AL")+COUNTIF(Emp12Jun,"AL")+COUNTIF(Emp12Jul,"AL")+COUNTIF(Emp12Aug,"AL")+COUNTIF(Emp12Sep,"AL")+COUNTIF(Emp12Oct,"AL")+COUNTIF(Emp12Nov,"AL")+COUNTIF(Emp12Dec,"AL")</f>
        <v>0</v>
      </c>
      <c r="K15" s="79">
        <f>COUNTIF(Emp12Jan,"H")+COUNTIF(Emp12Feb,"H")+COUNTIF(Emp12Mar,"H")+COUNTIF(Emp12Apr,"H")+COUNTIF(Emp12May,"H")+COUNTIF(Emp12Jun,"H")+COUNTIF(Emp12Jul,"H")+COUNTIF(Emp12Aug,"H")+COUNTIF(Emp12Sep,"H")+COUNTIF(Emp12Oct,"H")+COUNTIF(Emp12Nov,"H")+COUNTIF(Emp12Dec,"H")</f>
        <v>0</v>
      </c>
      <c r="L15" s="79">
        <f>COUNTIF(Emp12Jan,"NA")+COUNTIF(Emp12Feb,"NA")+COUNTIF(Emp12Mar,"NA")+COUNTIF(Emp12Apr,"NA")+COUNTIF(Emp12May,"NA")+COUNTIF(Emp12Jun,"NA")+COUNTIF(Emp12Jul,"NA")+COUNTIF(Emp12Aug,"NA")+COUNTIF(Emp12Sep,"NA")+COUNTIF(Emp12Oct,"NA")+COUNTIF(Emp12Nov,"NA")+COUNTIF(Emp12Dec,"NA")</f>
        <v>0</v>
      </c>
      <c r="M15" s="79">
        <f>COUNTIF(Emp12Jan,"SP")+COUNTIF(Emp12Feb,"SP")+COUNTIF(Emp12Mar,"SP")+COUNTIF(Emp12Apr,"SP")+COUNTIF(Emp12May,"SP")+COUNTIF(Emp12Jun,"SP")+COUNTIF(Emp12Jul,"SP")+COUNTIF(Emp12Aug,"SP")+COUNTIF(Emp12Sep,"SP")+COUNTIF(Emp12Oct,"SP")+COUNTIF(Emp12Nov,"SP")+COUNTIF(Emp12Dec,"SP")</f>
        <v>0</v>
      </c>
      <c r="N15" s="79">
        <f t="shared" si="1"/>
        <v>0</v>
      </c>
    </row>
    <row r="16" spans="2:14" s="55" customFormat="1" ht="15" customHeight="1">
      <c r="B16" s="55">
        <v>13</v>
      </c>
      <c r="C16" s="182" t="str">
        <f>EmpSName13</f>
        <v>Jack</v>
      </c>
      <c r="D16" s="180" t="str">
        <f>EmpGName13</f>
        <v>Jack</v>
      </c>
      <c r="E16" s="80">
        <f>COUNTIF(Emp13Jan,"D")+COUNTIF(Emp13Feb,"D")+COUNTIF(Emp13Mar,"D")+COUNTIF(Emp13Apr,"D")+COUNTIF(Emp13May,"D")+COUNTIF(Emp13Jun,"D")+COUNTIF(Emp13Jul,"D")+COUNTIF(Emp13Aug,"D")+COUNTIF(Emp13Sep,"D")+COUNTIF(Emp13Oct,"D")+COUNTIF(Emp13Nov,"D")+COUNTIF(Emp13Dec,"D")</f>
        <v>0</v>
      </c>
      <c r="F16" s="80">
        <f>COUNTIF(Emp13Jan,"N")+COUNTIF(Emp13Feb,"N")+COUNTIF(Emp13Mar,"N")+COUNTIF(Emp13Apr,"N")+COUNTIF(Emp13May,"N")+COUNTIF(Emp13Jun,"N")+COUNTIF(Emp13Jul,"N")+COUNTIF(Emp13Aug,"N")+COUNTIF(Emp13Sep,"N")+COUNTIF(Emp13Oct,"N")+COUNTIF(Emp13Nov,"N")+COUNTIF(Emp13Dec,"N")</f>
        <v>0</v>
      </c>
      <c r="G16" s="80">
        <f>COUNTIF(Emp13Jan,"A")+COUNTIF(Emp13Feb,"A")+COUNTIF(Emp13Mar,"A")+COUNTIF(Emp13Apr,"A")+COUNTIF(Emp13May,"A")+COUNTIF(Emp13Jun,"A")+COUNTIF(Emp13Jul,"A")+COUNTIF(Emp13Aug,"A")+COUNTIF(Emp13Sep,"A")+COUNTIF(Emp13Oct,"A")+COUNTIF(Emp13Nov,"A")+COUNTIF(Emp13Dec,"A")</f>
        <v>0</v>
      </c>
      <c r="H16" s="80">
        <f>COUNTIF(Emp13Jan,"PO")+COUNTIF(Emp13Feb,"PO")+COUNTIF(Emp13Mar,"PO")+COUNTIF(Emp13Apr,"PO")+COUNTIF(Emp13May,"PO")+COUNTIF(Emp13Jun,"PO")+COUNTIF(Emp13Jul,"PO")+COUNTIF(Emp13Aug,"PO")+COUNTIF(Emp13Sep,"PO")+COUNTIF(Emp13Oct,"PO")+COUNTIF(Emp13Nov,"PO")+COUNTIF(Emp13Dec,"PO")</f>
        <v>0</v>
      </c>
      <c r="I16" s="78">
        <f>COUNTIF(Emp13Jan,"SL")+COUNTIF(Emp13Feb,"SL")+COUNTIF(Emp13Mar,"SL")+COUNTIF(Emp13Apr,"SL")+COUNTIF(Emp13May,"SL")+COUNTIF(Emp13Jun,"SL")+COUNTIF(Emp13Jul,"SL")+COUNTIF(Emp13Aug,"SL")+COUNTIF(Emp13Sep,"SL")+COUNTIF(Emp13Oct,"SL")+COUNTIF(Emp13Nov,"SL")+COUNTIF(Emp13Dec,"SL")</f>
        <v>0</v>
      </c>
      <c r="J16" s="78">
        <f>COUNTIF(Emp13Jan,"AL")+COUNTIF(Emp13Feb,"AL")+COUNTIF(Emp13Mar,"AL")+COUNTIF(Emp13Apr,"AL")+COUNTIF(Emp13May,"AL")+COUNTIF(Emp13Jun,"AL")+COUNTIF(Emp13Jul,"AL")+COUNTIF(Emp13Aug,"AL")+COUNTIF(Emp13Sep,"AL")+COUNTIF(Emp13Oct,"AL")+COUNTIF(Emp13Nov,"AL")+COUNTIF(Emp13Dec,"AL")</f>
        <v>0</v>
      </c>
      <c r="K16" s="78">
        <f>COUNTIF(Emp13Jan,"H")+COUNTIF(Emp13Feb,"H")+COUNTIF(Emp13Mar,"H")+COUNTIF(Emp13Apr,"H")+COUNTIF(Emp13May,"H")+COUNTIF(Emp13Jun,"H")+COUNTIF(Emp13Jul,"H")+COUNTIF(Emp13Aug,"H")+COUNTIF(Emp13Sep,"H")+COUNTIF(Emp13Oct,"H")+COUNTIF(Emp13Nov,"H")+COUNTIF(Emp13Dec,"H")</f>
        <v>0</v>
      </c>
      <c r="L16" s="80">
        <f>COUNTIF(Emp13Jan,"NA")+COUNTIF(Emp13Feb,"NA")+COUNTIF(Emp13Mar,"NA")+COUNTIF(Emp13Apr,"NA")+COUNTIF(Emp13May,"NA")+COUNTIF(Emp13Jun,"NA")+COUNTIF(Emp13Jul,"NA")+COUNTIF(Emp13Aug,"NA")+COUNTIF(Emp13Sep,"NA")+COUNTIF(Emp13Oct,"NA")+COUNTIF(Emp13Nov,"NA")+COUNTIF(Emp13Dec,"NA")</f>
        <v>0</v>
      </c>
      <c r="M16" s="78">
        <f>COUNTIF(Emp13Jan,"SP")+COUNTIF(Emp13Feb,"SP")+COUNTIF(Emp13Mar,"SP")+COUNTIF(Emp13Apr,"SP")+COUNTIF(Emp13May,"SP")+COUNTIF(Emp13Jun,"SP")+COUNTIF(Emp13Jul,"SP")+COUNTIF(Emp13Aug,"SP")+COUNTIF(Emp13Sep,"SP")+COUNTIF(Emp13Oct,"SP")+COUNTIF(Emp13Nov,"SP")+COUNTIF(Emp13Dec,"SP")</f>
        <v>0</v>
      </c>
      <c r="N16" s="80">
        <f t="shared" si="1"/>
        <v>0</v>
      </c>
    </row>
    <row r="17" spans="2:14" s="55" customFormat="1" ht="15" customHeight="1">
      <c r="B17" s="55">
        <v>14</v>
      </c>
      <c r="C17" s="183" t="str">
        <f>EmpSName14</f>
        <v xml:space="preserve">Jacky </v>
      </c>
      <c r="D17" s="181" t="str">
        <f>EmpGName14</f>
        <v>Jacky</v>
      </c>
      <c r="E17" s="79">
        <f>COUNTIF(Emp14Jan,"D")+COUNTIF(Emp14Feb,"D")+COUNTIF(Emp14Mar,"D")+COUNTIF(Emp14Apr,"D")+COUNTIF(Emp14May,"D")+COUNTIF(Emp14Jun,"D")+COUNTIF(Emp14Jul,"D")+COUNTIF(Emp14Aug,"D")+COUNTIF(Emp14Sep,"D")+COUNTIF(Emp14Oct,"D")+COUNTIF(Emp14Nov,"D")+COUNTIF(Emp14Dec,"D")</f>
        <v>0</v>
      </c>
      <c r="F17" s="79">
        <f>COUNTIF(Emp14Jan,"N")+COUNTIF(Emp14Feb,"N")+COUNTIF(Emp14Mar,"N")+COUNTIF(Emp14Apr,"N")+COUNTIF(Emp14May,"N")+COUNTIF(Emp14Jun,"N")+COUNTIF(Emp14Jul,"N")+COUNTIF(Emp14Aug,"N")+COUNTIF(Emp14Sep,"N")+COUNTIF(Emp14Oct,"N")+COUNTIF(Emp14Nov,"N")+COUNTIF(Emp14Dec,"N")</f>
        <v>0</v>
      </c>
      <c r="G17" s="79">
        <f>COUNTIF(Emp14Jan,"A")+COUNTIF(Emp14Feb,"A")+COUNTIF(Emp14Mar,"A")+COUNTIF(Emp14Apr,"A")+COUNTIF(Emp14May,"A")+COUNTIF(Emp14Jun,"A")+COUNTIF(Emp14Jul,"A")+COUNTIF(Emp14Aug,"A")+COUNTIF(Emp14Sep,"A")+COUNTIF(Emp14Oct,"A")+COUNTIF(Emp14Nov,"A")+COUNTIF(Emp14Dec,"A")</f>
        <v>0</v>
      </c>
      <c r="H17" s="79">
        <f>COUNTIF(Emp14Jan,"PO")+COUNTIF(Emp14Feb,"PO")+COUNTIF(Emp14Mar,"PO")+COUNTIF(Emp14Apr,"PO")+COUNTIF(Emp14May,"PO")+COUNTIF(Emp14Jun,"PO")+COUNTIF(Emp14Jul,"PO")+COUNTIF(Emp14Aug,"PO")+COUNTIF(Emp14Sep,"PO")+COUNTIF(Emp14Oct,"PO")+COUNTIF(Emp14Nov,"PO")+COUNTIF(Emp14Dec,"PO")</f>
        <v>0</v>
      </c>
      <c r="I17" s="79">
        <f>COUNTIF(Emp14Jan,"SL")+COUNTIF(Emp14Feb,"SL")+COUNTIF(Emp14Mar,"SL")+COUNTIF(Emp14Apr,"SL")+COUNTIF(Emp14May,"SL")+COUNTIF(Emp14Jun,"SL")+COUNTIF(Emp14Jul,"SL")+COUNTIF(Emp14Aug,"SL")+COUNTIF(Emp14Sep,"SL")+COUNTIF(Emp14Oct,"SL")+COUNTIF(Emp14Nov,"SL")+COUNTIF(Emp14Dec,"SL")</f>
        <v>0</v>
      </c>
      <c r="J17" s="79">
        <f>COUNTIF(Emp14Jan,"AL")+COUNTIF(Emp14Feb,"AL")+COUNTIF(Emp14Mar,"AL")+COUNTIF(Emp14Apr,"AL")+COUNTIF(Emp14May,"AL")+COUNTIF(Emp14Jun,"AL")+COUNTIF(Emp14Jul,"AL")+COUNTIF(Emp14Aug,"AL")+COUNTIF(Emp14Sep,"AL")+COUNTIF(Emp14Oct,"AL")+COUNTIF(Emp14Nov,"AL")+COUNTIF(Emp14Dec,"AL")</f>
        <v>0</v>
      </c>
      <c r="K17" s="79">
        <f>COUNTIF(Emp14Jan,"H")+COUNTIF(Emp14Feb,"H")+COUNTIF(Emp14Mar,"H")+COUNTIF(Emp14Apr,"H")+COUNTIF(Emp14May,"H")+COUNTIF(Emp14Jun,"H")+COUNTIF(Emp14Jul,"H")+COUNTIF(Emp14Aug,"H")+COUNTIF(Emp14Sep,"H")+COUNTIF(Emp14Oct,"H")+COUNTIF(Emp14Nov,"H")+COUNTIF(Emp14Dec,"H")</f>
        <v>0</v>
      </c>
      <c r="L17" s="79">
        <f>COUNTIF(Emp14Jan,"NA")+COUNTIF(Emp14Feb,"NA")+COUNTIF(Emp14Mar,"NA")+COUNTIF(Emp14Apr,"NA")+COUNTIF(Emp14May,"NA")+COUNTIF(Emp14Jun,"NA")+COUNTIF(Emp14Jul,"NA")+COUNTIF(Emp14Aug,"NA")+COUNTIF(Emp14Sep,"NA")+COUNTIF(Emp14Oct,"NA")+COUNTIF(Emp14Nov,"NA")+COUNTIF(Emp14Dec,"NA")</f>
        <v>0</v>
      </c>
      <c r="M17" s="79">
        <f>COUNTIF(Emp14Jan,"SP")+COUNTIF(Emp14Feb,"SP")+COUNTIF(Emp14Mar,"SP")+COUNTIF(Emp14Apr,"SP")+COUNTIF(Emp14May,"SP")+COUNTIF(Emp14Jun,"SP")+COUNTIF(Emp14Jul,"SP")+COUNTIF(Emp14Aug,"SP")+COUNTIF(Emp14Sep,"SP")+COUNTIF(Emp14Oct,"SP")+COUNTIF(Emp14Nov,"SP")+COUNTIF(Emp14Dec,"SP")</f>
        <v>0</v>
      </c>
      <c r="N17" s="79">
        <f t="shared" ref="N17" si="2">SUM(E17:M17)</f>
        <v>0</v>
      </c>
    </row>
    <row r="18" spans="2:14" s="55" customFormat="1" ht="15" customHeight="1">
      <c r="B18" s="55">
        <v>15</v>
      </c>
      <c r="C18" s="180" t="str">
        <f>EmpSName15</f>
        <v>Friedle</v>
      </c>
      <c r="D18" s="180" t="str">
        <f>EmpGName15</f>
        <v>Johnny</v>
      </c>
      <c r="E18" s="80">
        <f>COUNTIF(Emp15Jan,"D")+COUNTIF(Emp15Feb,"D")+COUNTIF(Emp15Mar,"D")+COUNTIF(Emp15Apr,"D")+COUNTIF(Emp15May,"D")+COUNTIF(Emp15Jun,"D")+COUNTIF(Emp15Jul,"D")+COUNTIF(Emp15Aug,"D")+COUNTIF(Emp15Sep,"D")+COUNTIF(Emp15Oct,"D")+COUNTIF(Emp15Nov,"D")+COUNTIF(Emp15Dec,"D")</f>
        <v>0</v>
      </c>
      <c r="F18" s="80">
        <f>COUNTIF(Emp15Jan,"N")+COUNTIF(Emp15Feb,"N")+COUNTIF(Emp15Mar,"N")+COUNTIF(Emp15Apr,"N")+COUNTIF(Emp15May,"N")+COUNTIF(Emp15Jun,"N")+COUNTIF(Emp15Jul,"N")+COUNTIF(Emp15Aug,"N")+COUNTIF(Emp15Sep,"N")+COUNTIF(Emp15Oct,"N")+COUNTIF(Emp15Nov,"N")+COUNTIF(Emp15Dec,"N")</f>
        <v>0</v>
      </c>
      <c r="G18" s="80">
        <f>COUNTIF(Emp15Jan,"A")+COUNTIF(Emp15Feb,"A")+COUNTIF(Emp15Mar,"A")+COUNTIF(Emp15Apr,"A")+COUNTIF(Emp15May,"A")+COUNTIF(Emp15Jun,"A")+COUNTIF(Emp15Jul,"A")+COUNTIF(Emp15Aug,"A")+COUNTIF(Emp15Sep,"A")+COUNTIF(Emp15Oct,"A")+COUNTIF(Emp15Nov,"A")+COUNTIF(Emp15Dec,"A")</f>
        <v>0</v>
      </c>
      <c r="H18" s="80">
        <f>COUNTIF(Emp15Jan,"PO")+COUNTIF(Emp15Feb,"PO")+COUNTIF(Emp15Mar,"PO")+COUNTIF(Emp15Apr,"PO")+COUNTIF(Emp15May,"PO")+COUNTIF(Emp15Jun,"PO")+COUNTIF(Emp15Jul,"PO")+COUNTIF(Emp15Aug,"PO")+COUNTIF(Emp15Sep,"PO")+COUNTIF(Emp15Oct,"PO")+COUNTIF(Emp15Nov,"PO")+COUNTIF(Emp15Dec,"PO")</f>
        <v>0</v>
      </c>
      <c r="I18" s="78">
        <f>COUNTIF(Emp15Jan,"SL")+COUNTIF(Emp15Feb,"SL")+COUNTIF(Emp15Mar,"SL")+COUNTIF(Emp15Apr,"SL")+COUNTIF(Emp15May,"SL")+COUNTIF(Emp15Jun,"SL")+COUNTIF(Emp15Jul,"SL")+COUNTIF(Emp15Aug,"SL")+COUNTIF(Emp15Sep,"SL")+COUNTIF(Emp15Oct,"SL")+COUNTIF(Emp15Nov,"SL")+COUNTIF(Emp15Dec,"SL")</f>
        <v>0</v>
      </c>
      <c r="J18" s="78">
        <f>COUNTIF(Emp15Jan,"AL")+COUNTIF(Emp15Feb,"AL")+COUNTIF(Emp15Mar,"AL")+COUNTIF(Emp15Apr,"AL")+COUNTIF(Emp15May,"AL")+COUNTIF(Emp15Jun,"AL")+COUNTIF(Emp15Jul,"AL")+COUNTIF(Emp15Aug,"AL")+COUNTIF(Emp15Sep,"AL")+COUNTIF(Emp15Oct,"AL")+COUNTIF(Emp15Nov,"AL")+COUNTIF(Emp15Dec,"AL")</f>
        <v>0</v>
      </c>
      <c r="K18" s="78">
        <f>COUNTIF(Emp15Jan,"H")+COUNTIF(Emp15Feb,"H")+COUNTIF(Emp15Mar,"H")+COUNTIF(Emp15Apr,"H")+COUNTIF(Emp15May,"H")+COUNTIF(Emp15Jun,"H")+COUNTIF(Emp15Jul,"H")+COUNTIF(Emp15Aug,"H")+COUNTIF(Emp15Sep,"H")+COUNTIF(Emp15Oct,"H")+COUNTIF(Emp15Nov,"H")+COUNTIF(Emp15Dec,"H")</f>
        <v>0</v>
      </c>
      <c r="L18" s="80">
        <f>COUNTIF(Emp15Jan,"NA")+COUNTIF(Emp15Feb,"NA")+COUNTIF(Emp15Mar,"NA")+COUNTIF(Emp15Apr,"NA")+COUNTIF(Emp15May,"NA")+COUNTIF(Emp15Jun,"NA")+COUNTIF(Emp15Jul,"NA")+COUNTIF(Emp15Aug,"NA")+COUNTIF(Emp15Sep,"NA")+COUNTIF(Emp15Oct,"NA")+COUNTIF(Emp15Nov,"NA")+COUNTIF(Emp15Dec,"NA")</f>
        <v>0</v>
      </c>
      <c r="M18" s="78">
        <f>COUNTIF(Emp15Jan,"SP")+COUNTIF(Emp15Feb,"SP")+COUNTIF(Emp15Mar,"SP")+COUNTIF(Emp15Apr,"SP")+COUNTIF(Emp15May,"SP")+COUNTIF(Emp15Jun,"SP")+COUNTIF(Emp15Jul,"SP")+COUNTIF(Emp15Aug,"SP")+COUNTIF(Emp15Sep,"SP")+COUNTIF(Emp15Oct,"SP")+COUNTIF(Emp15Nov,"SP")+COUNTIF(Emp15Dec,"SP")</f>
        <v>0</v>
      </c>
      <c r="N18" s="80">
        <f t="shared" ref="N18" si="3">SUM(E18:M18)</f>
        <v>0</v>
      </c>
    </row>
    <row r="19" spans="2:14" s="55" customFormat="1" ht="15" customHeight="1">
      <c r="B19" s="55">
        <v>16</v>
      </c>
      <c r="C19" s="181" t="str">
        <f>EmpSName16</f>
        <v>Friedle</v>
      </c>
      <c r="D19" s="181" t="str">
        <f>EmpGName16</f>
        <v>Jimmy</v>
      </c>
      <c r="E19" s="79">
        <f>COUNTIF(Emp16Jan,"D")+COUNTIF(Emp16Feb,"D")+COUNTIF(Emp16Mar,"D")+COUNTIF(Emp16Apr,"D")+COUNTIF(Emp16May,"D")+COUNTIF(Emp16Jun,"D")+COUNTIF(Emp16Jul,"D")+COUNTIF(Emp16Aug,"D")+COUNTIF(Emp16Sep,"D")+COUNTIF(Emp16Oct,"D")+COUNTIF(Emp16Nov,"D")+COUNTIF(Emp16Dec,"D")</f>
        <v>0</v>
      </c>
      <c r="F19" s="79">
        <f>COUNTIF(Emp16Jan,"N")+COUNTIF(Emp16Feb,"N")+COUNTIF(Emp16Mar,"N")+COUNTIF(Emp16Apr,"N")+COUNTIF(Emp16May,"N")+COUNTIF(Emp16Jun,"N")+COUNTIF(Emp16Jul,"N")+COUNTIF(Emp16Aug,"N")+COUNTIF(Emp16Sep,"N")+COUNTIF(Emp16Oct,"N")+COUNTIF(Emp16Nov,"N")+COUNTIF(Emp16Dec,"N")</f>
        <v>0</v>
      </c>
      <c r="G19" s="79">
        <f>COUNTIF(Emp16Jan,"A")+COUNTIF(Emp16Feb,"A")+COUNTIF(Emp16Mar,"A")+COUNTIF(Emp16Apr,"A")+COUNTIF(Emp16May,"A")+COUNTIF(Emp16Jun,"A")+COUNTIF(Emp16Jul,"A")+COUNTIF(Emp16Aug,"A")+COUNTIF(Emp16Sep,"A")+COUNTIF(Emp16Oct,"A")+COUNTIF(Emp16Nov,"A")+COUNTIF(Emp16Dec,"A")</f>
        <v>0</v>
      </c>
      <c r="H19" s="79">
        <f>COUNTIF(Emp16Jan,"PO")+COUNTIF(Emp16Feb,"PO")+COUNTIF(Emp16Mar,"PO")+COUNTIF(Emp16Apr,"PO")+COUNTIF(Emp16May,"PO")+COUNTIF(Emp16Jun,"PO")+COUNTIF(Emp16Jul,"PO")+COUNTIF(Emp16Aug,"PO")+COUNTIF(Emp16Sep,"PO")+COUNTIF(Emp16Oct,"PO")+COUNTIF(Emp16Nov,"PO")+COUNTIF(Emp16Dec,"PO")</f>
        <v>0</v>
      </c>
      <c r="I19" s="79">
        <f>COUNTIF(Emp16Jan,"SL")+COUNTIF(Emp16Feb,"SL")+COUNTIF(Emp16Mar,"SL")+COUNTIF(Emp16Apr,"SL")+COUNTIF(Emp16May,"SL")+COUNTIF(Emp16Jun,"SL")+COUNTIF(Emp16Jul,"SL")+COUNTIF(Emp16Aug,"SL")+COUNTIF(Emp16Sep,"SL")+COUNTIF(Emp16Oct,"SL")+COUNTIF(Emp16Nov,"SL")+COUNTIF(Emp16Dec,"SL")</f>
        <v>0</v>
      </c>
      <c r="J19" s="79">
        <f>COUNTIF(Emp16Jan,"AL")+COUNTIF(Emp16Feb,"AL")+COUNTIF(Emp16Mar,"AL")+COUNTIF(Emp16Apr,"AL")+COUNTIF(Emp16May,"AL")+COUNTIF(Emp16Jun,"AL")+COUNTIF(Emp16Jul,"AL")+COUNTIF(Emp16Aug,"AL")+COUNTIF(Emp16Sep,"AL")+COUNTIF(Emp16Oct,"AL")+COUNTIF(Emp16Nov,"AL")+COUNTIF(Emp16Dec,"AL")</f>
        <v>0</v>
      </c>
      <c r="K19" s="79">
        <f>COUNTIF(Emp16Jan,"H")+COUNTIF(Emp16Feb,"H")+COUNTIF(Emp16Mar,"H")+COUNTIF(Emp16Apr,"H")+COUNTIF(Emp16May,"H")+COUNTIF(Emp16Jun,"H")+COUNTIF(Emp16Jul,"H")+COUNTIF(Emp16Aug,"H")+COUNTIF(Emp16Sep,"H")+COUNTIF(Emp16Oct,"H")+COUNTIF(Emp16Nov,"H")+COUNTIF(Emp16Dec,"H")</f>
        <v>0</v>
      </c>
      <c r="L19" s="79">
        <f>COUNTIF(Emp16Jan,"NA")+COUNTIF(Emp16Feb,"NA")+COUNTIF(Emp16Mar,"NA")+COUNTIF(Emp16Apr,"NA")+COUNTIF(Emp16May,"NA")+COUNTIF(Emp16Jun,"NA")+COUNTIF(Emp16Jul,"NA")+COUNTIF(Emp16Aug,"NA")+COUNTIF(Emp16Sep,"NA")+COUNTIF(Emp16Oct,"NA")+COUNTIF(Emp16Nov,"NA")+COUNTIF(Emp16Dec,"NA")</f>
        <v>0</v>
      </c>
      <c r="M19" s="79">
        <f>COUNTIF(Emp16Jan,"SP")+COUNTIF(Emp16Feb,"SP")+COUNTIF(Emp16Mar,"SP")+COUNTIF(Emp16Apr,"SP")+COUNTIF(Emp16May,"SP")+COUNTIF(Emp16Jun,"SP")+COUNTIF(Emp16Jul,"SP")+COUNTIF(Emp16Aug,"SP")+COUNTIF(Emp16Sep,"SP")+COUNTIF(Emp16Oct,"SP")+COUNTIF(Emp16Nov,"SP")+COUNTIF(Emp16Dec,"SP")</f>
        <v>0</v>
      </c>
      <c r="N19" s="79">
        <f t="shared" ref="N19" si="4">SUM(E19:M19)</f>
        <v>0</v>
      </c>
    </row>
    <row r="20" spans="2:14" s="55" customFormat="1" ht="15" customHeight="1">
      <c r="B20" s="55">
        <v>17</v>
      </c>
      <c r="C20" s="180" t="str">
        <f>EmpSName17</f>
        <v>Smart</v>
      </c>
      <c r="D20" s="180" t="str">
        <f>EmpGName17</f>
        <v>James</v>
      </c>
      <c r="E20" s="80">
        <f>COUNTIF(Emp17Jan,"D")+COUNTIF(Emp17Feb,"D")+COUNTIF(Emp17Mar,"D")+COUNTIF(Emp17Apr,"D")+COUNTIF(Emp17May,"D")+COUNTIF(Emp17Jun,"D")+COUNTIF(Emp17Jul,"D")+COUNTIF(Emp17Aug,"D")+COUNTIF(Emp17Sep,"D")+COUNTIF(Emp17Oct,"D")+COUNTIF(Emp17Nov,"D")+COUNTIF(Emp17Dec,"D")</f>
        <v>0</v>
      </c>
      <c r="F20" s="80">
        <f>COUNTIF(Emp17Jan,"N")+COUNTIF(Emp17Feb,"N")+COUNTIF(Emp17Mar,"N")+COUNTIF(Emp17Apr,"N")+COUNTIF(Emp17May,"N")+COUNTIF(Emp17Jun,"N")+COUNTIF(Emp17Jul,"N")+COUNTIF(Emp17Aug,"N")+COUNTIF(Emp17Sep,"N")+COUNTIF(Emp17Oct,"N")+COUNTIF(Emp17Nov,"N")+COUNTIF(Emp17Dec,"N")</f>
        <v>0</v>
      </c>
      <c r="G20" s="80">
        <f>COUNTIF(Emp17Jan,"A")+COUNTIF(Emp17Feb,"A")+COUNTIF(Emp17Mar,"A")+COUNTIF(Emp17Apr,"A")+COUNTIF(Emp17May,"A")+COUNTIF(Emp17Jun,"A")+COUNTIF(Emp17Jul,"A")+COUNTIF(Emp17Aug,"A")+COUNTIF(Emp17Sep,"A")+COUNTIF(Emp17Oct,"A")+COUNTIF(Emp17Nov,"A")+COUNTIF(Emp17Dec,"A")</f>
        <v>0</v>
      </c>
      <c r="H20" s="80">
        <f>COUNTIF(Emp17Jan,"PO")+COUNTIF(Emp17Feb,"PO")+COUNTIF(Emp17Mar,"PO")+COUNTIF(Emp17Apr,"PO")+COUNTIF(Emp17May,"PO")+COUNTIF(Emp17Jun,"PO")+COUNTIF(Emp17Jul,"PO")+COUNTIF(Emp17Aug,"PO")+COUNTIF(Emp17Sep,"PO")+COUNTIF(Emp17Oct,"PO")+COUNTIF(Emp17Nov,"PO")+COUNTIF(Emp17Dec,"PO")</f>
        <v>0</v>
      </c>
      <c r="I20" s="78">
        <f>COUNTIF(Emp17Jan,"SL")+COUNTIF(Emp17Feb,"SL")+COUNTIF(Emp17Mar,"SL")+COUNTIF(Emp17Apr,"SL")+COUNTIF(Emp17May,"SL")+COUNTIF(Emp17Jun,"SL")+COUNTIF(Emp17Jul,"SL")+COUNTIF(Emp17Aug,"SL")+COUNTIF(Emp17Sep,"SL")+COUNTIF(Emp17Oct,"SL")+COUNTIF(Emp17Nov,"SL")+COUNTIF(Emp17Dec,"SL")</f>
        <v>0</v>
      </c>
      <c r="J20" s="78">
        <f>COUNTIF(Emp17Jan,"AL")+COUNTIF(Emp17Feb,"AL")+COUNTIF(Emp17Mar,"AL")+COUNTIF(Emp17Apr,"AL")+COUNTIF(Emp17May,"AL")+COUNTIF(Emp17Jun,"AL")+COUNTIF(Emp17Jul,"AL")+COUNTIF(Emp17Aug,"AL")+COUNTIF(Emp17Sep,"AL")+COUNTIF(Emp17Oct,"AL")+COUNTIF(Emp17Nov,"AL")+COUNTIF(Emp17Dec,"AL")</f>
        <v>0</v>
      </c>
      <c r="K20" s="78">
        <f>COUNTIF(Emp17Jan,"H")+COUNTIF(Emp17Feb,"H")+COUNTIF(Emp17Mar,"H")+COUNTIF(Emp17Apr,"H")+COUNTIF(Emp17May,"H")+COUNTIF(Emp17Jun,"H")+COUNTIF(Emp17Jul,"H")+COUNTIF(Emp17Aug,"H")+COUNTIF(Emp17Sep,"H")+COUNTIF(Emp17Oct,"H")+COUNTIF(Emp17Nov,"H")+COUNTIF(Emp17Dec,"H")</f>
        <v>0</v>
      </c>
      <c r="L20" s="80">
        <f>COUNTIF(Emp17Jan,"NA")+COUNTIF(Emp17Feb,"NA")+COUNTIF(Emp17Mar,"NA")+COUNTIF(Emp17Apr,"NA")+COUNTIF(Emp17May,"NA")+COUNTIF(Emp17Jun,"NA")+COUNTIF(Emp17Jul,"NA")+COUNTIF(Emp17Aug,"NA")+COUNTIF(Emp17Sep,"NA")+COUNTIF(Emp17Oct,"NA")+COUNTIF(Emp17Nov,"NA")+COUNTIF(Emp17Dec,"NA")</f>
        <v>0</v>
      </c>
      <c r="M20" s="78">
        <f>COUNTIF(Emp17Jan,"SP")+COUNTIF(Emp17Feb,"SP")+COUNTIF(Emp17Mar,"SP")+COUNTIF(Emp17Apr,"SP")+COUNTIF(Emp17May,"SP")+COUNTIF(Emp17Jun,"SP")+COUNTIF(Emp17Jul,"SP")+COUNTIF(Emp17Aug,"SP")+COUNTIF(Emp17Sep,"SP")+COUNTIF(Emp17Oct,"SP")+COUNTIF(Emp17Nov,"SP")+COUNTIF(Emp17Dec,"SP")</f>
        <v>0</v>
      </c>
      <c r="N20" s="80">
        <f t="shared" ref="N20" si="5">SUM(E20:M20)</f>
        <v>0</v>
      </c>
    </row>
    <row r="21" spans="2:14" s="55" customFormat="1" ht="15" customHeight="1">
      <c r="B21" s="55">
        <v>18</v>
      </c>
      <c r="C21" s="181" t="str">
        <f>EmpSName18</f>
        <v>Smart</v>
      </c>
      <c r="D21" s="181" t="str">
        <f>EmpGName18</f>
        <v>Eddy</v>
      </c>
      <c r="E21" s="79">
        <f>COUNTIF(Emp18Jan,"D")+COUNTIF(Emp18Feb,"D")+COUNTIF(Emp18Mar,"D")+COUNTIF(Emp18Apr,"D")+COUNTIF(Emp18May,"D")+COUNTIF(Emp18Jun,"D")+COUNTIF(Emp18Jul,"D")+COUNTIF(Emp18Aug,"D")+COUNTIF(Emp18Sep,"D")+COUNTIF(Emp18Oct,"D")+COUNTIF(Emp18Nov,"D")+COUNTIF(Emp18Dec,"D")</f>
        <v>0</v>
      </c>
      <c r="F21" s="79">
        <f>COUNTIF(Emp18Jan,"N")+COUNTIF(Emp18Feb,"N")+COUNTIF(Emp18Mar,"N")+COUNTIF(Emp18Apr,"N")+COUNTIF(Emp18May,"N")+COUNTIF(Emp18Jun,"N")+COUNTIF(Emp18Jul,"N")+COUNTIF(Emp18Aug,"N")+COUNTIF(Emp18Sep,"N")+COUNTIF(Emp18Oct,"N")+COUNTIF(Emp18Nov,"N")+COUNTIF(Emp18Dec,"N")</f>
        <v>0</v>
      </c>
      <c r="G21" s="79">
        <f>COUNTIF(Emp18Jan,"A")+COUNTIF(Emp18Feb,"A")+COUNTIF(Emp18Mar,"A")+COUNTIF(Emp18Apr,"A")+COUNTIF(Emp18May,"A")+COUNTIF(Emp18Jun,"A")+COUNTIF(Emp18Jul,"A")+COUNTIF(Emp18Aug,"A")+COUNTIF(Emp18Sep,"A")+COUNTIF(Emp18Oct,"A")+COUNTIF(Emp18Nov,"A")+COUNTIF(Emp18Dec,"A")</f>
        <v>0</v>
      </c>
      <c r="H21" s="79">
        <f>COUNTIF(Emp18Jan,"PO")+COUNTIF(Emp18Feb,"PO")+COUNTIF(Emp18Mar,"PO")+COUNTIF(Emp18Apr,"PO")+COUNTIF(Emp18May,"PO")+COUNTIF(Emp18Jun,"PO")+COUNTIF(Emp18Jul,"PO")+COUNTIF(Emp18Aug,"PO")+COUNTIF(Emp18Sep,"PO")+COUNTIF(Emp18Oct,"PO")+COUNTIF(Emp18Nov,"PO")+COUNTIF(Emp18Dec,"PO")</f>
        <v>0</v>
      </c>
      <c r="I21" s="79">
        <f>COUNTIF(Emp18Jan,"SL")+COUNTIF(Emp18Feb,"SL")+COUNTIF(Emp18Mar,"SL")+COUNTIF(Emp18Apr,"SL")+COUNTIF(Emp18May,"SL")+COUNTIF(Emp18Jun,"SL")+COUNTIF(Emp18Jul,"SL")+COUNTIF(Emp18Aug,"SL")+COUNTIF(Emp18Sep,"SL")+COUNTIF(Emp18Oct,"SL")+COUNTIF(Emp18Nov,"SL")+COUNTIF(Emp18Dec,"SL")</f>
        <v>0</v>
      </c>
      <c r="J21" s="79">
        <f>COUNTIF(Emp18Jan,"AL")+COUNTIF(Emp18Feb,"AL")+COUNTIF(Emp18Mar,"AL")+COUNTIF(Emp18Apr,"AL")+COUNTIF(Emp18May,"AL")+COUNTIF(Emp18Jun,"AL")+COUNTIF(Emp18Jul,"AL")+COUNTIF(Emp18Aug,"AL")+COUNTIF(Emp18Sep,"AL")+COUNTIF(Emp18Oct,"AL")+COUNTIF(Emp18Nov,"AL")+COUNTIF(Emp18Dec,"AL")</f>
        <v>0</v>
      </c>
      <c r="K21" s="79">
        <f>COUNTIF(Emp18Jan,"H")+COUNTIF(Emp18Feb,"H")+COUNTIF(Emp18Mar,"H")+COUNTIF(Emp18Apr,"H")+COUNTIF(Emp18May,"H")+COUNTIF(Emp18Jun,"H")+COUNTIF(Emp18Jul,"H")+COUNTIF(Emp18Aug,"H")+COUNTIF(Emp18Sep,"H")+COUNTIF(Emp18Oct,"H")+COUNTIF(Emp18Nov,"H")+COUNTIF(Emp18Dec,"H")</f>
        <v>0</v>
      </c>
      <c r="L21" s="79">
        <f>COUNTIF(Emp18Jan,"NA")+COUNTIF(Emp18Feb,"NA")+COUNTIF(Emp18Mar,"NA")+COUNTIF(Emp18Apr,"NA")+COUNTIF(Emp18May,"NA")+COUNTIF(Emp18Jun,"NA")+COUNTIF(Emp18Jul,"NA")+COUNTIF(Emp18Aug,"NA")+COUNTIF(Emp18Sep,"NA")+COUNTIF(Emp18Oct,"NA")+COUNTIF(Emp18Nov,"NA")+COUNTIF(Emp18Dec,"NA")</f>
        <v>0</v>
      </c>
      <c r="M21" s="79">
        <f>COUNTIF(Emp18Jan,"SP")+COUNTIF(Emp18Feb,"SP")+COUNTIF(Emp18Mar,"SP")+COUNTIF(Emp18Apr,"SP")+COUNTIF(Emp18May,"SP")+COUNTIF(Emp18Jun,"SP")+COUNTIF(Emp18Jul,"SP")+COUNTIF(Emp18Aug,"SP")+COUNTIF(Emp18Sep,"SP")+COUNTIF(Emp18Oct,"SP")+COUNTIF(Emp18Nov,"SP")+COUNTIF(Emp18Dec,"SP")</f>
        <v>0</v>
      </c>
      <c r="N21" s="79">
        <f t="shared" ref="N21" si="6">SUM(E21:M21)</f>
        <v>0</v>
      </c>
    </row>
    <row r="22" spans="2:14" s="55" customFormat="1" ht="15" hidden="1" customHeight="1">
      <c r="B22" s="55">
        <v>19</v>
      </c>
      <c r="C22" s="180">
        <f>EmpSName19</f>
        <v>0</v>
      </c>
      <c r="D22" s="180">
        <f>EmpGName19</f>
        <v>0</v>
      </c>
      <c r="E22" s="80">
        <f>COUNTIF(Emp19Jan,"D")+COUNTIF(Emp19Feb,"D")+COUNTIF(Emp19Mar,"D")+COUNTIF(Emp19Apr,"D")+COUNTIF(Emp19May,"D")+COUNTIF(Emp19Jun,"D")+COUNTIF(Emp19Jul,"D")+COUNTIF(Emp19Aug,"D")+COUNTIF(Emp19Sep,"D")+COUNTIF(Emp19Oct,"D")+COUNTIF(Emp19Nov,"D")+COUNTIF(Emp19Dec,"D")</f>
        <v>0</v>
      </c>
      <c r="F22" s="80">
        <f>COUNTIF(Emp19Jan,"N")+COUNTIF(Emp19Feb,"N")+COUNTIF(Emp19Mar,"N")+COUNTIF(Emp19Apr,"N")+COUNTIF(Emp19May,"N")+COUNTIF(Emp19Jun,"N")+COUNTIF(Emp19Jul,"N")+COUNTIF(Emp19Aug,"N")+COUNTIF(Emp19Sep,"N")+COUNTIF(Emp19Oct,"N")+COUNTIF(Emp19Nov,"N")+COUNTIF(Emp19Dec,"N")</f>
        <v>0</v>
      </c>
      <c r="G22" s="80">
        <f>COUNTIF(Emp19Jan,"A")+COUNTIF(Emp19Feb,"A")+COUNTIF(Emp19Mar,"A")+COUNTIF(Emp19Apr,"A")+COUNTIF(Emp19May,"A")+COUNTIF(Emp19Jun,"A")+COUNTIF(Emp19Jul,"A")+COUNTIF(Emp19Aug,"A")+COUNTIF(Emp19Sep,"A")+COUNTIF(Emp19Oct,"A")+COUNTIF(Emp19Nov,"A")+COUNTIF(Emp19Dec,"A")</f>
        <v>0</v>
      </c>
      <c r="H22" s="80">
        <f>COUNTIF(Emp19Jan,"PO")+COUNTIF(Emp19Feb,"PO")+COUNTIF(Emp19Mar,"PO")+COUNTIF(Emp19Apr,"PO")+COUNTIF(Emp19May,"PO")+COUNTIF(Emp19Jun,"PO")+COUNTIF(Emp19Jul,"PO")+COUNTIF(Emp19Aug,"PO")+COUNTIF(Emp19Sep,"PO")+COUNTIF(Emp19Oct,"PO")+COUNTIF(Emp19Nov,"PO")+COUNTIF(Emp19Dec,"PO")</f>
        <v>0</v>
      </c>
      <c r="I22" s="78">
        <f>COUNTIF(Emp19Jan,"SL")+COUNTIF(Emp19Feb,"SL")+COUNTIF(Emp19Mar,"SL")+COUNTIF(Emp19Apr,"SL")+COUNTIF(Emp19May,"SL")+COUNTIF(Emp19Jun,"SL")+COUNTIF(Emp19Jul,"SL")+COUNTIF(Emp19Aug,"SL")+COUNTIF(Emp19Sep,"SL")+COUNTIF(Emp19Oct,"SL")+COUNTIF(Emp19Nov,"SL")+COUNTIF(Emp19Dec,"SL")</f>
        <v>0</v>
      </c>
      <c r="J22" s="78">
        <f>COUNTIF(Emp19Jan,"AL")+COUNTIF(Emp19Feb,"AL")+COUNTIF(Emp19Mar,"AL")+COUNTIF(Emp19Apr,"AL")+COUNTIF(Emp19May,"AL")+COUNTIF(Emp19Jun,"AL")+COUNTIF(Emp19Jul,"AL")+COUNTIF(Emp19Aug,"AL")+COUNTIF(Emp19Sep,"AL")+COUNTIF(Emp19Oct,"AL")+COUNTIF(Emp19Nov,"AL")+COUNTIF(Emp19Dec,"AL")</f>
        <v>0</v>
      </c>
      <c r="K22" s="78">
        <f>COUNTIF(Emp19Jan,"H")+COUNTIF(Emp19Feb,"H")+COUNTIF(Emp19Mar,"H")+COUNTIF(Emp19Apr,"H")+COUNTIF(Emp19May,"H")+COUNTIF(Emp19Jun,"H")+COUNTIF(Emp19Jul,"H")+COUNTIF(Emp19Aug,"H")+COUNTIF(Emp19Sep,"H")+COUNTIF(Emp19Oct,"H")+COUNTIF(Emp19Nov,"H")+COUNTIF(Emp19Dec,"H")</f>
        <v>0</v>
      </c>
      <c r="L22" s="80">
        <f>COUNTIF(Emp19Jan,"NA")+COUNTIF(Emp19Feb,"NA")+COUNTIF(Emp19Mar,"NA")+COUNTIF(Emp19Apr,"NA")+COUNTIF(Emp19May,"NA")+COUNTIF(Emp19Jun,"NA")+COUNTIF(Emp19Jul,"NA")+COUNTIF(Emp19Aug,"NA")+COUNTIF(Emp19Sep,"NA")+COUNTIF(Emp19Oct,"NA")+COUNTIF(Emp19Nov,"NA")+COUNTIF(Emp19Dec,"NA")</f>
        <v>0</v>
      </c>
      <c r="M22" s="78">
        <f>COUNTIF(Emp19Jan,"SP")+COUNTIF(Emp19Feb,"SP")+COUNTIF(Emp19Mar,"SP")+COUNTIF(Emp19Apr,"SP")+COUNTIF(Emp19May,"SP")+COUNTIF(Emp19Jun,"SP")+COUNTIF(Emp19Jul,"SP")+COUNTIF(Emp19Aug,"SP")+COUNTIF(Emp19Sep,"SP")+COUNTIF(Emp19Oct,"SP")+COUNTIF(Emp19Nov,"SP")+COUNTIF(Emp19Dec,"SP")</f>
        <v>0</v>
      </c>
      <c r="N22" s="80">
        <f t="shared" ref="N22" si="7">SUM(E22:M22)</f>
        <v>0</v>
      </c>
    </row>
    <row r="23" spans="2:14" s="55" customFormat="1" ht="15" hidden="1" customHeight="1">
      <c r="B23" s="55">
        <v>20</v>
      </c>
      <c r="C23" s="181">
        <f>EmpSName20</f>
        <v>0</v>
      </c>
      <c r="D23" s="181">
        <f>EmpGName20</f>
        <v>0</v>
      </c>
      <c r="E23" s="79">
        <f>COUNTIF(Emp20Jan,"D")+COUNTIF(Emp20Feb,"D")+COUNTIF(Emp20Mar,"D")+COUNTIF(Emp20Apr,"D")+COUNTIF(Emp20May,"D")+COUNTIF(Emp20Jun,"D")+COUNTIF(Emp20Jul,"D")+COUNTIF(Emp20Aug,"D")+COUNTIF(Emp20Sep,"D")+COUNTIF(Emp20Oct,"D")+COUNTIF(Emp20Nov,"D")+COUNTIF(Emp20Dec,"D")</f>
        <v>0</v>
      </c>
      <c r="F23" s="79">
        <f>COUNTIF(Emp20Jan,"N")+COUNTIF(Emp20Feb,"N")+COUNTIF(Emp20Mar,"N")+COUNTIF(Emp20Apr,"N")+COUNTIF(Emp20May,"N")+COUNTIF(Emp20Jun,"N")+COUNTIF(Emp20Jul,"N")+COUNTIF(Emp20Aug,"N")+COUNTIF(Emp20Sep,"N")+COUNTIF(Emp20Oct,"N")+COUNTIF(Emp20Nov,"N")+COUNTIF(Emp20Dec,"N")</f>
        <v>0</v>
      </c>
      <c r="G23" s="79">
        <f>COUNTIF(Emp20Jan,"A")+COUNTIF(Emp20Feb,"A")+COUNTIF(Emp20Mar,"A")+COUNTIF(Emp20Apr,"A")+COUNTIF(Emp20May,"A")+COUNTIF(Emp20Jun,"A")+COUNTIF(Emp20Jul,"A")+COUNTIF(Emp20Aug,"A")+COUNTIF(Emp20Sep,"A")+COUNTIF(Emp20Oct,"A")+COUNTIF(Emp20Nov,"A")+COUNTIF(Emp20Dec,"A")</f>
        <v>0</v>
      </c>
      <c r="H23" s="79">
        <f>COUNTIF(Emp20Jan,"PO")+COUNTIF(Emp20Feb,"PO")+COUNTIF(Emp20Mar,"PO")+COUNTIF(Emp20Apr,"PO")+COUNTIF(Emp20May,"PO")+COUNTIF(Emp20Jun,"PO")+COUNTIF(Emp20Jul,"PO")+COUNTIF(Emp20Aug,"PO")+COUNTIF(Emp20Sep,"PO")+COUNTIF(Emp20Oct,"PO")+COUNTIF(Emp20Nov,"PO")+COUNTIF(Emp20Dec,"PO")</f>
        <v>0</v>
      </c>
      <c r="I23" s="79">
        <f>COUNTIF(Emp20Jan,"SL")+COUNTIF(Emp20Feb,"SL")+COUNTIF(Emp20Mar,"SL")+COUNTIF(Emp20Apr,"SL")+COUNTIF(Emp20May,"SL")+COUNTIF(Emp20Jun,"SL")+COUNTIF(Emp20Jul,"SL")+COUNTIF(Emp20Aug,"SL")+COUNTIF(Emp20Sep,"SL")+COUNTIF(Emp20Oct,"SL")+COUNTIF(Emp20Nov,"SL")+COUNTIF(Emp20Dec,"SL")</f>
        <v>0</v>
      </c>
      <c r="J23" s="79">
        <f>COUNTIF(Emp20Jan,"AL")+COUNTIF(Emp20Feb,"AL")+COUNTIF(Emp20Mar,"AL")+COUNTIF(Emp20Apr,"AL")+COUNTIF(Emp20May,"AL")+COUNTIF(Emp20Jun,"AL")+COUNTIF(Emp20Jul,"AL")+COUNTIF(Emp20Aug,"AL")+COUNTIF(Emp20Sep,"AL")+COUNTIF(Emp20Oct,"AL")+COUNTIF(Emp20Nov,"AL")+COUNTIF(Emp20Dec,"AL")</f>
        <v>0</v>
      </c>
      <c r="K23" s="79">
        <f>COUNTIF(Emp20Jan,"H")+COUNTIF(Emp20Feb,"H")+COUNTIF(Emp20Mar,"H")+COUNTIF(Emp20Apr,"H")+COUNTIF(Emp20May,"H")+COUNTIF(Emp20Jun,"H")+COUNTIF(Emp20Jul,"H")+COUNTIF(Emp20Aug,"H")+COUNTIF(Emp20Sep,"H")+COUNTIF(Emp20Oct,"H")+COUNTIF(Emp20Nov,"H")+COUNTIF(Emp20Dec,"H")</f>
        <v>0</v>
      </c>
      <c r="L23" s="79">
        <f>COUNTIF(Emp20Jan,"NA")+COUNTIF(Emp20Feb,"NA")+COUNTIF(Emp20Mar,"NA")+COUNTIF(Emp20Apr,"NA")+COUNTIF(Emp20May,"NA")+COUNTIF(Emp20Jun,"NA")+COUNTIF(Emp20Jul,"NA")+COUNTIF(Emp20Aug,"NA")+COUNTIF(Emp20Sep,"NA")+COUNTIF(Emp20Oct,"NA")+COUNTIF(Emp20Nov,"NA")+COUNTIF(Emp20Dec,"NA")</f>
        <v>0</v>
      </c>
      <c r="M23" s="79">
        <f>COUNTIF(Emp20Jan,"SP")+COUNTIF(Emp20Feb,"SP")+COUNTIF(Emp20Mar,"SP")+COUNTIF(Emp20Apr,"SP")+COUNTIF(Emp20May,"SP")+COUNTIF(Emp20Jun,"SP")+COUNTIF(Emp20Jul,"SP")+COUNTIF(Emp20Aug,"SP")+COUNTIF(Emp20Sep,"SP")+COUNTIF(Emp20Oct,"SP")+COUNTIF(Emp20Nov,"SP")+COUNTIF(Emp20Dec,"SP")</f>
        <v>0</v>
      </c>
      <c r="N23" s="79">
        <f t="shared" ref="N23" si="8">SUM(E23:M23)</f>
        <v>0</v>
      </c>
    </row>
    <row r="24" spans="2:14" s="55" customFormat="1" ht="15" hidden="1" customHeight="1">
      <c r="B24" s="55">
        <v>21</v>
      </c>
      <c r="C24" s="180">
        <f>EmpSName21</f>
        <v>0</v>
      </c>
      <c r="D24" s="180">
        <f>EmpGName21</f>
        <v>0</v>
      </c>
      <c r="E24" s="80">
        <f>COUNTIF(Emp21Jan,"D")+COUNTIF(Emp21Feb,"D")+COUNTIF(Emp21Mar,"D")+COUNTIF(Emp21Apr,"D")+COUNTIF(Emp21May,"D")+COUNTIF(Emp21Jun,"D")+COUNTIF(Emp21Jul,"D")+COUNTIF(Emp21Aug,"D")+COUNTIF(Emp21Sep,"D")+COUNTIF(Emp21Oct,"D")+COUNTIF(Emp21Nov,"D")+COUNTIF(Emp21Dec,"D")</f>
        <v>0</v>
      </c>
      <c r="F24" s="80">
        <f>COUNTIF(Emp21Jan,"N")+COUNTIF(Emp21Feb,"N")+COUNTIF(Emp21Mar,"N")+COUNTIF(Emp21Apr,"N")+COUNTIF(Emp21May,"N")+COUNTIF(Emp21Jun,"N")+COUNTIF(Emp21Jul,"N")+COUNTIF(Emp21Aug,"N")+COUNTIF(Emp21Sep,"N")+COUNTIF(Emp21Oct,"N")+COUNTIF(Emp21Nov,"N")+COUNTIF(Emp21Dec,"N")</f>
        <v>0</v>
      </c>
      <c r="G24" s="80">
        <f>COUNTIF(Emp21Jan,"A")+COUNTIF(Emp21Feb,"A")+COUNTIF(Emp21Mar,"A")+COUNTIF(Emp21Apr,"A")+COUNTIF(Emp21May,"A")+COUNTIF(Emp21Jun,"A")+COUNTIF(Emp21Jul,"A")+COUNTIF(Emp21Aug,"A")+COUNTIF(Emp21Sep,"A")+COUNTIF(Emp21Oct,"A")+COUNTIF(Emp21Nov,"A")+COUNTIF(Emp21Dec,"A")</f>
        <v>0</v>
      </c>
      <c r="H24" s="80">
        <f>COUNTIF(Emp21Jan,"PO")+COUNTIF(Emp21Feb,"PO")+COUNTIF(Emp21Mar,"PO")+COUNTIF(Emp21Apr,"PO")+COUNTIF(Emp21May,"PO")+COUNTIF(Emp21Jun,"PO")+COUNTIF(Emp21Jul,"PO")+COUNTIF(Emp21Aug,"PO")+COUNTIF(Emp21Sep,"PO")+COUNTIF(Emp21Oct,"PO")+COUNTIF(Emp21Nov,"PO")+COUNTIF(Emp21Dec,"PO")</f>
        <v>0</v>
      </c>
      <c r="I24" s="78">
        <f>COUNTIF(Emp21Jan,"SL")+COUNTIF(Emp21Feb,"SL")+COUNTIF(Emp21Mar,"SL")+COUNTIF(Emp21Apr,"SL")+COUNTIF(Emp21May,"SL")+COUNTIF(Emp21Jun,"SL")+COUNTIF(Emp21Jul,"SL")+COUNTIF(Emp21Aug,"SL")+COUNTIF(Emp21Sep,"SL")+COUNTIF(Emp21Oct,"SL")+COUNTIF(Emp21Nov,"SL")+COUNTIF(Emp21Dec,"SL")</f>
        <v>0</v>
      </c>
      <c r="J24" s="78">
        <f>COUNTIF(Emp21Jan,"AL")+COUNTIF(Emp21Feb,"AL")+COUNTIF(Emp21Mar,"AL")+COUNTIF(Emp21Apr,"AL")+COUNTIF(Emp21May,"AL")+COUNTIF(Emp21Jun,"AL")+COUNTIF(Emp21Jul,"AL")+COUNTIF(Emp21Aug,"AL")+COUNTIF(Emp21Sep,"AL")+COUNTIF(Emp21Oct,"AL")+COUNTIF(Emp21Nov,"AL")+COUNTIF(Emp21Dec,"AL")</f>
        <v>0</v>
      </c>
      <c r="K24" s="78">
        <f>COUNTIF(Emp21Jan,"H")+COUNTIF(Emp21Feb,"H")+COUNTIF(Emp21Mar,"H")+COUNTIF(Emp21Apr,"H")+COUNTIF(Emp21May,"H")+COUNTIF(Emp21Jun,"H")+COUNTIF(Emp21Jul,"H")+COUNTIF(Emp21Aug,"H")+COUNTIF(Emp21Sep,"H")+COUNTIF(Emp21Oct,"H")+COUNTIF(Emp21Nov,"H")+COUNTIF(Emp21Dec,"H")</f>
        <v>0</v>
      </c>
      <c r="L24" s="80">
        <f>COUNTIF(Emp21Jan,"NA")+COUNTIF(Emp21Feb,"NA")+COUNTIF(Emp21Mar,"NA")+COUNTIF(Emp21Apr,"NA")+COUNTIF(Emp21May,"NA")+COUNTIF(Emp21Jun,"NA")+COUNTIF(Emp21Jul,"NA")+COUNTIF(Emp21Aug,"NA")+COUNTIF(Emp21Sep,"NA")+COUNTIF(Emp21Oct,"NA")+COUNTIF(Emp21Nov,"NA")+COUNTIF(Emp21Dec,"NA")</f>
        <v>0</v>
      </c>
      <c r="M24" s="78">
        <f>COUNTIF(Emp21Jan,"SP")+COUNTIF(Emp21Feb,"SP")+COUNTIF(Emp21Mar,"SP")+COUNTIF(Emp21Apr,"SP")+COUNTIF(Emp21May,"SP")+COUNTIF(Emp21Jun,"SP")+COUNTIF(Emp21Jul,"SP")+COUNTIF(Emp21Aug,"SP")+COUNTIF(Emp21Sep,"SP")+COUNTIF(Emp21Oct,"SP")+COUNTIF(Emp21Nov,"SP")+COUNTIF(Emp21Dec,"SP")</f>
        <v>0</v>
      </c>
      <c r="N24" s="80">
        <f t="shared" ref="N24" si="9">SUM(E24:M24)</f>
        <v>0</v>
      </c>
    </row>
    <row r="25" spans="2:14" s="55" customFormat="1" ht="15" hidden="1" customHeight="1">
      <c r="B25" s="55">
        <v>22</v>
      </c>
      <c r="C25" s="181" t="s">
        <v>91</v>
      </c>
      <c r="D25" s="181">
        <f>EmpGName22</f>
        <v>0</v>
      </c>
      <c r="E25" s="79">
        <f>COUNTIF(Emp22Jan,"D")+COUNTIF(Emp22Feb,"D")+COUNTIF(Emp22Mar,"D")+COUNTIF(Emp22Apr,"D")+COUNTIF(Emp22May,"D")+COUNTIF(Emp22Jun,"D")+COUNTIF(Emp22Jul,"D")+COUNTIF(Emp22Aug,"D")+COUNTIF(Emp22Sep,"D")+COUNTIF(Emp22Oct,"D")+COUNTIF(Emp22Nov,"D")+COUNTIF(Emp22Dec,"D")</f>
        <v>0</v>
      </c>
      <c r="F25" s="79">
        <f>COUNTIF(Emp22Jan,"N")+COUNTIF(Emp22Feb,"N")+COUNTIF(Emp22Mar,"N")+COUNTIF(Emp22Apr,"N")+COUNTIF(Emp22May,"N")+COUNTIF(Emp22Jun,"N")+COUNTIF(Emp22Jul,"N")+COUNTIF(Emp22Aug,"N")+COUNTIF(Emp22Sep,"N")+COUNTIF(Emp22Oct,"N")+COUNTIF(Emp22Nov,"N")+COUNTIF(Emp22Dec,"N")</f>
        <v>0</v>
      </c>
      <c r="G25" s="79">
        <f>COUNTIF(Emp22Jan,"A")+COUNTIF(Emp22Feb,"A")+COUNTIF(Emp22Mar,"A")+COUNTIF(Emp22Apr,"A")+COUNTIF(Emp22May,"A")+COUNTIF(Emp22Jun,"A")+COUNTIF(Emp22Jul,"A")+COUNTIF(Emp22Aug,"A")+COUNTIF(Emp22Sep,"A")+COUNTIF(Emp22Oct,"A")+COUNTIF(Emp22Nov,"A")+COUNTIF(Emp22Dec,"A")</f>
        <v>0</v>
      </c>
      <c r="H25" s="79">
        <f>COUNTIF(Emp22Jan,"PO")+COUNTIF(Emp22Feb,"PO")+COUNTIF(Emp22Mar,"PO")+COUNTIF(Emp22Apr,"PO")+COUNTIF(Emp22May,"PO")+COUNTIF(Emp22Jun,"PO")+COUNTIF(Emp22Jul,"PO")+COUNTIF(Emp22Aug,"PO")+COUNTIF(Emp22Sep,"PO")+COUNTIF(Emp22Oct,"PO")+COUNTIF(Emp22Nov,"PO")+COUNTIF(Emp22Dec,"PO")</f>
        <v>0</v>
      </c>
      <c r="I25" s="79">
        <f>COUNTIF(Emp22Jan,"SL")+COUNTIF(Emp22Feb,"SL")+COUNTIF(Emp22Mar,"SL")+COUNTIF(Emp22Apr,"SL")+COUNTIF(Emp22May,"SL")+COUNTIF(Emp22Jun,"SL")+COUNTIF(Emp22Jul,"SL")+COUNTIF(Emp22Aug,"SL")+COUNTIF(Emp22Sep,"SL")+COUNTIF(Emp22Oct,"SL")+COUNTIF(Emp22Nov,"SL")+COUNTIF(Emp22Dec,"SL")</f>
        <v>0</v>
      </c>
      <c r="J25" s="79">
        <f>COUNTIF(Emp22Jan,"AL")+COUNTIF(Emp22Feb,"AL")+COUNTIF(Emp22Mar,"AL")+COUNTIF(Emp22Apr,"AL")+COUNTIF(Emp22May,"AL")+COUNTIF(Emp22Jun,"AL")+COUNTIF(Emp22Jul,"AL")+COUNTIF(Emp22Aug,"AL")+COUNTIF(Emp22Sep,"AL")+COUNTIF(Emp22Oct,"AL")+COUNTIF(Emp22Nov,"AL")+COUNTIF(Emp22Dec,"AL")</f>
        <v>0</v>
      </c>
      <c r="K25" s="79">
        <f>COUNTIF(Emp22Jan,"H")+COUNTIF(Emp22Feb,"H")+COUNTIF(Emp22Mar,"H")+COUNTIF(Emp22Apr,"H")+COUNTIF(Emp22May,"H")+COUNTIF(Emp22Jun,"H")+COUNTIF(Emp22Jul,"H")+COUNTIF(Emp22Aug,"H")+COUNTIF(Emp22Sep,"H")+COUNTIF(Emp22Oct,"H")+COUNTIF(Emp22Nov,"H")+COUNTIF(Emp22Dec,"H")</f>
        <v>0</v>
      </c>
      <c r="L25" s="79">
        <f>COUNTIF(Emp22Jan,"NA")+COUNTIF(Emp22Feb,"NA")+COUNTIF(Emp22Mar,"NA")+COUNTIF(Emp22Apr,"NA")+COUNTIF(Emp22May,"NA")+COUNTIF(Emp22Jun,"NA")+COUNTIF(Emp22Jul,"NA")+COUNTIF(Emp22Aug,"NA")+COUNTIF(Emp22Sep,"NA")+COUNTIF(Emp22Oct,"NA")+COUNTIF(Emp22Nov,"NA")+COUNTIF(Emp22Dec,"NA")</f>
        <v>0</v>
      </c>
      <c r="M25" s="79">
        <f>COUNTIF(Emp22Jan,"SP")+COUNTIF(Emp22Feb,"SP")+COUNTIF(Emp22Mar,"SP")+COUNTIF(Emp22Apr,"SP")+COUNTIF(Emp22May,"SP")+COUNTIF(Emp22Jun,"SP")+COUNTIF(Emp22Jul,"SP")+COUNTIF(Emp22Aug,"SP")+COUNTIF(Emp22Sep,"SP")+COUNTIF(Emp22Oct,"SP")+COUNTIF(Emp22Nov,"SP")+COUNTIF(Emp22Dec,"SP")</f>
        <v>0</v>
      </c>
      <c r="N25" s="79">
        <f t="shared" ref="N25" si="10">SUM(E25:M25)</f>
        <v>0</v>
      </c>
    </row>
    <row r="26" spans="2:14" s="55" customFormat="1" ht="15" hidden="1" customHeight="1">
      <c r="B26" s="55">
        <v>23</v>
      </c>
      <c r="C26" s="180">
        <f>EmpSName23</f>
        <v>0</v>
      </c>
      <c r="D26" s="180">
        <f>EmpGName23</f>
        <v>0</v>
      </c>
      <c r="E26" s="80">
        <f>COUNTIF(Emp23Jan,"D")+COUNTIF(Emp23Feb,"D")+COUNTIF(Emp23Mar,"D")+COUNTIF(Emp23Apr,"D")+COUNTIF(Emp23May,"D")+COUNTIF(Emp23Jun,"D")+COUNTIF(Emp23Jul,"D")+COUNTIF(Emp23Aug,"D")+COUNTIF(Emp23Sep,"D")+COUNTIF(Emp23Oct,"D")+COUNTIF(Emp23Nov,"D")+COUNTIF(Emp23Dec,"D")</f>
        <v>0</v>
      </c>
      <c r="F26" s="80">
        <f>COUNTIF(Emp23Jan,"N")+COUNTIF(Emp23Feb,"N")+COUNTIF(Emp23Mar,"N")+COUNTIF(Emp23Apr,"N")+COUNTIF(Emp23May,"N")+COUNTIF(Emp23Jun,"N")+COUNTIF(Emp23Jul,"N")+COUNTIF(Emp23Aug,"N")+COUNTIF(Emp23Sep,"N")+COUNTIF(Emp23Oct,"N")+COUNTIF(Emp23Nov,"N")+COUNTIF(Emp23Dec,"N")</f>
        <v>0</v>
      </c>
      <c r="G26" s="80">
        <f>COUNTIF(Emp23Jan,"A")+COUNTIF(Emp23Feb,"A")+COUNTIF(Emp23Mar,"A")+COUNTIF(Emp23Apr,"A")+COUNTIF(Emp23May,"A")+COUNTIF(Emp23Jun,"A")+COUNTIF(Emp23Jul,"A")+COUNTIF(Emp23Aug,"A")+COUNTIF(Emp23Sep,"A")+COUNTIF(Emp23Oct,"A")+COUNTIF(Emp23Nov,"A")+COUNTIF(Emp23Dec,"A")</f>
        <v>0</v>
      </c>
      <c r="H26" s="80">
        <f>COUNTIF(Emp23Jan,"PO")+COUNTIF(Emp23Feb,"PO")+COUNTIF(Emp23Mar,"PO")+COUNTIF(Emp23Apr,"PO")+COUNTIF(Emp23May,"PO")+COUNTIF(Emp23Jun,"PO")+COUNTIF(Emp23Jul,"PO")+COUNTIF(Emp23Aug,"PO")+COUNTIF(Emp23Sep,"PO")+COUNTIF(Emp23Oct,"PO")+COUNTIF(Emp23Nov,"PO")+COUNTIF(Emp23Dec,"PO")</f>
        <v>0</v>
      </c>
      <c r="I26" s="78">
        <f>COUNTIF(Emp23Jan,"SL")+COUNTIF(Emp23Feb,"SL")+COUNTIF(Emp23Mar,"SL")+COUNTIF(Emp23Apr,"SL")+COUNTIF(Emp23May,"SL")+COUNTIF(Emp23Jun,"SL")+COUNTIF(Emp23Jul,"SL")+COUNTIF(Emp23Aug,"SL")+COUNTIF(Emp23Sep,"SL")+COUNTIF(Emp23Oct,"SL")+COUNTIF(Emp23Nov,"SL")+COUNTIF(Emp23Dec,"SL")</f>
        <v>0</v>
      </c>
      <c r="J26" s="78">
        <f>COUNTIF(Emp23Jan,"AL")+COUNTIF(Emp23Feb,"AL")+COUNTIF(Emp23Mar,"AL")+COUNTIF(Emp23Apr,"AL")+COUNTIF(Emp23May,"AL")+COUNTIF(Emp23Jun,"AL")+COUNTIF(Emp23Jul,"AL")+COUNTIF(Emp23Aug,"AL")+COUNTIF(Emp23Sep,"AL")+COUNTIF(Emp23Oct,"AL")+COUNTIF(Emp23Nov,"AL")+COUNTIF(Emp23Dec,"AL")</f>
        <v>0</v>
      </c>
      <c r="K26" s="78">
        <f>COUNTIF(Emp23Jan,"H")+COUNTIF(Emp23Feb,"H")+COUNTIF(Emp23Mar,"H")+COUNTIF(Emp23Apr,"H")+COUNTIF(Emp23May,"H")+COUNTIF(Emp23Jun,"H")+COUNTIF(Emp23Jul,"H")+COUNTIF(Emp23Aug,"H")+COUNTIF(Emp23Sep,"H")+COUNTIF(Emp23Oct,"H")+COUNTIF(Emp23Nov,"H")+COUNTIF(Emp23Dec,"H")</f>
        <v>0</v>
      </c>
      <c r="L26" s="80">
        <f>COUNTIF(Emp23Jan,"NA")+COUNTIF(Emp23Feb,"NA")+COUNTIF(Emp23Mar,"NA")+COUNTIF(Emp23Apr,"NA")+COUNTIF(Emp23May,"NA")+COUNTIF(Emp23Jun,"NA")+COUNTIF(Emp23Jul,"NA")+COUNTIF(Emp23Aug,"NA")+COUNTIF(Emp23Sep,"NA")+COUNTIF(Emp23Oct,"NA")+COUNTIF(Emp23Nov,"NA")+COUNTIF(Emp23Dec,"NA")</f>
        <v>0</v>
      </c>
      <c r="M26" s="78">
        <f>COUNTIF(Emp23Jan,"SP")+COUNTIF(Emp23Feb,"SP")+COUNTIF(Emp23Mar,"SP")+COUNTIF(Emp23Apr,"SP")+COUNTIF(Emp23May,"SP")+COUNTIF(Emp23Jun,"SP")+COUNTIF(Emp23Jul,"SP")+COUNTIF(Emp23Aug,"SP")+COUNTIF(Emp23Sep,"SP")+COUNTIF(Emp23Oct,"SP")+COUNTIF(Emp23Nov,"SP")+COUNTIF(Emp23Dec,"SP")</f>
        <v>0</v>
      </c>
      <c r="N26" s="80">
        <f t="shared" ref="N26" si="11">SUM(E26:M26)</f>
        <v>0</v>
      </c>
    </row>
    <row r="27" spans="2:14" s="55" customFormat="1" ht="15" hidden="1" customHeight="1">
      <c r="B27" s="55">
        <v>24</v>
      </c>
      <c r="C27" s="181">
        <f>EmpSName24</f>
        <v>0</v>
      </c>
      <c r="D27" s="181">
        <f>EmpGName24</f>
        <v>0</v>
      </c>
      <c r="E27" s="79">
        <f>COUNTIF(Emp24Jan,"D")+COUNTIF(Emp24Feb,"D")+COUNTIF(Emp24Mar,"D")+COUNTIF(Emp24Apr,"D")+COUNTIF(Emp24May,"D")+COUNTIF(Emp24Jun,"D")+COUNTIF(Emp24Jul,"D")+COUNTIF(Emp24Aug,"D")+COUNTIF(Emp24Sep,"D")+COUNTIF(Emp24Oct,"D")+COUNTIF(Emp24Nov,"D")+COUNTIF(Emp24Dec,"D")</f>
        <v>0</v>
      </c>
      <c r="F27" s="79">
        <f>COUNTIF(Emp24Jan,"N")+COUNTIF(Emp24Feb,"N")+COUNTIF(Emp24Mar,"N")+COUNTIF(Emp24Apr,"N")+COUNTIF(Emp24May,"N")+COUNTIF(Emp24Jun,"N")+COUNTIF(Emp24Jul,"N")+COUNTIF(Emp24Aug,"N")+COUNTIF(Emp24Sep,"N")+COUNTIF(Emp24Oct,"N")+COUNTIF(Emp24Nov,"N")+COUNTIF(Emp24Dec,"N")</f>
        <v>0</v>
      </c>
      <c r="G27" s="79">
        <f>COUNTIF(Emp24Jan,"A")+COUNTIF(Emp24Feb,"A")+COUNTIF(Emp24Mar,"A")+COUNTIF(Emp24Apr,"A")+COUNTIF(Emp24May,"A")+COUNTIF(Emp24Jun,"A")+COUNTIF(Emp24Jul,"A")+COUNTIF(Emp24Aug,"A")+COUNTIF(Emp24Sep,"A")+COUNTIF(Emp24Oct,"A")+COUNTIF(Emp24Nov,"A")+COUNTIF(Emp24Dec,"A")</f>
        <v>0</v>
      </c>
      <c r="H27" s="79">
        <f>COUNTIF(Emp24Jan,"PO")+COUNTIF(Emp24Feb,"PO")+COUNTIF(Emp24Mar,"PO")+COUNTIF(Emp24Apr,"PO")+COUNTIF(Emp24May,"PO")+COUNTIF(Emp24Jun,"PO")+COUNTIF(Emp24Jul,"PO")+COUNTIF(Emp24Aug,"PO")+COUNTIF(Emp24Sep,"PO")+COUNTIF(Emp24Oct,"PO")+COUNTIF(Emp24Nov,"PO")+COUNTIF(Emp24Dec,"PO")</f>
        <v>0</v>
      </c>
      <c r="I27" s="79">
        <f>COUNTIF(Emp24Jan,"SL")+COUNTIF(Emp24Feb,"SL")+COUNTIF(Emp24Mar,"SL")+COUNTIF(Emp24Apr,"SL")+COUNTIF(Emp24May,"SL")+COUNTIF(Emp24Jun,"SL")+COUNTIF(Emp24Jul,"SL")+COUNTIF(Emp24Aug,"SL")+COUNTIF(Emp24Sep,"SL")+COUNTIF(Emp24Oct,"SL")+COUNTIF(Emp24Nov,"SL")+COUNTIF(Emp24Dec,"SL")</f>
        <v>0</v>
      </c>
      <c r="J27" s="79">
        <f>COUNTIF(Emp24Jan,"AL")+COUNTIF(Emp24Feb,"AL")+COUNTIF(Emp24Mar,"AL")+COUNTIF(Emp24Apr,"AL")+COUNTIF(Emp24May,"AL")+COUNTIF(Emp24Jun,"AL")+COUNTIF(Emp24Jul,"AL")+COUNTIF(Emp24Aug,"AL")+COUNTIF(Emp24Sep,"AL")+COUNTIF(Emp24Oct,"AL")+COUNTIF(Emp24Nov,"AL")+COUNTIF(Emp24Dec,"AL")</f>
        <v>0</v>
      </c>
      <c r="K27" s="79">
        <f>COUNTIF(Emp24Jan,"H")+COUNTIF(Emp24Feb,"H")+COUNTIF(Emp24Mar,"H")+COUNTIF(Emp24Apr,"H")+COUNTIF(Emp24May,"H")+COUNTIF(Emp24Jun,"H")+COUNTIF(Emp24Jul,"H")+COUNTIF(Emp24Aug,"H")+COUNTIF(Emp24Sep,"H")+COUNTIF(Emp24Oct,"H")+COUNTIF(Emp24Nov,"H")+COUNTIF(Emp24Dec,"H")</f>
        <v>0</v>
      </c>
      <c r="L27" s="79">
        <f>COUNTIF(Emp24Jan,"NA")+COUNTIF(Emp24Feb,"NA")+COUNTIF(Emp24Mar,"NA")+COUNTIF(Emp24Apr,"NA")+COUNTIF(Emp24May,"NA")+COUNTIF(Emp24Jun,"NA")+COUNTIF(Emp24Jul,"NA")+COUNTIF(Emp24Aug,"NA")+COUNTIF(Emp24Sep,"NA")+COUNTIF(Emp24Oct,"NA")+COUNTIF(Emp24Nov,"NA")+COUNTIF(Emp24Dec,"NA")</f>
        <v>0</v>
      </c>
      <c r="M27" s="79">
        <f>COUNTIF(Emp24Jan,"SP")+COUNTIF(Emp24Feb,"SP")+COUNTIF(Emp24Mar,"SP")+COUNTIF(Emp24Apr,"SP")+COUNTIF(Emp24May,"SP")+COUNTIF(Emp24Jun,"SP")+COUNTIF(Emp24Jul,"SP")+COUNTIF(Emp24Aug,"SP")+COUNTIF(Emp24Sep,"SP")+COUNTIF(Emp24Oct,"SP")+COUNTIF(Emp24Nov,"SP")+COUNTIF(Emp24Dec,"SP")</f>
        <v>0</v>
      </c>
      <c r="N27" s="79">
        <f t="shared" ref="N27" si="12">SUM(E27:M27)</f>
        <v>0</v>
      </c>
    </row>
    <row r="28" spans="2:14" s="55" customFormat="1" ht="15" hidden="1" customHeight="1">
      <c r="B28" s="55">
        <v>25</v>
      </c>
      <c r="C28" s="180">
        <f>EmpSName25</f>
        <v>0</v>
      </c>
      <c r="D28" s="180">
        <f>EmpGName25</f>
        <v>0</v>
      </c>
      <c r="E28" s="80">
        <f>COUNTIF(Emp25Jan,"D")+COUNTIF(Emp25Feb,"D")+COUNTIF(Emp25Mar,"D")+COUNTIF(Emp25Apr,"D")+COUNTIF(Emp25May,"D")+COUNTIF(Emp25Jun,"D")+COUNTIF(Emp25Jul,"D")+COUNTIF(Emp25Aug,"D")+COUNTIF(Emp25Sep,"D")+COUNTIF(Emp25Oct,"D")+COUNTIF(Emp25Nov,"D")+COUNTIF(Emp25Dec,"D")</f>
        <v>0</v>
      </c>
      <c r="F28" s="80">
        <f>COUNTIF(Emp25Jan,"N")+COUNTIF(Emp25Feb,"N")+COUNTIF(Emp25Mar,"N")+COUNTIF(Emp25Apr,"N")+COUNTIF(Emp25May,"N")+COUNTIF(Emp25Jun,"N")+COUNTIF(Emp25Jul,"N")+COUNTIF(Emp25Aug,"N")+COUNTIF(Emp25Sep,"N")+COUNTIF(Emp25Oct,"N")+COUNTIF(Emp25Nov,"N")+COUNTIF(Emp25Dec,"N")</f>
        <v>0</v>
      </c>
      <c r="G28" s="80">
        <f>COUNTIF(Emp25Jan,"A")+COUNTIF(Emp25Feb,"A")+COUNTIF(Emp25Mar,"A")+COUNTIF(Emp25Apr,"A")+COUNTIF(Emp25May,"A")+COUNTIF(Emp25Jun,"A")+COUNTIF(Emp25Jul,"A")+COUNTIF(Emp25Aug,"A")+COUNTIF(Emp25Sep,"A")+COUNTIF(Emp25Oct,"A")+COUNTIF(Emp25Nov,"A")+COUNTIF(Emp25Dec,"A")</f>
        <v>0</v>
      </c>
      <c r="H28" s="80">
        <f>COUNTIF(Emp25Jan,"PO")+COUNTIF(Emp25Feb,"PO")+COUNTIF(Emp25Mar,"PO")+COUNTIF(Emp25Apr,"PO")+COUNTIF(Emp25May,"PO")+COUNTIF(Emp25Jun,"PO")+COUNTIF(Emp25Jul,"PO")+COUNTIF(Emp25Aug,"PO")+COUNTIF(Emp25Sep,"PO")+COUNTIF(Emp25Oct,"PO")+COUNTIF(Emp25Nov,"PO")+COUNTIF(Emp25Dec,"PO")</f>
        <v>0</v>
      </c>
      <c r="I28" s="78">
        <f>COUNTIF(Emp25Jan,"SL")+COUNTIF(Emp25Feb,"SL")+COUNTIF(Emp25Mar,"SL")+COUNTIF(Emp25Apr,"SL")+COUNTIF(Emp25May,"SL")+COUNTIF(Emp25Jun,"SL")+COUNTIF(Emp25Jul,"SL")+COUNTIF(Emp25Aug,"SL")+COUNTIF(Emp25Sep,"SL")+COUNTIF(Emp25Oct,"SL")+COUNTIF(Emp25Nov,"SL")+COUNTIF(Emp25Dec,"SL")</f>
        <v>0</v>
      </c>
      <c r="J28" s="78">
        <f>COUNTIF(Emp25Jan,"AL")+COUNTIF(Emp25Feb,"AL")+COUNTIF(Emp25Mar,"AL")+COUNTIF(Emp25Apr,"AL")+COUNTIF(Emp25May,"AL")+COUNTIF(Emp25Jun,"AL")+COUNTIF(Emp25Jul,"AL")+COUNTIF(Emp25Aug,"AL")+COUNTIF(Emp25Sep,"AL")+COUNTIF(Emp25Oct,"AL")+COUNTIF(Emp25Nov,"AL")+COUNTIF(Emp25Dec,"AL")</f>
        <v>0</v>
      </c>
      <c r="K28" s="78">
        <f>COUNTIF(Emp25Jan,"H")+COUNTIF(Emp25Feb,"H")+COUNTIF(Emp25Mar,"H")+COUNTIF(Emp25Apr,"H")+COUNTIF(Emp25May,"H")+COUNTIF(Emp25Jun,"H")+COUNTIF(Emp25Jul,"H")+COUNTIF(Emp25Aug,"H")+COUNTIF(Emp25Sep,"H")+COUNTIF(Emp25Oct,"H")+COUNTIF(Emp25Nov,"H")+COUNTIF(Emp25Dec,"H")</f>
        <v>0</v>
      </c>
      <c r="L28" s="80">
        <f>COUNTIF(Emp25Jan,"NA")+COUNTIF(Emp25Feb,"NA")+COUNTIF(Emp25Mar,"NA")+COUNTIF(Emp25Apr,"NA")+COUNTIF(Emp25May,"NA")+COUNTIF(Emp25Jun,"NA")+COUNTIF(Emp25Jul,"NA")+COUNTIF(Emp25Aug,"NA")+COUNTIF(Emp25Sep,"NA")+COUNTIF(Emp25Oct,"NA")+COUNTIF(Emp25Nov,"NA")+COUNTIF(Emp25Dec,"NA")</f>
        <v>0</v>
      </c>
      <c r="M28" s="78">
        <f>COUNTIF(Emp25Jan,"SP")+COUNTIF(Emp25Feb,"SP")+COUNTIF(Emp25Mar,"SP")+COUNTIF(Emp25Apr,"SP")+COUNTIF(Emp25May,"SP")+COUNTIF(Emp25Jun,"SP")+COUNTIF(Emp25Jul,"SP")+COUNTIF(Emp25Aug,"SP")+COUNTIF(Emp25Sep,"SP")+COUNTIF(Emp25Oct,"SP")+COUNTIF(Emp25Nov,"SP")+COUNTIF(Emp25Dec,"SP")</f>
        <v>0</v>
      </c>
      <c r="N28" s="80">
        <f t="shared" ref="N28" si="13">SUM(E28:M28)</f>
        <v>0</v>
      </c>
    </row>
    <row r="29" spans="2:14" s="55" customFormat="1" ht="15" hidden="1" customHeight="1">
      <c r="B29" s="55">
        <v>26</v>
      </c>
      <c r="C29" s="181">
        <f>EmpSName26</f>
        <v>0</v>
      </c>
      <c r="D29" s="181">
        <f>EmpGName26</f>
        <v>0</v>
      </c>
      <c r="E29" s="79">
        <f>COUNTIF(Emp26Jan,"D")+COUNTIF(Emp26Feb,"D")+COUNTIF(Emp26Mar,"D")+COUNTIF(Emp26Apr,"D")+COUNTIF(Emp26May,"D")+COUNTIF(Emp26Jun,"D")+COUNTIF(Emp26Jul,"D")+COUNTIF(Emp26Aug,"D")+COUNTIF(Emp26Sep,"D")+COUNTIF(Emp26Oct,"D")+COUNTIF(Emp26Nov,"D")+COUNTIF(Emp26Dec,"D")</f>
        <v>0</v>
      </c>
      <c r="F29" s="79">
        <f>COUNTIF(Emp26Jan,"N")+COUNTIF(Emp26Feb,"N")+COUNTIF(Emp26Mar,"N")+COUNTIF(Emp26Apr,"N")+COUNTIF(Emp26May,"N")+COUNTIF(Emp26Jun,"N")+COUNTIF(Emp26Jul,"N")+COUNTIF(Emp26Aug,"N")+COUNTIF(Emp26Sep,"N")+COUNTIF(Emp26Oct,"N")+COUNTIF(Emp26Nov,"N")+COUNTIF(Emp26Dec,"N")</f>
        <v>0</v>
      </c>
      <c r="G29" s="79">
        <f>COUNTIF(Emp26Jan,"A")+COUNTIF(Emp26Feb,"A")+COUNTIF(Emp26Mar,"A")+COUNTIF(Emp26Apr,"A")+COUNTIF(Emp26May,"A")+COUNTIF(Emp26Jun,"A")+COUNTIF(Emp26Jul,"A")+COUNTIF(Emp26Aug,"A")+COUNTIF(Emp26Sep,"A")+COUNTIF(Emp26Oct,"A")+COUNTIF(Emp26Nov,"A")+COUNTIF(Emp26Dec,"A")</f>
        <v>0</v>
      </c>
      <c r="H29" s="79">
        <f>COUNTIF(Emp26Jan,"PO")+COUNTIF(Emp26Feb,"PO")+COUNTIF(Emp26Mar,"PO")+COUNTIF(Emp26Apr,"PO")+COUNTIF(Emp26May,"PO")+COUNTIF(Emp26Jun,"PO")+COUNTIF(Emp26Jul,"PO")+COUNTIF(Emp26Aug,"PO")+COUNTIF(Emp26Sep,"PO")+COUNTIF(Emp26Oct,"PO")+COUNTIF(Emp26Nov,"PO")+COUNTIF(Emp26Dec,"PO")</f>
        <v>0</v>
      </c>
      <c r="I29" s="79">
        <f>COUNTIF(Emp26Jan,"SL")+COUNTIF(Emp26Feb,"SL")+COUNTIF(Emp26Mar,"SL")+COUNTIF(Emp26Apr,"SL")+COUNTIF(Emp26May,"SL")+COUNTIF(Emp26Jun,"SL")+COUNTIF(Emp26Jul,"SL")+COUNTIF(Emp26Aug,"SL")+COUNTIF(Emp26Sep,"SL")+COUNTIF(Emp26Oct,"SL")+COUNTIF(Emp26Nov,"SL")+COUNTIF(Emp26Dec,"SL")</f>
        <v>0</v>
      </c>
      <c r="J29" s="79">
        <f>COUNTIF(Emp26Jan,"AL")+COUNTIF(Emp26Feb,"AL")+COUNTIF(Emp26Mar,"AL")+COUNTIF(Emp26Apr,"AL")+COUNTIF(Emp26May,"AL")+COUNTIF(Emp26Jun,"AL")+COUNTIF(Emp26Jul,"AL")+COUNTIF(Emp26Aug,"AL")+COUNTIF(Emp26Sep,"AL")+COUNTIF(Emp26Oct,"AL")+COUNTIF(Emp26Nov,"AL")+COUNTIF(Emp26Dec,"AL")</f>
        <v>0</v>
      </c>
      <c r="K29" s="79">
        <f>COUNTIF(Emp26Jan,"H")+COUNTIF(Emp26Feb,"H")+COUNTIF(Emp26Mar,"H")+COUNTIF(Emp26Apr,"H")+COUNTIF(Emp26May,"H")+COUNTIF(Emp26Jun,"H")+COUNTIF(Emp26Jul,"H")+COUNTIF(Emp26Aug,"H")+COUNTIF(Emp26Sep,"H")+COUNTIF(Emp26Oct,"H")+COUNTIF(Emp26Nov,"H")+COUNTIF(Emp26Dec,"H")</f>
        <v>0</v>
      </c>
      <c r="L29" s="79">
        <f>COUNTIF(Emp26Jan,"NA")+COUNTIF(Emp26Feb,"NA")+COUNTIF(Emp26Mar,"NA")+COUNTIF(Emp26Apr,"NA")+COUNTIF(Emp26May,"NA")+COUNTIF(Emp26Jun,"NA")+COUNTIF(Emp26Jul,"NA")+COUNTIF(Emp26Aug,"NA")+COUNTIF(Emp26Sep,"NA")+COUNTIF(Emp26Oct,"NA")+COUNTIF(Emp26Nov,"NA")+COUNTIF(Emp26Dec,"NA")</f>
        <v>0</v>
      </c>
      <c r="M29" s="79">
        <f>COUNTIF(Emp26Jan,"SP")+COUNTIF(Emp26Feb,"SP")+COUNTIF(Emp26Mar,"SP")+COUNTIF(Emp26Apr,"SP")+COUNTIF(Emp26May,"SP")+COUNTIF(Emp26Jun,"SP")+COUNTIF(Emp26Jul,"SP")+COUNTIF(Emp26Aug,"SP")+COUNTIF(Emp26Sep,"SP")+COUNTIF(Emp26Oct,"SP")+COUNTIF(Emp26Nov,"SP")+COUNTIF(Emp26Dec,"SP")</f>
        <v>0</v>
      </c>
      <c r="N29" s="79">
        <f t="shared" ref="N29" si="14">SUM(E29:M29)</f>
        <v>0</v>
      </c>
    </row>
    <row r="30" spans="2:14" s="55" customFormat="1" ht="15" hidden="1" customHeight="1">
      <c r="B30" s="55">
        <v>27</v>
      </c>
      <c r="C30" s="180">
        <f>EmpSName27</f>
        <v>0</v>
      </c>
      <c r="D30" s="180">
        <f>EmpGName27</f>
        <v>0</v>
      </c>
      <c r="E30" s="80">
        <f>COUNTIF(Emp27Jan,"D")+COUNTIF(Emp27Feb,"D")+COUNTIF(Emp27Mar,"D")+COUNTIF(Emp27Apr,"D")+COUNTIF(Emp27May,"D")+COUNTIF(Emp27Jun,"D")+COUNTIF(Emp27Jul,"D")+COUNTIF(Emp27Aug,"D")+COUNTIF(Emp27Sep,"D")+COUNTIF(Emp27Oct,"D")+COUNTIF(Emp27Nov,"D")+COUNTIF(Emp27Dec,"D")</f>
        <v>0</v>
      </c>
      <c r="F30" s="80">
        <f>COUNTIF(Emp27Jan,"N")+COUNTIF(Emp27Feb,"N")+COUNTIF(Emp27Mar,"N")+COUNTIF(Emp27Apr,"N")+COUNTIF(Emp27May,"N")+COUNTIF(Emp27Jun,"N")+COUNTIF(Emp27Jul,"N")+COUNTIF(Emp27Aug,"N")+COUNTIF(Emp27Sep,"N")+COUNTIF(Emp27Oct,"N")+COUNTIF(Emp27Nov,"N")+COUNTIF(Emp27Dec,"N")</f>
        <v>0</v>
      </c>
      <c r="G30" s="80">
        <f>COUNTIF(Emp27Jan,"A")+COUNTIF(Emp27Feb,"A")+COUNTIF(Emp27Mar,"A")+COUNTIF(Emp27Apr,"A")+COUNTIF(Emp27May,"A")+COUNTIF(Emp27Jun,"A")+COUNTIF(Emp27Jul,"A")+COUNTIF(Emp27Aug,"A")+COUNTIF(Emp27Sep,"A")+COUNTIF(Emp27Oct,"A")+COUNTIF(Emp27Nov,"A")+COUNTIF(Emp27Dec,"A")</f>
        <v>0</v>
      </c>
      <c r="H30" s="80">
        <f>COUNTIF(Emp27Jan,"PO")+COUNTIF(Emp27Feb,"PO")+COUNTIF(Emp27Mar,"PO")+COUNTIF(Emp27Apr,"PO")+COUNTIF(Emp27May,"PO")+COUNTIF(Emp27Jun,"PO")+COUNTIF(Emp27Jul,"PO")+COUNTIF(Emp27Aug,"PO")+COUNTIF(Emp27Sep,"PO")+COUNTIF(Emp27Oct,"PO")+COUNTIF(Emp27Nov,"PO")+COUNTIF(Emp27Dec,"PO")</f>
        <v>0</v>
      </c>
      <c r="I30" s="78">
        <f>COUNTIF(Emp27Jan,"SL")+COUNTIF(Emp27Feb,"SL")+COUNTIF(Emp27Mar,"SL")+COUNTIF(Emp27Apr,"SL")+COUNTIF(Emp27May,"SL")+COUNTIF(Emp27Jun,"SL")+COUNTIF(Emp27Jul,"SL")+COUNTIF(Emp27Aug,"SL")+COUNTIF(Emp27Sep,"SL")+COUNTIF(Emp27Oct,"SL")+COUNTIF(Emp27Nov,"SL")+COUNTIF(Emp27Dec,"SL")</f>
        <v>0</v>
      </c>
      <c r="J30" s="78">
        <f>COUNTIF(Emp27Jan,"AL")+COUNTIF(Emp27Feb,"AL")+COUNTIF(Emp27Mar,"AL")+COUNTIF(Emp27Apr,"AL")+COUNTIF(Emp27May,"AL")+COUNTIF(Emp27Jun,"AL")+COUNTIF(Emp27Jul,"AL")+COUNTIF(Emp27Aug,"AL")+COUNTIF(Emp27Sep,"AL")+COUNTIF(Emp27Oct,"AL")+COUNTIF(Emp27Nov,"AL")+COUNTIF(Emp27Dec,"AL")</f>
        <v>0</v>
      </c>
      <c r="K30" s="78">
        <f>COUNTIF(Emp27Jan,"H")+COUNTIF(Emp27Feb,"H")+COUNTIF(Emp27Mar,"H")+COUNTIF(Emp27Apr,"H")+COUNTIF(Emp27May,"H")+COUNTIF(Emp27Jun,"H")+COUNTIF(Emp27Jul,"H")+COUNTIF(Emp27Aug,"H")+COUNTIF(Emp27Sep,"H")+COUNTIF(Emp27Oct,"H")+COUNTIF(Emp27Nov,"H")+COUNTIF(Emp27Dec,"H")</f>
        <v>0</v>
      </c>
      <c r="L30" s="80">
        <f>COUNTIF(Emp27Jan,"NA")+COUNTIF(Emp27Feb,"NA")+COUNTIF(Emp27Mar,"NA")+COUNTIF(Emp27Apr,"NA")+COUNTIF(Emp27May,"NA")+COUNTIF(Emp27Jun,"NA")+COUNTIF(Emp27Jul,"NA")+COUNTIF(Emp27Aug,"NA")+COUNTIF(Emp27Sep,"NA")+COUNTIF(Emp27Oct,"NA")+COUNTIF(Emp27Nov,"NA")+COUNTIF(Emp27Dec,"NA")</f>
        <v>0</v>
      </c>
      <c r="M30" s="78">
        <f>COUNTIF(Emp27Jan,"SP")+COUNTIF(Emp27Feb,"SP")+COUNTIF(Emp27Mar,"SP")+COUNTIF(Emp27Apr,"SP")+COUNTIF(Emp27May,"SP")+COUNTIF(Emp27Jun,"SP")+COUNTIF(Emp27Jul,"SP")+COUNTIF(Emp27Aug,"SP")+COUNTIF(Emp27Sep,"SP")+COUNTIF(Emp27Oct,"SP")+COUNTIF(Emp27Nov,"SP")+COUNTIF(Emp27Dec,"SP")</f>
        <v>0</v>
      </c>
      <c r="N30" s="80">
        <f t="shared" ref="N30" si="15">SUM(E30:M30)</f>
        <v>0</v>
      </c>
    </row>
    <row r="31" spans="2:14" s="55" customFormat="1" ht="15" hidden="1" customHeight="1">
      <c r="B31" s="55">
        <v>28</v>
      </c>
      <c r="C31" s="181">
        <f>EmpSName28</f>
        <v>0</v>
      </c>
      <c r="D31" s="181">
        <f>EmpGName28</f>
        <v>0</v>
      </c>
      <c r="E31" s="79">
        <f>COUNTIF(Emp28Jan,"D")+COUNTIF(Emp28Feb,"D")+COUNTIF(Emp28Mar,"D")+COUNTIF(Emp28Apr,"D")+COUNTIF(Emp28May,"D")+COUNTIF(Emp28Jun,"D")+COUNTIF(Emp28Jul,"D")+COUNTIF(Emp28Aug,"D")+COUNTIF(Emp28Sep,"D")+COUNTIF(Emp28Oct,"D")+COUNTIF(Emp28Nov,"D")+COUNTIF(Emp28Dec,"D")</f>
        <v>0</v>
      </c>
      <c r="F31" s="79">
        <f>COUNTIF(Emp28Jan,"N")+COUNTIF(Emp28Feb,"N")+COUNTIF(Emp28Mar,"N")+COUNTIF(Emp28Apr,"N")+COUNTIF(Emp28May,"N")+COUNTIF(Emp28Jun,"N")+COUNTIF(Emp28Jul,"N")+COUNTIF(Emp28Aug,"N")+COUNTIF(Emp28Sep,"N")+COUNTIF(Emp28Oct,"N")+COUNTIF(Emp28Nov,"N")+COUNTIF(Emp28Dec,"N")</f>
        <v>0</v>
      </c>
      <c r="G31" s="79">
        <f>COUNTIF(Emp28Jan,"A")+COUNTIF(Emp28Feb,"A")+COUNTIF(Emp28Mar,"A")+COUNTIF(Emp28Apr,"A")+COUNTIF(Emp28May,"A")+COUNTIF(Emp28Jun,"A")+COUNTIF(Emp28Jul,"A")+COUNTIF(Emp28Aug,"A")+COUNTIF(Emp28Sep,"A")+COUNTIF(Emp28Oct,"A")+COUNTIF(Emp28Nov,"A")+COUNTIF(Emp28Dec,"A")</f>
        <v>0</v>
      </c>
      <c r="H31" s="79">
        <f>COUNTIF(Emp28Jan,"PO")+COUNTIF(Emp28Feb,"PO")+COUNTIF(Emp28Mar,"PO")+COUNTIF(Emp28Apr,"PO")+COUNTIF(Emp28May,"PO")+COUNTIF(Emp28Jun,"PO")+COUNTIF(Emp28Jul,"PO")+COUNTIF(Emp28Aug,"PO")+COUNTIF(Emp28Sep,"PO")+COUNTIF(Emp28Oct,"PO")+COUNTIF(Emp28Nov,"PO")+COUNTIF(Emp28Dec,"PO")</f>
        <v>0</v>
      </c>
      <c r="I31" s="79">
        <f>COUNTIF(Emp28Jan,"SL")+COUNTIF(Emp28Feb,"SL")+COUNTIF(Emp28Mar,"SL")+COUNTIF(Emp28Apr,"SL")+COUNTIF(Emp28May,"SL")+COUNTIF(Emp28Jun,"SL")+COUNTIF(Emp28Jul,"SL")+COUNTIF(Emp28Aug,"SL")+COUNTIF(Emp28Sep,"SL")+COUNTIF(Emp28Oct,"SL")+COUNTIF(Emp28Nov,"SL")+COUNTIF(Emp28Dec,"SL")</f>
        <v>0</v>
      </c>
      <c r="J31" s="79">
        <f>COUNTIF(Emp28Jan,"AL")+COUNTIF(Emp28Feb,"AL")+COUNTIF(Emp28Mar,"AL")+COUNTIF(Emp28Apr,"AL")+COUNTIF(Emp28May,"AL")+COUNTIF(Emp28Jun,"AL")+COUNTIF(Emp28Jul,"AL")+COUNTIF(Emp28Aug,"AL")+COUNTIF(Emp28Sep,"AL")+COUNTIF(Emp28Oct,"AL")+COUNTIF(Emp28Nov,"AL")+COUNTIF(Emp28Dec,"AL")</f>
        <v>0</v>
      </c>
      <c r="K31" s="79">
        <f>COUNTIF(Emp28Jan,"H")+COUNTIF(Emp28Feb,"H")+COUNTIF(Emp28Mar,"H")+COUNTIF(Emp28Apr,"H")+COUNTIF(Emp28May,"H")+COUNTIF(Emp28Jun,"H")+COUNTIF(Emp28Jul,"H")+COUNTIF(Emp28Aug,"H")+COUNTIF(Emp28Sep,"H")+COUNTIF(Emp28Oct,"H")+COUNTIF(Emp28Nov,"H")+COUNTIF(Emp28Dec,"H")</f>
        <v>0</v>
      </c>
      <c r="L31" s="79">
        <f>COUNTIF(Emp28Jan,"NA")+COUNTIF(Emp28Feb,"NA")+COUNTIF(Emp28Mar,"NA")+COUNTIF(Emp28Apr,"NA")+COUNTIF(Emp28May,"NA")+COUNTIF(Emp28Jun,"NA")+COUNTIF(Emp28Jul,"NA")+COUNTIF(Emp28Aug,"NA")+COUNTIF(Emp28Sep,"NA")+COUNTIF(Emp28Oct,"NA")+COUNTIF(Emp28Nov,"NA")+COUNTIF(Emp28Dec,"NA")</f>
        <v>0</v>
      </c>
      <c r="M31" s="79">
        <f>COUNTIF(Emp28Jan,"SP")+COUNTIF(Emp28Feb,"SP")+COUNTIF(Emp28Mar,"SP")+COUNTIF(Emp28Apr,"SP")+COUNTIF(Emp28May,"SP")+COUNTIF(Emp28Jun,"SP")+COUNTIF(Emp28Jul,"SP")+COUNTIF(Emp28Aug,"SP")+COUNTIF(Emp28Sep,"SP")+COUNTIF(Emp28Oct,"SP")+COUNTIF(Emp28Nov,"SP")+COUNTIF(Emp28Dec,"SP")</f>
        <v>0</v>
      </c>
      <c r="N31" s="79">
        <f t="shared" ref="N31" si="16">SUM(E31:M31)</f>
        <v>0</v>
      </c>
    </row>
    <row r="32" spans="2:14" s="55" customFormat="1"/>
    <row r="33" spans="4:14" s="55" customFormat="1">
      <c r="D33" s="94" t="s">
        <v>50</v>
      </c>
      <c r="E33" s="93">
        <f>SUM(E4:E31)</f>
        <v>0</v>
      </c>
      <c r="F33" s="93">
        <f t="shared" ref="F33:N33" si="17">SUM(F4:F31)</f>
        <v>0</v>
      </c>
      <c r="G33" s="93">
        <f t="shared" si="17"/>
        <v>0</v>
      </c>
      <c r="H33" s="93">
        <f t="shared" si="17"/>
        <v>0</v>
      </c>
      <c r="I33" s="93">
        <f t="shared" si="17"/>
        <v>0</v>
      </c>
      <c r="J33" s="93">
        <f t="shared" si="17"/>
        <v>0</v>
      </c>
      <c r="K33" s="93">
        <f t="shared" si="17"/>
        <v>0</v>
      </c>
      <c r="L33" s="93">
        <f t="shared" si="17"/>
        <v>0</v>
      </c>
      <c r="M33" s="93">
        <f t="shared" si="17"/>
        <v>0</v>
      </c>
      <c r="N33" s="93">
        <f t="shared" si="17"/>
        <v>0</v>
      </c>
    </row>
    <row r="34" spans="4:14" s="55" customFormat="1"/>
    <row r="35" spans="4:14" s="55" customFormat="1"/>
    <row r="36" spans="4:14" s="55" customFormat="1"/>
    <row r="37" spans="4:14" s="55" customFormat="1"/>
    <row r="38" spans="4:14" s="55" customFormat="1"/>
    <row r="39" spans="4:14" s="55" customFormat="1"/>
    <row r="40" spans="4:14" s="55" customFormat="1"/>
    <row r="41" spans="4:14" s="55" customFormat="1"/>
  </sheetData>
  <sheetProtection sheet="1" objects="1" scenarios="1" selectLockedCells="1" selectUnlockedCells="1"/>
  <customSheetViews>
    <customSheetView guid="{AD9D0CFE-E6C4-49DD-B2D2-304A3BF30C6C}" showRuler="0" topLeftCell="A2">
      <selection activeCell="E12" sqref="E12:F12"/>
      <pageMargins left="0.75" right="0.75" top="1" bottom="1" header="0.5" footer="0.5"/>
      <headerFooter alignWithMargins="0"/>
    </customSheetView>
    <customSheetView guid="{9CC23DA7-DD7F-416D-ABE1-6A68EF4528AC}" scale="195" showGridLines="0" showRowCol="0" showRuler="0">
      <selection activeCell="E15" sqref="E15"/>
    </customSheetView>
  </customSheetViews>
  <mergeCells count="1">
    <mergeCell ref="C3:D3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customUI/customUI.xml><?xml version="1.0" encoding="utf-8"?>
<customUI xmlns="http://schemas.microsoft.com/office/2006/01/customui" onLoad="InitRibbon">
  <ribbon startFromScratch="tru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fals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false"/>
    <tab idMso="TabOfficeStart" visible="false"/>
  </backstage>
</customUI>
</file>

<file path=customUI/customUI14.xml><?xml version="1.0" encoding="utf-8"?>
<customUI xmlns="http://schemas.microsoft.com/office/2009/07/customui" onLoad="InitRibbon">
  <ribbon startFromScratch="fals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dropDown id="drpPE" label="First Period Ending:" onAction="drpPE_SetPeriodEnding" getItemLabel="drpPE_GetPeriodsEnding" getItemCount="drpPE_GetPeriodEndingItemCount" getItemID="drpPE_GetItemId" getSelectedItemID="drpPE_GetSelectedItemId"/>
          <separator id="sepPeriodEnding"/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tru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true"/>
    <tab idMso="TabOfficeStart" visible="fals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483</vt:i4>
      </vt:variant>
    </vt:vector>
  </HeadingPairs>
  <TitlesOfParts>
    <vt:vector size="498" baseType="lpstr">
      <vt:lpstr>Roster</vt:lpstr>
      <vt:lpstr>DATA</vt:lpstr>
      <vt:lpstr>Emp1</vt:lpstr>
      <vt:lpstr>Emp2</vt:lpstr>
      <vt:lpstr>Emp3</vt:lpstr>
      <vt:lpstr>Emp4</vt:lpstr>
      <vt:lpstr>Emp5</vt:lpstr>
      <vt:lpstr>Emp6</vt:lpstr>
      <vt:lpstr>Emp7</vt:lpstr>
      <vt:lpstr>Emp8</vt:lpstr>
      <vt:lpstr>Emp9</vt:lpstr>
      <vt:lpstr>Emp10</vt:lpstr>
      <vt:lpstr>Emp11</vt:lpstr>
      <vt:lpstr>Emp12</vt:lpstr>
      <vt:lpstr>Summary</vt:lpstr>
      <vt:lpstr>_29</vt:lpstr>
      <vt:lpstr>_Emp1</vt:lpstr>
      <vt:lpstr>AllEmps</vt:lpstr>
      <vt:lpstr>April_Heads</vt:lpstr>
      <vt:lpstr>August_Heads</vt:lpstr>
      <vt:lpstr>AutoEnd</vt:lpstr>
      <vt:lpstr>BlockEmps</vt:lpstr>
      <vt:lpstr>CurYear</vt:lpstr>
      <vt:lpstr>D</vt:lpstr>
      <vt:lpstr>December_Heads</vt:lpstr>
      <vt:lpstr>ee</vt:lpstr>
      <vt:lpstr>Emp01Apr</vt:lpstr>
      <vt:lpstr>Emp01Aug</vt:lpstr>
      <vt:lpstr>Emp01Dec</vt:lpstr>
      <vt:lpstr>Emp01Feb</vt:lpstr>
      <vt:lpstr>Emp01Jan</vt:lpstr>
      <vt:lpstr>Emp01Jul</vt:lpstr>
      <vt:lpstr>Emp01Jun</vt:lpstr>
      <vt:lpstr>Emp01Mar</vt:lpstr>
      <vt:lpstr>Emp01May</vt:lpstr>
      <vt:lpstr>Emp01Nov</vt:lpstr>
      <vt:lpstr>Emp01Oct</vt:lpstr>
      <vt:lpstr>Emp01Sep</vt:lpstr>
      <vt:lpstr>Emp01Summary</vt:lpstr>
      <vt:lpstr>Emp02Apr</vt:lpstr>
      <vt:lpstr>Emp02Aug</vt:lpstr>
      <vt:lpstr>Emp02Dec</vt:lpstr>
      <vt:lpstr>Emp02Feb</vt:lpstr>
      <vt:lpstr>Emp02Jan</vt:lpstr>
      <vt:lpstr>Emp02Jul</vt:lpstr>
      <vt:lpstr>Emp02Jun</vt:lpstr>
      <vt:lpstr>Emp02Mar</vt:lpstr>
      <vt:lpstr>Emp02May</vt:lpstr>
      <vt:lpstr>Emp02Nov</vt:lpstr>
      <vt:lpstr>Emp02Oct</vt:lpstr>
      <vt:lpstr>Emp02Sep</vt:lpstr>
      <vt:lpstr>Emp02Summary</vt:lpstr>
      <vt:lpstr>Emp03Apr</vt:lpstr>
      <vt:lpstr>Emp03Aug</vt:lpstr>
      <vt:lpstr>Emp03Dec</vt:lpstr>
      <vt:lpstr>Emp03Feb</vt:lpstr>
      <vt:lpstr>Emp03Jan</vt:lpstr>
      <vt:lpstr>Emp03Jul</vt:lpstr>
      <vt:lpstr>Emp03Jun</vt:lpstr>
      <vt:lpstr>Emp03Mar</vt:lpstr>
      <vt:lpstr>Emp03May</vt:lpstr>
      <vt:lpstr>Emp03Nov</vt:lpstr>
      <vt:lpstr>Emp03Oct</vt:lpstr>
      <vt:lpstr>Emp03Sep</vt:lpstr>
      <vt:lpstr>Emp03Summary</vt:lpstr>
      <vt:lpstr>Emp04Apr</vt:lpstr>
      <vt:lpstr>Emp04Aug</vt:lpstr>
      <vt:lpstr>Emp04Dec</vt:lpstr>
      <vt:lpstr>Emp04Feb</vt:lpstr>
      <vt:lpstr>Emp04Jan</vt:lpstr>
      <vt:lpstr>Emp04Jul</vt:lpstr>
      <vt:lpstr>Emp04Jun</vt:lpstr>
      <vt:lpstr>Emp04Mar</vt:lpstr>
      <vt:lpstr>Emp04May</vt:lpstr>
      <vt:lpstr>Emp04Nov</vt:lpstr>
      <vt:lpstr>Emp04Oct</vt:lpstr>
      <vt:lpstr>Emp04Sep</vt:lpstr>
      <vt:lpstr>Emp04Summary</vt:lpstr>
      <vt:lpstr>Emp05Apr</vt:lpstr>
      <vt:lpstr>Emp05Aug</vt:lpstr>
      <vt:lpstr>Emp05Dec</vt:lpstr>
      <vt:lpstr>Emp05Feb</vt:lpstr>
      <vt:lpstr>Emp05Jan</vt:lpstr>
      <vt:lpstr>Emp05Jul</vt:lpstr>
      <vt:lpstr>Emp05Jun</vt:lpstr>
      <vt:lpstr>Emp05Mar</vt:lpstr>
      <vt:lpstr>Emp05May</vt:lpstr>
      <vt:lpstr>Emp05Nov</vt:lpstr>
      <vt:lpstr>Emp05Oct</vt:lpstr>
      <vt:lpstr>Emp05Sep</vt:lpstr>
      <vt:lpstr>Emp05Summary</vt:lpstr>
      <vt:lpstr>Emp06Apr</vt:lpstr>
      <vt:lpstr>Emp06Aug</vt:lpstr>
      <vt:lpstr>Emp06Dec</vt:lpstr>
      <vt:lpstr>Emp06Feb</vt:lpstr>
      <vt:lpstr>Emp06Jan</vt:lpstr>
      <vt:lpstr>Emp06Jul</vt:lpstr>
      <vt:lpstr>Emp06Jun</vt:lpstr>
      <vt:lpstr>Emp06Mar</vt:lpstr>
      <vt:lpstr>Emp06May</vt:lpstr>
      <vt:lpstr>Emp06Nov</vt:lpstr>
      <vt:lpstr>Emp06Oct</vt:lpstr>
      <vt:lpstr>Emp06Sep</vt:lpstr>
      <vt:lpstr>Emp06Summary</vt:lpstr>
      <vt:lpstr>Emp07Apr</vt:lpstr>
      <vt:lpstr>Emp07Aug</vt:lpstr>
      <vt:lpstr>Emp07Dec</vt:lpstr>
      <vt:lpstr>Emp07Feb</vt:lpstr>
      <vt:lpstr>Emp07Jan</vt:lpstr>
      <vt:lpstr>Emp07Jul</vt:lpstr>
      <vt:lpstr>Emp07Jun</vt:lpstr>
      <vt:lpstr>Emp07Mar</vt:lpstr>
      <vt:lpstr>Emp07May</vt:lpstr>
      <vt:lpstr>Emp07Nov</vt:lpstr>
      <vt:lpstr>Emp07Oct</vt:lpstr>
      <vt:lpstr>Emp07Sep</vt:lpstr>
      <vt:lpstr>Emp07Summary</vt:lpstr>
      <vt:lpstr>Emp08Apr</vt:lpstr>
      <vt:lpstr>Emp08Aug</vt:lpstr>
      <vt:lpstr>Emp08Dec</vt:lpstr>
      <vt:lpstr>Emp08Feb</vt:lpstr>
      <vt:lpstr>Emp08Jan</vt:lpstr>
      <vt:lpstr>Emp08Jul</vt:lpstr>
      <vt:lpstr>Emp08Jun</vt:lpstr>
      <vt:lpstr>Emp08Mar</vt:lpstr>
      <vt:lpstr>Emp08May</vt:lpstr>
      <vt:lpstr>Emp08Nov</vt:lpstr>
      <vt:lpstr>Emp08Oct</vt:lpstr>
      <vt:lpstr>Emp08Sep</vt:lpstr>
      <vt:lpstr>Emp08Summary</vt:lpstr>
      <vt:lpstr>Emp09Apr</vt:lpstr>
      <vt:lpstr>Emp09Aug</vt:lpstr>
      <vt:lpstr>Emp09Dec</vt:lpstr>
      <vt:lpstr>Emp09Feb</vt:lpstr>
      <vt:lpstr>Emp09Jan</vt:lpstr>
      <vt:lpstr>Emp09Jul</vt:lpstr>
      <vt:lpstr>Emp09Jun</vt:lpstr>
      <vt:lpstr>Emp09Mar</vt:lpstr>
      <vt:lpstr>Emp09May</vt:lpstr>
      <vt:lpstr>Emp09Nov</vt:lpstr>
      <vt:lpstr>Emp09Oct</vt:lpstr>
      <vt:lpstr>Emp09Sep</vt:lpstr>
      <vt:lpstr>Emp09Summary</vt:lpstr>
      <vt:lpstr>Emp10Apr</vt:lpstr>
      <vt:lpstr>Emp10Aug</vt:lpstr>
      <vt:lpstr>Emp10Dec</vt:lpstr>
      <vt:lpstr>Emp10Feb</vt:lpstr>
      <vt:lpstr>Emp10Jan</vt:lpstr>
      <vt:lpstr>Emp10Jul</vt:lpstr>
      <vt:lpstr>Emp10Jun</vt:lpstr>
      <vt:lpstr>Emp10Mar</vt:lpstr>
      <vt:lpstr>Emp10May</vt:lpstr>
      <vt:lpstr>Emp10Nov</vt:lpstr>
      <vt:lpstr>Emp10Oct</vt:lpstr>
      <vt:lpstr>Emp10Sep</vt:lpstr>
      <vt:lpstr>Emp10Summary</vt:lpstr>
      <vt:lpstr>Emp11Apr</vt:lpstr>
      <vt:lpstr>Emp11Aug</vt:lpstr>
      <vt:lpstr>Emp11Dec</vt:lpstr>
      <vt:lpstr>Emp11Feb</vt:lpstr>
      <vt:lpstr>Emp11Jan</vt:lpstr>
      <vt:lpstr>Emp11Jul</vt:lpstr>
      <vt:lpstr>Emp11Jun</vt:lpstr>
      <vt:lpstr>Emp11Mar</vt:lpstr>
      <vt:lpstr>Emp11May</vt:lpstr>
      <vt:lpstr>Emp11Nov</vt:lpstr>
      <vt:lpstr>Emp11Oct</vt:lpstr>
      <vt:lpstr>Emp11Sep</vt:lpstr>
      <vt:lpstr>Emp11Summary</vt:lpstr>
      <vt:lpstr>Emp12Apr</vt:lpstr>
      <vt:lpstr>Emp12Aug</vt:lpstr>
      <vt:lpstr>Emp12Dec</vt:lpstr>
      <vt:lpstr>Emp12Feb</vt:lpstr>
      <vt:lpstr>Emp12Jan</vt:lpstr>
      <vt:lpstr>Emp12Jul</vt:lpstr>
      <vt:lpstr>Emp12Jun</vt:lpstr>
      <vt:lpstr>Emp12Mar</vt:lpstr>
      <vt:lpstr>Emp12May</vt:lpstr>
      <vt:lpstr>Emp12Nov</vt:lpstr>
      <vt:lpstr>Emp12Oct</vt:lpstr>
      <vt:lpstr>Emp12Sep</vt:lpstr>
      <vt:lpstr>Emp12Summary</vt:lpstr>
      <vt:lpstr>Emp13Apr</vt:lpstr>
      <vt:lpstr>Emp13Aug</vt:lpstr>
      <vt:lpstr>Emp13Dec</vt:lpstr>
      <vt:lpstr>Emp13Feb</vt:lpstr>
      <vt:lpstr>Emp13Jan</vt:lpstr>
      <vt:lpstr>Emp13Jul</vt:lpstr>
      <vt:lpstr>Emp13Jun</vt:lpstr>
      <vt:lpstr>Emp13Mar</vt:lpstr>
      <vt:lpstr>Emp13May</vt:lpstr>
      <vt:lpstr>Emp13Nov</vt:lpstr>
      <vt:lpstr>Emp13Oct</vt:lpstr>
      <vt:lpstr>Emp13Sep</vt:lpstr>
      <vt:lpstr>Emp13Summary</vt:lpstr>
      <vt:lpstr>Emp14Apr</vt:lpstr>
      <vt:lpstr>Emp14Aug</vt:lpstr>
      <vt:lpstr>Emp14Dec</vt:lpstr>
      <vt:lpstr>Emp14Feb</vt:lpstr>
      <vt:lpstr>Emp14Jan</vt:lpstr>
      <vt:lpstr>Emp14Jul</vt:lpstr>
      <vt:lpstr>Emp14Jun</vt:lpstr>
      <vt:lpstr>Emp14Mar</vt:lpstr>
      <vt:lpstr>Emp14May</vt:lpstr>
      <vt:lpstr>Emp14Nov</vt:lpstr>
      <vt:lpstr>Emp14Oct</vt:lpstr>
      <vt:lpstr>Emp14Sep</vt:lpstr>
      <vt:lpstr>Emp14Summary</vt:lpstr>
      <vt:lpstr>Emp15Apr</vt:lpstr>
      <vt:lpstr>Emp15Aug</vt:lpstr>
      <vt:lpstr>Emp15Dec</vt:lpstr>
      <vt:lpstr>Emp15Feb</vt:lpstr>
      <vt:lpstr>Emp15Jan</vt:lpstr>
      <vt:lpstr>Emp15Jul</vt:lpstr>
      <vt:lpstr>Emp15Jun</vt:lpstr>
      <vt:lpstr>Emp15Mar</vt:lpstr>
      <vt:lpstr>Emp15May</vt:lpstr>
      <vt:lpstr>Emp15Nov</vt:lpstr>
      <vt:lpstr>Emp15Oct</vt:lpstr>
      <vt:lpstr>Emp15Sep</vt:lpstr>
      <vt:lpstr>Emp15Summary</vt:lpstr>
      <vt:lpstr>Emp16Apr</vt:lpstr>
      <vt:lpstr>Emp16Aug</vt:lpstr>
      <vt:lpstr>Emp16Dec</vt:lpstr>
      <vt:lpstr>Emp16Feb</vt:lpstr>
      <vt:lpstr>Emp16Jan</vt:lpstr>
      <vt:lpstr>Emp16Jul</vt:lpstr>
      <vt:lpstr>Emp16Jun</vt:lpstr>
      <vt:lpstr>Emp16Mar</vt:lpstr>
      <vt:lpstr>Emp16May</vt:lpstr>
      <vt:lpstr>Emp16Nov</vt:lpstr>
      <vt:lpstr>Emp16Oct</vt:lpstr>
      <vt:lpstr>Emp16Sep</vt:lpstr>
      <vt:lpstr>Emp16Summary</vt:lpstr>
      <vt:lpstr>Emp17Apr</vt:lpstr>
      <vt:lpstr>Emp17Aug</vt:lpstr>
      <vt:lpstr>Emp17Dec</vt:lpstr>
      <vt:lpstr>Emp17Feb</vt:lpstr>
      <vt:lpstr>Emp17Jan</vt:lpstr>
      <vt:lpstr>Emp17Jul</vt:lpstr>
      <vt:lpstr>Emp17Jun</vt:lpstr>
      <vt:lpstr>Emp17Mar</vt:lpstr>
      <vt:lpstr>Emp17May</vt:lpstr>
      <vt:lpstr>Emp17Nov</vt:lpstr>
      <vt:lpstr>Emp17Oct</vt:lpstr>
      <vt:lpstr>Emp17Sep</vt:lpstr>
      <vt:lpstr>Emp17Summary</vt:lpstr>
      <vt:lpstr>Emp18Apr</vt:lpstr>
      <vt:lpstr>Emp18Aug</vt:lpstr>
      <vt:lpstr>Emp18Dec</vt:lpstr>
      <vt:lpstr>Emp18Feb</vt:lpstr>
      <vt:lpstr>Emp18Jan</vt:lpstr>
      <vt:lpstr>Emp18Jul</vt:lpstr>
      <vt:lpstr>Emp18Jun</vt:lpstr>
      <vt:lpstr>Emp18Mar</vt:lpstr>
      <vt:lpstr>Emp18May</vt:lpstr>
      <vt:lpstr>Emp18Nov</vt:lpstr>
      <vt:lpstr>Emp18Oct</vt:lpstr>
      <vt:lpstr>Emp18Sep</vt:lpstr>
      <vt:lpstr>Emp18Summary</vt:lpstr>
      <vt:lpstr>Emp19Apr</vt:lpstr>
      <vt:lpstr>Emp19Aug</vt:lpstr>
      <vt:lpstr>Emp19Dec</vt:lpstr>
      <vt:lpstr>Emp19Feb</vt:lpstr>
      <vt:lpstr>Emp19Jan</vt:lpstr>
      <vt:lpstr>Emp19Jul</vt:lpstr>
      <vt:lpstr>Emp19Jun</vt:lpstr>
      <vt:lpstr>Emp19Mar</vt:lpstr>
      <vt:lpstr>Emp19May</vt:lpstr>
      <vt:lpstr>Emp19Nov</vt:lpstr>
      <vt:lpstr>Emp19Oct</vt:lpstr>
      <vt:lpstr>Emp19Sep</vt:lpstr>
      <vt:lpstr>Emp19Summary</vt:lpstr>
      <vt:lpstr>'Emp2'!Emp1j</vt:lpstr>
      <vt:lpstr>'Emp3'!Emp1j</vt:lpstr>
      <vt:lpstr>'Emp4'!Emp1j</vt:lpstr>
      <vt:lpstr>'Emp5'!Emp1j</vt:lpstr>
      <vt:lpstr>'Emp6'!Emp1j</vt:lpstr>
      <vt:lpstr>Emp20Apr</vt:lpstr>
      <vt:lpstr>Emp20Aug</vt:lpstr>
      <vt:lpstr>Emp20Dec</vt:lpstr>
      <vt:lpstr>Emp20Feb</vt:lpstr>
      <vt:lpstr>Emp20Jan</vt:lpstr>
      <vt:lpstr>Emp20Jul</vt:lpstr>
      <vt:lpstr>Emp20Jun</vt:lpstr>
      <vt:lpstr>Emp20Mar</vt:lpstr>
      <vt:lpstr>Emp20May</vt:lpstr>
      <vt:lpstr>Emp20Nov</vt:lpstr>
      <vt:lpstr>Emp20Oct</vt:lpstr>
      <vt:lpstr>Emp20Sep</vt:lpstr>
      <vt:lpstr>Emp20Summary</vt:lpstr>
      <vt:lpstr>Emp21Apr</vt:lpstr>
      <vt:lpstr>Emp21Aug</vt:lpstr>
      <vt:lpstr>Emp21Dec</vt:lpstr>
      <vt:lpstr>Emp21Feb</vt:lpstr>
      <vt:lpstr>Emp21Jan</vt:lpstr>
      <vt:lpstr>Emp21Jul</vt:lpstr>
      <vt:lpstr>Emp21Jun</vt:lpstr>
      <vt:lpstr>Emp21Mar</vt:lpstr>
      <vt:lpstr>Emp21May</vt:lpstr>
      <vt:lpstr>Emp21Nov</vt:lpstr>
      <vt:lpstr>Emp21Oct</vt:lpstr>
      <vt:lpstr>Emp21Sep</vt:lpstr>
      <vt:lpstr>Emp21Summary</vt:lpstr>
      <vt:lpstr>Emp22Apr</vt:lpstr>
      <vt:lpstr>Emp22Aug</vt:lpstr>
      <vt:lpstr>Emp22Dec</vt:lpstr>
      <vt:lpstr>Emp22Feb</vt:lpstr>
      <vt:lpstr>Emp22Jan</vt:lpstr>
      <vt:lpstr>Emp22Jul</vt:lpstr>
      <vt:lpstr>Emp22Jun</vt:lpstr>
      <vt:lpstr>Emp22Mar</vt:lpstr>
      <vt:lpstr>Emp22May</vt:lpstr>
      <vt:lpstr>Emp22Nov</vt:lpstr>
      <vt:lpstr>Emp22Oct</vt:lpstr>
      <vt:lpstr>Emp22Sep</vt:lpstr>
      <vt:lpstr>Emp22Summary</vt:lpstr>
      <vt:lpstr>Emp23Apr</vt:lpstr>
      <vt:lpstr>Emp23Aug</vt:lpstr>
      <vt:lpstr>Emp23Dec</vt:lpstr>
      <vt:lpstr>Emp23Feb</vt:lpstr>
      <vt:lpstr>Emp23Jan</vt:lpstr>
      <vt:lpstr>Emp23Jul</vt:lpstr>
      <vt:lpstr>Emp23Jun</vt:lpstr>
      <vt:lpstr>Emp23Mar</vt:lpstr>
      <vt:lpstr>Emp23May</vt:lpstr>
      <vt:lpstr>Emp23Nov</vt:lpstr>
      <vt:lpstr>Emp23Oct</vt:lpstr>
      <vt:lpstr>Emp23Sep</vt:lpstr>
      <vt:lpstr>Emp23Summary</vt:lpstr>
      <vt:lpstr>Emp24Apr</vt:lpstr>
      <vt:lpstr>Emp24Aug</vt:lpstr>
      <vt:lpstr>Emp24Dec</vt:lpstr>
      <vt:lpstr>Emp24Feb</vt:lpstr>
      <vt:lpstr>Emp24Jan</vt:lpstr>
      <vt:lpstr>Emp24Jul</vt:lpstr>
      <vt:lpstr>Emp24Jun</vt:lpstr>
      <vt:lpstr>Emp24Mar</vt:lpstr>
      <vt:lpstr>Emp24May</vt:lpstr>
      <vt:lpstr>Emp24Nov</vt:lpstr>
      <vt:lpstr>Emp24Oct</vt:lpstr>
      <vt:lpstr>Emp24Sep</vt:lpstr>
      <vt:lpstr>Emp24Summary</vt:lpstr>
      <vt:lpstr>Emp25Apr</vt:lpstr>
      <vt:lpstr>Emp25Aug</vt:lpstr>
      <vt:lpstr>Emp25Dec</vt:lpstr>
      <vt:lpstr>Emp25Feb</vt:lpstr>
      <vt:lpstr>Emp25Jan</vt:lpstr>
      <vt:lpstr>Emp25Jul</vt:lpstr>
      <vt:lpstr>Emp25Jun</vt:lpstr>
      <vt:lpstr>Emp25Mar</vt:lpstr>
      <vt:lpstr>Emp25May</vt:lpstr>
      <vt:lpstr>Emp25Nov</vt:lpstr>
      <vt:lpstr>Emp25Oct</vt:lpstr>
      <vt:lpstr>Emp25Sep</vt:lpstr>
      <vt:lpstr>Emp25Summary</vt:lpstr>
      <vt:lpstr>Emp26Apr</vt:lpstr>
      <vt:lpstr>Emp26Aug</vt:lpstr>
      <vt:lpstr>Emp26Dec</vt:lpstr>
      <vt:lpstr>Emp26Feb</vt:lpstr>
      <vt:lpstr>Emp26Jan</vt:lpstr>
      <vt:lpstr>Emp26Jul</vt:lpstr>
      <vt:lpstr>Emp26Jun</vt:lpstr>
      <vt:lpstr>Emp26Mar</vt:lpstr>
      <vt:lpstr>Emp26May</vt:lpstr>
      <vt:lpstr>Emp26Nov</vt:lpstr>
      <vt:lpstr>Emp26Oct</vt:lpstr>
      <vt:lpstr>Emp26Sep</vt:lpstr>
      <vt:lpstr>Emp26Summary</vt:lpstr>
      <vt:lpstr>Emp27Apr</vt:lpstr>
      <vt:lpstr>Emp27Aug</vt:lpstr>
      <vt:lpstr>Emp27Dec</vt:lpstr>
      <vt:lpstr>Emp27Feb</vt:lpstr>
      <vt:lpstr>Emp27Jan</vt:lpstr>
      <vt:lpstr>Emp27Jul</vt:lpstr>
      <vt:lpstr>Emp27Jun</vt:lpstr>
      <vt:lpstr>Emp27Mar</vt:lpstr>
      <vt:lpstr>Emp27May</vt:lpstr>
      <vt:lpstr>Emp27Nov</vt:lpstr>
      <vt:lpstr>Emp27Oct</vt:lpstr>
      <vt:lpstr>Emp27Sep</vt:lpstr>
      <vt:lpstr>Emp27Summary</vt:lpstr>
      <vt:lpstr>Emp28Apr</vt:lpstr>
      <vt:lpstr>Emp28Aug</vt:lpstr>
      <vt:lpstr>Emp28Dec</vt:lpstr>
      <vt:lpstr>Emp28Feb</vt:lpstr>
      <vt:lpstr>Emp28Jan</vt:lpstr>
      <vt:lpstr>Emp28Jul</vt:lpstr>
      <vt:lpstr>Emp28Jun</vt:lpstr>
      <vt:lpstr>Emp28Mar</vt:lpstr>
      <vt:lpstr>Emp28May</vt:lpstr>
      <vt:lpstr>Emp28Nov</vt:lpstr>
      <vt:lpstr>Emp28Oct</vt:lpstr>
      <vt:lpstr>Emp28Sep</vt:lpstr>
      <vt:lpstr>Emp28Summary</vt:lpstr>
      <vt:lpstr>EmpGName01</vt:lpstr>
      <vt:lpstr>EmpGName02</vt:lpstr>
      <vt:lpstr>EmpGName03</vt:lpstr>
      <vt:lpstr>EmpGName04</vt:lpstr>
      <vt:lpstr>EmpGName05</vt:lpstr>
      <vt:lpstr>EmpGName06</vt:lpstr>
      <vt:lpstr>EmpGName07</vt:lpstr>
      <vt:lpstr>EmpGName08</vt:lpstr>
      <vt:lpstr>EmpGName09</vt:lpstr>
      <vt:lpstr>EmpGName10</vt:lpstr>
      <vt:lpstr>EmpGName11</vt:lpstr>
      <vt:lpstr>EmpGName12</vt:lpstr>
      <vt:lpstr>EmpGName13</vt:lpstr>
      <vt:lpstr>EmpGName14</vt:lpstr>
      <vt:lpstr>EmpGName15</vt:lpstr>
      <vt:lpstr>EmpGName16</vt:lpstr>
      <vt:lpstr>EmpGName17</vt:lpstr>
      <vt:lpstr>EmpGName18</vt:lpstr>
      <vt:lpstr>EmpGName19</vt:lpstr>
      <vt:lpstr>EmpGName20</vt:lpstr>
      <vt:lpstr>EmpGName21</vt:lpstr>
      <vt:lpstr>EmpGName22</vt:lpstr>
      <vt:lpstr>EmpGName23</vt:lpstr>
      <vt:lpstr>EmpGName24</vt:lpstr>
      <vt:lpstr>EmpGName25</vt:lpstr>
      <vt:lpstr>EmpGName26</vt:lpstr>
      <vt:lpstr>EmpGName27</vt:lpstr>
      <vt:lpstr>EmpGName28</vt:lpstr>
      <vt:lpstr>EmpsALL</vt:lpstr>
      <vt:lpstr>EmpSName01</vt:lpstr>
      <vt:lpstr>EmpSName02</vt:lpstr>
      <vt:lpstr>EmpSName03</vt:lpstr>
      <vt:lpstr>EmpSName04</vt:lpstr>
      <vt:lpstr>EmpSName05</vt:lpstr>
      <vt:lpstr>EmpSName06</vt:lpstr>
      <vt:lpstr>EmpSName07</vt:lpstr>
      <vt:lpstr>EmpSName08</vt:lpstr>
      <vt:lpstr>EmpSName09</vt:lpstr>
      <vt:lpstr>EmpSName10</vt:lpstr>
      <vt:lpstr>EmpSName11</vt:lpstr>
      <vt:lpstr>EmpSName12</vt:lpstr>
      <vt:lpstr>EmpSName13</vt:lpstr>
      <vt:lpstr>EmpSName14</vt:lpstr>
      <vt:lpstr>EmpSName15</vt:lpstr>
      <vt:lpstr>EmpSName16</vt:lpstr>
      <vt:lpstr>EmpSName17</vt:lpstr>
      <vt:lpstr>EmpSName18</vt:lpstr>
      <vt:lpstr>EmpSName19</vt:lpstr>
      <vt:lpstr>EmpSName20</vt:lpstr>
      <vt:lpstr>EmpSName21</vt:lpstr>
      <vt:lpstr>EmpSName22</vt:lpstr>
      <vt:lpstr>EmpSName23</vt:lpstr>
      <vt:lpstr>EmpSName24</vt:lpstr>
      <vt:lpstr>EmpSName25</vt:lpstr>
      <vt:lpstr>EmpSName26</vt:lpstr>
      <vt:lpstr>EmpSName27</vt:lpstr>
      <vt:lpstr>EmpSName28</vt:lpstr>
      <vt:lpstr>EmpSNamfe09</vt:lpstr>
      <vt:lpstr>FebHead</vt:lpstr>
      <vt:lpstr>'Emp1'!FebLast</vt:lpstr>
      <vt:lpstr>'Emp10'!FebLast</vt:lpstr>
      <vt:lpstr>'Emp11'!FebLast</vt:lpstr>
      <vt:lpstr>'Emp12'!FebLast</vt:lpstr>
      <vt:lpstr>'Emp2'!FebLast</vt:lpstr>
      <vt:lpstr>'Emp3'!FebLast</vt:lpstr>
      <vt:lpstr>'Emp4'!FebLast</vt:lpstr>
      <vt:lpstr>'Emp5'!FebLast</vt:lpstr>
      <vt:lpstr>'Emp6'!FebLast</vt:lpstr>
      <vt:lpstr>'Emp7'!FebLast</vt:lpstr>
      <vt:lpstr>'Emp8'!FebLast</vt:lpstr>
      <vt:lpstr>'Emp9'!FebLast</vt:lpstr>
      <vt:lpstr>February_Heads</vt:lpstr>
      <vt:lpstr>FebVal</vt:lpstr>
      <vt:lpstr>InitialPeriodEnding</vt:lpstr>
      <vt:lpstr>January_Heads</vt:lpstr>
      <vt:lpstr>JanVal</vt:lpstr>
      <vt:lpstr>July_Heads</vt:lpstr>
      <vt:lpstr>June_Heads</vt:lpstr>
      <vt:lpstr>LegEnd</vt:lpstr>
      <vt:lpstr>Location</vt:lpstr>
      <vt:lpstr>March_Heads</vt:lpstr>
      <vt:lpstr>May_Heads</vt:lpstr>
      <vt:lpstr>November_Heads</vt:lpstr>
      <vt:lpstr>October_Heads</vt:lpstr>
      <vt:lpstr>PeriodsEnding</vt:lpstr>
      <vt:lpstr>'Emp1'!Print_Area</vt:lpstr>
      <vt:lpstr>'Emp10'!Print_Area</vt:lpstr>
      <vt:lpstr>'Emp11'!Print_Area</vt:lpstr>
      <vt:lpstr>'Emp12'!Print_Area</vt:lpstr>
      <vt:lpstr>'Emp2'!Print_Area</vt:lpstr>
      <vt:lpstr>'Emp3'!Print_Area</vt:lpstr>
      <vt:lpstr>'Emp4'!Print_Area</vt:lpstr>
      <vt:lpstr>'Emp5'!Print_Area</vt:lpstr>
      <vt:lpstr>'Emp6'!Print_Area</vt:lpstr>
      <vt:lpstr>'Emp7'!Print_Area</vt:lpstr>
      <vt:lpstr>'Emp8'!Print_Area</vt:lpstr>
      <vt:lpstr>'Emp9'!Print_Area</vt:lpstr>
      <vt:lpstr>Roster!Print_Area</vt:lpstr>
      <vt:lpstr>PublicHolidays</vt:lpstr>
      <vt:lpstr>September_Heads</vt:lpstr>
      <vt:lpstr>Shifts</vt:lpstr>
      <vt:lpstr>test</vt:lpstr>
      <vt:lpstr>Years</vt:lpstr>
    </vt:vector>
  </TitlesOfParts>
  <Company>Halfway Hotel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Oodlawirra Roadblock Roster Sheets</dc:title>
  <dc:creator>Lefty (Oodlawirra Hotel)</dc:creator>
  <cp:lastModifiedBy>Luciano Marampon</cp:lastModifiedBy>
  <cp:lastPrinted>2017-05-17T01:08:14Z</cp:lastPrinted>
  <dcterms:created xsi:type="dcterms:W3CDTF">2004-05-12T00:54:34Z</dcterms:created>
  <dcterms:modified xsi:type="dcterms:W3CDTF">2020-03-26T16:35:16Z</dcterms:modified>
</cp:coreProperties>
</file>