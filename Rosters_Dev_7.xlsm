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DEV\Rosters17Dev\"/>
    </mc:Choice>
  </mc:AlternateContent>
  <bookViews>
    <workbookView xWindow="0" yWindow="0" windowWidth="2172" windowHeight="396" tabRatio="752" activeTab="14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D">Roster!$D$14:$AH$41,Roster!$D$45:$AH$72,Roster!$D$76:$AG$103,Roster!$D$107:$AH$134,Roster!$D$138:$AG$165,Roster!$D$169:$AH$196,Roster!$D$200:$AH$227,Roster!$D$231:$AF$258,Roster!$D$262:$AH$289,Roster!$D$293:$AG$320,Roster!$D$324:$AH$351,Roster!$D$355:$AG$382</definedName>
    <definedName name="December_Heads">Roster!$C$168:$AH$168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Summary!$C$4:$D$4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Summary!$C$5:$D$5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Summary!$C$6:$D$6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Summary!$C$7:$D$7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Summary!$C$8:$D$8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Summary!$C$9:$D$9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Summary!$C$10:$D$10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Summary!$C$11:$D$11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Summary!$C$12:$D$12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Summary!$C$13:$D$13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Summary!$C$14:$D$14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Summary!$C$15:$D$15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3Summary">Summary!$C$16:$D$16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4Summary">Summary!$C$17:$D$17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5Summary">Summary!$C$18:$D$18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6Summary">Summary!$C$19:$D$19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7Summary">Summary!$C$20:$D$20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8Summary">Summary!$C$21:$D$21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9Summary">Summary!$C$22:$D$22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0Summary">Summary!$C$23:$D$23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1Summary">Summary!$C$24:$D$24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2Summary">Summary!$C$25:$D$25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3Summary">Summary!$C$26:$D$26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4Summary">Summary!$C$27:$D$27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5Summary">Summary!$C$28:$D$28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6Summary">Summary!$C$29:$D$29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7Summary">Summary!$C$30:$D$30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28Summary">Summary!$C$31:$D$31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PublicHolidays">DATA!$P$8:$P$22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C353" i="2" l="1"/>
  <c r="C322" i="2"/>
  <c r="C291" i="2"/>
  <c r="C260" i="2"/>
  <c r="C229" i="2"/>
  <c r="C198" i="2"/>
  <c r="C167" i="2"/>
  <c r="C136" i="2"/>
  <c r="C105" i="2"/>
  <c r="C12" i="2"/>
  <c r="C43" i="2"/>
  <c r="C74" i="2"/>
  <c r="M31" i="9" l="1"/>
  <c r="L31" i="9"/>
  <c r="K31" i="9"/>
  <c r="J31" i="9"/>
  <c r="I31" i="9"/>
  <c r="H31" i="9"/>
  <c r="G31" i="9"/>
  <c r="F31" i="9"/>
  <c r="E31" i="9"/>
  <c r="M30" i="9"/>
  <c r="L30" i="9"/>
  <c r="K30" i="9"/>
  <c r="J30" i="9"/>
  <c r="I30" i="9"/>
  <c r="H30" i="9"/>
  <c r="G30" i="9"/>
  <c r="F30" i="9"/>
  <c r="E30" i="9"/>
  <c r="M29" i="9"/>
  <c r="L29" i="9"/>
  <c r="K29" i="9"/>
  <c r="J29" i="9"/>
  <c r="I29" i="9"/>
  <c r="H29" i="9"/>
  <c r="G29" i="9"/>
  <c r="F29" i="9"/>
  <c r="E29" i="9"/>
  <c r="M28" i="9"/>
  <c r="L28" i="9"/>
  <c r="K28" i="9"/>
  <c r="J28" i="9"/>
  <c r="I28" i="9"/>
  <c r="H28" i="9"/>
  <c r="G28" i="9"/>
  <c r="F28" i="9"/>
  <c r="E28" i="9"/>
  <c r="M27" i="9"/>
  <c r="L27" i="9"/>
  <c r="K27" i="9"/>
  <c r="J27" i="9"/>
  <c r="I27" i="9"/>
  <c r="H27" i="9"/>
  <c r="G27" i="9"/>
  <c r="F27" i="9"/>
  <c r="E27" i="9"/>
  <c r="M26" i="9"/>
  <c r="L26" i="9"/>
  <c r="K26" i="9"/>
  <c r="J26" i="9"/>
  <c r="I26" i="9"/>
  <c r="H26" i="9"/>
  <c r="G26" i="9"/>
  <c r="F26" i="9"/>
  <c r="E26" i="9"/>
  <c r="M25" i="9"/>
  <c r="L25" i="9"/>
  <c r="K25" i="9"/>
  <c r="J25" i="9"/>
  <c r="I25" i="9"/>
  <c r="H25" i="9"/>
  <c r="G25" i="9"/>
  <c r="F25" i="9"/>
  <c r="E25" i="9"/>
  <c r="M24" i="9"/>
  <c r="L24" i="9"/>
  <c r="K24" i="9"/>
  <c r="J24" i="9"/>
  <c r="I24" i="9"/>
  <c r="H24" i="9"/>
  <c r="G24" i="9"/>
  <c r="F24" i="9"/>
  <c r="E24" i="9"/>
  <c r="M23" i="9"/>
  <c r="L23" i="9"/>
  <c r="K23" i="9"/>
  <c r="J23" i="9"/>
  <c r="I23" i="9"/>
  <c r="H23" i="9"/>
  <c r="G23" i="9"/>
  <c r="F23" i="9"/>
  <c r="E23" i="9"/>
  <c r="M22" i="9"/>
  <c r="L22" i="9"/>
  <c r="K22" i="9"/>
  <c r="J22" i="9"/>
  <c r="I22" i="9"/>
  <c r="H22" i="9"/>
  <c r="G22" i="9"/>
  <c r="F22" i="9"/>
  <c r="E22" i="9"/>
  <c r="M21" i="9"/>
  <c r="L21" i="9"/>
  <c r="K21" i="9"/>
  <c r="J21" i="9"/>
  <c r="I21" i="9"/>
  <c r="H21" i="9"/>
  <c r="G21" i="9"/>
  <c r="F21" i="9"/>
  <c r="E21" i="9"/>
  <c r="M20" i="9"/>
  <c r="L20" i="9"/>
  <c r="K20" i="9"/>
  <c r="J20" i="9"/>
  <c r="I20" i="9"/>
  <c r="H20" i="9"/>
  <c r="G20" i="9"/>
  <c r="F20" i="9"/>
  <c r="E20" i="9"/>
  <c r="M19" i="9"/>
  <c r="L19" i="9"/>
  <c r="K19" i="9"/>
  <c r="J19" i="9"/>
  <c r="I19" i="9"/>
  <c r="H19" i="9"/>
  <c r="G19" i="9"/>
  <c r="F19" i="9"/>
  <c r="E19" i="9"/>
  <c r="M18" i="9"/>
  <c r="L18" i="9"/>
  <c r="K18" i="9"/>
  <c r="J18" i="9"/>
  <c r="I18" i="9"/>
  <c r="H18" i="9"/>
  <c r="G18" i="9"/>
  <c r="F18" i="9"/>
  <c r="E18" i="9"/>
  <c r="M17" i="9"/>
  <c r="L17" i="9"/>
  <c r="K17" i="9"/>
  <c r="J17" i="9"/>
  <c r="I17" i="9"/>
  <c r="H17" i="9"/>
  <c r="G17" i="9"/>
  <c r="F17" i="9"/>
  <c r="E17" i="9"/>
  <c r="N31" i="9" l="1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M16" i="9"/>
  <c r="L16" i="9"/>
  <c r="K16" i="9"/>
  <c r="J16" i="9"/>
  <c r="I16" i="9"/>
  <c r="H16" i="9"/>
  <c r="G16" i="9"/>
  <c r="F16" i="9"/>
  <c r="E16" i="9"/>
  <c r="N17" i="9" l="1"/>
  <c r="N16" i="9"/>
  <c r="C31" i="9"/>
  <c r="C30" i="9"/>
  <c r="C29" i="9"/>
  <c r="C28" i="9"/>
  <c r="C27" i="9"/>
  <c r="C26" i="9"/>
  <c r="D31" i="9"/>
  <c r="D30" i="9"/>
  <c r="D29" i="9"/>
  <c r="D28" i="9"/>
  <c r="D27" i="9"/>
  <c r="D26" i="9"/>
  <c r="D25" i="9"/>
  <c r="D24" i="9"/>
  <c r="D23" i="9"/>
  <c r="D22" i="9"/>
  <c r="C24" i="9"/>
  <c r="C23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10" i="9" l="1"/>
  <c r="C176" i="2" l="1"/>
  <c r="H14" i="9"/>
  <c r="H13" i="9"/>
  <c r="H12" i="9"/>
  <c r="H11" i="9"/>
  <c r="H10" i="9"/>
  <c r="H9" i="9"/>
  <c r="H8" i="9"/>
  <c r="H7" i="9"/>
  <c r="H6" i="9"/>
  <c r="H5" i="9"/>
  <c r="H4" i="9"/>
  <c r="C19" i="2" l="1"/>
  <c r="H15" i="9" l="1"/>
  <c r="H33" i="9" s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L15" i="9" l="1"/>
  <c r="L14" i="9"/>
  <c r="L12" i="9"/>
  <c r="L13" i="9"/>
  <c r="L11" i="9"/>
  <c r="L10" i="9"/>
  <c r="L9" i="9"/>
  <c r="L8" i="9"/>
  <c r="L7" i="9"/>
  <c r="L6" i="9"/>
  <c r="L5" i="9"/>
  <c r="L4" i="9"/>
  <c r="C11" i="9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M15" i="9"/>
  <c r="M14" i="9"/>
  <c r="M13" i="9"/>
  <c r="K15" i="9"/>
  <c r="K14" i="9"/>
  <c r="K13" i="9"/>
  <c r="J15" i="9"/>
  <c r="J14" i="9"/>
  <c r="J13" i="9"/>
  <c r="I15" i="9"/>
  <c r="I14" i="9"/>
  <c r="I13" i="9"/>
  <c r="G15" i="9"/>
  <c r="G14" i="9"/>
  <c r="G13" i="9"/>
  <c r="F15" i="9"/>
  <c r="F14" i="9"/>
  <c r="F13" i="9"/>
  <c r="E14" i="9"/>
  <c r="E15" i="9"/>
  <c r="E13" i="9"/>
  <c r="D15" i="9"/>
  <c r="D14" i="9"/>
  <c r="D13" i="9"/>
  <c r="C15" i="9"/>
  <c r="C14" i="9"/>
  <c r="C13" i="9"/>
  <c r="D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M12" i="9"/>
  <c r="M11" i="9"/>
  <c r="M9" i="9"/>
  <c r="M8" i="9"/>
  <c r="M7" i="9"/>
  <c r="M6" i="9"/>
  <c r="M5" i="9"/>
  <c r="M4" i="9"/>
  <c r="K12" i="9"/>
  <c r="K11" i="9"/>
  <c r="K10" i="9"/>
  <c r="K9" i="9"/>
  <c r="K8" i="9"/>
  <c r="K7" i="9"/>
  <c r="K6" i="9"/>
  <c r="K5" i="9"/>
  <c r="K4" i="9"/>
  <c r="I4" i="9"/>
  <c r="K33" i="9" l="1"/>
  <c r="M33" i="9"/>
  <c r="L33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N13" i="9"/>
  <c r="N15" i="9"/>
  <c r="N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J1" i="2"/>
  <c r="J12" i="9"/>
  <c r="J11" i="9"/>
  <c r="J10" i="9"/>
  <c r="J9" i="9"/>
  <c r="J8" i="9"/>
  <c r="J7" i="9"/>
  <c r="J6" i="9"/>
  <c r="J5" i="9"/>
  <c r="J4" i="9"/>
  <c r="G5" i="9"/>
  <c r="E12" i="9"/>
  <c r="F12" i="9"/>
  <c r="G12" i="9"/>
  <c r="I12" i="9"/>
  <c r="E11" i="9"/>
  <c r="F11" i="9"/>
  <c r="G11" i="9"/>
  <c r="I11" i="9"/>
  <c r="E10" i="9"/>
  <c r="F10" i="9"/>
  <c r="G10" i="9"/>
  <c r="I10" i="9"/>
  <c r="E9" i="9"/>
  <c r="F9" i="9"/>
  <c r="G9" i="9"/>
  <c r="I9" i="9"/>
  <c r="E8" i="9"/>
  <c r="F8" i="9"/>
  <c r="G8" i="9"/>
  <c r="I8" i="9"/>
  <c r="E7" i="9"/>
  <c r="F7" i="9"/>
  <c r="G7" i="9"/>
  <c r="I7" i="9"/>
  <c r="E6" i="9"/>
  <c r="F6" i="9"/>
  <c r="G6" i="9"/>
  <c r="I6" i="9"/>
  <c r="E5" i="9"/>
  <c r="F5" i="9"/>
  <c r="I5" i="9"/>
  <c r="E4" i="9"/>
  <c r="F4" i="9"/>
  <c r="G4" i="9"/>
  <c r="D11" i="9"/>
  <c r="D10" i="9"/>
  <c r="C10" i="9"/>
  <c r="C12" i="9"/>
  <c r="C3" i="9"/>
  <c r="D9" i="9"/>
  <c r="C9" i="9"/>
  <c r="D8" i="9"/>
  <c r="C8" i="9"/>
  <c r="C7" i="9"/>
  <c r="D7" i="9"/>
  <c r="D6" i="9"/>
  <c r="C6" i="9"/>
  <c r="D5" i="9"/>
  <c r="C5" i="9"/>
  <c r="D4" i="9"/>
  <c r="C4" i="9"/>
  <c r="P10" i="12"/>
  <c r="X37" i="4"/>
  <c r="T37" i="4"/>
  <c r="Z37" i="4"/>
  <c r="E28" i="3"/>
  <c r="AE28" i="3"/>
  <c r="S28" i="3"/>
  <c r="G19" i="3" l="1"/>
  <c r="I33" i="9"/>
  <c r="J33" i="9"/>
  <c r="G33" i="9"/>
  <c r="E33" i="9"/>
  <c r="F33" i="9"/>
  <c r="K34" i="4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N8" i="9"/>
  <c r="N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N11" i="9"/>
  <c r="N12" i="9"/>
  <c r="N10" i="9"/>
  <c r="N9" i="9"/>
  <c r="N6" i="9"/>
  <c r="N5" i="9"/>
  <c r="N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N33" i="9" l="1"/>
</calcChain>
</file>

<file path=xl/comments1.xml><?xml version="1.0" encoding="utf-8"?>
<comments xmlns="http://schemas.openxmlformats.org/spreadsheetml/2006/main">
  <authors>
    <author>oodlypub@gmail.com</author>
  </authors>
  <commentList>
    <comment ref="J106" authorId="0" shapeId="0">
      <text>
        <r>
          <rPr>
            <sz val="9"/>
            <color indexed="81"/>
            <rFont val="Tahoma"/>
            <charset val="1"/>
          </rPr>
          <t>Labour Day</t>
        </r>
      </text>
    </comment>
    <comment ref="AA168" authorId="0" shapeId="0">
      <text>
        <r>
          <rPr>
            <sz val="9"/>
            <color indexed="81"/>
            <rFont val="Tahoma"/>
            <charset val="1"/>
          </rPr>
          <t>Christmas Eve</t>
        </r>
      </text>
    </comment>
    <comment ref="AB168" authorId="0" shapeId="0">
      <text>
        <r>
          <rPr>
            <sz val="9"/>
            <color indexed="81"/>
            <rFont val="Tahoma"/>
            <charset val="1"/>
          </rPr>
          <t>Christmas Day</t>
        </r>
      </text>
    </comment>
    <comment ref="AC168" authorId="0" shapeId="0">
      <text>
        <r>
          <rPr>
            <sz val="9"/>
            <color indexed="81"/>
            <rFont val="Tahoma"/>
            <charset val="1"/>
          </rPr>
          <t>Boxing Day</t>
        </r>
      </text>
    </comment>
    <comment ref="AH168" authorId="0" shapeId="0">
      <text>
        <r>
          <rPr>
            <sz val="9"/>
            <color indexed="81"/>
            <rFont val="Tahoma"/>
            <charset val="1"/>
          </rPr>
          <t>New Years Eve</t>
        </r>
      </text>
    </comment>
    <comment ref="D199" authorId="0" shapeId="0">
      <text>
        <r>
          <rPr>
            <sz val="9"/>
            <color indexed="81"/>
            <rFont val="Tahoma"/>
            <charset val="1"/>
          </rPr>
          <t>New Years Day</t>
        </r>
      </text>
    </comment>
    <comment ref="AC199" authorId="0" shapeId="0">
      <text>
        <r>
          <rPr>
            <sz val="9"/>
            <color indexed="81"/>
            <rFont val="Tahoma"/>
            <charset val="1"/>
          </rPr>
          <t>Australia Day</t>
        </r>
      </text>
    </comment>
    <comment ref="O261" authorId="0" shapeId="0">
      <text>
        <r>
          <rPr>
            <sz val="9"/>
            <color indexed="81"/>
            <rFont val="Tahoma"/>
            <charset val="1"/>
          </rPr>
          <t>Adelaide Cup</t>
        </r>
      </text>
    </comment>
    <comment ref="AG261" authorId="0" shapeId="0">
      <text>
        <r>
          <rPr>
            <sz val="9"/>
            <color indexed="81"/>
            <rFont val="Tahoma"/>
            <charset val="1"/>
          </rPr>
          <t>Good Friday</t>
        </r>
      </text>
    </comment>
    <comment ref="AH261" authorId="0" shapeId="0">
      <text>
        <r>
          <rPr>
            <sz val="9"/>
            <color indexed="81"/>
            <rFont val="Tahoma"/>
            <charset val="1"/>
          </rPr>
          <t>Easter Saturday</t>
        </r>
      </text>
    </comment>
    <comment ref="E292" authorId="0" shapeId="0">
      <text>
        <r>
          <rPr>
            <sz val="9"/>
            <color indexed="81"/>
            <rFont val="Tahoma"/>
            <charset val="1"/>
          </rPr>
          <t>Easter Monday</t>
        </r>
      </text>
    </comment>
    <comment ref="AB292" authorId="0" shapeId="0">
      <text>
        <r>
          <rPr>
            <sz val="9"/>
            <color indexed="81"/>
            <rFont val="Tahoma"/>
            <charset val="1"/>
          </rPr>
          <t>Anzac Day</t>
        </r>
      </text>
    </comment>
    <comment ref="K323" authorId="0" shapeId="0">
      <text>
        <r>
          <rPr>
            <sz val="9"/>
            <color indexed="81"/>
            <rFont val="Tahoma"/>
            <charset val="1"/>
          </rPr>
          <t>Queens Birthday</t>
        </r>
      </text>
    </comment>
  </commentList>
</comments>
</file>

<file path=xl/sharedStrings.xml><?xml version="1.0" encoding="utf-8"?>
<sst xmlns="http://schemas.openxmlformats.org/spreadsheetml/2006/main" count="10406" uniqueCount="128">
  <si>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</si>
  <si>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</si>
  <si>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</si>
  <si>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</si>
  <si>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</si>
  <si>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</si>
  <si>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</si>
  <si>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</si>
  <si>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</si>
  <si>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</si>
  <si>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</si>
  <si>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</si>
  <si>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</si>
  <si>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</si>
  <si>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</si>
  <si>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</si>
  <si>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</si>
  <si>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</si>
  <si>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</si>
  <si>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</si>
  <si>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</si>
  <si>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</si>
  <si>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</si>
  <si>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</si>
  <si>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</si>
  <si>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</si>
  <si>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</si>
  <si>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</si>
  <si>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</si>
  <si>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</si>
  <si>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</si>
  <si>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</si>
  <si>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</si>
  <si>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</si>
  <si>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</si>
  <si>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</si>
  <si>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</si>
  <si>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</si>
  <si>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</si>
  <si>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</si>
  <si>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</si>
  <si>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</si>
  <si>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</si>
  <si>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</si>
  <si>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</si>
  <si>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</si>
  <si>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</si>
  <si>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</si>
  <si>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</si>
  <si>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</si>
  <si>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</si>
  <si>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</si>
  <si>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</si>
  <si>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</si>
  <si>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</si>
  <si>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</si>
  <si>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</si>
  <si>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</si>
  <si>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</si>
  <si>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</si>
  <si>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</si>
  <si>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</si>
  <si>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</si>
  <si>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</si>
  <si>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</si>
  <si>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</si>
  <si>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</si>
  <si>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</si>
  <si>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</si>
  <si>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</si>
  <si>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</si>
  <si>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</si>
  <si>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</si>
  <si>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</si>
  <si>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</si>
  <si>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</si>
  <si>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</si>
  <si>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</si>
  <si>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</si>
  <si>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</si>
  <si>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</si>
  <si>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</si>
  <si>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</si>
  <si>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</si>
  <si>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</si>
  <si>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</si>
  <si>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</si>
  <si>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</si>
  <si>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>Public Holidays</t>
  </si>
  <si>
    <t>Simple</t>
  </si>
  <si>
    <t>New Years Day</t>
  </si>
  <si>
    <t>Australia Day</t>
  </si>
  <si>
    <t>Adelaide Cup</t>
  </si>
  <si>
    <t>Good Friday</t>
  </si>
  <si>
    <t>Easter Saturday</t>
  </si>
  <si>
    <t>Easter Monday</t>
  </si>
  <si>
    <t>Anzac Day</t>
  </si>
  <si>
    <t>Queens Birthday</t>
  </si>
  <si>
    <t>Labour Day</t>
  </si>
  <si>
    <t>Christmas Eve</t>
  </si>
  <si>
    <t>Christmas Day</t>
  </si>
  <si>
    <t>Boxing Day</t>
  </si>
  <si>
    <t>New Years Eve</t>
  </si>
  <si>
    <t>Charlie</t>
  </si>
  <si>
    <t>Horse</t>
  </si>
  <si>
    <t xml:space="preserve">Horse </t>
  </si>
  <si>
    <t>Eddy</t>
  </si>
  <si>
    <t>Smeegal</t>
  </si>
  <si>
    <t>John</t>
  </si>
  <si>
    <t>Edwin</t>
  </si>
  <si>
    <t>James</t>
  </si>
  <si>
    <t>Jimmy</t>
  </si>
  <si>
    <t>Jack</t>
  </si>
  <si>
    <t xml:space="preserve">Jacky </t>
  </si>
  <si>
    <t>Jacky</t>
  </si>
  <si>
    <t>Friedle</t>
  </si>
  <si>
    <t>Johnny</t>
  </si>
  <si>
    <t>Smart</t>
  </si>
  <si>
    <t>Black</t>
  </si>
  <si>
    <t>Susan</t>
  </si>
  <si>
    <t>Brown</t>
  </si>
  <si>
    <t>Elwin</t>
  </si>
  <si>
    <t>Sue</t>
  </si>
  <si>
    <t>Grey</t>
  </si>
  <si>
    <t>Simon</t>
  </si>
  <si>
    <t>Heat Shift</t>
  </si>
  <si>
    <t>Supplementary Shift</t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</si>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</sst>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31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rgb="FF0000FF"/>
      <name val="Arial"/>
      <family val="2"/>
    </font>
    <font>
      <sz val="10"/>
      <color rgb="FF00FFFF"/>
      <name val="Arial"/>
      <family val="2"/>
    </font>
    <font>
      <sz val="9"/>
      <color indexed="81"/>
      <name val="Tahoma"/>
      <charset val="1"/>
    </font>
    <font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224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3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4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6" fillId="5" borderId="0" xfId="0" applyFont="1" applyFill="1" applyAlignment="1">
      <alignment vertical="center"/>
    </xf>
    <xf numFmtId="0" fontId="16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14" fillId="5" borderId="12" xfId="0" applyNumberFormat="1" applyFont="1" applyFill="1" applyBorder="1" applyAlignment="1" applyProtection="1">
      <alignment horizontal="center"/>
    </xf>
    <xf numFmtId="0" fontId="17" fillId="5" borderId="0" xfId="0" applyFont="1" applyFill="1" applyAlignment="1">
      <alignment vertical="center"/>
    </xf>
    <xf numFmtId="0" fontId="18" fillId="5" borderId="0" xfId="0" applyFont="1" applyFill="1" applyAlignment="1">
      <alignment horizont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top"/>
    </xf>
    <xf numFmtId="0" fontId="20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0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center"/>
    </xf>
    <xf numFmtId="49" fontId="14" fillId="0" borderId="10" xfId="0" applyNumberFormat="1" applyFont="1" applyBorder="1" applyAlignment="1" applyProtection="1">
      <alignment horizontal="center"/>
      <protection hidden="1"/>
    </xf>
    <xf numFmtId="0" fontId="20" fillId="5" borderId="0" xfId="0" applyFont="1" applyFill="1"/>
    <xf numFmtId="0" fontId="20" fillId="5" borderId="0" xfId="0" applyFont="1" applyFill="1" applyProtection="1">
      <protection locked="0"/>
    </xf>
    <xf numFmtId="0" fontId="13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3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3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3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0" fillId="3" borderId="46" xfId="0" applyFill="1" applyBorder="1" applyAlignment="1" applyProtection="1">
      <alignment horizontal="center"/>
      <protection locked="0"/>
    </xf>
    <xf numFmtId="0" fontId="13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0" fillId="11" borderId="22" xfId="0" applyNumberFormat="1" applyFill="1" applyBorder="1" applyProtection="1">
      <protection hidden="1"/>
    </xf>
    <xf numFmtId="0" fontId="0" fillId="10" borderId="22" xfId="0" applyNumberFormat="1" applyFill="1" applyBorder="1" applyProtection="1">
      <protection hidden="1"/>
    </xf>
    <xf numFmtId="0" fontId="9" fillId="11" borderId="22" xfId="0" applyNumberFormat="1" applyFont="1" applyFill="1" applyBorder="1" applyProtection="1">
      <protection hidden="1"/>
    </xf>
    <xf numFmtId="0" fontId="9" fillId="10" borderId="22" xfId="0" applyNumberFormat="1" applyFont="1" applyFill="1" applyBorder="1" applyProtection="1">
      <protection hidden="1"/>
    </xf>
    <xf numFmtId="49" fontId="25" fillId="5" borderId="12" xfId="0" applyNumberFormat="1" applyFont="1" applyFill="1" applyBorder="1" applyAlignment="1" applyProtection="1">
      <alignment horizontal="center"/>
    </xf>
    <xf numFmtId="49" fontId="25" fillId="0" borderId="6" xfId="0" applyNumberFormat="1" applyFont="1" applyBorder="1" applyAlignment="1" applyProtection="1">
      <alignment horizontal="center"/>
      <protection hidden="1"/>
    </xf>
    <xf numFmtId="0" fontId="26" fillId="0" borderId="18" xfId="0" applyFont="1" applyBorder="1" applyAlignment="1">
      <alignment horizontal="center"/>
    </xf>
    <xf numFmtId="0" fontId="0" fillId="2" borderId="47" xfId="0" applyFill="1" applyBorder="1" applyAlignment="1" applyProtection="1">
      <alignment horizontal="center"/>
      <protection locked="0"/>
    </xf>
    <xf numFmtId="0" fontId="0" fillId="3" borderId="47" xfId="0" applyFill="1" applyBorder="1" applyAlignment="1" applyProtection="1">
      <alignment horizontal="center"/>
      <protection locked="0"/>
    </xf>
    <xf numFmtId="0" fontId="0" fillId="8" borderId="47" xfId="0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27" fillId="13" borderId="3" xfId="0" applyFont="1" applyFill="1" applyBorder="1"/>
    <xf numFmtId="0" fontId="28" fillId="13" borderId="3" xfId="0" applyFont="1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3" fillId="13" borderId="47" xfId="0" applyFont="1" applyFill="1" applyBorder="1" applyAlignment="1" applyProtection="1">
      <alignment horizontal="center"/>
      <protection hidden="1"/>
    </xf>
    <xf numFmtId="0" fontId="9" fillId="0" borderId="52" xfId="0" applyFont="1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23" xfId="0" applyFont="1" applyBorder="1" applyProtection="1">
      <protection locked="0"/>
    </xf>
    <xf numFmtId="164" fontId="13" fillId="0" borderId="43" xfId="0" applyNumberFormat="1" applyFont="1" applyBorder="1" applyAlignment="1">
      <alignment horizontal="center"/>
    </xf>
    <xf numFmtId="14" fontId="13" fillId="0" borderId="53" xfId="0" applyNumberFormat="1" applyFont="1" applyBorder="1" applyProtection="1">
      <protection locked="0"/>
    </xf>
    <xf numFmtId="14" fontId="13" fillId="0" borderId="2" xfId="0" applyNumberFormat="1" applyFont="1" applyBorder="1" applyProtection="1">
      <protection locked="0"/>
    </xf>
    <xf numFmtId="14" fontId="13" fillId="0" borderId="33" xfId="0" applyNumberFormat="1" applyFont="1" applyBorder="1" applyProtection="1">
      <protection locked="0"/>
    </xf>
    <xf numFmtId="0" fontId="0" fillId="9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44" xfId="0" applyFill="1" applyBorder="1" applyAlignment="1" applyProtection="1">
      <alignment horizontal="center"/>
      <protection hidden="1"/>
    </xf>
    <xf numFmtId="0" fontId="13" fillId="13" borderId="54" xfId="0" applyFont="1" applyFill="1" applyBorder="1" applyAlignment="1" applyProtection="1">
      <alignment horizontal="center"/>
    </xf>
    <xf numFmtId="0" fontId="0" fillId="0" borderId="54" xfId="0" applyFill="1" applyBorder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28" fillId="14" borderId="3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5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7" fillId="6" borderId="48" xfId="0" applyFont="1" applyFill="1" applyBorder="1" applyAlignment="1">
      <alignment horizontal="center" vertical="center" wrapText="1"/>
    </xf>
    <xf numFmtId="0" fontId="7" fillId="6" borderId="49" xfId="0" applyFont="1" applyFill="1" applyBorder="1" applyAlignment="1">
      <alignment horizontal="center" vertical="center" wrapText="1"/>
    </xf>
    <xf numFmtId="0" fontId="7" fillId="6" borderId="50" xfId="0" applyFont="1" applyFill="1" applyBorder="1" applyAlignment="1">
      <alignment horizontal="center" vertical="center" wrapText="1"/>
    </xf>
    <xf numFmtId="0" fontId="7" fillId="6" borderId="51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1352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00CC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122792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zoomScale="120" zoomScaleNormal="120" workbookViewId="0">
      <pane ySplit="10" topLeftCell="A247" activePane="bottomLeft" state="frozen"/>
      <selection pane="bottomLeft" activeCell="M108" sqref="M108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211" t="str">
        <f>Location &amp;  " -  Roster Sheets"</f>
        <v>Oodlawirra Quarantine Station -  Roster Sheets</v>
      </c>
      <c r="K1" s="212"/>
      <c r="L1" s="212"/>
      <c r="M1" s="212"/>
      <c r="N1" s="212"/>
      <c r="O1" s="212"/>
      <c r="P1" s="212"/>
      <c r="Q1" s="212"/>
      <c r="R1" s="212"/>
      <c r="S1" s="212"/>
      <c r="T1" s="212"/>
      <c r="U1" s="212"/>
      <c r="V1" s="212"/>
      <c r="W1" s="212"/>
      <c r="X1" s="212"/>
      <c r="Y1" s="212"/>
      <c r="Z1" s="212"/>
      <c r="AA1" s="212"/>
      <c r="AB1" s="212"/>
      <c r="AC1" s="212"/>
      <c r="AD1" s="212"/>
      <c r="AE1" s="96"/>
      <c r="AF1" s="96"/>
      <c r="AG1" s="96"/>
      <c r="AH1" s="96"/>
    </row>
    <row r="2" spans="1:36" s="2" customFormat="1" ht="12" customHeight="1"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96"/>
      <c r="AF2" s="96"/>
      <c r="AG2" s="96"/>
      <c r="AH2" s="96"/>
    </row>
    <row r="3" spans="1:36" s="2" customFormat="1" ht="17.25" customHeight="1">
      <c r="B3" s="29"/>
      <c r="J3" s="209" t="str">
        <f>"Financial Year Commencing - 1st July, "&amp; CurYear-1</f>
        <v>Financial Year Commencing - 1st July, 2020</v>
      </c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96"/>
      <c r="AF3" s="96"/>
      <c r="AG3" s="96"/>
      <c r="AH3" s="96"/>
    </row>
    <row r="4" spans="1:36" s="30" customFormat="1" ht="12" customHeight="1">
      <c r="B4" s="76" t="s">
        <v>127</v>
      </c>
      <c r="C4" s="208"/>
      <c r="D4" s="208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</row>
    <row r="5" spans="1:36" s="31" customFormat="1" ht="53.25" hidden="1" customHeight="1"/>
    <row r="6" spans="1:36" s="141" customFormat="1" ht="14.25" hidden="1" customHeight="1"/>
    <row r="7" spans="1:36" s="141" customFormat="1" ht="14.25" hidden="1" customHeight="1">
      <c r="C7" s="154" t="s">
        <v>59</v>
      </c>
      <c r="D7" s="156" t="s">
        <v>11</v>
      </c>
      <c r="E7" s="148" t="s">
        <v>60</v>
      </c>
      <c r="F7" s="149" t="s">
        <v>63</v>
      </c>
      <c r="G7" s="150"/>
      <c r="H7" s="150"/>
      <c r="I7" s="150"/>
      <c r="J7" s="152"/>
      <c r="K7" s="147" t="s">
        <v>45</v>
      </c>
      <c r="L7" s="148" t="s">
        <v>60</v>
      </c>
      <c r="M7" s="150" t="s">
        <v>125</v>
      </c>
      <c r="N7" s="149"/>
      <c r="O7" s="150"/>
      <c r="P7" s="150"/>
      <c r="Q7" s="152"/>
      <c r="R7" s="153"/>
      <c r="S7" s="147" t="s">
        <v>58</v>
      </c>
      <c r="T7" s="148" t="s">
        <v>60</v>
      </c>
      <c r="U7" s="149" t="s">
        <v>61</v>
      </c>
      <c r="V7" s="150"/>
      <c r="W7" s="150"/>
      <c r="X7" s="152"/>
      <c r="Y7" s="150"/>
      <c r="Z7" s="147" t="s">
        <v>40</v>
      </c>
      <c r="AA7" s="148" t="s">
        <v>60</v>
      </c>
      <c r="AB7" s="149" t="s">
        <v>68</v>
      </c>
      <c r="AC7" s="150"/>
      <c r="AD7" s="150"/>
      <c r="AE7" s="152"/>
    </row>
    <row r="8" spans="1:36" s="141" customFormat="1" ht="14.25" hidden="1" customHeight="1">
      <c r="C8" s="155"/>
      <c r="D8" s="156" t="s">
        <v>9</v>
      </c>
      <c r="E8" s="148" t="s">
        <v>60</v>
      </c>
      <c r="F8" s="149" t="s">
        <v>64</v>
      </c>
      <c r="G8" s="150"/>
      <c r="H8" s="150"/>
      <c r="I8" s="150"/>
      <c r="J8" s="152"/>
      <c r="K8" s="151" t="s">
        <v>46</v>
      </c>
      <c r="L8" s="148" t="s">
        <v>60</v>
      </c>
      <c r="M8" s="149" t="s">
        <v>126</v>
      </c>
      <c r="P8" s="150"/>
      <c r="Q8" s="152"/>
      <c r="R8" s="153"/>
      <c r="S8" s="147" t="s">
        <v>62</v>
      </c>
      <c r="T8" s="148" t="s">
        <v>60</v>
      </c>
      <c r="U8" s="149" t="s">
        <v>66</v>
      </c>
      <c r="V8" s="150"/>
      <c r="W8" s="150"/>
      <c r="X8" s="152"/>
      <c r="Y8" s="150"/>
      <c r="Z8" s="147" t="s">
        <v>39</v>
      </c>
      <c r="AA8" s="148" t="s">
        <v>60</v>
      </c>
      <c r="AB8" s="149" t="s">
        <v>67</v>
      </c>
      <c r="AC8" s="150"/>
      <c r="AD8" s="150"/>
      <c r="AE8" s="152"/>
    </row>
    <row r="9" spans="1:36" s="141" customFormat="1" ht="14.25" hidden="1" customHeight="1">
      <c r="C9" s="155"/>
      <c r="D9" s="156" t="s">
        <v>10</v>
      </c>
      <c r="E9" s="148" t="s">
        <v>60</v>
      </c>
      <c r="F9" s="149" t="s">
        <v>65</v>
      </c>
      <c r="G9" s="150"/>
      <c r="H9" s="150"/>
      <c r="I9" s="150"/>
      <c r="J9" s="152"/>
      <c r="K9" s="153"/>
      <c r="L9" s="151"/>
      <c r="M9" s="157"/>
      <c r="N9" s="150"/>
      <c r="O9" s="150"/>
      <c r="P9" s="150"/>
      <c r="Q9" s="152"/>
      <c r="R9" s="153"/>
      <c r="S9" s="158"/>
      <c r="T9" s="157"/>
      <c r="U9" s="150"/>
      <c r="V9" s="150"/>
      <c r="W9" s="150"/>
      <c r="X9" s="152"/>
      <c r="Y9" s="150"/>
      <c r="Z9" s="147"/>
      <c r="AA9" s="157"/>
      <c r="AB9" s="150"/>
      <c r="AC9" s="150"/>
      <c r="AD9" s="150"/>
      <c r="AE9" s="152"/>
      <c r="AI9" s="141" t="s">
        <v>62</v>
      </c>
    </row>
    <row r="10" spans="1:36" s="141" customFormat="1" ht="14.25" hidden="1" customHeight="1">
      <c r="D10" s="143"/>
      <c r="E10" s="146"/>
      <c r="K10" s="144"/>
      <c r="L10" s="145"/>
      <c r="M10" s="142"/>
    </row>
    <row r="11" spans="1:36" s="72" customFormat="1" ht="12" customHeight="1"/>
    <row r="12" spans="1:36" s="2" customFormat="1">
      <c r="B12"/>
      <c r="C12" s="188">
        <f>CurYear-1</f>
        <v>2020</v>
      </c>
      <c r="D12" s="5" t="str">
        <f t="shared" ref="D12:AH12" si="0">LEFT(TEXT(D13&amp;"-"&amp;$C13&amp;"-"&amp; CurYear-1,"ddd"),2)</f>
        <v>We</v>
      </c>
      <c r="E12" s="5" t="str">
        <f t="shared" si="0"/>
        <v>Th</v>
      </c>
      <c r="F12" s="5" t="str">
        <f t="shared" si="0"/>
        <v>Fr</v>
      </c>
      <c r="G12" s="5" t="str">
        <f t="shared" si="0"/>
        <v>Sa</v>
      </c>
      <c r="H12" s="5" t="str">
        <f t="shared" si="0"/>
        <v>Su</v>
      </c>
      <c r="I12" s="5" t="str">
        <f t="shared" si="0"/>
        <v>Mo</v>
      </c>
      <c r="J12" s="5" t="str">
        <f t="shared" si="0"/>
        <v>Tu</v>
      </c>
      <c r="K12" s="5" t="str">
        <f t="shared" si="0"/>
        <v>We</v>
      </c>
      <c r="L12" s="5" t="str">
        <f t="shared" si="0"/>
        <v>Th</v>
      </c>
      <c r="M12" s="5" t="str">
        <f t="shared" si="0"/>
        <v>Fr</v>
      </c>
      <c r="N12" s="5" t="str">
        <f t="shared" si="0"/>
        <v>Sa</v>
      </c>
      <c r="O12" s="5" t="str">
        <f t="shared" si="0"/>
        <v>Su</v>
      </c>
      <c r="P12" s="5" t="str">
        <f t="shared" si="0"/>
        <v>Mo</v>
      </c>
      <c r="Q12" s="5" t="str">
        <f t="shared" si="0"/>
        <v>Tu</v>
      </c>
      <c r="R12" s="5" t="str">
        <f t="shared" si="0"/>
        <v>We</v>
      </c>
      <c r="S12" s="5" t="str">
        <f t="shared" si="0"/>
        <v>Th</v>
      </c>
      <c r="T12" s="5" t="str">
        <f t="shared" si="0"/>
        <v>Fr</v>
      </c>
      <c r="U12" s="5" t="str">
        <f t="shared" si="0"/>
        <v>Sa</v>
      </c>
      <c r="V12" s="5" t="str">
        <f t="shared" si="0"/>
        <v>Su</v>
      </c>
      <c r="W12" s="5" t="str">
        <f t="shared" si="0"/>
        <v>Mo</v>
      </c>
      <c r="X12" s="5" t="str">
        <f t="shared" si="0"/>
        <v>Tu</v>
      </c>
      <c r="Y12" s="5" t="str">
        <f t="shared" si="0"/>
        <v>We</v>
      </c>
      <c r="Z12" s="5" t="str">
        <f t="shared" si="0"/>
        <v>Th</v>
      </c>
      <c r="AA12" s="5" t="str">
        <f t="shared" si="0"/>
        <v>Fr</v>
      </c>
      <c r="AB12" s="5" t="str">
        <f t="shared" si="0"/>
        <v>Sa</v>
      </c>
      <c r="AC12" s="5" t="str">
        <f t="shared" si="0"/>
        <v>Su</v>
      </c>
      <c r="AD12" s="5" t="str">
        <f t="shared" si="0"/>
        <v>Mo</v>
      </c>
      <c r="AE12" s="5" t="str">
        <f t="shared" si="0"/>
        <v>Tu</v>
      </c>
      <c r="AF12" s="5" t="str">
        <f t="shared" si="0"/>
        <v>We</v>
      </c>
      <c r="AG12" s="5" t="str">
        <f t="shared" si="0"/>
        <v>Th</v>
      </c>
      <c r="AH12" s="5" t="str">
        <f t="shared" si="0"/>
        <v>Fr</v>
      </c>
      <c r="AJ12" s="2" t="s">
        <v>62</v>
      </c>
    </row>
    <row r="13" spans="1:36">
      <c r="B13" s="86"/>
      <c r="C13" s="189" t="s">
        <v>18</v>
      </c>
      <c r="D13" s="191">
        <v>1</v>
      </c>
      <c r="E13" s="191">
        <v>2</v>
      </c>
      <c r="F13" s="190">
        <v>3</v>
      </c>
      <c r="G13" s="191">
        <v>4</v>
      </c>
      <c r="H13" s="191">
        <v>5</v>
      </c>
      <c r="I13" s="191">
        <v>6</v>
      </c>
      <c r="J13" s="191">
        <v>7</v>
      </c>
      <c r="K13" s="191">
        <v>8</v>
      </c>
      <c r="L13" s="191">
        <v>9</v>
      </c>
      <c r="M13" s="191">
        <v>10</v>
      </c>
      <c r="N13" s="191">
        <v>11</v>
      </c>
      <c r="O13" s="191">
        <v>12</v>
      </c>
      <c r="P13" s="191">
        <v>13</v>
      </c>
      <c r="Q13" s="191">
        <v>14</v>
      </c>
      <c r="R13" s="191">
        <v>15</v>
      </c>
      <c r="S13" s="191">
        <v>16</v>
      </c>
      <c r="T13" s="190">
        <v>17</v>
      </c>
      <c r="U13" s="191">
        <v>18</v>
      </c>
      <c r="V13" s="191">
        <v>19</v>
      </c>
      <c r="W13" s="191">
        <v>20</v>
      </c>
      <c r="X13" s="191">
        <v>21</v>
      </c>
      <c r="Y13" s="191">
        <v>22</v>
      </c>
      <c r="Z13" s="191">
        <v>23</v>
      </c>
      <c r="AA13" s="191">
        <v>24</v>
      </c>
      <c r="AB13" s="191">
        <v>25</v>
      </c>
      <c r="AC13" s="191">
        <v>26</v>
      </c>
      <c r="AD13" s="191">
        <v>27</v>
      </c>
      <c r="AE13" s="191">
        <v>28</v>
      </c>
      <c r="AF13" s="191">
        <v>29</v>
      </c>
      <c r="AG13" s="191">
        <v>30</v>
      </c>
      <c r="AH13" s="190">
        <v>31</v>
      </c>
    </row>
    <row r="14" spans="1:36">
      <c r="B14" s="83">
        <v>1</v>
      </c>
      <c r="C14" s="87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3">
        <v>2</v>
      </c>
      <c r="C15" s="88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3">
        <v>3</v>
      </c>
      <c r="C16" s="87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3">
        <v>4</v>
      </c>
      <c r="C17" s="88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3">
        <v>5</v>
      </c>
      <c r="C18" s="87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3">
        <v>6</v>
      </c>
      <c r="C19" s="88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3">
        <v>7</v>
      </c>
      <c r="C20" s="87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3">
        <v>8</v>
      </c>
      <c r="C21" s="88" t="str">
        <f>LEFT(EmpGName08)&amp;" " &amp;EmpSName08</f>
        <v>C Horse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3">
        <v>9</v>
      </c>
      <c r="C22" s="87" t="str">
        <f>LEFT(EmpGName09)&amp;" " &amp;EmpSName09</f>
        <v xml:space="preserve">E Horse 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39">
        <v>10</v>
      </c>
      <c r="C23" s="88" t="str">
        <f>LEFT(EmpGName10)&amp;" " &amp;EmpSName10</f>
        <v>J Smeegal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39">
        <v>11</v>
      </c>
      <c r="C24" s="87" t="str">
        <f>LEFT(EmpGName11)&amp;" " &amp;EmpSName11</f>
        <v>E Smeegal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39">
        <v>12</v>
      </c>
      <c r="C25" s="88" t="str">
        <f>LEFT(EmpGName12)&amp;" " &amp;EmpSName12</f>
        <v>J James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39">
        <v>13</v>
      </c>
      <c r="C26" s="87" t="str">
        <f>LEFT(EmpGName13)&amp;" " &amp;EmpSName13</f>
        <v>J Jack</v>
      </c>
      <c r="D26" s="4" t="s">
        <v>62</v>
      </c>
      <c r="E26" s="4" t="s">
        <v>62</v>
      </c>
      <c r="F26" s="4" t="s">
        <v>62</v>
      </c>
      <c r="G26" s="4" t="s">
        <v>62</v>
      </c>
      <c r="H26" s="4" t="s">
        <v>62</v>
      </c>
      <c r="I26" s="4" t="s">
        <v>62</v>
      </c>
      <c r="J26" s="4" t="s">
        <v>62</v>
      </c>
      <c r="K26" s="4" t="s">
        <v>62</v>
      </c>
      <c r="L26" s="4" t="s">
        <v>62</v>
      </c>
      <c r="M26" s="4" t="s">
        <v>62</v>
      </c>
      <c r="N26" s="4" t="s">
        <v>62</v>
      </c>
      <c r="O26" s="4" t="s">
        <v>62</v>
      </c>
      <c r="P26" s="4" t="s">
        <v>62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39">
        <v>14</v>
      </c>
      <c r="C27" s="88" t="str">
        <f>LEFT(EmpGName14)&amp;" " &amp;EmpSName14</f>
        <v xml:space="preserve">J Jacky </v>
      </c>
      <c r="D27" s="3" t="s">
        <v>62</v>
      </c>
      <c r="E27" s="3" t="s">
        <v>62</v>
      </c>
      <c r="F27" s="3" t="s">
        <v>62</v>
      </c>
      <c r="G27" s="3" t="s">
        <v>62</v>
      </c>
      <c r="H27" s="3" t="s">
        <v>62</v>
      </c>
      <c r="I27" s="3" t="s">
        <v>62</v>
      </c>
      <c r="J27" s="3" t="s">
        <v>62</v>
      </c>
      <c r="K27" s="3" t="s">
        <v>62</v>
      </c>
      <c r="L27" s="3" t="s">
        <v>62</v>
      </c>
      <c r="M27" s="3" t="s">
        <v>62</v>
      </c>
      <c r="N27" s="3" t="s">
        <v>62</v>
      </c>
      <c r="O27" s="3" t="s">
        <v>62</v>
      </c>
      <c r="P27" s="3" t="s">
        <v>62</v>
      </c>
      <c r="Q27" s="3" t="s">
        <v>62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39">
        <v>15</v>
      </c>
      <c r="C28" s="87" t="str">
        <f>LEFT(EmpGName15)&amp;" " &amp;EmpSName15</f>
        <v>J Friedle</v>
      </c>
      <c r="D28" s="4" t="s">
        <v>62</v>
      </c>
      <c r="E28" s="4" t="s">
        <v>62</v>
      </c>
      <c r="F28" s="4" t="s">
        <v>62</v>
      </c>
      <c r="G28" s="4" t="s">
        <v>62</v>
      </c>
      <c r="H28" s="4" t="s">
        <v>62</v>
      </c>
      <c r="I28" s="4" t="s">
        <v>62</v>
      </c>
      <c r="J28" s="4" t="s">
        <v>62</v>
      </c>
      <c r="K28" s="4" t="s">
        <v>62</v>
      </c>
      <c r="L28" s="4" t="s">
        <v>62</v>
      </c>
      <c r="M28" s="4" t="s">
        <v>62</v>
      </c>
      <c r="N28" s="4" t="s">
        <v>62</v>
      </c>
      <c r="O28" s="4" t="s">
        <v>62</v>
      </c>
      <c r="P28" s="4" t="s">
        <v>62</v>
      </c>
      <c r="Q28" s="4" t="s">
        <v>62</v>
      </c>
      <c r="R28" s="4" t="s">
        <v>62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39">
        <v>16</v>
      </c>
      <c r="C29" s="88" t="str">
        <f>LEFT(EmpGName16)&amp;" " &amp;EmpSName16</f>
        <v>J Friedle</v>
      </c>
      <c r="D29" s="3" t="s">
        <v>62</v>
      </c>
      <c r="E29" s="3" t="s">
        <v>62</v>
      </c>
      <c r="F29" s="3" t="s">
        <v>62</v>
      </c>
      <c r="G29" s="3" t="s">
        <v>62</v>
      </c>
      <c r="H29" s="3" t="s">
        <v>62</v>
      </c>
      <c r="I29" s="3" t="s">
        <v>62</v>
      </c>
      <c r="J29" s="3" t="s">
        <v>62</v>
      </c>
      <c r="K29" s="3" t="s">
        <v>62</v>
      </c>
      <c r="L29" s="3" t="s">
        <v>62</v>
      </c>
      <c r="M29" s="3" t="s">
        <v>62</v>
      </c>
      <c r="N29" s="3" t="s">
        <v>62</v>
      </c>
      <c r="O29" s="3" t="s">
        <v>62</v>
      </c>
      <c r="P29" s="3" t="s">
        <v>62</v>
      </c>
      <c r="Q29" s="3" t="s">
        <v>62</v>
      </c>
      <c r="R29" s="3" t="s">
        <v>62</v>
      </c>
      <c r="S29" s="3" t="s">
        <v>62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39">
        <v>17</v>
      </c>
      <c r="C30" s="87" t="str">
        <f>LEFT(EmpGName17)&amp;" " &amp;EmpSName17</f>
        <v>J Smart</v>
      </c>
      <c r="D30" s="4" t="s">
        <v>62</v>
      </c>
      <c r="E30" s="4" t="s">
        <v>62</v>
      </c>
      <c r="F30" s="4" t="s">
        <v>62</v>
      </c>
      <c r="G30" s="4" t="s">
        <v>62</v>
      </c>
      <c r="H30" s="4" t="s">
        <v>62</v>
      </c>
      <c r="I30" s="4" t="s">
        <v>62</v>
      </c>
      <c r="J30" s="4" t="s">
        <v>62</v>
      </c>
      <c r="K30" s="4" t="s">
        <v>62</v>
      </c>
      <c r="L30" s="4" t="s">
        <v>62</v>
      </c>
      <c r="M30" s="4" t="s">
        <v>62</v>
      </c>
      <c r="N30" s="4" t="s">
        <v>62</v>
      </c>
      <c r="O30" s="4" t="s">
        <v>62</v>
      </c>
      <c r="P30" s="4" t="s">
        <v>62</v>
      </c>
      <c r="Q30" s="4" t="s">
        <v>62</v>
      </c>
      <c r="R30" s="4" t="s">
        <v>62</v>
      </c>
      <c r="S30" s="4" t="s">
        <v>62</v>
      </c>
      <c r="T30" s="4" t="s">
        <v>62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39">
        <v>18</v>
      </c>
      <c r="C31" s="88" t="str">
        <f>LEFT(EmpGName18)&amp;" " &amp;EmpSName18</f>
        <v>E Smart</v>
      </c>
      <c r="D31" s="3" t="s">
        <v>62</v>
      </c>
      <c r="E31" s="3" t="s">
        <v>62</v>
      </c>
      <c r="F31" s="3" t="s">
        <v>62</v>
      </c>
      <c r="G31" s="3" t="s">
        <v>62</v>
      </c>
      <c r="H31" s="3" t="s">
        <v>62</v>
      </c>
      <c r="I31" s="3" t="s">
        <v>62</v>
      </c>
      <c r="J31" s="3" t="s">
        <v>62</v>
      </c>
      <c r="K31" s="3" t="s">
        <v>62</v>
      </c>
      <c r="L31" s="3" t="s">
        <v>62</v>
      </c>
      <c r="M31" s="3" t="s">
        <v>62</v>
      </c>
      <c r="N31" s="3" t="s">
        <v>62</v>
      </c>
      <c r="O31" s="3" t="s">
        <v>62</v>
      </c>
      <c r="P31" s="3" t="s">
        <v>62</v>
      </c>
      <c r="Q31" s="3" t="s">
        <v>62</v>
      </c>
      <c r="R31" s="3" t="s">
        <v>62</v>
      </c>
      <c r="S31" s="3" t="s">
        <v>62</v>
      </c>
      <c r="T31" s="3" t="s">
        <v>62</v>
      </c>
      <c r="U31" s="3" t="s">
        <v>62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39">
        <v>19</v>
      </c>
      <c r="C32" s="87" t="str">
        <f>LEFT(EmpGName19)&amp;" " &amp;EmpSName19</f>
        <v>J Black</v>
      </c>
      <c r="D32" s="4" t="s">
        <v>62</v>
      </c>
      <c r="E32" s="4" t="s">
        <v>62</v>
      </c>
      <c r="F32" s="4" t="s">
        <v>62</v>
      </c>
      <c r="G32" s="4" t="s">
        <v>62</v>
      </c>
      <c r="H32" s="4" t="s">
        <v>62</v>
      </c>
      <c r="I32" s="4" t="s">
        <v>62</v>
      </c>
      <c r="J32" s="4" t="s">
        <v>62</v>
      </c>
      <c r="K32" s="4" t="s">
        <v>62</v>
      </c>
      <c r="L32" s="4" t="s">
        <v>62</v>
      </c>
      <c r="M32" s="4" t="s">
        <v>62</v>
      </c>
      <c r="N32" s="4" t="s">
        <v>62</v>
      </c>
      <c r="O32" s="4" t="s">
        <v>62</v>
      </c>
      <c r="P32" s="4" t="s">
        <v>62</v>
      </c>
      <c r="Q32" s="4" t="s">
        <v>62</v>
      </c>
      <c r="R32" s="4" t="s">
        <v>62</v>
      </c>
      <c r="S32" s="4" t="s">
        <v>62</v>
      </c>
      <c r="T32" s="4" t="s">
        <v>62</v>
      </c>
      <c r="U32" s="4" t="s">
        <v>62</v>
      </c>
      <c r="V32" s="4" t="s">
        <v>62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39">
        <v>20</v>
      </c>
      <c r="C33" s="88" t="str">
        <f>LEFT(EmpGName20)&amp;" " &amp;EmpSName20</f>
        <v>J Black</v>
      </c>
      <c r="D33" s="3" t="s">
        <v>62</v>
      </c>
      <c r="E33" s="3" t="s">
        <v>62</v>
      </c>
      <c r="F33" s="3" t="s">
        <v>62</v>
      </c>
      <c r="G33" s="3" t="s">
        <v>62</v>
      </c>
      <c r="H33" s="3" t="s">
        <v>62</v>
      </c>
      <c r="I33" s="3" t="s">
        <v>62</v>
      </c>
      <c r="J33" s="3" t="s">
        <v>62</v>
      </c>
      <c r="K33" s="3" t="s">
        <v>62</v>
      </c>
      <c r="L33" s="3" t="s">
        <v>62</v>
      </c>
      <c r="M33" s="3" t="s">
        <v>62</v>
      </c>
      <c r="N33" s="3" t="s">
        <v>62</v>
      </c>
      <c r="O33" s="3" t="s">
        <v>62</v>
      </c>
      <c r="P33" s="3" t="s">
        <v>62</v>
      </c>
      <c r="Q33" s="3" t="s">
        <v>62</v>
      </c>
      <c r="R33" s="3" t="s">
        <v>62</v>
      </c>
      <c r="S33" s="3" t="s">
        <v>62</v>
      </c>
      <c r="T33" s="3" t="s">
        <v>62</v>
      </c>
      <c r="U33" s="3" t="s">
        <v>62</v>
      </c>
      <c r="V33" s="3" t="s">
        <v>62</v>
      </c>
      <c r="W33" s="3" t="s">
        <v>62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39">
        <v>21</v>
      </c>
      <c r="C34" s="87" t="str">
        <f>LEFT(EmpGName21)&amp;" " &amp;EmpSName21</f>
        <v>S Black</v>
      </c>
      <c r="D34" s="4" t="s">
        <v>62</v>
      </c>
      <c r="E34" s="4" t="s">
        <v>62</v>
      </c>
      <c r="F34" s="4" t="s">
        <v>62</v>
      </c>
      <c r="G34" s="4" t="s">
        <v>62</v>
      </c>
      <c r="H34" s="4" t="s">
        <v>62</v>
      </c>
      <c r="I34" s="4" t="s">
        <v>62</v>
      </c>
      <c r="J34" s="4" t="s">
        <v>62</v>
      </c>
      <c r="K34" s="4" t="s">
        <v>62</v>
      </c>
      <c r="L34" s="4" t="s">
        <v>62</v>
      </c>
      <c r="M34" s="4" t="s">
        <v>62</v>
      </c>
      <c r="N34" s="4" t="s">
        <v>62</v>
      </c>
      <c r="O34" s="4" t="s">
        <v>62</v>
      </c>
      <c r="P34" s="4" t="s">
        <v>62</v>
      </c>
      <c r="Q34" s="4" t="s">
        <v>62</v>
      </c>
      <c r="R34" s="4" t="s">
        <v>62</v>
      </c>
      <c r="S34" s="4" t="s">
        <v>62</v>
      </c>
      <c r="T34" s="4" t="s">
        <v>62</v>
      </c>
      <c r="U34" s="4" t="s">
        <v>62</v>
      </c>
      <c r="V34" s="4" t="s">
        <v>62</v>
      </c>
      <c r="W34" s="4" t="s">
        <v>62</v>
      </c>
      <c r="X34" s="4" t="s">
        <v>62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39">
        <v>22</v>
      </c>
      <c r="C35" s="88" t="str">
        <f>LEFT(EmpGName22)&amp;" " &amp;EmpSName22</f>
        <v>E Brown</v>
      </c>
      <c r="D35" s="3" t="s">
        <v>62</v>
      </c>
      <c r="E35" s="3" t="s">
        <v>62</v>
      </c>
      <c r="F35" s="3" t="s">
        <v>62</v>
      </c>
      <c r="G35" s="3" t="s">
        <v>62</v>
      </c>
      <c r="H35" s="3" t="s">
        <v>62</v>
      </c>
      <c r="I35" s="3" t="s">
        <v>62</v>
      </c>
      <c r="J35" s="3" t="s">
        <v>62</v>
      </c>
      <c r="K35" s="3" t="s">
        <v>62</v>
      </c>
      <c r="L35" s="3" t="s">
        <v>62</v>
      </c>
      <c r="M35" s="3" t="s">
        <v>62</v>
      </c>
      <c r="N35" s="3" t="s">
        <v>62</v>
      </c>
      <c r="O35" s="3" t="s">
        <v>62</v>
      </c>
      <c r="P35" s="3" t="s">
        <v>62</v>
      </c>
      <c r="Q35" s="3" t="s">
        <v>62</v>
      </c>
      <c r="R35" s="3" t="s">
        <v>62</v>
      </c>
      <c r="S35" s="3" t="s">
        <v>62</v>
      </c>
      <c r="T35" s="3" t="s">
        <v>62</v>
      </c>
      <c r="U35" s="3" t="s">
        <v>62</v>
      </c>
      <c r="V35" s="3" t="s">
        <v>62</v>
      </c>
      <c r="W35" s="3" t="s">
        <v>62</v>
      </c>
      <c r="X35" s="3" t="s">
        <v>62</v>
      </c>
      <c r="Y35" s="3" t="s">
        <v>62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39">
        <v>23</v>
      </c>
      <c r="C36" s="87" t="str">
        <f>LEFT(EmpGName23)&amp;" " &amp;EmpSName23</f>
        <v>E Brown</v>
      </c>
      <c r="D36" s="4" t="s">
        <v>62</v>
      </c>
      <c r="E36" s="4" t="s">
        <v>62</v>
      </c>
      <c r="F36" s="4" t="s">
        <v>62</v>
      </c>
      <c r="G36" s="4" t="s">
        <v>62</v>
      </c>
      <c r="H36" s="4" t="s">
        <v>62</v>
      </c>
      <c r="I36" s="4" t="s">
        <v>62</v>
      </c>
      <c r="J36" s="4" t="s">
        <v>62</v>
      </c>
      <c r="K36" s="4" t="s">
        <v>62</v>
      </c>
      <c r="L36" s="4" t="s">
        <v>62</v>
      </c>
      <c r="M36" s="4" t="s">
        <v>62</v>
      </c>
      <c r="N36" s="4" t="s">
        <v>62</v>
      </c>
      <c r="O36" s="4" t="s">
        <v>62</v>
      </c>
      <c r="P36" s="4" t="s">
        <v>62</v>
      </c>
      <c r="Q36" s="4" t="s">
        <v>62</v>
      </c>
      <c r="R36" s="4" t="s">
        <v>62</v>
      </c>
      <c r="S36" s="4" t="s">
        <v>62</v>
      </c>
      <c r="T36" s="4" t="s">
        <v>62</v>
      </c>
      <c r="U36" s="4" t="s">
        <v>62</v>
      </c>
      <c r="V36" s="4" t="s">
        <v>62</v>
      </c>
      <c r="W36" s="4" t="s">
        <v>62</v>
      </c>
      <c r="X36" s="4" t="s">
        <v>62</v>
      </c>
      <c r="Y36" s="4" t="s">
        <v>62</v>
      </c>
      <c r="Z36" s="4" t="s">
        <v>62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39">
        <v>24</v>
      </c>
      <c r="C37" s="88" t="str">
        <f>LEFT(EmpGName24)&amp;" " &amp;EmpSName24</f>
        <v>S Brown</v>
      </c>
      <c r="D37" s="3" t="s">
        <v>62</v>
      </c>
      <c r="E37" s="3" t="s">
        <v>62</v>
      </c>
      <c r="F37" s="3" t="s">
        <v>62</v>
      </c>
      <c r="G37" s="3" t="s">
        <v>62</v>
      </c>
      <c r="H37" s="3" t="s">
        <v>62</v>
      </c>
      <c r="I37" s="3" t="s">
        <v>62</v>
      </c>
      <c r="J37" s="3" t="s">
        <v>62</v>
      </c>
      <c r="K37" s="3" t="s">
        <v>62</v>
      </c>
      <c r="L37" s="3" t="s">
        <v>62</v>
      </c>
      <c r="M37" s="3" t="s">
        <v>62</v>
      </c>
      <c r="N37" s="3" t="s">
        <v>62</v>
      </c>
      <c r="O37" s="3" t="s">
        <v>62</v>
      </c>
      <c r="P37" s="3" t="s">
        <v>62</v>
      </c>
      <c r="Q37" s="3" t="s">
        <v>62</v>
      </c>
      <c r="R37" s="3" t="s">
        <v>62</v>
      </c>
      <c r="S37" s="3" t="s">
        <v>62</v>
      </c>
      <c r="T37" s="3" t="s">
        <v>62</v>
      </c>
      <c r="U37" s="3" t="s">
        <v>62</v>
      </c>
      <c r="V37" s="3" t="s">
        <v>62</v>
      </c>
      <c r="W37" s="3" t="s">
        <v>62</v>
      </c>
      <c r="X37" s="3" t="s">
        <v>62</v>
      </c>
      <c r="Y37" s="3" t="s">
        <v>62</v>
      </c>
      <c r="Z37" s="3" t="s">
        <v>62</v>
      </c>
      <c r="AA37" s="3" t="s">
        <v>62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39">
        <v>25</v>
      </c>
      <c r="C38" s="87" t="str">
        <f>LEFT(EmpGName25)&amp;" " &amp;EmpSName25</f>
        <v>S Grey</v>
      </c>
      <c r="D38" s="4" t="s">
        <v>62</v>
      </c>
      <c r="E38" s="4" t="s">
        <v>62</v>
      </c>
      <c r="F38" s="4" t="s">
        <v>62</v>
      </c>
      <c r="G38" s="4" t="s">
        <v>62</v>
      </c>
      <c r="H38" s="4" t="s">
        <v>62</v>
      </c>
      <c r="I38" s="4" t="s">
        <v>62</v>
      </c>
      <c r="J38" s="4" t="s">
        <v>62</v>
      </c>
      <c r="K38" s="4" t="s">
        <v>62</v>
      </c>
      <c r="L38" s="4" t="s">
        <v>62</v>
      </c>
      <c r="M38" s="4" t="s">
        <v>62</v>
      </c>
      <c r="N38" s="4" t="s">
        <v>62</v>
      </c>
      <c r="O38" s="4" t="s">
        <v>62</v>
      </c>
      <c r="P38" s="4" t="s">
        <v>62</v>
      </c>
      <c r="Q38" s="4" t="s">
        <v>62</v>
      </c>
      <c r="R38" s="4" t="s">
        <v>62</v>
      </c>
      <c r="S38" s="4" t="s">
        <v>62</v>
      </c>
      <c r="T38" s="4" t="s">
        <v>62</v>
      </c>
      <c r="U38" s="4" t="s">
        <v>62</v>
      </c>
      <c r="V38" s="4" t="s">
        <v>62</v>
      </c>
      <c r="W38" s="4" t="s">
        <v>62</v>
      </c>
      <c r="X38" s="4" t="s">
        <v>62</v>
      </c>
      <c r="Y38" s="4" t="s">
        <v>62</v>
      </c>
      <c r="Z38" s="4" t="s">
        <v>62</v>
      </c>
      <c r="AA38" s="4" t="s">
        <v>62</v>
      </c>
      <c r="AB38" s="4" t="s">
        <v>62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39">
        <v>26</v>
      </c>
      <c r="C39" s="88" t="str">
        <f>LEFT(EmpGName26)&amp;" " &amp;EmpSName26</f>
        <v>I Grey</v>
      </c>
      <c r="D39" s="3" t="s">
        <v>62</v>
      </c>
      <c r="E39" s="3" t="s">
        <v>62</v>
      </c>
      <c r="F39" s="3" t="s">
        <v>62</v>
      </c>
      <c r="G39" s="3" t="s">
        <v>62</v>
      </c>
      <c r="H39" s="3" t="s">
        <v>62</v>
      </c>
      <c r="I39" s="3" t="s">
        <v>62</v>
      </c>
      <c r="J39" s="3" t="s">
        <v>62</v>
      </c>
      <c r="K39" s="3" t="s">
        <v>62</v>
      </c>
      <c r="L39" s="3" t="s">
        <v>62</v>
      </c>
      <c r="M39" s="3" t="s">
        <v>62</v>
      </c>
      <c r="N39" s="3" t="s">
        <v>62</v>
      </c>
      <c r="O39" s="3" t="s">
        <v>62</v>
      </c>
      <c r="P39" s="3" t="s">
        <v>62</v>
      </c>
      <c r="Q39" s="3" t="s">
        <v>62</v>
      </c>
      <c r="R39" s="3" t="s">
        <v>62</v>
      </c>
      <c r="S39" s="3" t="s">
        <v>62</v>
      </c>
      <c r="T39" s="3" t="s">
        <v>62</v>
      </c>
      <c r="U39" s="3" t="s">
        <v>62</v>
      </c>
      <c r="V39" s="3" t="s">
        <v>62</v>
      </c>
      <c r="W39" s="3" t="s">
        <v>62</v>
      </c>
      <c r="X39" s="3" t="s">
        <v>62</v>
      </c>
      <c r="Y39" s="3" t="s">
        <v>62</v>
      </c>
      <c r="Z39" s="3" t="s">
        <v>62</v>
      </c>
      <c r="AA39" s="3" t="s">
        <v>62</v>
      </c>
      <c r="AB39" s="3" t="s">
        <v>62</v>
      </c>
      <c r="AC39" s="3" t="s">
        <v>62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39">
        <v>27</v>
      </c>
      <c r="C40" s="87" t="str">
        <f>LEFT(EmpGName27)&amp;" " &amp;EmpSName27</f>
        <v>D Grey</v>
      </c>
      <c r="D40" s="4" t="s">
        <v>62</v>
      </c>
      <c r="E40" s="4" t="s">
        <v>62</v>
      </c>
      <c r="F40" s="4" t="s">
        <v>62</v>
      </c>
      <c r="G40" s="4" t="s">
        <v>62</v>
      </c>
      <c r="H40" s="4" t="s">
        <v>62</v>
      </c>
      <c r="I40" s="4" t="s">
        <v>62</v>
      </c>
      <c r="J40" s="4" t="s">
        <v>62</v>
      </c>
      <c r="K40" s="4" t="s">
        <v>62</v>
      </c>
      <c r="L40" s="4" t="s">
        <v>62</v>
      </c>
      <c r="M40" s="4" t="s">
        <v>62</v>
      </c>
      <c r="N40" s="4" t="s">
        <v>62</v>
      </c>
      <c r="O40" s="4" t="s">
        <v>62</v>
      </c>
      <c r="P40" s="4" t="s">
        <v>62</v>
      </c>
      <c r="Q40" s="4" t="s">
        <v>62</v>
      </c>
      <c r="R40" s="4" t="s">
        <v>62</v>
      </c>
      <c r="S40" s="4" t="s">
        <v>62</v>
      </c>
      <c r="T40" s="4" t="s">
        <v>62</v>
      </c>
      <c r="U40" s="4" t="s">
        <v>62</v>
      </c>
      <c r="V40" s="4" t="s">
        <v>62</v>
      </c>
      <c r="W40" s="4" t="s">
        <v>62</v>
      </c>
      <c r="X40" s="4" t="s">
        <v>62</v>
      </c>
      <c r="Y40" s="4" t="s">
        <v>62</v>
      </c>
      <c r="Z40" s="4" t="s">
        <v>62</v>
      </c>
      <c r="AA40" s="4" t="s">
        <v>62</v>
      </c>
      <c r="AB40" s="4" t="s">
        <v>62</v>
      </c>
      <c r="AC40" s="4" t="s">
        <v>62</v>
      </c>
      <c r="AD40" s="4" t="s">
        <v>62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39">
        <v>28</v>
      </c>
      <c r="C41" s="88" t="str">
        <f>LEFT(EmpGName28)&amp;" " &amp;EmpSName28</f>
        <v>J Grey</v>
      </c>
      <c r="D41" s="3" t="s">
        <v>62</v>
      </c>
      <c r="E41" s="3" t="s">
        <v>62</v>
      </c>
      <c r="F41" s="3" t="s">
        <v>62</v>
      </c>
      <c r="G41" s="3" t="s">
        <v>62</v>
      </c>
      <c r="H41" s="3" t="s">
        <v>62</v>
      </c>
      <c r="I41" s="3" t="s">
        <v>62</v>
      </c>
      <c r="J41" s="3" t="s">
        <v>62</v>
      </c>
      <c r="K41" s="3" t="s">
        <v>62</v>
      </c>
      <c r="L41" s="3" t="s">
        <v>62</v>
      </c>
      <c r="M41" s="3" t="s">
        <v>62</v>
      </c>
      <c r="N41" s="3" t="s">
        <v>62</v>
      </c>
      <c r="O41" s="3" t="s">
        <v>62</v>
      </c>
      <c r="P41" s="3" t="s">
        <v>62</v>
      </c>
      <c r="Q41" s="3" t="s">
        <v>62</v>
      </c>
      <c r="R41" s="3" t="s">
        <v>62</v>
      </c>
      <c r="S41" s="3" t="s">
        <v>62</v>
      </c>
      <c r="T41" s="3" t="s">
        <v>62</v>
      </c>
      <c r="U41" s="3" t="s">
        <v>62</v>
      </c>
      <c r="V41" s="3" t="s">
        <v>62</v>
      </c>
      <c r="W41" s="3" t="s">
        <v>62</v>
      </c>
      <c r="X41" s="3" t="s">
        <v>62</v>
      </c>
      <c r="Y41" s="3" t="s">
        <v>62</v>
      </c>
      <c r="Z41" s="3" t="s">
        <v>62</v>
      </c>
      <c r="AA41" s="3" t="s">
        <v>62</v>
      </c>
      <c r="AB41" s="3" t="s">
        <v>62</v>
      </c>
      <c r="AC41" s="3" t="s">
        <v>62</v>
      </c>
      <c r="AD41" s="3" t="s">
        <v>62</v>
      </c>
      <c r="AE41" s="3" t="s">
        <v>62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s="188">
        <f>CurYear-1</f>
        <v>2020</v>
      </c>
      <c r="D43" s="5" t="str">
        <f t="shared" ref="D43:AH43" si="1">LEFT(TEXT(D44&amp;"-"&amp;$C44&amp;"-"&amp; CurYear-1,"ddd"),2)</f>
        <v>Sa</v>
      </c>
      <c r="E43" s="5" t="str">
        <f t="shared" si="1"/>
        <v>Su</v>
      </c>
      <c r="F43" s="5" t="str">
        <f t="shared" si="1"/>
        <v>Mo</v>
      </c>
      <c r="G43" s="5" t="str">
        <f t="shared" si="1"/>
        <v>Tu</v>
      </c>
      <c r="H43" s="5" t="str">
        <f t="shared" si="1"/>
        <v>We</v>
      </c>
      <c r="I43" s="5" t="str">
        <f t="shared" si="1"/>
        <v>Th</v>
      </c>
      <c r="J43" s="5" t="str">
        <f t="shared" si="1"/>
        <v>Fr</v>
      </c>
      <c r="K43" s="5" t="str">
        <f t="shared" si="1"/>
        <v>Sa</v>
      </c>
      <c r="L43" s="5" t="str">
        <f t="shared" si="1"/>
        <v>Su</v>
      </c>
      <c r="M43" s="5" t="str">
        <f t="shared" si="1"/>
        <v>Mo</v>
      </c>
      <c r="N43" s="5" t="str">
        <f t="shared" si="1"/>
        <v>Tu</v>
      </c>
      <c r="O43" s="5" t="str">
        <f t="shared" si="1"/>
        <v>We</v>
      </c>
      <c r="P43" s="5" t="str">
        <f t="shared" si="1"/>
        <v>Th</v>
      </c>
      <c r="Q43" s="5" t="str">
        <f t="shared" si="1"/>
        <v>Fr</v>
      </c>
      <c r="R43" s="5" t="str">
        <f t="shared" si="1"/>
        <v>Sa</v>
      </c>
      <c r="S43" s="5" t="str">
        <f t="shared" si="1"/>
        <v>Su</v>
      </c>
      <c r="T43" s="5" t="str">
        <f t="shared" si="1"/>
        <v>Mo</v>
      </c>
      <c r="U43" s="5" t="str">
        <f t="shared" si="1"/>
        <v>Tu</v>
      </c>
      <c r="V43" s="5" t="str">
        <f t="shared" si="1"/>
        <v>We</v>
      </c>
      <c r="W43" s="5" t="str">
        <f t="shared" si="1"/>
        <v>Th</v>
      </c>
      <c r="X43" s="5" t="str">
        <f t="shared" si="1"/>
        <v>Fr</v>
      </c>
      <c r="Y43" s="5" t="str">
        <f t="shared" si="1"/>
        <v>Sa</v>
      </c>
      <c r="Z43" s="5" t="str">
        <f t="shared" si="1"/>
        <v>Su</v>
      </c>
      <c r="AA43" s="5" t="str">
        <f t="shared" si="1"/>
        <v>Mo</v>
      </c>
      <c r="AB43" s="5" t="str">
        <f t="shared" si="1"/>
        <v>Tu</v>
      </c>
      <c r="AC43" s="5" t="str">
        <f t="shared" si="1"/>
        <v>We</v>
      </c>
      <c r="AD43" s="5" t="str">
        <f t="shared" si="1"/>
        <v>Th</v>
      </c>
      <c r="AE43" s="5" t="str">
        <f t="shared" si="1"/>
        <v>Fr</v>
      </c>
      <c r="AF43" s="5" t="str">
        <f t="shared" si="1"/>
        <v>Sa</v>
      </c>
      <c r="AG43" s="5" t="str">
        <f t="shared" si="1"/>
        <v>Su</v>
      </c>
      <c r="AH43" s="5" t="str">
        <f t="shared" si="1"/>
        <v>Mo</v>
      </c>
    </row>
    <row r="44" spans="2:34">
      <c r="B44" s="86"/>
      <c r="C44" s="189" t="s">
        <v>19</v>
      </c>
      <c r="D44" s="191">
        <v>1</v>
      </c>
      <c r="E44" s="191">
        <v>2</v>
      </c>
      <c r="F44" s="191">
        <v>3</v>
      </c>
      <c r="G44" s="191">
        <v>4</v>
      </c>
      <c r="H44" s="191">
        <v>5</v>
      </c>
      <c r="I44" s="191">
        <v>6</v>
      </c>
      <c r="J44" s="191">
        <v>7</v>
      </c>
      <c r="K44" s="191">
        <v>8</v>
      </c>
      <c r="L44" s="191">
        <v>9</v>
      </c>
      <c r="M44" s="191">
        <v>10</v>
      </c>
      <c r="N44" s="191">
        <v>11</v>
      </c>
      <c r="O44" s="191">
        <v>12</v>
      </c>
      <c r="P44" s="191">
        <v>13</v>
      </c>
      <c r="Q44" s="190">
        <v>14</v>
      </c>
      <c r="R44" s="191">
        <v>15</v>
      </c>
      <c r="S44" s="191">
        <v>16</v>
      </c>
      <c r="T44" s="191">
        <v>17</v>
      </c>
      <c r="U44" s="191">
        <v>18</v>
      </c>
      <c r="V44" s="191">
        <v>19</v>
      </c>
      <c r="W44" s="191">
        <v>20</v>
      </c>
      <c r="X44" s="191">
        <v>21</v>
      </c>
      <c r="Y44" s="191">
        <v>22</v>
      </c>
      <c r="Z44" s="191">
        <v>23</v>
      </c>
      <c r="AA44" s="191">
        <v>24</v>
      </c>
      <c r="AB44" s="191">
        <v>25</v>
      </c>
      <c r="AC44" s="191">
        <v>26</v>
      </c>
      <c r="AD44" s="191">
        <v>27</v>
      </c>
      <c r="AE44" s="190">
        <v>28</v>
      </c>
      <c r="AF44" s="191">
        <v>29</v>
      </c>
      <c r="AG44" s="191">
        <v>30</v>
      </c>
      <c r="AH44" s="191">
        <v>31</v>
      </c>
    </row>
    <row r="45" spans="2:34">
      <c r="B45" s="83">
        <v>1</v>
      </c>
      <c r="C45" s="87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3">
        <v>2</v>
      </c>
      <c r="C46" s="88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3">
        <v>3</v>
      </c>
      <c r="C47" s="87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3">
        <v>4</v>
      </c>
      <c r="C48" s="88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3">
        <v>5</v>
      </c>
      <c r="C49" s="87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3">
        <v>6</v>
      </c>
      <c r="C50" s="88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3">
        <v>7</v>
      </c>
      <c r="C51" s="87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3">
        <v>8</v>
      </c>
      <c r="C52" s="88" t="str">
        <f>LEFT(EmpGName08)&amp;" " &amp;EmpSName08</f>
        <v>C Horse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3">
        <v>9</v>
      </c>
      <c r="C53" s="87" t="str">
        <f>LEFT(EmpGName09)&amp;" " &amp;EmpSName09</f>
        <v xml:space="preserve">E Horse 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39">
        <v>10</v>
      </c>
      <c r="C54" s="88" t="str">
        <f>LEFT(EmpGName10)&amp;" " &amp;EmpSName10</f>
        <v>J Smeegal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39">
        <v>11</v>
      </c>
      <c r="C55" s="87" t="str">
        <f>LEFT(EmpGName11)&amp;" " &amp;EmpSName11</f>
        <v>E Smeegal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39">
        <v>12</v>
      </c>
      <c r="C56" s="88" t="str">
        <f>LEFT(EmpGName12)&amp;" " &amp;EmpSName12</f>
        <v>J James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39">
        <v>13</v>
      </c>
      <c r="C57" s="87" t="str">
        <f>LEFT(EmpGName13)&amp;" " &amp;EmpSName13</f>
        <v>J Jack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39">
        <v>14</v>
      </c>
      <c r="C58" s="88" t="str">
        <f>LEFT(EmpGName14)&amp;" " &amp;EmpSName14</f>
        <v xml:space="preserve">J Jacky 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39">
        <v>15</v>
      </c>
      <c r="C59" s="87" t="str">
        <f>LEFT(EmpGName15)&amp;" " &amp;EmpSName15</f>
        <v>J Friedle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39">
        <v>16</v>
      </c>
      <c r="C60" s="88" t="str">
        <f>LEFT(EmpGName16)&amp;" " &amp;EmpSName16</f>
        <v>J Friedle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39">
        <v>17</v>
      </c>
      <c r="C61" s="87" t="str">
        <f>LEFT(EmpGName17)&amp;" " &amp;EmpSName17</f>
        <v>J Smart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39">
        <v>18</v>
      </c>
      <c r="C62" s="88" t="str">
        <f>LEFT(EmpGName18)&amp;" " &amp;EmpSName18</f>
        <v>E Smart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39">
        <v>19</v>
      </c>
      <c r="C63" s="87" t="str">
        <f>LEFT(EmpGName19)&amp;" " &amp;EmpSName19</f>
        <v>J Black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39">
        <v>20</v>
      </c>
      <c r="C64" s="88" t="str">
        <f>LEFT(EmpGName20)&amp;" " &amp;EmpSName20</f>
        <v>J Black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39">
        <v>21</v>
      </c>
      <c r="C65" s="87" t="str">
        <f>LEFT(EmpGName21)&amp;" " &amp;EmpSName21</f>
        <v>S Black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39">
        <v>22</v>
      </c>
      <c r="C66" s="88" t="str">
        <f>LEFT(EmpGName22)&amp;" " &amp;EmpSName22</f>
        <v>E Brown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39">
        <v>23</v>
      </c>
      <c r="C67" s="87" t="str">
        <f>LEFT(EmpGName23)&amp;" " &amp;EmpSName23</f>
        <v>E Brown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39">
        <v>24</v>
      </c>
      <c r="C68" s="88" t="str">
        <f>LEFT(EmpGName24)&amp;" " &amp;EmpSName24</f>
        <v>S Brown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39">
        <v>25</v>
      </c>
      <c r="C69" s="87" t="str">
        <f>LEFT(EmpGName25)&amp;" " &amp;EmpSName25</f>
        <v>S Grey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39">
        <v>26</v>
      </c>
      <c r="C70" s="88" t="str">
        <f>LEFT(EmpGName26)&amp;" " &amp;EmpSName26</f>
        <v>I Grey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39">
        <v>27</v>
      </c>
      <c r="C71" s="87" t="str">
        <f>LEFT(EmpGName27)&amp;" " &amp;EmpSName27</f>
        <v>D Grey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39">
        <v>28</v>
      </c>
      <c r="C72" s="88" t="str">
        <f>LEFT(EmpGName28)&amp;" " &amp;EmpSName28</f>
        <v>J Grey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s="188">
        <f>CurYear-1</f>
        <v>2020</v>
      </c>
      <c r="D74" s="5" t="str">
        <f t="shared" ref="D74:AG74" si="2">LEFT(TEXT(D75&amp;"-"&amp;$C75&amp;"-"&amp; CurYear-1,"ddd"),2)</f>
        <v>Tu</v>
      </c>
      <c r="E74" s="5" t="str">
        <f t="shared" si="2"/>
        <v>We</v>
      </c>
      <c r="F74" s="5" t="str">
        <f t="shared" si="2"/>
        <v>Th</v>
      </c>
      <c r="G74" s="5" t="str">
        <f t="shared" si="2"/>
        <v>Fr</v>
      </c>
      <c r="H74" s="5" t="str">
        <f t="shared" si="2"/>
        <v>Sa</v>
      </c>
      <c r="I74" s="5" t="str">
        <f t="shared" si="2"/>
        <v>Su</v>
      </c>
      <c r="J74" s="5" t="str">
        <f t="shared" si="2"/>
        <v>Mo</v>
      </c>
      <c r="K74" s="5" t="str">
        <f t="shared" si="2"/>
        <v>Tu</v>
      </c>
      <c r="L74" s="5" t="str">
        <f t="shared" si="2"/>
        <v>We</v>
      </c>
      <c r="M74" s="5" t="str">
        <f t="shared" si="2"/>
        <v>Th</v>
      </c>
      <c r="N74" s="5" t="str">
        <f t="shared" si="2"/>
        <v>Fr</v>
      </c>
      <c r="O74" s="5" t="str">
        <f t="shared" si="2"/>
        <v>Sa</v>
      </c>
      <c r="P74" s="5" t="str">
        <f t="shared" si="2"/>
        <v>Su</v>
      </c>
      <c r="Q74" s="5" t="str">
        <f t="shared" si="2"/>
        <v>Mo</v>
      </c>
      <c r="R74" s="5" t="str">
        <f t="shared" si="2"/>
        <v>Tu</v>
      </c>
      <c r="S74" s="5" t="str">
        <f t="shared" si="2"/>
        <v>We</v>
      </c>
      <c r="T74" s="5" t="str">
        <f t="shared" si="2"/>
        <v>Th</v>
      </c>
      <c r="U74" s="5" t="str">
        <f t="shared" si="2"/>
        <v>Fr</v>
      </c>
      <c r="V74" s="5" t="str">
        <f t="shared" si="2"/>
        <v>Sa</v>
      </c>
      <c r="W74" s="5" t="str">
        <f t="shared" si="2"/>
        <v>Su</v>
      </c>
      <c r="X74" s="5" t="str">
        <f t="shared" si="2"/>
        <v>Mo</v>
      </c>
      <c r="Y74" s="5" t="str">
        <f t="shared" si="2"/>
        <v>Tu</v>
      </c>
      <c r="Z74" s="5" t="str">
        <f t="shared" si="2"/>
        <v>We</v>
      </c>
      <c r="AA74" s="5" t="str">
        <f t="shared" si="2"/>
        <v>Th</v>
      </c>
      <c r="AB74" s="5" t="str">
        <f t="shared" si="2"/>
        <v>Fr</v>
      </c>
      <c r="AC74" s="5" t="str">
        <f t="shared" si="2"/>
        <v>Sa</v>
      </c>
      <c r="AD74" s="5" t="str">
        <f t="shared" si="2"/>
        <v>Su</v>
      </c>
      <c r="AE74" s="5" t="str">
        <f t="shared" si="2"/>
        <v>Mo</v>
      </c>
      <c r="AF74" s="5" t="str">
        <f t="shared" si="2"/>
        <v>Tu</v>
      </c>
      <c r="AG74" s="5" t="str">
        <f t="shared" si="2"/>
        <v>We</v>
      </c>
      <c r="AH74" s="5"/>
    </row>
    <row r="75" spans="2:34">
      <c r="B75" s="86"/>
      <c r="C75" s="189" t="s">
        <v>20</v>
      </c>
      <c r="D75" s="191">
        <v>1</v>
      </c>
      <c r="E75" s="191">
        <v>2</v>
      </c>
      <c r="F75" s="191">
        <v>3</v>
      </c>
      <c r="G75" s="191">
        <v>4</v>
      </c>
      <c r="H75" s="191">
        <v>5</v>
      </c>
      <c r="I75" s="191">
        <v>6</v>
      </c>
      <c r="J75" s="191">
        <v>7</v>
      </c>
      <c r="K75" s="191">
        <v>8</v>
      </c>
      <c r="L75" s="191">
        <v>9</v>
      </c>
      <c r="M75" s="191">
        <v>10</v>
      </c>
      <c r="N75" s="190">
        <v>11</v>
      </c>
      <c r="O75" s="191">
        <v>12</v>
      </c>
      <c r="P75" s="191">
        <v>13</v>
      </c>
      <c r="Q75" s="191">
        <v>14</v>
      </c>
      <c r="R75" s="191">
        <v>15</v>
      </c>
      <c r="S75" s="191">
        <v>16</v>
      </c>
      <c r="T75" s="191">
        <v>17</v>
      </c>
      <c r="U75" s="191">
        <v>18</v>
      </c>
      <c r="V75" s="191">
        <v>19</v>
      </c>
      <c r="W75" s="191">
        <v>20</v>
      </c>
      <c r="X75" s="191">
        <v>21</v>
      </c>
      <c r="Y75" s="191">
        <v>22</v>
      </c>
      <c r="Z75" s="191">
        <v>23</v>
      </c>
      <c r="AA75" s="191">
        <v>24</v>
      </c>
      <c r="AB75" s="190">
        <v>25</v>
      </c>
      <c r="AC75" s="191">
        <v>26</v>
      </c>
      <c r="AD75" s="191">
        <v>27</v>
      </c>
      <c r="AE75" s="191">
        <v>28</v>
      </c>
      <c r="AF75" s="191">
        <v>29</v>
      </c>
      <c r="AG75" s="191">
        <v>30</v>
      </c>
    </row>
    <row r="76" spans="2:34">
      <c r="B76" s="83">
        <v>1</v>
      </c>
      <c r="C76" s="87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3">
        <v>2</v>
      </c>
      <c r="C77" s="88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3">
        <v>3</v>
      </c>
      <c r="C78" s="87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3">
        <v>4</v>
      </c>
      <c r="C79" s="88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3">
        <v>5</v>
      </c>
      <c r="C80" s="87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3">
        <v>6</v>
      </c>
      <c r="C81" s="88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3">
        <v>7</v>
      </c>
      <c r="C82" s="87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3">
        <v>8</v>
      </c>
      <c r="C83" s="88" t="str">
        <f>LEFT(EmpGName08)&amp;" " &amp;EmpSName08</f>
        <v>C Horse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3">
        <v>9</v>
      </c>
      <c r="C84" s="87" t="str">
        <f>LEFT(EmpGName09)&amp;" " &amp;EmpSName09</f>
        <v xml:space="preserve">E Horse 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39">
        <v>10</v>
      </c>
      <c r="C85" s="88" t="str">
        <f>LEFT(EmpGName10)&amp;" " &amp;EmpSName10</f>
        <v>J Smeegal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39">
        <v>11</v>
      </c>
      <c r="C86" s="87" t="str">
        <f>LEFT(EmpGName11)&amp;" " &amp;EmpSName11</f>
        <v>E Smeegal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39">
        <v>12</v>
      </c>
      <c r="C87" s="88" t="str">
        <f>LEFT(EmpGName12)&amp;" " &amp;EmpSName12</f>
        <v>J James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39">
        <v>13</v>
      </c>
      <c r="C88" s="87" t="str">
        <f>LEFT(EmpGName13)&amp;" " &amp;EmpSName13</f>
        <v>J Jack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39">
        <v>14</v>
      </c>
      <c r="C89" s="88" t="str">
        <f>LEFT(EmpGName14)&amp;" " &amp;EmpSName14</f>
        <v xml:space="preserve">J Jacky 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39">
        <v>15</v>
      </c>
      <c r="C90" s="87" t="str">
        <f>LEFT(EmpGName15)&amp;" " &amp;EmpSName15</f>
        <v>J Friedle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39">
        <v>16</v>
      </c>
      <c r="C91" s="88" t="str">
        <f>LEFT(EmpGName16)&amp;" " &amp;EmpSName16</f>
        <v>J Friedle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39">
        <v>17</v>
      </c>
      <c r="C92" s="87" t="str">
        <f>LEFT(EmpGName17)&amp;" " &amp;EmpSName17</f>
        <v>J Smart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39">
        <v>18</v>
      </c>
      <c r="C93" s="88" t="str">
        <f>LEFT(EmpGName18)&amp;" " &amp;EmpSName18</f>
        <v>E Smart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39">
        <v>19</v>
      </c>
      <c r="C94" s="87" t="str">
        <f>LEFT(EmpGName19)&amp;" " &amp;EmpSName19</f>
        <v>J Black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39">
        <v>20</v>
      </c>
      <c r="C95" s="88" t="str">
        <f>LEFT(EmpGName20)&amp;" " &amp;EmpSName20</f>
        <v>J Black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39">
        <v>21</v>
      </c>
      <c r="C96" s="87" t="str">
        <f>LEFT(EmpGName21)&amp;" " &amp;EmpSName21</f>
        <v>S Black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39">
        <v>22</v>
      </c>
      <c r="C97" s="88" t="str">
        <f>LEFT(EmpGName22)&amp;" " &amp;EmpSName22</f>
        <v>E Brown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39">
        <v>23</v>
      </c>
      <c r="C98" s="87" t="str">
        <f>LEFT(EmpGName23)&amp;" " &amp;EmpSName23</f>
        <v>E Brown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39">
        <v>24</v>
      </c>
      <c r="C99" s="88" t="str">
        <f>LEFT(EmpGName24)&amp;" " &amp;EmpSName24</f>
        <v>S Brown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39">
        <v>25</v>
      </c>
      <c r="C100" s="87" t="str">
        <f>LEFT(EmpGName25)&amp;" " &amp;EmpSName25</f>
        <v>S Grey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39">
        <v>26</v>
      </c>
      <c r="C101" s="88" t="str">
        <f>LEFT(EmpGName26)&amp;" " &amp;EmpSName26</f>
        <v>I Grey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39">
        <v>27</v>
      </c>
      <c r="C102" s="87" t="str">
        <f>LEFT(EmpGName27)&amp;" " &amp;EmpSName27</f>
        <v>D Grey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67">
        <v>28</v>
      </c>
      <c r="C103" s="168" t="str">
        <f>LEFT(EmpGName28)&amp;" " &amp;EmpSName28</f>
        <v>J Grey</v>
      </c>
      <c r="D103" s="169" t="s">
        <v>62</v>
      </c>
      <c r="E103" s="169" t="s">
        <v>62</v>
      </c>
      <c r="F103" s="169" t="s">
        <v>62</v>
      </c>
      <c r="G103" s="169" t="s">
        <v>62</v>
      </c>
      <c r="H103" s="169" t="s">
        <v>62</v>
      </c>
      <c r="I103" s="169" t="s">
        <v>62</v>
      </c>
      <c r="J103" s="169" t="s">
        <v>62</v>
      </c>
      <c r="K103" s="169" t="s">
        <v>62</v>
      </c>
      <c r="L103" s="169" t="s">
        <v>62</v>
      </c>
      <c r="M103" s="169" t="s">
        <v>62</v>
      </c>
      <c r="N103" s="169" t="s">
        <v>62</v>
      </c>
      <c r="O103" s="169" t="s">
        <v>62</v>
      </c>
      <c r="P103" s="169" t="s">
        <v>62</v>
      </c>
      <c r="Q103" s="169" t="s">
        <v>62</v>
      </c>
      <c r="R103" s="169" t="s">
        <v>62</v>
      </c>
      <c r="S103" s="169" t="s">
        <v>62</v>
      </c>
      <c r="T103" s="169" t="s">
        <v>62</v>
      </c>
      <c r="U103" s="169" t="s">
        <v>62</v>
      </c>
      <c r="V103" s="169" t="s">
        <v>62</v>
      </c>
      <c r="W103" s="169" t="s">
        <v>62</v>
      </c>
      <c r="X103" s="169" t="s">
        <v>62</v>
      </c>
      <c r="Y103" s="169" t="s">
        <v>62</v>
      </c>
      <c r="Z103" s="169" t="s">
        <v>62</v>
      </c>
      <c r="AA103" s="169" t="s">
        <v>62</v>
      </c>
      <c r="AB103" s="169" t="s">
        <v>62</v>
      </c>
      <c r="AC103" s="169" t="s">
        <v>62</v>
      </c>
      <c r="AD103" s="169" t="s">
        <v>62</v>
      </c>
      <c r="AE103" s="169" t="s">
        <v>62</v>
      </c>
      <c r="AF103" s="169" t="s">
        <v>62</v>
      </c>
      <c r="AG103" s="169" t="s">
        <v>62</v>
      </c>
    </row>
    <row r="104" spans="2:34" s="2" customFormat="1">
      <c r="B104" s="165"/>
      <c r="C104" s="166"/>
      <c r="D104" s="201"/>
      <c r="E104" s="201"/>
      <c r="F104" s="201"/>
      <c r="G104" s="201"/>
      <c r="H104" s="201"/>
      <c r="I104" s="201"/>
      <c r="J104" s="201"/>
      <c r="K104" s="201"/>
      <c r="L104" s="201"/>
      <c r="M104" s="201"/>
      <c r="N104" s="201"/>
      <c r="O104" s="201"/>
      <c r="P104" s="201"/>
      <c r="Q104" s="201"/>
      <c r="R104" s="201"/>
      <c r="S104" s="201"/>
      <c r="T104" s="201"/>
      <c r="U104" s="201"/>
      <c r="V104" s="201"/>
      <c r="W104" s="201"/>
      <c r="X104" s="201"/>
      <c r="Y104" s="201"/>
      <c r="Z104" s="201"/>
      <c r="AA104" s="201"/>
      <c r="AB104" s="201"/>
      <c r="AC104" s="201"/>
      <c r="AD104" s="201"/>
      <c r="AE104" s="201"/>
      <c r="AF104" s="201"/>
      <c r="AG104" s="201"/>
    </row>
    <row r="105" spans="2:34">
      <c r="C105" s="188">
        <f>CurYear-1</f>
        <v>2020</v>
      </c>
      <c r="D105" s="5" t="str">
        <f t="shared" ref="D105:AG105" si="3">LEFT(TEXT(D106&amp;"-"&amp;$C106&amp;"-"&amp; CurYear-1,"ddd"),2)</f>
        <v>Th</v>
      </c>
      <c r="E105" s="5" t="str">
        <f t="shared" si="3"/>
        <v>Fr</v>
      </c>
      <c r="F105" s="5" t="str">
        <f t="shared" si="3"/>
        <v>Sa</v>
      </c>
      <c r="G105" s="5" t="str">
        <f t="shared" si="3"/>
        <v>Su</v>
      </c>
      <c r="H105" s="5" t="str">
        <f t="shared" si="3"/>
        <v>Mo</v>
      </c>
      <c r="I105" s="5" t="str">
        <f t="shared" si="3"/>
        <v>Tu</v>
      </c>
      <c r="J105" s="5" t="str">
        <f t="shared" si="3"/>
        <v>We</v>
      </c>
      <c r="K105" s="5" t="str">
        <f t="shared" si="3"/>
        <v>Th</v>
      </c>
      <c r="L105" s="5" t="str">
        <f t="shared" si="3"/>
        <v>Fr</v>
      </c>
      <c r="M105" s="5" t="str">
        <f t="shared" si="3"/>
        <v>Sa</v>
      </c>
      <c r="N105" s="5" t="str">
        <f t="shared" si="3"/>
        <v>Su</v>
      </c>
      <c r="O105" s="5" t="str">
        <f t="shared" si="3"/>
        <v>Mo</v>
      </c>
      <c r="P105" s="5" t="str">
        <f t="shared" si="3"/>
        <v>Tu</v>
      </c>
      <c r="Q105" s="5" t="str">
        <f t="shared" si="3"/>
        <v>We</v>
      </c>
      <c r="R105" s="5" t="str">
        <f t="shared" si="3"/>
        <v>Th</v>
      </c>
      <c r="S105" s="5" t="str">
        <f t="shared" si="3"/>
        <v>Fr</v>
      </c>
      <c r="T105" s="5" t="str">
        <f t="shared" si="3"/>
        <v>Sa</v>
      </c>
      <c r="U105" s="5" t="str">
        <f t="shared" si="3"/>
        <v>Su</v>
      </c>
      <c r="V105" s="5" t="str">
        <f t="shared" si="3"/>
        <v>Mo</v>
      </c>
      <c r="W105" s="5" t="str">
        <f t="shared" si="3"/>
        <v>Tu</v>
      </c>
      <c r="X105" s="5" t="str">
        <f t="shared" si="3"/>
        <v>We</v>
      </c>
      <c r="Y105" s="5" t="str">
        <f t="shared" si="3"/>
        <v>Th</v>
      </c>
      <c r="Z105" s="5" t="str">
        <f t="shared" si="3"/>
        <v>Fr</v>
      </c>
      <c r="AA105" s="5" t="str">
        <f t="shared" si="3"/>
        <v>Sa</v>
      </c>
      <c r="AB105" s="5" t="str">
        <f t="shared" si="3"/>
        <v>Su</v>
      </c>
      <c r="AC105" s="5" t="str">
        <f t="shared" si="3"/>
        <v>Mo</v>
      </c>
      <c r="AD105" s="5" t="str">
        <f t="shared" si="3"/>
        <v>Tu</v>
      </c>
      <c r="AE105" s="5" t="str">
        <f t="shared" si="3"/>
        <v>We</v>
      </c>
      <c r="AF105" s="5" t="str">
        <f t="shared" si="3"/>
        <v>Th</v>
      </c>
      <c r="AG105" s="5" t="str">
        <f t="shared" si="3"/>
        <v>Fr</v>
      </c>
      <c r="AH105" s="5" t="str">
        <f>LEFT(TEXT(AH106&amp;"-"&amp;$C106&amp;"-"&amp; CurYear-1,"ddd"),2)</f>
        <v>Sa</v>
      </c>
    </row>
    <row r="106" spans="2:34">
      <c r="B106" s="86"/>
      <c r="C106" s="189" t="s">
        <v>21</v>
      </c>
      <c r="D106" s="191">
        <v>1</v>
      </c>
      <c r="E106" s="191">
        <v>2</v>
      </c>
      <c r="F106" s="191">
        <v>3</v>
      </c>
      <c r="G106" s="191">
        <v>4</v>
      </c>
      <c r="H106" s="191">
        <v>5</v>
      </c>
      <c r="I106" s="191">
        <v>6</v>
      </c>
      <c r="J106" s="207">
        <v>7</v>
      </c>
      <c r="K106" s="191">
        <v>8</v>
      </c>
      <c r="L106" s="190">
        <v>9</v>
      </c>
      <c r="M106" s="191">
        <v>10</v>
      </c>
      <c r="N106" s="191">
        <v>11</v>
      </c>
      <c r="O106" s="191">
        <v>12</v>
      </c>
      <c r="P106" s="191">
        <v>13</v>
      </c>
      <c r="Q106" s="191">
        <v>14</v>
      </c>
      <c r="R106" s="191">
        <v>15</v>
      </c>
      <c r="S106" s="191">
        <v>16</v>
      </c>
      <c r="T106" s="191">
        <v>17</v>
      </c>
      <c r="U106" s="191">
        <v>18</v>
      </c>
      <c r="V106" s="191">
        <v>19</v>
      </c>
      <c r="W106" s="191">
        <v>20</v>
      </c>
      <c r="X106" s="191">
        <v>21</v>
      </c>
      <c r="Y106" s="191">
        <v>22</v>
      </c>
      <c r="Z106" s="190">
        <v>23</v>
      </c>
      <c r="AA106" s="191">
        <v>24</v>
      </c>
      <c r="AB106" s="191">
        <v>25</v>
      </c>
      <c r="AC106" s="191">
        <v>26</v>
      </c>
      <c r="AD106" s="191">
        <v>27</v>
      </c>
      <c r="AE106" s="191">
        <v>28</v>
      </c>
      <c r="AF106" s="191">
        <v>29</v>
      </c>
      <c r="AG106" s="191">
        <v>30</v>
      </c>
      <c r="AH106" s="191">
        <v>31</v>
      </c>
    </row>
    <row r="107" spans="2:34">
      <c r="B107" s="83">
        <v>1</v>
      </c>
      <c r="C107" s="87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3">
        <v>2</v>
      </c>
      <c r="C108" s="88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3">
        <v>3</v>
      </c>
      <c r="C109" s="87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3">
        <v>4</v>
      </c>
      <c r="C110" s="88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3">
        <v>5</v>
      </c>
      <c r="C111" s="87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3">
        <v>6</v>
      </c>
      <c r="C112" s="88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3">
        <v>7</v>
      </c>
      <c r="C113" s="87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3">
        <v>8</v>
      </c>
      <c r="C114" s="88" t="str">
        <f>LEFT(EmpGName08)&amp;" " &amp;EmpSName08</f>
        <v>C Horse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3">
        <v>9</v>
      </c>
      <c r="C115" s="87" t="str">
        <f>LEFT(EmpGName09)&amp;" " &amp;EmpSName09</f>
        <v xml:space="preserve">E Horse 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39">
        <v>10</v>
      </c>
      <c r="C116" s="88" t="str">
        <f>LEFT(EmpGName10)&amp;" " &amp;EmpSName10</f>
        <v>J Smeegal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39">
        <v>11</v>
      </c>
      <c r="C117" s="87" t="str">
        <f>LEFT(EmpGName11)&amp;" " &amp;EmpSName11</f>
        <v>E Smeegal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39">
        <v>12</v>
      </c>
      <c r="C118" s="88" t="str">
        <f>LEFT(EmpGName12)&amp;" " &amp;EmpSName12</f>
        <v>J James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39">
        <v>13</v>
      </c>
      <c r="C119" s="87" t="str">
        <f>LEFT(EmpGName13)&amp;" " &amp;EmpSName13</f>
        <v>J Jack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39">
        <v>14</v>
      </c>
      <c r="C120" s="88" t="str">
        <f>LEFT(EmpGName14)&amp;" " &amp;EmpSName14</f>
        <v xml:space="preserve">J Jacky 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39">
        <v>15</v>
      </c>
      <c r="C121" s="87" t="str">
        <f>LEFT(EmpGName15)&amp;" " &amp;EmpSName15</f>
        <v>J Friedle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39">
        <v>16</v>
      </c>
      <c r="C122" s="88" t="str">
        <f>LEFT(EmpGName16)&amp;" " &amp;EmpSName16</f>
        <v>J Friedle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39">
        <v>17</v>
      </c>
      <c r="C123" s="87" t="str">
        <f>LEFT(EmpGName17)&amp;" " &amp;EmpSName17</f>
        <v>J Smart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39">
        <v>18</v>
      </c>
      <c r="C124" s="88" t="str">
        <f>LEFT(EmpGName18)&amp;" " &amp;EmpSName18</f>
        <v>E Smart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39">
        <v>19</v>
      </c>
      <c r="C125" s="87" t="str">
        <f>LEFT(EmpGName19)&amp;" " &amp;EmpSName19</f>
        <v>J Black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39">
        <v>20</v>
      </c>
      <c r="C126" s="88" t="str">
        <f>LEFT(EmpGName20)&amp;" " &amp;EmpSName20</f>
        <v>J Black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39">
        <v>21</v>
      </c>
      <c r="C127" s="87" t="str">
        <f>LEFT(EmpGName21)&amp;" " &amp;EmpSName21</f>
        <v>S Black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39">
        <v>22</v>
      </c>
      <c r="C128" s="88" t="str">
        <f>LEFT(EmpGName22)&amp;" " &amp;EmpSName22</f>
        <v>E Brown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39">
        <v>23</v>
      </c>
      <c r="C129" s="87" t="str">
        <f>LEFT(EmpGName23)&amp;" " &amp;EmpSName23</f>
        <v>E Brown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39">
        <v>24</v>
      </c>
      <c r="C130" s="88" t="str">
        <f>LEFT(EmpGName24)&amp;" " &amp;EmpSName24</f>
        <v>S Brown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39">
        <v>25</v>
      </c>
      <c r="C131" s="87" t="str">
        <f>LEFT(EmpGName25)&amp;" " &amp;EmpSName25</f>
        <v>S Grey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39">
        <v>26</v>
      </c>
      <c r="C132" s="88" t="str">
        <f>LEFT(EmpGName26)&amp;" " &amp;EmpSName26</f>
        <v>I Grey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39">
        <v>27</v>
      </c>
      <c r="C133" s="87" t="str">
        <f>LEFT(EmpGName27)&amp;" " &amp;EmpSName27</f>
        <v>D Grey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39">
        <v>28</v>
      </c>
      <c r="C134" s="88" t="str">
        <f>LEFT(EmpGName28)&amp;" " &amp;EmpSName28</f>
        <v>J Grey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s="188">
        <f>CurYear-1</f>
        <v>2020</v>
      </c>
      <c r="D136" s="5" t="str">
        <f t="shared" ref="D136:AG136" si="4">LEFT(TEXT(D137&amp;"-"&amp;$C137&amp;"-"&amp; CurYear-1,"ddd"),2)</f>
        <v>Su</v>
      </c>
      <c r="E136" s="5" t="str">
        <f t="shared" si="4"/>
        <v>Mo</v>
      </c>
      <c r="F136" s="5" t="str">
        <f t="shared" si="4"/>
        <v>Tu</v>
      </c>
      <c r="G136" s="5" t="str">
        <f t="shared" si="4"/>
        <v>We</v>
      </c>
      <c r="H136" s="5" t="str">
        <f t="shared" si="4"/>
        <v>Th</v>
      </c>
      <c r="I136" s="5" t="str">
        <f t="shared" si="4"/>
        <v>Fr</v>
      </c>
      <c r="J136" s="5" t="str">
        <f t="shared" si="4"/>
        <v>Sa</v>
      </c>
      <c r="K136" s="5" t="str">
        <f t="shared" si="4"/>
        <v>Su</v>
      </c>
      <c r="L136" s="5" t="str">
        <f t="shared" si="4"/>
        <v>Mo</v>
      </c>
      <c r="M136" s="5" t="str">
        <f t="shared" si="4"/>
        <v>Tu</v>
      </c>
      <c r="N136" s="5" t="str">
        <f t="shared" si="4"/>
        <v>We</v>
      </c>
      <c r="O136" s="5" t="str">
        <f t="shared" si="4"/>
        <v>Th</v>
      </c>
      <c r="P136" s="5" t="str">
        <f t="shared" si="4"/>
        <v>Fr</v>
      </c>
      <c r="Q136" s="5" t="str">
        <f t="shared" si="4"/>
        <v>Sa</v>
      </c>
      <c r="R136" s="5" t="str">
        <f t="shared" si="4"/>
        <v>Su</v>
      </c>
      <c r="S136" s="5" t="str">
        <f t="shared" si="4"/>
        <v>Mo</v>
      </c>
      <c r="T136" s="5" t="str">
        <f t="shared" si="4"/>
        <v>Tu</v>
      </c>
      <c r="U136" s="5" t="str">
        <f t="shared" si="4"/>
        <v>We</v>
      </c>
      <c r="V136" s="5" t="str">
        <f t="shared" si="4"/>
        <v>Th</v>
      </c>
      <c r="W136" s="5" t="str">
        <f t="shared" si="4"/>
        <v>Fr</v>
      </c>
      <c r="X136" s="5" t="str">
        <f t="shared" si="4"/>
        <v>Sa</v>
      </c>
      <c r="Y136" s="5" t="str">
        <f t="shared" si="4"/>
        <v>Su</v>
      </c>
      <c r="Z136" s="5" t="str">
        <f t="shared" si="4"/>
        <v>Mo</v>
      </c>
      <c r="AA136" s="5" t="str">
        <f t="shared" si="4"/>
        <v>Tu</v>
      </c>
      <c r="AB136" s="5" t="str">
        <f t="shared" si="4"/>
        <v>We</v>
      </c>
      <c r="AC136" s="5" t="str">
        <f t="shared" si="4"/>
        <v>Th</v>
      </c>
      <c r="AD136" s="5" t="str">
        <f t="shared" si="4"/>
        <v>Fr</v>
      </c>
      <c r="AE136" s="5" t="str">
        <f t="shared" si="4"/>
        <v>Sa</v>
      </c>
      <c r="AF136" s="5" t="str">
        <f t="shared" si="4"/>
        <v>Su</v>
      </c>
      <c r="AG136" s="5" t="str">
        <f t="shared" si="4"/>
        <v>Mo</v>
      </c>
      <c r="AH136" s="5"/>
    </row>
    <row r="137" spans="2:34">
      <c r="B137" s="86"/>
      <c r="C137" s="189" t="s">
        <v>22</v>
      </c>
      <c r="D137" s="191">
        <v>1</v>
      </c>
      <c r="E137" s="191">
        <v>2</v>
      </c>
      <c r="F137" s="191">
        <v>3</v>
      </c>
      <c r="G137" s="191">
        <v>4</v>
      </c>
      <c r="H137" s="191">
        <v>5</v>
      </c>
      <c r="I137" s="190">
        <v>6</v>
      </c>
      <c r="J137" s="191">
        <v>7</v>
      </c>
      <c r="K137" s="191">
        <v>8</v>
      </c>
      <c r="L137" s="191">
        <v>9</v>
      </c>
      <c r="M137" s="191">
        <v>10</v>
      </c>
      <c r="N137" s="191">
        <v>11</v>
      </c>
      <c r="O137" s="191">
        <v>12</v>
      </c>
      <c r="P137" s="191">
        <v>13</v>
      </c>
      <c r="Q137" s="191">
        <v>14</v>
      </c>
      <c r="R137" s="191">
        <v>15</v>
      </c>
      <c r="S137" s="191">
        <v>16</v>
      </c>
      <c r="T137" s="191">
        <v>17</v>
      </c>
      <c r="U137" s="191">
        <v>18</v>
      </c>
      <c r="V137" s="191">
        <v>19</v>
      </c>
      <c r="W137" s="190">
        <v>20</v>
      </c>
      <c r="X137" s="191">
        <v>21</v>
      </c>
      <c r="Y137" s="191">
        <v>22</v>
      </c>
      <c r="Z137" s="191">
        <v>23</v>
      </c>
      <c r="AA137" s="191">
        <v>24</v>
      </c>
      <c r="AB137" s="191">
        <v>25</v>
      </c>
      <c r="AC137" s="191">
        <v>26</v>
      </c>
      <c r="AD137" s="191">
        <v>27</v>
      </c>
      <c r="AE137" s="191">
        <v>28</v>
      </c>
      <c r="AF137" s="191">
        <v>29</v>
      </c>
      <c r="AG137" s="191">
        <v>30</v>
      </c>
    </row>
    <row r="138" spans="2:34">
      <c r="B138" s="83">
        <v>1</v>
      </c>
      <c r="C138" s="87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3">
        <v>2</v>
      </c>
      <c r="C139" s="88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3">
        <v>3</v>
      </c>
      <c r="C140" s="87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3">
        <v>4</v>
      </c>
      <c r="C141" s="88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3">
        <v>5</v>
      </c>
      <c r="C142" s="87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3">
        <v>6</v>
      </c>
      <c r="C143" s="88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3">
        <v>7</v>
      </c>
      <c r="C144" s="87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3">
        <v>8</v>
      </c>
      <c r="C145" s="88" t="str">
        <f>LEFT(EmpGName08)&amp;" " &amp;EmpSName08</f>
        <v>C Horse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3">
        <v>9</v>
      </c>
      <c r="C146" s="87" t="str">
        <f>LEFT(EmpGName09)&amp;" " &amp;EmpSName09</f>
        <v xml:space="preserve">E Horse 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39">
        <v>10</v>
      </c>
      <c r="C147" s="88" t="str">
        <f>LEFT(EmpGName10)&amp;" " &amp;EmpSName10</f>
        <v>J Smeegal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39">
        <v>11</v>
      </c>
      <c r="C148" s="87" t="str">
        <f>LEFT(EmpGName11)&amp;" " &amp;EmpSName11</f>
        <v>E Smeegal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39">
        <v>12</v>
      </c>
      <c r="C149" s="88" t="str">
        <f>LEFT(EmpGName12)&amp;" " &amp;EmpSName12</f>
        <v>J James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39">
        <v>13</v>
      </c>
      <c r="C150" s="87" t="str">
        <f>LEFT(EmpGName13)&amp;" " &amp;EmpSName13</f>
        <v>J Jack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39">
        <v>14</v>
      </c>
      <c r="C151" s="88" t="str">
        <f>LEFT(EmpGName14)&amp;" " &amp;EmpSName14</f>
        <v xml:space="preserve">J Jacky 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39">
        <v>15</v>
      </c>
      <c r="C152" s="87" t="str">
        <f>LEFT(EmpGName15)&amp;" " &amp;EmpSName15</f>
        <v>J Friedle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39">
        <v>16</v>
      </c>
      <c r="C153" s="88" t="str">
        <f>LEFT(EmpGName16)&amp;" " &amp;EmpSName16</f>
        <v>J Friedle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39">
        <v>17</v>
      </c>
      <c r="C154" s="87" t="str">
        <f>LEFT(EmpGName17)&amp;" " &amp;EmpSName17</f>
        <v>J Smart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39">
        <v>18</v>
      </c>
      <c r="C155" s="88" t="str">
        <f>LEFT(EmpGName18)&amp;" " &amp;EmpSName18</f>
        <v>E Smart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39">
        <v>19</v>
      </c>
      <c r="C156" s="87" t="str">
        <f>LEFT(EmpGName19)&amp;" " &amp;EmpSName19</f>
        <v>J Black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39">
        <v>20</v>
      </c>
      <c r="C157" s="88" t="str">
        <f>LEFT(EmpGName20)&amp;" " &amp;EmpSName20</f>
        <v>J Black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39">
        <v>21</v>
      </c>
      <c r="C158" s="87" t="str">
        <f>LEFT(EmpGName21)&amp;" " &amp;EmpSName21</f>
        <v>S Black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39">
        <v>22</v>
      </c>
      <c r="C159" s="88" t="str">
        <f>LEFT(EmpGName22)&amp;" " &amp;EmpSName22</f>
        <v>E Brown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39">
        <v>23</v>
      </c>
      <c r="C160" s="87" t="str">
        <f>LEFT(EmpGName23)&amp;" " &amp;EmpSName23</f>
        <v>E Brown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39">
        <v>24</v>
      </c>
      <c r="C161" s="88" t="str">
        <f>LEFT(EmpGName24)&amp;" " &amp;EmpSName24</f>
        <v>S Brown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39">
        <v>25</v>
      </c>
      <c r="C162" s="87" t="str">
        <f>LEFT(EmpGName25)&amp;" " &amp;EmpSName25</f>
        <v>S Grey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39">
        <v>26</v>
      </c>
      <c r="C163" s="88" t="str">
        <f>LEFT(EmpGName26)&amp;" " &amp;EmpSName26</f>
        <v>I Grey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39">
        <v>27</v>
      </c>
      <c r="C164" s="87" t="str">
        <f>LEFT(EmpGName27)&amp;" " &amp;EmpSName27</f>
        <v>D Grey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70">
        <v>28</v>
      </c>
      <c r="C165" s="171" t="str">
        <f>LEFT(EmpGName28)&amp;" " &amp;EmpSName28</f>
        <v>J Grey</v>
      </c>
      <c r="D165" s="172" t="s">
        <v>62</v>
      </c>
      <c r="E165" s="172" t="s">
        <v>62</v>
      </c>
      <c r="F165" s="172" t="s">
        <v>62</v>
      </c>
      <c r="G165" s="172" t="s">
        <v>62</v>
      </c>
      <c r="H165" s="172" t="s">
        <v>62</v>
      </c>
      <c r="I165" s="172" t="s">
        <v>62</v>
      </c>
      <c r="J165" s="172" t="s">
        <v>62</v>
      </c>
      <c r="K165" s="172" t="s">
        <v>62</v>
      </c>
      <c r="L165" s="172" t="s">
        <v>62</v>
      </c>
      <c r="M165" s="172" t="s">
        <v>62</v>
      </c>
      <c r="N165" s="172" t="s">
        <v>62</v>
      </c>
      <c r="O165" s="172" t="s">
        <v>62</v>
      </c>
      <c r="P165" s="172" t="s">
        <v>62</v>
      </c>
      <c r="Q165" s="172" t="s">
        <v>62</v>
      </c>
      <c r="R165" s="172" t="s">
        <v>62</v>
      </c>
      <c r="S165" s="172" t="s">
        <v>62</v>
      </c>
      <c r="T165" s="172" t="s">
        <v>62</v>
      </c>
      <c r="U165" s="172" t="s">
        <v>62</v>
      </c>
      <c r="V165" s="172" t="s">
        <v>62</v>
      </c>
      <c r="W165" s="172" t="s">
        <v>62</v>
      </c>
      <c r="X165" s="172" t="s">
        <v>62</v>
      </c>
      <c r="Y165" s="172" t="s">
        <v>62</v>
      </c>
      <c r="Z165" s="172" t="s">
        <v>62</v>
      </c>
      <c r="AA165" s="172" t="s">
        <v>62</v>
      </c>
      <c r="AB165" s="172" t="s">
        <v>62</v>
      </c>
      <c r="AC165" s="172" t="s">
        <v>62</v>
      </c>
      <c r="AD165" s="172" t="s">
        <v>62</v>
      </c>
      <c r="AE165" s="172" t="s">
        <v>62</v>
      </c>
      <c r="AF165" s="172" t="s">
        <v>62</v>
      </c>
      <c r="AG165" s="172" t="s">
        <v>62</v>
      </c>
    </row>
    <row r="166" spans="2:34" s="2" customFormat="1">
      <c r="B166" s="173"/>
      <c r="C166" s="174"/>
      <c r="D166" s="202"/>
      <c r="E166" s="202"/>
      <c r="F166" s="202"/>
      <c r="G166" s="202"/>
      <c r="H166" s="202"/>
      <c r="I166" s="202"/>
      <c r="J166" s="202"/>
      <c r="K166" s="202"/>
      <c r="L166" s="202"/>
      <c r="M166" s="202"/>
      <c r="N166" s="202"/>
      <c r="O166" s="202"/>
      <c r="P166" s="202"/>
      <c r="Q166" s="202"/>
      <c r="R166" s="202"/>
      <c r="S166" s="202"/>
      <c r="T166" s="202"/>
      <c r="U166" s="202"/>
      <c r="V166" s="202"/>
      <c r="W166" s="202"/>
      <c r="X166" s="202"/>
      <c r="Y166" s="202"/>
      <c r="Z166" s="202"/>
      <c r="AA166" s="202"/>
      <c r="AB166" s="202"/>
      <c r="AC166" s="202"/>
      <c r="AD166" s="202"/>
      <c r="AE166" s="202"/>
      <c r="AF166" s="202"/>
      <c r="AG166" s="202"/>
    </row>
    <row r="167" spans="2:34">
      <c r="C167" s="188">
        <f>CurYear-1</f>
        <v>2020</v>
      </c>
      <c r="D167" s="5" t="str">
        <f t="shared" ref="D167:AG167" si="5">LEFT(TEXT(D168&amp;"-"&amp;$C168&amp;"-"&amp; CurYear-1,"ddd"),2)</f>
        <v>Tu</v>
      </c>
      <c r="E167" s="5" t="str">
        <f t="shared" si="5"/>
        <v>We</v>
      </c>
      <c r="F167" s="5" t="str">
        <f t="shared" si="5"/>
        <v>Th</v>
      </c>
      <c r="G167" s="5" t="str">
        <f t="shared" si="5"/>
        <v>Fr</v>
      </c>
      <c r="H167" s="5" t="str">
        <f t="shared" si="5"/>
        <v>Sa</v>
      </c>
      <c r="I167" s="5" t="str">
        <f t="shared" si="5"/>
        <v>Su</v>
      </c>
      <c r="J167" s="5" t="str">
        <f t="shared" si="5"/>
        <v>Mo</v>
      </c>
      <c r="K167" s="5" t="str">
        <f t="shared" si="5"/>
        <v>Tu</v>
      </c>
      <c r="L167" s="5" t="str">
        <f t="shared" si="5"/>
        <v>We</v>
      </c>
      <c r="M167" s="5" t="str">
        <f t="shared" si="5"/>
        <v>Th</v>
      </c>
      <c r="N167" s="5" t="str">
        <f t="shared" si="5"/>
        <v>Fr</v>
      </c>
      <c r="O167" s="5" t="str">
        <f t="shared" si="5"/>
        <v>Sa</v>
      </c>
      <c r="P167" s="5" t="str">
        <f t="shared" si="5"/>
        <v>Su</v>
      </c>
      <c r="Q167" s="5" t="str">
        <f t="shared" si="5"/>
        <v>Mo</v>
      </c>
      <c r="R167" s="5" t="str">
        <f t="shared" si="5"/>
        <v>Tu</v>
      </c>
      <c r="S167" s="5" t="str">
        <f t="shared" si="5"/>
        <v>We</v>
      </c>
      <c r="T167" s="5" t="str">
        <f t="shared" si="5"/>
        <v>Th</v>
      </c>
      <c r="U167" s="5" t="str">
        <f t="shared" si="5"/>
        <v>Fr</v>
      </c>
      <c r="V167" s="5" t="str">
        <f t="shared" si="5"/>
        <v>Sa</v>
      </c>
      <c r="W167" s="5" t="str">
        <f t="shared" si="5"/>
        <v>Su</v>
      </c>
      <c r="X167" s="5" t="str">
        <f t="shared" si="5"/>
        <v>Mo</v>
      </c>
      <c r="Y167" s="5" t="str">
        <f t="shared" si="5"/>
        <v>Tu</v>
      </c>
      <c r="Z167" s="5" t="str">
        <f t="shared" si="5"/>
        <v>We</v>
      </c>
      <c r="AA167" s="5" t="str">
        <f t="shared" si="5"/>
        <v>Th</v>
      </c>
      <c r="AB167" s="5" t="str">
        <f t="shared" si="5"/>
        <v>Fr</v>
      </c>
      <c r="AC167" s="5" t="str">
        <f t="shared" si="5"/>
        <v>Sa</v>
      </c>
      <c r="AD167" s="5" t="str">
        <f t="shared" si="5"/>
        <v>Su</v>
      </c>
      <c r="AE167" s="5" t="str">
        <f t="shared" si="5"/>
        <v>Mo</v>
      </c>
      <c r="AF167" s="5" t="str">
        <f t="shared" si="5"/>
        <v>Tu</v>
      </c>
      <c r="AG167" s="5" t="str">
        <f t="shared" si="5"/>
        <v>We</v>
      </c>
      <c r="AH167" s="5" t="str">
        <f>LEFT(TEXT(AH168&amp;"-"&amp;$C168&amp;"-"&amp; CurYear-1,"ddd"),2)</f>
        <v>Th</v>
      </c>
    </row>
    <row r="168" spans="2:34">
      <c r="B168" s="86"/>
      <c r="C168" s="189" t="s">
        <v>23</v>
      </c>
      <c r="D168" s="191">
        <v>1</v>
      </c>
      <c r="E168" s="191">
        <v>2</v>
      </c>
      <c r="F168" s="191">
        <v>3</v>
      </c>
      <c r="G168" s="190">
        <v>4</v>
      </c>
      <c r="H168" s="191">
        <v>5</v>
      </c>
      <c r="I168" s="191">
        <v>6</v>
      </c>
      <c r="J168" s="191">
        <v>7</v>
      </c>
      <c r="K168" s="191">
        <v>8</v>
      </c>
      <c r="L168" s="191">
        <v>9</v>
      </c>
      <c r="M168" s="191">
        <v>10</v>
      </c>
      <c r="N168" s="191">
        <v>11</v>
      </c>
      <c r="O168" s="191">
        <v>12</v>
      </c>
      <c r="P168" s="191">
        <v>13</v>
      </c>
      <c r="Q168" s="191">
        <v>14</v>
      </c>
      <c r="R168" s="191">
        <v>15</v>
      </c>
      <c r="S168" s="191">
        <v>16</v>
      </c>
      <c r="T168" s="191">
        <v>17</v>
      </c>
      <c r="U168" s="190">
        <v>18</v>
      </c>
      <c r="V168" s="191">
        <v>19</v>
      </c>
      <c r="W168" s="191">
        <v>20</v>
      </c>
      <c r="X168" s="191">
        <v>21</v>
      </c>
      <c r="Y168" s="191">
        <v>22</v>
      </c>
      <c r="Z168" s="191">
        <v>23</v>
      </c>
      <c r="AA168" s="207">
        <v>24</v>
      </c>
      <c r="AB168" s="207">
        <v>25</v>
      </c>
      <c r="AC168" s="207">
        <v>26</v>
      </c>
      <c r="AD168" s="191">
        <v>27</v>
      </c>
      <c r="AE168" s="191">
        <v>28</v>
      </c>
      <c r="AF168" s="191">
        <v>29</v>
      </c>
      <c r="AG168" s="191">
        <v>30</v>
      </c>
      <c r="AH168" s="207">
        <v>31</v>
      </c>
    </row>
    <row r="169" spans="2:34">
      <c r="B169" s="83">
        <v>1</v>
      </c>
      <c r="C169" s="87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3">
        <v>2</v>
      </c>
      <c r="C170" s="88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3">
        <v>3</v>
      </c>
      <c r="C171" s="87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3">
        <v>4</v>
      </c>
      <c r="C172" s="88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3">
        <v>5</v>
      </c>
      <c r="C173" s="87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3">
        <v>6</v>
      </c>
      <c r="C174" s="88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3">
        <v>7</v>
      </c>
      <c r="C175" s="87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3">
        <v>8</v>
      </c>
      <c r="C176" s="88" t="str">
        <f>LEFT(EmpGName08)&amp;" " &amp;EmpSName08</f>
        <v>C Horse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3">
        <v>9</v>
      </c>
      <c r="C177" s="87" t="str">
        <f>LEFT(EmpGName09)&amp;" " &amp;EmpSName09</f>
        <v xml:space="preserve">E Horse 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39">
        <v>10</v>
      </c>
      <c r="C178" s="88" t="str">
        <f>LEFT(EmpGName10)&amp;" " &amp;EmpSName10</f>
        <v>J Smeegal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39">
        <v>11</v>
      </c>
      <c r="C179" s="87" t="str">
        <f>LEFT(EmpGName11)&amp;" " &amp;EmpSName11</f>
        <v>E Smeegal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39">
        <v>12</v>
      </c>
      <c r="C180" s="88" t="str">
        <f>LEFT(EmpGName12)&amp;" " &amp;EmpSName12</f>
        <v>J James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39">
        <v>13</v>
      </c>
      <c r="C181" s="87" t="str">
        <f>LEFT(EmpGName13)&amp;" " &amp;EmpSName13</f>
        <v>J Jack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39">
        <v>14</v>
      </c>
      <c r="C182" s="88" t="str">
        <f>LEFT(EmpGName14)&amp;" " &amp;EmpSName14</f>
        <v xml:space="preserve">J Jacky 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39">
        <v>15</v>
      </c>
      <c r="C183" s="87" t="str">
        <f>LEFT(EmpGName15)&amp;" " &amp;EmpSName15</f>
        <v>J Friedle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39">
        <v>16</v>
      </c>
      <c r="C184" s="88" t="str">
        <f>LEFT(EmpGName16)&amp;" " &amp;EmpSName16</f>
        <v>J Friedle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39">
        <v>17</v>
      </c>
      <c r="C185" s="87" t="str">
        <f>LEFT(EmpGName17)&amp;" " &amp;EmpSName17</f>
        <v>J Smart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39">
        <v>18</v>
      </c>
      <c r="C186" s="88" t="str">
        <f>LEFT(EmpGName18)&amp;" " &amp;EmpSName18</f>
        <v>E Smart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39">
        <v>19</v>
      </c>
      <c r="C187" s="87" t="str">
        <f>LEFT(EmpGName19)&amp;" " &amp;EmpSName19</f>
        <v>J Black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39">
        <v>20</v>
      </c>
      <c r="C188" s="88" t="str">
        <f>LEFT(EmpGName20)&amp;" " &amp;EmpSName20</f>
        <v>J Black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39">
        <v>21</v>
      </c>
      <c r="C189" s="87" t="str">
        <f>LEFT(EmpGName21)&amp;" " &amp;EmpSName21</f>
        <v>S Black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39">
        <v>22</v>
      </c>
      <c r="C190" s="88" t="str">
        <f>LEFT(EmpGName22)&amp;" " &amp;EmpSName22</f>
        <v>E Brown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39">
        <v>23</v>
      </c>
      <c r="C191" s="87" t="str">
        <f>LEFT(EmpGName23)&amp;" " &amp;EmpSName23</f>
        <v>E Brown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39">
        <v>24</v>
      </c>
      <c r="C192" s="88" t="str">
        <f>LEFT(EmpGName24)&amp;" " &amp;EmpSName24</f>
        <v>S Brown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39">
        <v>25</v>
      </c>
      <c r="C193" s="87" t="str">
        <f>LEFT(EmpGName25)&amp;" " &amp;EmpSName25</f>
        <v>S Grey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39">
        <v>26</v>
      </c>
      <c r="C194" s="88" t="str">
        <f>LEFT(EmpGName26)&amp;" " &amp;EmpSName26</f>
        <v>I Grey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39">
        <v>27</v>
      </c>
      <c r="C195" s="87" t="str">
        <f>LEFT(EmpGName27)&amp;" " &amp;EmpSName27</f>
        <v>D Grey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39">
        <v>28</v>
      </c>
      <c r="C196" s="88" t="str">
        <f>LEFT(EmpGName28)&amp;" " &amp;EmpSName28</f>
        <v>J Grey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s="188" t="str">
        <f>CurYear</f>
        <v>2021</v>
      </c>
      <c r="D198" s="5" t="str">
        <f t="shared" ref="D198:AH198" si="6">LEFT(TEXT(D199&amp;"-"&amp;$C$199&amp;"-"&amp;CurYear,"ddd"),2)</f>
        <v>Fr</v>
      </c>
      <c r="E198" s="5" t="str">
        <f t="shared" si="6"/>
        <v>Sa</v>
      </c>
      <c r="F198" s="5" t="str">
        <f t="shared" si="6"/>
        <v>Su</v>
      </c>
      <c r="G198" s="5" t="str">
        <f t="shared" si="6"/>
        <v>Mo</v>
      </c>
      <c r="H198" s="5" t="str">
        <f t="shared" si="6"/>
        <v>Tu</v>
      </c>
      <c r="I198" s="5" t="str">
        <f t="shared" si="6"/>
        <v>We</v>
      </c>
      <c r="J198" s="5" t="str">
        <f t="shared" si="6"/>
        <v>Th</v>
      </c>
      <c r="K198" s="5" t="str">
        <f t="shared" si="6"/>
        <v>Fr</v>
      </c>
      <c r="L198" s="5" t="str">
        <f t="shared" si="6"/>
        <v>Sa</v>
      </c>
      <c r="M198" s="5" t="str">
        <f t="shared" si="6"/>
        <v>Su</v>
      </c>
      <c r="N198" s="5" t="str">
        <f t="shared" si="6"/>
        <v>Mo</v>
      </c>
      <c r="O198" s="5" t="str">
        <f t="shared" si="6"/>
        <v>Tu</v>
      </c>
      <c r="P198" s="5" t="str">
        <f t="shared" si="6"/>
        <v>We</v>
      </c>
      <c r="Q198" s="5" t="str">
        <f t="shared" si="6"/>
        <v>Th</v>
      </c>
      <c r="R198" s="5" t="str">
        <f t="shared" si="6"/>
        <v>Fr</v>
      </c>
      <c r="S198" s="5" t="str">
        <f t="shared" si="6"/>
        <v>Sa</v>
      </c>
      <c r="T198" s="5" t="str">
        <f t="shared" si="6"/>
        <v>Su</v>
      </c>
      <c r="U198" s="5" t="str">
        <f t="shared" si="6"/>
        <v>Mo</v>
      </c>
      <c r="V198" s="5" t="str">
        <f t="shared" si="6"/>
        <v>Tu</v>
      </c>
      <c r="W198" s="5" t="str">
        <f t="shared" si="6"/>
        <v>We</v>
      </c>
      <c r="X198" s="5" t="str">
        <f t="shared" si="6"/>
        <v>Th</v>
      </c>
      <c r="Y198" s="5" t="str">
        <f t="shared" si="6"/>
        <v>Fr</v>
      </c>
      <c r="Z198" s="5" t="str">
        <f t="shared" si="6"/>
        <v>Sa</v>
      </c>
      <c r="AA198" s="5" t="str">
        <f t="shared" si="6"/>
        <v>Su</v>
      </c>
      <c r="AB198" s="5" t="str">
        <f t="shared" si="6"/>
        <v>Mo</v>
      </c>
      <c r="AC198" s="5" t="str">
        <f t="shared" si="6"/>
        <v>Tu</v>
      </c>
      <c r="AD198" s="5" t="str">
        <f t="shared" si="6"/>
        <v>We</v>
      </c>
      <c r="AE198" s="5" t="str">
        <f t="shared" si="6"/>
        <v>Th</v>
      </c>
      <c r="AF198" s="5" t="str">
        <f t="shared" si="6"/>
        <v>Fr</v>
      </c>
      <c r="AG198" s="5" t="str">
        <f t="shared" si="6"/>
        <v>Sa</v>
      </c>
      <c r="AH198" s="5" t="str">
        <f t="shared" si="6"/>
        <v>Su</v>
      </c>
    </row>
    <row r="199" spans="2:34">
      <c r="B199" s="84"/>
      <c r="C199" s="189" t="s">
        <v>8</v>
      </c>
      <c r="D199" s="206">
        <v>1</v>
      </c>
      <c r="E199" s="191">
        <v>2</v>
      </c>
      <c r="F199" s="191">
        <v>3</v>
      </c>
      <c r="G199" s="191">
        <v>4</v>
      </c>
      <c r="H199" s="191">
        <v>5</v>
      </c>
      <c r="I199" s="191">
        <v>6</v>
      </c>
      <c r="J199" s="191">
        <v>7</v>
      </c>
      <c r="K199" s="191">
        <v>8</v>
      </c>
      <c r="L199" s="191">
        <v>9</v>
      </c>
      <c r="M199" s="191">
        <v>10</v>
      </c>
      <c r="N199" s="191">
        <v>11</v>
      </c>
      <c r="O199" s="191">
        <v>12</v>
      </c>
      <c r="P199" s="191">
        <v>13</v>
      </c>
      <c r="Q199" s="191">
        <v>14</v>
      </c>
      <c r="R199" s="190">
        <v>15</v>
      </c>
      <c r="S199" s="191">
        <v>16</v>
      </c>
      <c r="T199" s="191">
        <v>17</v>
      </c>
      <c r="U199" s="191">
        <v>18</v>
      </c>
      <c r="V199" s="191">
        <v>19</v>
      </c>
      <c r="W199" s="191">
        <v>20</v>
      </c>
      <c r="X199" s="191">
        <v>21</v>
      </c>
      <c r="Y199" s="191">
        <v>22</v>
      </c>
      <c r="Z199" s="191">
        <v>23</v>
      </c>
      <c r="AA199" s="191">
        <v>24</v>
      </c>
      <c r="AB199" s="191">
        <v>25</v>
      </c>
      <c r="AC199" s="207">
        <v>26</v>
      </c>
      <c r="AD199" s="191">
        <v>27</v>
      </c>
      <c r="AE199" s="191">
        <v>28</v>
      </c>
      <c r="AF199" s="190">
        <v>29</v>
      </c>
      <c r="AG199" s="191">
        <v>30</v>
      </c>
      <c r="AH199" s="191">
        <v>31</v>
      </c>
    </row>
    <row r="200" spans="2:34">
      <c r="B200" s="82">
        <v>1</v>
      </c>
      <c r="C200" s="87" t="str">
        <f>LEFT(EmpGName01)&amp;" " &amp; EmpSName01</f>
        <v>L Marampon</v>
      </c>
      <c r="D200" s="81" t="s">
        <v>62</v>
      </c>
      <c r="E200" s="81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2">
        <v>2</v>
      </c>
      <c r="C201" s="88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2">
        <v>3</v>
      </c>
      <c r="C202" s="87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2">
        <v>4</v>
      </c>
      <c r="C203" s="88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2">
        <v>5</v>
      </c>
      <c r="C204" s="87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2">
        <v>6</v>
      </c>
      <c r="C205" s="88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2">
        <v>7</v>
      </c>
      <c r="C206" s="87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2">
        <v>8</v>
      </c>
      <c r="C207" s="88" t="str">
        <f>LEFT(EmpGName08)&amp;" " &amp;EmpSName08</f>
        <v>C Horse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2">
        <v>9</v>
      </c>
      <c r="C208" s="87" t="str">
        <f>LEFT(EmpGName09)&amp;" " &amp;EmpSName09</f>
        <v xml:space="preserve">E Horse 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0">
        <v>10</v>
      </c>
      <c r="C209" s="89" t="str">
        <f>LEFT(EmpGName10)&amp;" " &amp;EmpSName10</f>
        <v>J Smeegal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0">
        <v>11</v>
      </c>
      <c r="C210" s="87" t="str">
        <f>LEFT(EmpGName11)&amp;" " &amp;EmpSName11</f>
        <v>E Smeegal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0">
        <v>12</v>
      </c>
      <c r="C211" s="89" t="str">
        <f>LEFT(EmpGName12)&amp;" " &amp;EmpSName12</f>
        <v>J James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39">
        <v>13</v>
      </c>
      <c r="C212" s="87" t="str">
        <f>LEFT(EmpGName13)&amp;" " &amp;EmpSName13</f>
        <v>J Jack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39">
        <v>14</v>
      </c>
      <c r="C213" s="88" t="str">
        <f>LEFT(EmpGName14)&amp;" " &amp;EmpSName14</f>
        <v xml:space="preserve">J Jacky 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39">
        <v>15</v>
      </c>
      <c r="C214" s="87" t="str">
        <f>LEFT(EmpGName15)&amp;" " &amp;EmpSName15</f>
        <v>J Friedle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39">
        <v>16</v>
      </c>
      <c r="C215" s="88" t="str">
        <f>LEFT(EmpGName16)&amp;" " &amp;EmpSName16</f>
        <v>J Friedle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39">
        <v>17</v>
      </c>
      <c r="C216" s="87" t="str">
        <f>LEFT(EmpGName17)&amp;" " &amp;EmpSName17</f>
        <v>J Smart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39">
        <v>18</v>
      </c>
      <c r="C217" s="88" t="str">
        <f>LEFT(EmpGName18)&amp;" " &amp;EmpSName18</f>
        <v>E Smart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>
      <c r="B218" s="139">
        <v>19</v>
      </c>
      <c r="C218" s="87" t="str">
        <f>LEFT(EmpGName19)&amp;" " &amp;EmpSName19</f>
        <v>J Black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>
      <c r="B219" s="139">
        <v>20</v>
      </c>
      <c r="C219" s="88" t="str">
        <f>LEFT(EmpGName20)&amp;" " &amp;EmpSName20</f>
        <v>J Black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>
      <c r="B220" s="139">
        <v>21</v>
      </c>
      <c r="C220" s="87" t="str">
        <f>LEFT(EmpGName21)&amp;" " &amp;EmpSName21</f>
        <v>S Black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>
      <c r="B221" s="139">
        <v>22</v>
      </c>
      <c r="C221" s="88" t="str">
        <f>LEFT(EmpGName22)&amp;" " &amp;EmpSName22</f>
        <v>E Brown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>
      <c r="B222" s="139">
        <v>23</v>
      </c>
      <c r="C222" s="87" t="str">
        <f>LEFT(EmpGName23)&amp;" " &amp;EmpSName23</f>
        <v>E Brown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>
      <c r="B223" s="139">
        <v>24</v>
      </c>
      <c r="C223" s="88" t="str">
        <f>LEFT(EmpGName24)&amp;" " &amp;EmpSName24</f>
        <v>S Brown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>
      <c r="B224" s="139">
        <v>25</v>
      </c>
      <c r="C224" s="87" t="str">
        <f>LEFT(EmpGName25)&amp;" " &amp;EmpSName25</f>
        <v>S Grey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>
      <c r="B225" s="139">
        <v>26</v>
      </c>
      <c r="C225" s="88" t="str">
        <f>LEFT(EmpGName26)&amp;" " &amp;EmpSName26</f>
        <v>I Grey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>
      <c r="B226" s="139">
        <v>27</v>
      </c>
      <c r="C226" s="87" t="str">
        <f>LEFT(EmpGName27)&amp;" " &amp;EmpSName27</f>
        <v>D Grey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>
      <c r="B227" s="139">
        <v>28</v>
      </c>
      <c r="C227" s="88" t="str">
        <f>LEFT(EmpGName28)&amp;" " &amp;EmpSName28</f>
        <v>J Grey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s="188" t="str">
        <f>CurYear</f>
        <v>2021</v>
      </c>
      <c r="D229" s="5" t="str">
        <f t="shared" ref="D229:AF229" si="7">LEFT(TEXT(D230&amp;"-"&amp;$C$230&amp;"-"&amp;CurYear,"ddd"),2)</f>
        <v>Mo</v>
      </c>
      <c r="E229" s="5" t="str">
        <f t="shared" si="7"/>
        <v>Tu</v>
      </c>
      <c r="F229" s="5" t="str">
        <f t="shared" si="7"/>
        <v>We</v>
      </c>
      <c r="G229" s="5" t="str">
        <f t="shared" si="7"/>
        <v>Th</v>
      </c>
      <c r="H229" s="5" t="str">
        <f t="shared" si="7"/>
        <v>Fr</v>
      </c>
      <c r="I229" s="5" t="str">
        <f t="shared" si="7"/>
        <v>Sa</v>
      </c>
      <c r="J229" s="5" t="str">
        <f t="shared" si="7"/>
        <v>Su</v>
      </c>
      <c r="K229" s="5" t="str">
        <f t="shared" si="7"/>
        <v>Mo</v>
      </c>
      <c r="L229" s="5" t="str">
        <f t="shared" si="7"/>
        <v>Tu</v>
      </c>
      <c r="M229" s="5" t="str">
        <f t="shared" si="7"/>
        <v>We</v>
      </c>
      <c r="N229" s="5" t="str">
        <f t="shared" si="7"/>
        <v>Th</v>
      </c>
      <c r="O229" s="5" t="str">
        <f t="shared" si="7"/>
        <v>Fr</v>
      </c>
      <c r="P229" s="5" t="str">
        <f t="shared" si="7"/>
        <v>Sa</v>
      </c>
      <c r="Q229" s="5" t="str">
        <f t="shared" si="7"/>
        <v>Su</v>
      </c>
      <c r="R229" s="5" t="str">
        <f t="shared" si="7"/>
        <v>Mo</v>
      </c>
      <c r="S229" s="5" t="str">
        <f t="shared" si="7"/>
        <v>Tu</v>
      </c>
      <c r="T229" s="5" t="str">
        <f t="shared" si="7"/>
        <v>We</v>
      </c>
      <c r="U229" s="5" t="str">
        <f t="shared" si="7"/>
        <v>Th</v>
      </c>
      <c r="V229" s="5" t="str">
        <f t="shared" si="7"/>
        <v>Fr</v>
      </c>
      <c r="W229" s="5" t="str">
        <f t="shared" si="7"/>
        <v>Sa</v>
      </c>
      <c r="X229" s="5" t="str">
        <f t="shared" si="7"/>
        <v>Su</v>
      </c>
      <c r="Y229" s="5" t="str">
        <f t="shared" si="7"/>
        <v>Mo</v>
      </c>
      <c r="Z229" s="5" t="str">
        <f t="shared" si="7"/>
        <v>Tu</v>
      </c>
      <c r="AA229" s="5" t="str">
        <f t="shared" si="7"/>
        <v>We</v>
      </c>
      <c r="AB229" s="5" t="str">
        <f t="shared" si="7"/>
        <v>Th</v>
      </c>
      <c r="AC229" s="5" t="str">
        <f t="shared" si="7"/>
        <v>Fr</v>
      </c>
      <c r="AD229" s="5" t="str">
        <f t="shared" si="7"/>
        <v>Sa</v>
      </c>
      <c r="AE229" s="5" t="str">
        <f t="shared" si="7"/>
        <v>Su</v>
      </c>
      <c r="AF229" s="205" t="str">
        <f t="shared" si="7"/>
        <v>-F</v>
      </c>
    </row>
    <row r="230" spans="2:34">
      <c r="B230" s="84"/>
      <c r="C230" s="189" t="s">
        <v>13</v>
      </c>
      <c r="D230" s="191">
        <v>1</v>
      </c>
      <c r="E230" s="191">
        <v>2</v>
      </c>
      <c r="F230" s="191">
        <v>3</v>
      </c>
      <c r="G230" s="191">
        <v>4</v>
      </c>
      <c r="H230" s="191">
        <v>5</v>
      </c>
      <c r="I230" s="191">
        <v>6</v>
      </c>
      <c r="J230" s="191">
        <v>7</v>
      </c>
      <c r="K230" s="191">
        <v>8</v>
      </c>
      <c r="L230" s="191">
        <v>9</v>
      </c>
      <c r="M230" s="191">
        <v>10</v>
      </c>
      <c r="N230" s="191">
        <v>11</v>
      </c>
      <c r="O230" s="190">
        <v>12</v>
      </c>
      <c r="P230" s="191">
        <v>13</v>
      </c>
      <c r="Q230" s="191">
        <v>14</v>
      </c>
      <c r="R230" s="191">
        <v>15</v>
      </c>
      <c r="S230" s="191">
        <v>16</v>
      </c>
      <c r="T230" s="191">
        <v>17</v>
      </c>
      <c r="U230" s="191">
        <v>18</v>
      </c>
      <c r="V230" s="191">
        <v>19</v>
      </c>
      <c r="W230" s="191">
        <v>20</v>
      </c>
      <c r="X230" s="191">
        <v>21</v>
      </c>
      <c r="Y230" s="191">
        <v>22</v>
      </c>
      <c r="Z230" s="191">
        <v>23</v>
      </c>
      <c r="AA230" s="191">
        <v>24</v>
      </c>
      <c r="AB230" s="191">
        <v>25</v>
      </c>
      <c r="AC230" s="190">
        <v>26</v>
      </c>
      <c r="AD230" s="191">
        <v>27</v>
      </c>
      <c r="AE230" s="192">
        <v>28</v>
      </c>
      <c r="AF230" s="203"/>
      <c r="AG230" s="1"/>
      <c r="AH230" s="1"/>
    </row>
    <row r="231" spans="2:34">
      <c r="B231" s="82">
        <v>1</v>
      </c>
      <c r="C231" s="87" t="str">
        <f>LEFT(EmpGName01)&amp;" " &amp; EmpSName01</f>
        <v>L Marampon</v>
      </c>
      <c r="D231" s="4" t="s">
        <v>62</v>
      </c>
      <c r="E231" s="81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185" t="s">
        <v>62</v>
      </c>
      <c r="AF231" s="204"/>
      <c r="AG231" s="2"/>
      <c r="AH231" s="2"/>
    </row>
    <row r="232" spans="2:34">
      <c r="B232" s="82">
        <v>2</v>
      </c>
      <c r="C232" s="88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186" t="s">
        <v>62</v>
      </c>
      <c r="AF232" s="204"/>
      <c r="AG232" s="2"/>
      <c r="AH232" s="2"/>
    </row>
    <row r="233" spans="2:34">
      <c r="B233" s="82">
        <v>3</v>
      </c>
      <c r="C233" s="87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185" t="s">
        <v>62</v>
      </c>
      <c r="AF233" s="204"/>
      <c r="AG233" s="2"/>
      <c r="AH233" s="2"/>
    </row>
    <row r="234" spans="2:34">
      <c r="B234" s="82">
        <v>4</v>
      </c>
      <c r="C234" s="88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186" t="s">
        <v>62</v>
      </c>
      <c r="AF234" s="204"/>
      <c r="AG234" s="2"/>
      <c r="AH234" s="2"/>
    </row>
    <row r="235" spans="2:34">
      <c r="B235" s="82">
        <v>5</v>
      </c>
      <c r="C235" s="87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185" t="s">
        <v>62</v>
      </c>
      <c r="AF235" s="204"/>
      <c r="AG235" s="2"/>
      <c r="AH235" s="2"/>
    </row>
    <row r="236" spans="2:34">
      <c r="B236" s="82">
        <v>6</v>
      </c>
      <c r="C236" s="88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186" t="s">
        <v>62</v>
      </c>
      <c r="AF236" s="204"/>
      <c r="AG236" s="2"/>
      <c r="AH236" s="2"/>
    </row>
    <row r="237" spans="2:34">
      <c r="B237" s="82">
        <v>7</v>
      </c>
      <c r="C237" s="87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185" t="s">
        <v>62</v>
      </c>
      <c r="AF237" s="204"/>
      <c r="AG237" s="2"/>
      <c r="AH237" s="2"/>
    </row>
    <row r="238" spans="2:34">
      <c r="B238" s="82">
        <v>8</v>
      </c>
      <c r="C238" s="88" t="str">
        <f>LEFT(EmpGName08)&amp;" " &amp;EmpSName08</f>
        <v>C Horse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186" t="s">
        <v>62</v>
      </c>
      <c r="AF238" s="204"/>
      <c r="AG238" s="2"/>
      <c r="AH238" s="2"/>
    </row>
    <row r="239" spans="2:34">
      <c r="B239" s="82">
        <v>9</v>
      </c>
      <c r="C239" s="87" t="str">
        <f>LEFT(EmpGName09)&amp;" " &amp;EmpSName09</f>
        <v xml:space="preserve">E Horse 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185" t="s">
        <v>62</v>
      </c>
      <c r="AF239" s="204"/>
      <c r="AG239" s="2"/>
      <c r="AH239" s="2"/>
    </row>
    <row r="240" spans="2:34">
      <c r="B240" s="140">
        <v>10</v>
      </c>
      <c r="C240" s="89" t="str">
        <f>LEFT(EmpGName10)&amp;" " &amp;EmpSName10</f>
        <v>J Smeegal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187" t="s">
        <v>62</v>
      </c>
      <c r="AF240" s="204"/>
      <c r="AG240" s="2"/>
      <c r="AH240" s="2"/>
    </row>
    <row r="241" spans="2:34">
      <c r="B241" s="140">
        <v>11</v>
      </c>
      <c r="C241" s="87" t="str">
        <f>LEFT(EmpGName11)&amp;" " &amp;EmpSName11</f>
        <v>E Smeegal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185" t="s">
        <v>62</v>
      </c>
      <c r="AF241" s="204"/>
      <c r="AG241" s="2"/>
      <c r="AH241" s="2"/>
    </row>
    <row r="242" spans="2:34">
      <c r="B242" s="140">
        <v>12</v>
      </c>
      <c r="C242" s="89" t="str">
        <f>LEFT(EmpGName12)&amp;" " &amp;EmpSName12</f>
        <v>J James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187" t="s">
        <v>62</v>
      </c>
      <c r="AF242" s="204"/>
      <c r="AG242" s="2"/>
      <c r="AH242" s="2"/>
    </row>
    <row r="243" spans="2:34">
      <c r="B243" s="139">
        <v>13</v>
      </c>
      <c r="C243" s="87" t="str">
        <f>LEFT(EmpGName13)&amp;" " &amp;EmpSName13</f>
        <v>J Jack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185" t="s">
        <v>62</v>
      </c>
      <c r="AF243" s="204"/>
      <c r="AG243" s="2"/>
      <c r="AH243" s="2"/>
    </row>
    <row r="244" spans="2:34">
      <c r="B244" s="139">
        <v>14</v>
      </c>
      <c r="C244" s="88" t="str">
        <f>LEFT(EmpGName14)&amp;" " &amp;EmpSName14</f>
        <v xml:space="preserve">J Jacky 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186" t="s">
        <v>62</v>
      </c>
      <c r="AF244" s="204"/>
      <c r="AG244" s="2"/>
      <c r="AH244" s="2"/>
    </row>
    <row r="245" spans="2:34">
      <c r="B245" s="139">
        <v>15</v>
      </c>
      <c r="C245" s="87" t="str">
        <f>LEFT(EmpGName15)&amp;" " &amp;EmpSName15</f>
        <v>J Friedle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185" t="s">
        <v>62</v>
      </c>
      <c r="AF245" s="204"/>
      <c r="AG245" s="2"/>
      <c r="AH245" s="2"/>
    </row>
    <row r="246" spans="2:34">
      <c r="B246" s="139">
        <v>16</v>
      </c>
      <c r="C246" s="88" t="str">
        <f>LEFT(EmpGName16)&amp;" " &amp;EmpSName16</f>
        <v>J Friedle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186" t="s">
        <v>62</v>
      </c>
      <c r="AF246" s="204"/>
      <c r="AG246" s="2"/>
      <c r="AH246" s="2"/>
    </row>
    <row r="247" spans="2:34">
      <c r="B247" s="139">
        <v>17</v>
      </c>
      <c r="C247" s="87" t="str">
        <f>LEFT(EmpGName17)&amp;" " &amp;EmpSName17</f>
        <v>J Smart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185" t="s">
        <v>62</v>
      </c>
      <c r="AF247" s="204"/>
      <c r="AG247" s="2"/>
      <c r="AH247" s="2"/>
    </row>
    <row r="248" spans="2:34">
      <c r="B248" s="139">
        <v>18</v>
      </c>
      <c r="C248" s="88" t="str">
        <f>LEFT(EmpGName18)&amp;" " &amp;EmpSName18</f>
        <v>E Smart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186" t="s">
        <v>62</v>
      </c>
      <c r="AF248" s="204"/>
      <c r="AG248" s="2"/>
      <c r="AH248" s="2"/>
    </row>
    <row r="249" spans="2:34">
      <c r="B249" s="139">
        <v>19</v>
      </c>
      <c r="C249" s="87" t="str">
        <f>LEFT(EmpGName19)&amp;" " &amp;EmpSName19</f>
        <v>J Black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185" t="s">
        <v>62</v>
      </c>
      <c r="AF249" s="204"/>
      <c r="AG249" s="2"/>
      <c r="AH249" s="2"/>
    </row>
    <row r="250" spans="2:34">
      <c r="B250" s="139">
        <v>20</v>
      </c>
      <c r="C250" s="88" t="str">
        <f>LEFT(EmpGName20)&amp;" " &amp;EmpSName20</f>
        <v>J Black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186" t="s">
        <v>62</v>
      </c>
      <c r="AF250" s="204"/>
      <c r="AG250" s="2"/>
      <c r="AH250" s="2"/>
    </row>
    <row r="251" spans="2:34">
      <c r="B251" s="139">
        <v>21</v>
      </c>
      <c r="C251" s="87" t="str">
        <f>LEFT(EmpGName21)&amp;" " &amp;EmpSName21</f>
        <v>S Black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185" t="s">
        <v>62</v>
      </c>
      <c r="AF251" s="204"/>
      <c r="AG251" s="2"/>
      <c r="AH251" s="2"/>
    </row>
    <row r="252" spans="2:34">
      <c r="B252" s="139">
        <v>22</v>
      </c>
      <c r="C252" s="88" t="str">
        <f>LEFT(EmpGName22)&amp;" " &amp;EmpSName22</f>
        <v>E Brown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186" t="s">
        <v>62</v>
      </c>
      <c r="AF252" s="204"/>
      <c r="AG252" s="2"/>
      <c r="AH252" s="2"/>
    </row>
    <row r="253" spans="2:34">
      <c r="B253" s="139">
        <v>23</v>
      </c>
      <c r="C253" s="87" t="str">
        <f>LEFT(EmpGName23)&amp;" " &amp;EmpSName23</f>
        <v>E Brown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185" t="s">
        <v>62</v>
      </c>
      <c r="AF253" s="204"/>
      <c r="AG253" s="2"/>
      <c r="AH253" s="2"/>
    </row>
    <row r="254" spans="2:34">
      <c r="B254" s="139">
        <v>24</v>
      </c>
      <c r="C254" s="88" t="str">
        <f>LEFT(EmpGName24)&amp;" " &amp;EmpSName24</f>
        <v>S Brown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186" t="s">
        <v>62</v>
      </c>
      <c r="AF254" s="204"/>
      <c r="AG254" s="2"/>
      <c r="AH254" s="2"/>
    </row>
    <row r="255" spans="2:34">
      <c r="B255" s="139">
        <v>25</v>
      </c>
      <c r="C255" s="87" t="str">
        <f>LEFT(EmpGName25)&amp;" " &amp;EmpSName25</f>
        <v>S Grey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185" t="s">
        <v>62</v>
      </c>
      <c r="AF255" s="204"/>
      <c r="AG255" s="2"/>
      <c r="AH255" s="2"/>
    </row>
    <row r="256" spans="2:34">
      <c r="B256" s="139">
        <v>26</v>
      </c>
      <c r="C256" s="88" t="str">
        <f>LEFT(EmpGName26)&amp;" " &amp;EmpSName26</f>
        <v>I Grey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186" t="s">
        <v>62</v>
      </c>
      <c r="AF256" s="204"/>
      <c r="AG256" s="2"/>
      <c r="AH256" s="2"/>
    </row>
    <row r="257" spans="2:34">
      <c r="B257" s="139">
        <v>27</v>
      </c>
      <c r="C257" s="87" t="str">
        <f>LEFT(EmpGName27)&amp;" " &amp;EmpSName27</f>
        <v>D Grey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185" t="s">
        <v>62</v>
      </c>
      <c r="AF257" s="204"/>
      <c r="AG257" s="2"/>
      <c r="AH257" s="2"/>
    </row>
    <row r="258" spans="2:34">
      <c r="B258" s="139">
        <v>28</v>
      </c>
      <c r="C258" s="88" t="str">
        <f>LEFT(EmpGName28)&amp;" " &amp;EmpSName28</f>
        <v>J Grey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186" t="s">
        <v>62</v>
      </c>
      <c r="AF258" s="204"/>
      <c r="AG258" s="7"/>
      <c r="AH258" s="7"/>
    </row>
    <row r="259" spans="2:34">
      <c r="B259" s="165"/>
      <c r="C259" s="166"/>
      <c r="D259" s="201"/>
      <c r="E259" s="201"/>
      <c r="F259" s="201"/>
      <c r="G259" s="201"/>
      <c r="H259" s="201"/>
      <c r="I259" s="201"/>
      <c r="J259" s="201"/>
      <c r="K259" s="201"/>
      <c r="L259" s="201"/>
      <c r="M259" s="201"/>
      <c r="N259" s="201"/>
      <c r="O259" s="201"/>
      <c r="P259" s="201"/>
      <c r="Q259" s="201"/>
      <c r="R259" s="201"/>
      <c r="S259" s="201"/>
      <c r="T259" s="201"/>
      <c r="U259" s="201"/>
      <c r="V259" s="201"/>
      <c r="W259" s="201"/>
      <c r="X259" s="201"/>
      <c r="Y259" s="201"/>
      <c r="Z259" s="201"/>
      <c r="AA259" s="201"/>
      <c r="AB259" s="201"/>
      <c r="AC259" s="201"/>
      <c r="AD259" s="201"/>
      <c r="AE259" s="201"/>
      <c r="AF259" s="201"/>
      <c r="AG259" s="7"/>
      <c r="AH259" s="7"/>
    </row>
    <row r="260" spans="2:34">
      <c r="C260" s="188" t="str">
        <f>CurYear</f>
        <v>2021</v>
      </c>
      <c r="D260" s="5" t="str">
        <f t="shared" ref="D260:AH260" si="8">LEFT(TEXT(D261&amp;"-"&amp;$C$261&amp;"-"&amp;CurYear,"ddd"),2)</f>
        <v>Mo</v>
      </c>
      <c r="E260" s="5" t="str">
        <f t="shared" si="8"/>
        <v>Tu</v>
      </c>
      <c r="F260" s="5" t="str">
        <f t="shared" si="8"/>
        <v>We</v>
      </c>
      <c r="G260" s="5" t="str">
        <f t="shared" si="8"/>
        <v>Th</v>
      </c>
      <c r="H260" s="5" t="str">
        <f t="shared" si="8"/>
        <v>Fr</v>
      </c>
      <c r="I260" s="5" t="str">
        <f t="shared" si="8"/>
        <v>Sa</v>
      </c>
      <c r="J260" s="5" t="str">
        <f t="shared" si="8"/>
        <v>Su</v>
      </c>
      <c r="K260" s="5" t="str">
        <f t="shared" si="8"/>
        <v>Mo</v>
      </c>
      <c r="L260" s="5" t="str">
        <f t="shared" si="8"/>
        <v>Tu</v>
      </c>
      <c r="M260" s="5" t="str">
        <f t="shared" si="8"/>
        <v>We</v>
      </c>
      <c r="N260" s="5" t="str">
        <f t="shared" si="8"/>
        <v>Th</v>
      </c>
      <c r="O260" s="5" t="str">
        <f t="shared" si="8"/>
        <v>Fr</v>
      </c>
      <c r="P260" s="5" t="str">
        <f t="shared" si="8"/>
        <v>Sa</v>
      </c>
      <c r="Q260" s="5" t="str">
        <f t="shared" si="8"/>
        <v>Su</v>
      </c>
      <c r="R260" s="5" t="str">
        <f t="shared" si="8"/>
        <v>Mo</v>
      </c>
      <c r="S260" s="5" t="str">
        <f t="shared" si="8"/>
        <v>Tu</v>
      </c>
      <c r="T260" s="5" t="str">
        <f t="shared" si="8"/>
        <v>We</v>
      </c>
      <c r="U260" s="5" t="str">
        <f t="shared" si="8"/>
        <v>Th</v>
      </c>
      <c r="V260" s="5" t="str">
        <f t="shared" si="8"/>
        <v>Fr</v>
      </c>
      <c r="W260" s="5" t="str">
        <f t="shared" si="8"/>
        <v>Sa</v>
      </c>
      <c r="X260" s="5" t="str">
        <f t="shared" si="8"/>
        <v>Su</v>
      </c>
      <c r="Y260" s="5" t="str">
        <f t="shared" si="8"/>
        <v>Mo</v>
      </c>
      <c r="Z260" s="5" t="str">
        <f t="shared" si="8"/>
        <v>Tu</v>
      </c>
      <c r="AA260" s="5" t="str">
        <f t="shared" si="8"/>
        <v>We</v>
      </c>
      <c r="AB260" s="5" t="str">
        <f t="shared" si="8"/>
        <v>Th</v>
      </c>
      <c r="AC260" s="5" t="str">
        <f t="shared" si="8"/>
        <v>Fr</v>
      </c>
      <c r="AD260" s="5" t="str">
        <f t="shared" si="8"/>
        <v>Sa</v>
      </c>
      <c r="AE260" s="5" t="str">
        <f t="shared" si="8"/>
        <v>Su</v>
      </c>
      <c r="AF260" s="5" t="str">
        <f t="shared" si="8"/>
        <v>Mo</v>
      </c>
      <c r="AG260" s="5" t="str">
        <f t="shared" si="8"/>
        <v>Tu</v>
      </c>
      <c r="AH260" s="5" t="str">
        <f t="shared" si="8"/>
        <v>We</v>
      </c>
    </row>
    <row r="261" spans="2:34">
      <c r="B261" s="86"/>
      <c r="C261" s="189" t="s">
        <v>14</v>
      </c>
      <c r="D261" s="191">
        <v>1</v>
      </c>
      <c r="E261" s="191">
        <v>2</v>
      </c>
      <c r="F261" s="191">
        <v>3</v>
      </c>
      <c r="G261" s="191">
        <v>4</v>
      </c>
      <c r="H261" s="191">
        <v>5</v>
      </c>
      <c r="I261" s="191">
        <v>6</v>
      </c>
      <c r="J261" s="191">
        <v>7</v>
      </c>
      <c r="K261" s="191">
        <v>8</v>
      </c>
      <c r="L261" s="191">
        <v>9</v>
      </c>
      <c r="M261" s="191">
        <v>10</v>
      </c>
      <c r="N261" s="190">
        <v>11</v>
      </c>
      <c r="O261" s="207">
        <v>12</v>
      </c>
      <c r="P261" s="191">
        <v>13</v>
      </c>
      <c r="Q261" s="191">
        <v>14</v>
      </c>
      <c r="R261" s="191">
        <v>15</v>
      </c>
      <c r="S261" s="191">
        <v>16</v>
      </c>
      <c r="T261" s="191">
        <v>17</v>
      </c>
      <c r="U261" s="191">
        <v>18</v>
      </c>
      <c r="V261" s="191">
        <v>19</v>
      </c>
      <c r="W261" s="191">
        <v>20</v>
      </c>
      <c r="X261" s="191">
        <v>21</v>
      </c>
      <c r="Y261" s="191">
        <v>22</v>
      </c>
      <c r="Z261" s="191">
        <v>23</v>
      </c>
      <c r="AA261" s="191">
        <v>24</v>
      </c>
      <c r="AB261" s="190">
        <v>25</v>
      </c>
      <c r="AC261" s="191">
        <v>26</v>
      </c>
      <c r="AD261" s="191">
        <v>27</v>
      </c>
      <c r="AE261" s="191">
        <v>28</v>
      </c>
      <c r="AF261" s="191">
        <v>29</v>
      </c>
      <c r="AG261" s="207">
        <v>30</v>
      </c>
      <c r="AH261" s="207">
        <v>31</v>
      </c>
    </row>
    <row r="262" spans="2:34">
      <c r="B262" s="82">
        <v>1</v>
      </c>
      <c r="C262" s="87" t="str">
        <f>LEFT(EmpGName01)&amp;" " &amp; EmpSName01</f>
        <v>L Marampon</v>
      </c>
      <c r="D262" s="4" t="s">
        <v>62</v>
      </c>
      <c r="E262" s="4" t="s">
        <v>62</v>
      </c>
      <c r="F262" s="81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2">
        <v>2</v>
      </c>
      <c r="C263" s="88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2">
        <v>3</v>
      </c>
      <c r="C264" s="87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2">
        <v>4</v>
      </c>
      <c r="C265" s="88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2">
        <v>5</v>
      </c>
      <c r="C266" s="87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2">
        <v>6</v>
      </c>
      <c r="C267" s="88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2">
        <v>7</v>
      </c>
      <c r="C268" s="87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2">
        <v>8</v>
      </c>
      <c r="C269" s="88" t="str">
        <f>LEFT(EmpGName08)&amp;" " &amp;EmpSName08</f>
        <v>C Horse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2">
        <v>9</v>
      </c>
      <c r="C270" s="87" t="str">
        <f>LEFT(EmpGName09)&amp;" " &amp;EmpSName09</f>
        <v xml:space="preserve">E Horse 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0">
        <v>10</v>
      </c>
      <c r="C271" s="89" t="str">
        <f>LEFT(EmpGName10)&amp;" " &amp;EmpSName10</f>
        <v>J Smeegal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0">
        <v>11</v>
      </c>
      <c r="C272" s="87" t="str">
        <f>LEFT(EmpGName11)&amp;" " &amp;EmpSName11</f>
        <v>E Smeegal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0">
        <v>12</v>
      </c>
      <c r="C273" s="89" t="str">
        <f>LEFT(EmpGName12)&amp;" " &amp;EmpSName12</f>
        <v>J James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39">
        <v>13</v>
      </c>
      <c r="C274" s="87" t="str">
        <f>LEFT(EmpGName13)&amp;" " &amp;EmpSName13</f>
        <v>J Jack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39">
        <v>14</v>
      </c>
      <c r="C275" s="88" t="str">
        <f>LEFT(EmpGName14)&amp;" " &amp;EmpSName14</f>
        <v xml:space="preserve">J Jacky 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39">
        <v>15</v>
      </c>
      <c r="C276" s="87" t="str">
        <f>LEFT(EmpGName15)&amp;" " &amp;EmpSName15</f>
        <v>J Friedle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39">
        <v>16</v>
      </c>
      <c r="C277" s="88" t="str">
        <f>LEFT(EmpGName16)&amp;" " &amp;EmpSName16</f>
        <v>J Friedle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39">
        <v>17</v>
      </c>
      <c r="C278" s="87" t="str">
        <f>LEFT(EmpGName17)&amp;" " &amp;EmpSName17</f>
        <v>J Smart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39">
        <v>18</v>
      </c>
      <c r="C279" s="88" t="str">
        <f>LEFT(EmpGName18)&amp;" " &amp;EmpSName18</f>
        <v>E Smart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>
      <c r="B280" s="139">
        <v>19</v>
      </c>
      <c r="C280" s="87" t="str">
        <f>LEFT(EmpGName19)&amp;" " &amp;EmpSName19</f>
        <v>J Black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>
      <c r="B281" s="139">
        <v>20</v>
      </c>
      <c r="C281" s="88" t="str">
        <f>LEFT(EmpGName20)&amp;" " &amp;EmpSName20</f>
        <v>J Black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>
      <c r="B282" s="139">
        <v>21</v>
      </c>
      <c r="C282" s="87" t="str">
        <f>LEFT(EmpGName21)&amp;" " &amp;EmpSName21</f>
        <v>S Black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>
      <c r="B283" s="139">
        <v>22</v>
      </c>
      <c r="C283" s="88" t="str">
        <f>LEFT(EmpGName22)&amp;" " &amp;EmpSName22</f>
        <v>E Brown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>
      <c r="B284" s="139">
        <v>23</v>
      </c>
      <c r="C284" s="87" t="str">
        <f>LEFT(EmpGName23)&amp;" " &amp;EmpSName23</f>
        <v>E Brown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>
      <c r="B285" s="139">
        <v>24</v>
      </c>
      <c r="C285" s="88" t="str">
        <f>LEFT(EmpGName24)&amp;" " &amp;EmpSName24</f>
        <v>S Brown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>
      <c r="B286" s="139">
        <v>25</v>
      </c>
      <c r="C286" s="87" t="str">
        <f>LEFT(EmpGName25)&amp;" " &amp;EmpSName25</f>
        <v>S Grey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>
      <c r="B287" s="139">
        <v>26</v>
      </c>
      <c r="C287" s="88" t="str">
        <f>LEFT(EmpGName26)&amp;" " &amp;EmpSName26</f>
        <v>I Grey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>
      <c r="B288" s="139">
        <v>27</v>
      </c>
      <c r="C288" s="87" t="str">
        <f>LEFT(EmpGName27)&amp;" " &amp;EmpSName27</f>
        <v>D Grey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>
      <c r="B289" s="139">
        <v>28</v>
      </c>
      <c r="C289" s="88" t="str">
        <f>LEFT(EmpGName28)&amp;" " &amp;EmpSName28</f>
        <v>J Grey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200"/>
      <c r="E290" s="200"/>
      <c r="F290" s="200"/>
      <c r="G290" s="200"/>
      <c r="H290" s="200"/>
      <c r="I290" s="200"/>
      <c r="J290" s="200"/>
      <c r="K290" s="200"/>
      <c r="L290" s="200"/>
      <c r="M290" s="200"/>
      <c r="N290" s="200"/>
      <c r="O290" s="200"/>
      <c r="P290" s="200"/>
      <c r="Q290" s="200"/>
      <c r="R290" s="200"/>
      <c r="S290" s="200"/>
      <c r="T290" s="200"/>
      <c r="U290" s="200"/>
      <c r="V290" s="200"/>
      <c r="W290" s="200"/>
      <c r="X290" s="200"/>
      <c r="Y290" s="200"/>
      <c r="Z290" s="200"/>
      <c r="AA290" s="200"/>
      <c r="AB290" s="200"/>
      <c r="AC290" s="200"/>
      <c r="AD290" s="200"/>
      <c r="AE290" s="200"/>
      <c r="AF290" s="200"/>
      <c r="AG290" s="200"/>
      <c r="AH290" s="200"/>
    </row>
    <row r="291" spans="2:34">
      <c r="C291" s="188" t="str">
        <f>CurYear</f>
        <v>2021</v>
      </c>
      <c r="D291" s="5" t="str">
        <f>LEFT(TEXT(D292&amp;"-"&amp;$C292&amp;"-"&amp;$B$4,"ddd"),2)</f>
        <v>Th</v>
      </c>
      <c r="E291" s="5" t="str">
        <f t="shared" ref="E291:AF291" si="9">LEFT(TEXT(E292&amp;"-"&amp;$C292&amp;"-"&amp;$B$4,"ddd"),2)</f>
        <v>Fr</v>
      </c>
      <c r="F291" s="5" t="str">
        <f t="shared" si="9"/>
        <v>Sa</v>
      </c>
      <c r="G291" s="5" t="str">
        <f t="shared" si="9"/>
        <v>Su</v>
      </c>
      <c r="H291" s="5" t="str">
        <f t="shared" si="9"/>
        <v>Mo</v>
      </c>
      <c r="I291" s="5" t="str">
        <f t="shared" si="9"/>
        <v>Tu</v>
      </c>
      <c r="J291" s="5" t="str">
        <f t="shared" si="9"/>
        <v>We</v>
      </c>
      <c r="K291" s="5" t="str">
        <f t="shared" si="9"/>
        <v>Th</v>
      </c>
      <c r="L291" s="5" t="str">
        <f t="shared" si="9"/>
        <v>Fr</v>
      </c>
      <c r="M291" s="5" t="str">
        <f t="shared" si="9"/>
        <v>Sa</v>
      </c>
      <c r="N291" s="5" t="str">
        <f t="shared" si="9"/>
        <v>Su</v>
      </c>
      <c r="O291" s="5" t="str">
        <f t="shared" si="9"/>
        <v>Mo</v>
      </c>
      <c r="P291" s="5" t="str">
        <f t="shared" si="9"/>
        <v>Tu</v>
      </c>
      <c r="Q291" s="5" t="str">
        <f t="shared" si="9"/>
        <v>We</v>
      </c>
      <c r="R291" s="5" t="str">
        <f t="shared" si="9"/>
        <v>Th</v>
      </c>
      <c r="S291" s="5" t="str">
        <f t="shared" si="9"/>
        <v>Fr</v>
      </c>
      <c r="T291" s="5" t="str">
        <f t="shared" si="9"/>
        <v>Sa</v>
      </c>
      <c r="U291" s="5" t="str">
        <f t="shared" si="9"/>
        <v>Su</v>
      </c>
      <c r="V291" s="5" t="str">
        <f t="shared" si="9"/>
        <v>Mo</v>
      </c>
      <c r="W291" s="5" t="str">
        <f t="shared" si="9"/>
        <v>Tu</v>
      </c>
      <c r="X291" s="5" t="str">
        <f t="shared" si="9"/>
        <v>We</v>
      </c>
      <c r="Y291" s="5" t="str">
        <f t="shared" si="9"/>
        <v>Th</v>
      </c>
      <c r="Z291" s="5" t="str">
        <f t="shared" si="9"/>
        <v>Fr</v>
      </c>
      <c r="AA291" s="5" t="str">
        <f t="shared" si="9"/>
        <v>Sa</v>
      </c>
      <c r="AB291" s="5" t="str">
        <f t="shared" si="9"/>
        <v>Su</v>
      </c>
      <c r="AC291" s="5" t="str">
        <f t="shared" si="9"/>
        <v>Mo</v>
      </c>
      <c r="AD291" s="5" t="str">
        <f t="shared" si="9"/>
        <v>Tu</v>
      </c>
      <c r="AE291" s="5" t="str">
        <f t="shared" si="9"/>
        <v>We</v>
      </c>
      <c r="AF291" s="5" t="str">
        <f t="shared" si="9"/>
        <v>Th</v>
      </c>
      <c r="AG291" s="5" t="str">
        <f>LEFT(TEXT(AG292&amp;"-"&amp;$C292&amp;"-"&amp;$B$4,"ddd"),2)</f>
        <v>Fr</v>
      </c>
      <c r="AH291" s="1"/>
    </row>
    <row r="292" spans="2:34">
      <c r="B292" s="85"/>
      <c r="C292" s="189" t="s">
        <v>15</v>
      </c>
      <c r="D292" s="191">
        <v>1</v>
      </c>
      <c r="E292" s="207">
        <v>2</v>
      </c>
      <c r="F292" s="191">
        <v>3</v>
      </c>
      <c r="G292" s="191">
        <v>4</v>
      </c>
      <c r="H292" s="191">
        <v>5</v>
      </c>
      <c r="I292" s="191">
        <v>6</v>
      </c>
      <c r="J292" s="191">
        <v>7</v>
      </c>
      <c r="K292" s="190">
        <v>8</v>
      </c>
      <c r="L292" s="191">
        <v>9</v>
      </c>
      <c r="M292" s="191">
        <v>10</v>
      </c>
      <c r="N292" s="191">
        <v>11</v>
      </c>
      <c r="O292" s="191">
        <v>12</v>
      </c>
      <c r="P292" s="191">
        <v>13</v>
      </c>
      <c r="Q292" s="191">
        <v>14</v>
      </c>
      <c r="R292" s="191">
        <v>15</v>
      </c>
      <c r="S292" s="191">
        <v>16</v>
      </c>
      <c r="T292" s="191">
        <v>17</v>
      </c>
      <c r="U292" s="191">
        <v>18</v>
      </c>
      <c r="V292" s="191">
        <v>19</v>
      </c>
      <c r="W292" s="191">
        <v>20</v>
      </c>
      <c r="X292" s="191">
        <v>21</v>
      </c>
      <c r="Y292" s="190">
        <v>22</v>
      </c>
      <c r="Z292" s="191">
        <v>23</v>
      </c>
      <c r="AA292" s="191">
        <v>24</v>
      </c>
      <c r="AB292" s="207">
        <v>25</v>
      </c>
      <c r="AC292" s="191">
        <v>26</v>
      </c>
      <c r="AD292" s="191">
        <v>27</v>
      </c>
      <c r="AE292" s="191">
        <v>28</v>
      </c>
      <c r="AF292" s="191">
        <v>29</v>
      </c>
      <c r="AG292" s="191">
        <v>30</v>
      </c>
      <c r="AH292" s="90"/>
    </row>
    <row r="293" spans="2:34">
      <c r="B293" s="82">
        <v>1</v>
      </c>
      <c r="C293" s="87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2">
        <v>2</v>
      </c>
      <c r="C294" s="88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2">
        <v>3</v>
      </c>
      <c r="C295" s="87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2">
        <v>4</v>
      </c>
      <c r="C296" s="88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2">
        <v>5</v>
      </c>
      <c r="C297" s="87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2">
        <v>6</v>
      </c>
      <c r="C298" s="88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2">
        <v>7</v>
      </c>
      <c r="C299" s="87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2">
        <v>8</v>
      </c>
      <c r="C300" s="88" t="str">
        <f>LEFT(EmpGName08)&amp;" " &amp;EmpSName08</f>
        <v>C Horse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2">
        <v>9</v>
      </c>
      <c r="C301" s="87" t="str">
        <f>LEFT(EmpGName09)&amp;" " &amp;EmpSName09</f>
        <v xml:space="preserve">E Horse 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0">
        <v>10</v>
      </c>
      <c r="C302" s="88" t="str">
        <f>LEFT(EmpGName10)&amp;" " &amp;EmpSName10</f>
        <v>J Smeegal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3"/>
    </row>
    <row r="303" spans="2:34">
      <c r="B303" s="140">
        <v>11</v>
      </c>
      <c r="C303" s="87" t="str">
        <f>LEFT(EmpGName11)&amp;" " &amp;EmpSName11</f>
        <v>E Smeegal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3"/>
    </row>
    <row r="304" spans="2:34">
      <c r="B304" s="140">
        <v>12</v>
      </c>
      <c r="C304" s="88" t="str">
        <f>LEFT(EmpGName12)&amp;" " &amp;EmpSName12</f>
        <v>J James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3"/>
    </row>
    <row r="305" spans="2:34">
      <c r="B305" s="139">
        <v>13</v>
      </c>
      <c r="C305" s="87" t="str">
        <f>LEFT(EmpGName13)&amp;" " &amp;EmpSName13</f>
        <v>J Jack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3"/>
    </row>
    <row r="306" spans="2:34">
      <c r="B306" s="139">
        <v>14</v>
      </c>
      <c r="C306" s="88" t="str">
        <f>LEFT(EmpGName14)&amp;" " &amp;EmpSName14</f>
        <v xml:space="preserve">J Jacky 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3"/>
    </row>
    <row r="307" spans="2:34">
      <c r="B307" s="139">
        <v>15</v>
      </c>
      <c r="C307" s="87" t="str">
        <f>LEFT(EmpGName15)&amp;" " &amp;EmpSName15</f>
        <v>J Friedle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3"/>
    </row>
    <row r="308" spans="2:34">
      <c r="B308" s="139">
        <v>16</v>
      </c>
      <c r="C308" s="88" t="str">
        <f>LEFT(EmpGName16)&amp;" " &amp;EmpSName16</f>
        <v>J Friedle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3"/>
    </row>
    <row r="309" spans="2:34">
      <c r="B309" s="139">
        <v>17</v>
      </c>
      <c r="C309" s="87" t="str">
        <f>LEFT(EmpGName17)&amp;" " &amp;EmpSName17</f>
        <v>J Smart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3"/>
    </row>
    <row r="310" spans="2:34">
      <c r="B310" s="139">
        <v>18</v>
      </c>
      <c r="C310" s="88" t="str">
        <f>LEFT(EmpGName18)&amp;" " &amp;EmpSName18</f>
        <v>E Smart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3"/>
    </row>
    <row r="311" spans="2:34">
      <c r="B311" s="139">
        <v>19</v>
      </c>
      <c r="C311" s="87" t="str">
        <f>LEFT(EmpGName19)&amp;" " &amp;EmpSName19</f>
        <v>J Black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3"/>
    </row>
    <row r="312" spans="2:34">
      <c r="B312" s="139">
        <v>20</v>
      </c>
      <c r="C312" s="88" t="str">
        <f>LEFT(EmpGName20)&amp;" " &amp;EmpSName20</f>
        <v>J Black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3"/>
    </row>
    <row r="313" spans="2:34">
      <c r="B313" s="139">
        <v>21</v>
      </c>
      <c r="C313" s="87" t="str">
        <f>LEFT(EmpGName21)&amp;" " &amp;EmpSName21</f>
        <v>S Black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3"/>
    </row>
    <row r="314" spans="2:34">
      <c r="B314" s="139">
        <v>22</v>
      </c>
      <c r="C314" s="88" t="str">
        <f>LEFT(EmpGName22)&amp;" " &amp;EmpSName22</f>
        <v>E Brown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3"/>
    </row>
    <row r="315" spans="2:34">
      <c r="B315" s="139">
        <v>23</v>
      </c>
      <c r="C315" s="87" t="str">
        <f>LEFT(EmpGName23)&amp;" " &amp;EmpSName23</f>
        <v>E Brown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3"/>
    </row>
    <row r="316" spans="2:34">
      <c r="B316" s="139">
        <v>24</v>
      </c>
      <c r="C316" s="88" t="str">
        <f>LEFT(EmpGName24)&amp;" " &amp;EmpSName24</f>
        <v>S Brown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3"/>
    </row>
    <row r="317" spans="2:34">
      <c r="B317" s="139">
        <v>25</v>
      </c>
      <c r="C317" s="87" t="str">
        <f>LEFT(EmpGName25)&amp;" " &amp;EmpSName25</f>
        <v>S Grey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3"/>
    </row>
    <row r="318" spans="2:34">
      <c r="B318" s="139">
        <v>26</v>
      </c>
      <c r="C318" s="88" t="str">
        <f>LEFT(EmpGName26)&amp;" " &amp;EmpSName26</f>
        <v>I Grey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3"/>
    </row>
    <row r="319" spans="2:34">
      <c r="B319" s="139">
        <v>27</v>
      </c>
      <c r="C319" s="87" t="str">
        <f>LEFT(EmpGName27)&amp;" " &amp;EmpSName27</f>
        <v>D Grey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3"/>
    </row>
    <row r="320" spans="2:34">
      <c r="B320" s="176">
        <v>28</v>
      </c>
      <c r="C320" s="177" t="str">
        <f>LEFT(EmpGName28)&amp;" " &amp;EmpSName28</f>
        <v>J Grey</v>
      </c>
      <c r="D320" s="175" t="s">
        <v>62</v>
      </c>
      <c r="E320" s="175" t="s">
        <v>62</v>
      </c>
      <c r="F320" s="175" t="s">
        <v>62</v>
      </c>
      <c r="G320" s="175" t="s">
        <v>62</v>
      </c>
      <c r="H320" s="175" t="s">
        <v>62</v>
      </c>
      <c r="I320" s="175" t="s">
        <v>62</v>
      </c>
      <c r="J320" s="175" t="s">
        <v>62</v>
      </c>
      <c r="K320" s="175" t="s">
        <v>62</v>
      </c>
      <c r="L320" s="175" t="s">
        <v>62</v>
      </c>
      <c r="M320" s="175" t="s">
        <v>62</v>
      </c>
      <c r="N320" s="175" t="s">
        <v>62</v>
      </c>
      <c r="O320" s="175" t="s">
        <v>62</v>
      </c>
      <c r="P320" s="175" t="s">
        <v>62</v>
      </c>
      <c r="Q320" s="175" t="s">
        <v>62</v>
      </c>
      <c r="R320" s="175" t="s">
        <v>62</v>
      </c>
      <c r="S320" s="175" t="s">
        <v>62</v>
      </c>
      <c r="T320" s="175" t="s">
        <v>62</v>
      </c>
      <c r="U320" s="175" t="s">
        <v>62</v>
      </c>
      <c r="V320" s="175" t="s">
        <v>62</v>
      </c>
      <c r="W320" s="175" t="s">
        <v>62</v>
      </c>
      <c r="X320" s="175" t="s">
        <v>62</v>
      </c>
      <c r="Y320" s="175" t="s">
        <v>62</v>
      </c>
      <c r="Z320" s="175" t="s">
        <v>62</v>
      </c>
      <c r="AA320" s="175" t="s">
        <v>62</v>
      </c>
      <c r="AB320" s="175" t="s">
        <v>62</v>
      </c>
      <c r="AC320" s="175" t="s">
        <v>62</v>
      </c>
      <c r="AD320" s="175" t="s">
        <v>62</v>
      </c>
      <c r="AE320" s="175" t="s">
        <v>62</v>
      </c>
      <c r="AF320" s="175" t="s">
        <v>62</v>
      </c>
      <c r="AG320" s="175" t="s">
        <v>62</v>
      </c>
      <c r="AH320" s="73"/>
    </row>
    <row r="321" spans="1:34">
      <c r="A321" s="20"/>
      <c r="AH321" s="2"/>
    </row>
    <row r="322" spans="1:34">
      <c r="C322" s="188" t="str">
        <f>CurYear</f>
        <v>2021</v>
      </c>
      <c r="D322" s="5" t="str">
        <f>LEFT(TEXT(D323&amp;"-"&amp;$C323&amp;"-"&amp; CurYear,"ddd"),2)</f>
        <v>Sa</v>
      </c>
      <c r="E322" s="5" t="str">
        <f t="shared" ref="E322:AF322" si="10">LEFT(TEXT(E323&amp;"-"&amp;$C323&amp;"-"&amp; CurYear,"ddd"),2)</f>
        <v>Su</v>
      </c>
      <c r="F322" s="5" t="str">
        <f t="shared" si="10"/>
        <v>Mo</v>
      </c>
      <c r="G322" s="5" t="str">
        <f t="shared" si="10"/>
        <v>Tu</v>
      </c>
      <c r="H322" s="5" t="str">
        <f t="shared" si="10"/>
        <v>We</v>
      </c>
      <c r="I322" s="5" t="str">
        <f t="shared" si="10"/>
        <v>Th</v>
      </c>
      <c r="J322" s="5" t="str">
        <f t="shared" si="10"/>
        <v>Fr</v>
      </c>
      <c r="K322" s="5" t="str">
        <f t="shared" si="10"/>
        <v>Sa</v>
      </c>
      <c r="L322" s="5" t="str">
        <f t="shared" si="10"/>
        <v>Su</v>
      </c>
      <c r="M322" s="5" t="str">
        <f t="shared" si="10"/>
        <v>Mo</v>
      </c>
      <c r="N322" s="5" t="str">
        <f t="shared" si="10"/>
        <v>Tu</v>
      </c>
      <c r="O322" s="5" t="str">
        <f t="shared" si="10"/>
        <v>We</v>
      </c>
      <c r="P322" s="5" t="str">
        <f t="shared" si="10"/>
        <v>Th</v>
      </c>
      <c r="Q322" s="5" t="str">
        <f t="shared" si="10"/>
        <v>Fr</v>
      </c>
      <c r="R322" s="5" t="str">
        <f t="shared" si="10"/>
        <v>Sa</v>
      </c>
      <c r="S322" s="5" t="str">
        <f t="shared" si="10"/>
        <v>Su</v>
      </c>
      <c r="T322" s="5" t="str">
        <f t="shared" si="10"/>
        <v>Mo</v>
      </c>
      <c r="U322" s="5" t="str">
        <f t="shared" si="10"/>
        <v>Tu</v>
      </c>
      <c r="V322" s="5" t="str">
        <f t="shared" si="10"/>
        <v>We</v>
      </c>
      <c r="W322" s="5" t="str">
        <f t="shared" si="10"/>
        <v>Th</v>
      </c>
      <c r="X322" s="5" t="str">
        <f t="shared" si="10"/>
        <v>Fr</v>
      </c>
      <c r="Y322" s="5" t="str">
        <f t="shared" si="10"/>
        <v>Sa</v>
      </c>
      <c r="Z322" s="5" t="str">
        <f t="shared" si="10"/>
        <v>Su</v>
      </c>
      <c r="AA322" s="5" t="str">
        <f t="shared" si="10"/>
        <v>Mo</v>
      </c>
      <c r="AB322" s="5" t="str">
        <f t="shared" si="10"/>
        <v>Tu</v>
      </c>
      <c r="AC322" s="5" t="str">
        <f t="shared" si="10"/>
        <v>We</v>
      </c>
      <c r="AD322" s="5" t="str">
        <f t="shared" si="10"/>
        <v>Th</v>
      </c>
      <c r="AE322" s="5" t="str">
        <f t="shared" si="10"/>
        <v>Fr</v>
      </c>
      <c r="AF322" s="5" t="str">
        <f t="shared" si="10"/>
        <v>Sa</v>
      </c>
      <c r="AG322" s="5" t="str">
        <f>LEFT(TEXT(AG323&amp;"-"&amp;$C323&amp;"-"&amp; CurYear,"ddd"),2)</f>
        <v>Su</v>
      </c>
      <c r="AH322" s="5" t="str">
        <f>LEFT(TEXT(AH323&amp;"-"&amp;$C323&amp;"-"&amp; CurYear,"ddd"),2)</f>
        <v>Mo</v>
      </c>
    </row>
    <row r="323" spans="1:34">
      <c r="B323" s="86"/>
      <c r="C323" s="189" t="s">
        <v>16</v>
      </c>
      <c r="D323" s="191">
        <v>1</v>
      </c>
      <c r="E323" s="191">
        <v>2</v>
      </c>
      <c r="F323" s="191">
        <v>3</v>
      </c>
      <c r="G323" s="191">
        <v>4</v>
      </c>
      <c r="H323" s="191">
        <v>5</v>
      </c>
      <c r="I323" s="190">
        <v>6</v>
      </c>
      <c r="J323" s="191">
        <v>7</v>
      </c>
      <c r="K323" s="207">
        <v>8</v>
      </c>
      <c r="L323" s="191">
        <v>9</v>
      </c>
      <c r="M323" s="191">
        <v>10</v>
      </c>
      <c r="N323" s="191">
        <v>11</v>
      </c>
      <c r="O323" s="191">
        <v>12</v>
      </c>
      <c r="P323" s="191">
        <v>13</v>
      </c>
      <c r="Q323" s="191">
        <v>14</v>
      </c>
      <c r="R323" s="191">
        <v>15</v>
      </c>
      <c r="S323" s="191">
        <v>16</v>
      </c>
      <c r="T323" s="191">
        <v>17</v>
      </c>
      <c r="U323" s="191">
        <v>18</v>
      </c>
      <c r="V323" s="191">
        <v>19</v>
      </c>
      <c r="W323" s="190">
        <v>20</v>
      </c>
      <c r="X323" s="191">
        <v>21</v>
      </c>
      <c r="Y323" s="191">
        <v>22</v>
      </c>
      <c r="Z323" s="191">
        <v>23</v>
      </c>
      <c r="AA323" s="191">
        <v>24</v>
      </c>
      <c r="AB323" s="191">
        <v>25</v>
      </c>
      <c r="AC323" s="191">
        <v>26</v>
      </c>
      <c r="AD323" s="191">
        <v>27</v>
      </c>
      <c r="AE323" s="191">
        <v>28</v>
      </c>
      <c r="AF323" s="191">
        <v>29</v>
      </c>
      <c r="AG323" s="191">
        <v>30</v>
      </c>
      <c r="AH323" s="191">
        <v>31</v>
      </c>
    </row>
    <row r="324" spans="1:34">
      <c r="B324" s="83">
        <v>1</v>
      </c>
      <c r="C324" s="87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3">
        <v>2</v>
      </c>
      <c r="C325" s="88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3">
        <v>3</v>
      </c>
      <c r="C326" s="87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3">
        <v>4</v>
      </c>
      <c r="C327" s="88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3">
        <v>5</v>
      </c>
      <c r="C328" s="87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3">
        <v>6</v>
      </c>
      <c r="C329" s="88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3">
        <v>7</v>
      </c>
      <c r="C330" s="87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>
      <c r="B331" s="83">
        <v>8</v>
      </c>
      <c r="C331" s="88" t="str">
        <f>LEFT(EmpGName08)&amp;" " &amp;EmpSName08</f>
        <v>C Horse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>
      <c r="B332" s="83">
        <v>9</v>
      </c>
      <c r="C332" s="87" t="str">
        <f>LEFT(EmpGName09)&amp;" " &amp;EmpSName09</f>
        <v xml:space="preserve">E Horse 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>
      <c r="B333" s="139">
        <v>10</v>
      </c>
      <c r="C333" s="88" t="str">
        <f>LEFT(EmpGName10)&amp;" " &amp;EmpSName10</f>
        <v>J Smeegal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>
      <c r="B334" s="139">
        <v>11</v>
      </c>
      <c r="C334" s="87" t="str">
        <f>LEFT(EmpGName11)&amp;" " &amp;EmpSName11</f>
        <v>E Smeegal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>
      <c r="B335" s="139">
        <v>12</v>
      </c>
      <c r="C335" s="88" t="str">
        <f>LEFT(EmpGName12)&amp;" " &amp;EmpSName12</f>
        <v>J James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>
      <c r="B336" s="139">
        <v>13</v>
      </c>
      <c r="C336" s="87" t="str">
        <f>LEFT(EmpGName13)&amp;" " &amp;EmpSName13</f>
        <v>J Jack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>
      <c r="B337" s="139">
        <v>14</v>
      </c>
      <c r="C337" s="88" t="str">
        <f>LEFT(EmpGName14)&amp;" " &amp;EmpSName14</f>
        <v xml:space="preserve">J Jacky 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>
      <c r="B338" s="139">
        <v>15</v>
      </c>
      <c r="C338" s="87" t="str">
        <f>LEFT(EmpGName15)&amp;" " &amp;EmpSName15</f>
        <v>J Friedle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>
      <c r="B339" s="139">
        <v>16</v>
      </c>
      <c r="C339" s="88" t="str">
        <f>LEFT(EmpGName16)&amp;" " &amp;EmpSName16</f>
        <v>J Friedle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>
      <c r="B340" s="139">
        <v>17</v>
      </c>
      <c r="C340" s="87" t="str">
        <f>LEFT(EmpGName17)&amp;" " &amp;EmpSName17</f>
        <v>J Smart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>
      <c r="B341" s="139">
        <v>18</v>
      </c>
      <c r="C341" s="88" t="str">
        <f>LEFT(EmpGName18)&amp;" " &amp;EmpSName18</f>
        <v>E Smart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>
      <c r="B342" s="139">
        <v>19</v>
      </c>
      <c r="C342" s="87" t="str">
        <f>LEFT(EmpGName19)&amp;" " &amp;EmpSName19</f>
        <v>J Black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>
      <c r="B343" s="139">
        <v>20</v>
      </c>
      <c r="C343" s="88" t="str">
        <f>LEFT(EmpGName20)&amp;" " &amp;EmpSName20</f>
        <v>J Black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>
      <c r="B344" s="139">
        <v>21</v>
      </c>
      <c r="C344" s="87" t="str">
        <f>LEFT(EmpGName21)&amp;" " &amp;EmpSName21</f>
        <v>S Black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>
      <c r="B345" s="139">
        <v>22</v>
      </c>
      <c r="C345" s="88" t="str">
        <f>LEFT(EmpGName22)&amp;" " &amp;EmpSName22</f>
        <v>E Brown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>
      <c r="B346" s="139">
        <v>23</v>
      </c>
      <c r="C346" s="87" t="str">
        <f>LEFT(EmpGName23)&amp;" " &amp;EmpSName23</f>
        <v>E Brown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>
      <c r="B347" s="139">
        <v>24</v>
      </c>
      <c r="C347" s="88" t="str">
        <f>LEFT(EmpGName24)&amp;" " &amp;EmpSName24</f>
        <v>S Brown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>
      <c r="B348" s="139">
        <v>25</v>
      </c>
      <c r="C348" s="87" t="str">
        <f>LEFT(EmpGName25)&amp;" " &amp;EmpSName25</f>
        <v>S Grey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>
      <c r="B349" s="139">
        <v>26</v>
      </c>
      <c r="C349" s="88" t="str">
        <f>LEFT(EmpGName26)&amp;" " &amp;EmpSName26</f>
        <v>I Grey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>
      <c r="B350" s="139">
        <v>27</v>
      </c>
      <c r="C350" s="87" t="str">
        <f>LEFT(EmpGName27)&amp;" " &amp;EmpSName27</f>
        <v>D Grey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>
      <c r="B351" s="139">
        <v>28</v>
      </c>
      <c r="C351" s="88" t="str">
        <f>LEFT(EmpGName28)&amp;" " &amp;EmpSName28</f>
        <v>J Grey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s="188" t="str">
        <f>CurYear</f>
        <v>2021</v>
      </c>
      <c r="D353" s="5" t="str">
        <f>LEFT(TEXT(D354&amp;"-"&amp;$C354&amp;"-"&amp;CurYear,"ddd"),2)</f>
        <v>Tu</v>
      </c>
      <c r="E353" s="5" t="str">
        <f t="shared" ref="E353:AF353" si="11">LEFT(TEXT(E354&amp;"-"&amp;$C354&amp;"-"&amp;CurYear,"ddd"),2)</f>
        <v>We</v>
      </c>
      <c r="F353" s="5" t="str">
        <f t="shared" si="11"/>
        <v>Th</v>
      </c>
      <c r="G353" s="5" t="str">
        <f t="shared" si="11"/>
        <v>Fr</v>
      </c>
      <c r="H353" s="5" t="str">
        <f t="shared" si="11"/>
        <v>Sa</v>
      </c>
      <c r="I353" s="5" t="str">
        <f t="shared" si="11"/>
        <v>Su</v>
      </c>
      <c r="J353" s="5" t="str">
        <f t="shared" si="11"/>
        <v>Mo</v>
      </c>
      <c r="K353" s="5" t="str">
        <f t="shared" si="11"/>
        <v>Tu</v>
      </c>
      <c r="L353" s="5" t="str">
        <f t="shared" si="11"/>
        <v>We</v>
      </c>
      <c r="M353" s="5" t="str">
        <f t="shared" si="11"/>
        <v>Th</v>
      </c>
      <c r="N353" s="5" t="str">
        <f t="shared" si="11"/>
        <v>Fr</v>
      </c>
      <c r="O353" s="5" t="str">
        <f t="shared" si="11"/>
        <v>Sa</v>
      </c>
      <c r="P353" s="5" t="str">
        <f t="shared" si="11"/>
        <v>Su</v>
      </c>
      <c r="Q353" s="5" t="str">
        <f t="shared" si="11"/>
        <v>Mo</v>
      </c>
      <c r="R353" s="5" t="str">
        <f t="shared" si="11"/>
        <v>Tu</v>
      </c>
      <c r="S353" s="5" t="str">
        <f t="shared" si="11"/>
        <v>We</v>
      </c>
      <c r="T353" s="5" t="str">
        <f t="shared" si="11"/>
        <v>Th</v>
      </c>
      <c r="U353" s="5" t="str">
        <f t="shared" si="11"/>
        <v>Fr</v>
      </c>
      <c r="V353" s="5" t="str">
        <f t="shared" si="11"/>
        <v>Sa</v>
      </c>
      <c r="W353" s="5" t="str">
        <f t="shared" si="11"/>
        <v>Su</v>
      </c>
      <c r="X353" s="5" t="str">
        <f t="shared" si="11"/>
        <v>Mo</v>
      </c>
      <c r="Y353" s="5" t="str">
        <f t="shared" si="11"/>
        <v>Tu</v>
      </c>
      <c r="Z353" s="5" t="str">
        <f t="shared" si="11"/>
        <v>We</v>
      </c>
      <c r="AA353" s="5" t="str">
        <f t="shared" si="11"/>
        <v>Th</v>
      </c>
      <c r="AB353" s="5" t="str">
        <f t="shared" si="11"/>
        <v>Fr</v>
      </c>
      <c r="AC353" s="5" t="str">
        <f t="shared" si="11"/>
        <v>Sa</v>
      </c>
      <c r="AD353" s="5" t="str">
        <f t="shared" si="11"/>
        <v>Su</v>
      </c>
      <c r="AE353" s="5" t="str">
        <f t="shared" si="11"/>
        <v>Mo</v>
      </c>
      <c r="AF353" s="5" t="str">
        <f t="shared" si="11"/>
        <v>Tu</v>
      </c>
      <c r="AG353" s="5" t="str">
        <f>LEFT(TEXT(AG354&amp;"-"&amp;$C354&amp;"-"&amp;CurYear,"ddd"),2)</f>
        <v>We</v>
      </c>
      <c r="AH353" s="5"/>
    </row>
    <row r="354" spans="2:34">
      <c r="B354" s="86"/>
      <c r="C354" s="189" t="s">
        <v>17</v>
      </c>
      <c r="D354" s="191">
        <v>1</v>
      </c>
      <c r="E354" s="191">
        <v>2</v>
      </c>
      <c r="F354" s="190">
        <v>3</v>
      </c>
      <c r="G354" s="191">
        <v>4</v>
      </c>
      <c r="H354" s="191">
        <v>5</v>
      </c>
      <c r="I354" s="191">
        <v>6</v>
      </c>
      <c r="J354" s="191">
        <v>7</v>
      </c>
      <c r="K354" s="191">
        <v>8</v>
      </c>
      <c r="L354" s="191">
        <v>9</v>
      </c>
      <c r="M354" s="191">
        <v>10</v>
      </c>
      <c r="N354" s="191">
        <v>11</v>
      </c>
      <c r="O354" s="191">
        <v>12</v>
      </c>
      <c r="P354" s="191">
        <v>13</v>
      </c>
      <c r="Q354" s="191">
        <v>14</v>
      </c>
      <c r="R354" s="191">
        <v>15</v>
      </c>
      <c r="S354" s="191">
        <v>16</v>
      </c>
      <c r="T354" s="190">
        <v>17</v>
      </c>
      <c r="U354" s="191">
        <v>18</v>
      </c>
      <c r="V354" s="191">
        <v>19</v>
      </c>
      <c r="W354" s="191">
        <v>20</v>
      </c>
      <c r="X354" s="191">
        <v>21</v>
      </c>
      <c r="Y354" s="191">
        <v>22</v>
      </c>
      <c r="Z354" s="191">
        <v>23</v>
      </c>
      <c r="AA354" s="191">
        <v>24</v>
      </c>
      <c r="AB354" s="191">
        <v>25</v>
      </c>
      <c r="AC354" s="191">
        <v>26</v>
      </c>
      <c r="AD354" s="191">
        <v>27</v>
      </c>
      <c r="AE354" s="191">
        <v>28</v>
      </c>
      <c r="AF354" s="191">
        <v>29</v>
      </c>
      <c r="AG354" s="191">
        <v>30</v>
      </c>
      <c r="AH354" s="90"/>
    </row>
    <row r="355" spans="2:34">
      <c r="B355" s="83">
        <v>1</v>
      </c>
      <c r="C355" s="87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3">
        <v>2</v>
      </c>
      <c r="C356" s="88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3">
        <v>3</v>
      </c>
      <c r="C357" s="87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3">
        <v>4</v>
      </c>
      <c r="C358" s="88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3">
        <v>5</v>
      </c>
      <c r="C359" s="87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3">
        <v>6</v>
      </c>
      <c r="C360" s="88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3">
        <v>7</v>
      </c>
      <c r="C361" s="87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>
      <c r="B362" s="83">
        <v>8</v>
      </c>
      <c r="C362" s="88" t="str">
        <f>LEFT(EmpGName08)&amp;" " &amp;EmpSName08</f>
        <v>C Horse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>
      <c r="B363" s="83">
        <v>9</v>
      </c>
      <c r="C363" s="87" t="str">
        <f>LEFT(EmpGName09)&amp;" " &amp;EmpSName09</f>
        <v xml:space="preserve">E Horse 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>
      <c r="B364" s="139">
        <v>10</v>
      </c>
      <c r="C364" s="88" t="str">
        <f>LEFT(EmpGName10)&amp;" " &amp;EmpSName10</f>
        <v>J Smeegal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3"/>
    </row>
    <row r="365" spans="2:34">
      <c r="B365" s="139">
        <v>11</v>
      </c>
      <c r="C365" s="87" t="str">
        <f>LEFT(EmpGName11)&amp;" " &amp;EmpSName11</f>
        <v>E Smeegal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3"/>
    </row>
    <row r="366" spans="2:34">
      <c r="B366" s="139">
        <v>12</v>
      </c>
      <c r="C366" s="88" t="str">
        <f>LEFT(EmpGName12)&amp;" " &amp;EmpSName12</f>
        <v>J James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3"/>
    </row>
    <row r="367" spans="2:34">
      <c r="B367" s="139">
        <v>13</v>
      </c>
      <c r="C367" s="87" t="str">
        <f>LEFT(EmpGName13)&amp;" " &amp;EmpSName13</f>
        <v>J Jack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>
      <c r="B368" s="139">
        <v>14</v>
      </c>
      <c r="C368" s="88" t="str">
        <f>LEFT(EmpGName14)&amp;" " &amp;EmpSName14</f>
        <v xml:space="preserve">J Jacky 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>
      <c r="B369" s="139">
        <v>15</v>
      </c>
      <c r="C369" s="87" t="str">
        <f>LEFT(EmpGName15)&amp;" " &amp;EmpSName15</f>
        <v>J Friedle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>
      <c r="B370" s="139">
        <v>16</v>
      </c>
      <c r="C370" s="88" t="str">
        <f>LEFT(EmpGName16)&amp;" " &amp;EmpSName16</f>
        <v>J Friedle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>
      <c r="B371" s="139">
        <v>17</v>
      </c>
      <c r="C371" s="87" t="str">
        <f>LEFT(EmpGName17)&amp;" " &amp;EmpSName17</f>
        <v>J Smart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>
      <c r="B372" s="139">
        <v>18</v>
      </c>
      <c r="C372" s="88" t="str">
        <f>LEFT(EmpGName18)&amp;" " &amp;EmpSName18</f>
        <v>E Smart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>
      <c r="B373" s="139">
        <v>19</v>
      </c>
      <c r="C373" s="87" t="str">
        <f>LEFT(EmpGName19)&amp;" " &amp;EmpSName19</f>
        <v>J Black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>
      <c r="B374" s="139">
        <v>20</v>
      </c>
      <c r="C374" s="88" t="str">
        <f>LEFT(EmpGName20)&amp;" " &amp;EmpSName20</f>
        <v>J Black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>
      <c r="B375" s="139">
        <v>21</v>
      </c>
      <c r="C375" s="87" t="str">
        <f>LEFT(EmpGName21)&amp;" " &amp;EmpSName21</f>
        <v>S Black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>
      <c r="B376" s="139">
        <v>22</v>
      </c>
      <c r="C376" s="88" t="str">
        <f>LEFT(EmpGName22)&amp;" " &amp;EmpSName22</f>
        <v>E Brown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>
      <c r="B377" s="139">
        <v>23</v>
      </c>
      <c r="C377" s="87" t="str">
        <f>LEFT(EmpGName23)&amp;" " &amp;EmpSName23</f>
        <v>E Brown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>
      <c r="B378" s="139">
        <v>24</v>
      </c>
      <c r="C378" s="88" t="str">
        <f>LEFT(EmpGName24)&amp;" " &amp;EmpSName24</f>
        <v>S Brown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>
      <c r="B379" s="139">
        <v>25</v>
      </c>
      <c r="C379" s="87" t="str">
        <f>LEFT(EmpGName25)&amp;" " &amp;EmpSName25</f>
        <v>S Grey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>
      <c r="B380" s="139">
        <v>26</v>
      </c>
      <c r="C380" s="88" t="str">
        <f>LEFT(EmpGName26)&amp;" " &amp;EmpSName26</f>
        <v>I Grey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>
      <c r="B381" s="139">
        <v>27</v>
      </c>
      <c r="C381" s="87" t="str">
        <f>LEFT(EmpGName27)&amp;" " &amp;EmpSName27</f>
        <v>D Grey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>
      <c r="B382" s="176">
        <v>28</v>
      </c>
      <c r="C382" s="177" t="str">
        <f>LEFT(EmpGName28)&amp;" " &amp;EmpSName28</f>
        <v>J Grey</v>
      </c>
      <c r="D382" s="175" t="s">
        <v>62</v>
      </c>
      <c r="E382" s="175" t="s">
        <v>62</v>
      </c>
      <c r="F382" s="175" t="s">
        <v>62</v>
      </c>
      <c r="G382" s="175" t="s">
        <v>62</v>
      </c>
      <c r="H382" s="175" t="s">
        <v>62</v>
      </c>
      <c r="I382" s="175" t="s">
        <v>62</v>
      </c>
      <c r="J382" s="175" t="s">
        <v>62</v>
      </c>
      <c r="K382" s="175" t="s">
        <v>62</v>
      </c>
      <c r="L382" s="175" t="s">
        <v>62</v>
      </c>
      <c r="M382" s="175" t="s">
        <v>62</v>
      </c>
      <c r="N382" s="175" t="s">
        <v>62</v>
      </c>
      <c r="O382" s="175" t="s">
        <v>62</v>
      </c>
      <c r="P382" s="175" t="s">
        <v>62</v>
      </c>
      <c r="Q382" s="175" t="s">
        <v>62</v>
      </c>
      <c r="R382" s="175" t="s">
        <v>62</v>
      </c>
      <c r="S382" s="175" t="s">
        <v>62</v>
      </c>
      <c r="T382" s="175" t="s">
        <v>62</v>
      </c>
      <c r="U382" s="175" t="s">
        <v>62</v>
      </c>
      <c r="V382" s="175" t="s">
        <v>62</v>
      </c>
      <c r="W382" s="175" t="s">
        <v>62</v>
      </c>
      <c r="X382" s="175" t="s">
        <v>62</v>
      </c>
      <c r="Y382" s="175" t="s">
        <v>62</v>
      </c>
      <c r="Z382" s="175" t="s">
        <v>62</v>
      </c>
      <c r="AA382" s="175" t="s">
        <v>62</v>
      </c>
      <c r="AB382" s="175" t="s">
        <v>62</v>
      </c>
      <c r="AC382" s="175" t="s">
        <v>62</v>
      </c>
      <c r="AD382" s="175" t="s">
        <v>62</v>
      </c>
      <c r="AE382" s="175" t="s">
        <v>62</v>
      </c>
      <c r="AF382" s="175" t="s">
        <v>62</v>
      </c>
      <c r="AG382" s="175" t="s">
        <v>62</v>
      </c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351" priority="1355" operator="equal">
      <formula>"AL"</formula>
    </cfRule>
    <cfRule type="cellIs" dxfId="1350" priority="1356" operator="equal">
      <formula>"NA"</formula>
    </cfRule>
    <cfRule type="cellIs" dxfId="1349" priority="1357" operator="equal">
      <formula>"SL"</formula>
    </cfRule>
    <cfRule type="cellIs" dxfId="1348" priority="1359" stopIfTrue="1" operator="equal">
      <formula>"X"</formula>
    </cfRule>
    <cfRule type="cellIs" dxfId="1347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346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345" priority="1352" operator="equal">
      <formula>"SP"</formula>
    </cfRule>
    <cfRule type="cellIs" dxfId="1344" priority="1353" operator="equal">
      <formula>"."</formula>
    </cfRule>
  </conditionalFormatting>
  <conditionalFormatting sqref="D26:AH26">
    <cfRule type="cellIs" dxfId="1343" priority="1347" operator="equal">
      <formula>"AL"</formula>
    </cfRule>
    <cfRule type="cellIs" dxfId="1342" priority="1348" operator="equal">
      <formula>"NA"</formula>
    </cfRule>
    <cfRule type="cellIs" dxfId="1341" priority="1349" operator="equal">
      <formula>"SL"</formula>
    </cfRule>
    <cfRule type="cellIs" dxfId="1340" priority="1350" stopIfTrue="1" operator="equal">
      <formula>"X"</formula>
    </cfRule>
    <cfRule type="cellIs" dxfId="1339" priority="1351" operator="equal">
      <formula>"H"</formula>
    </cfRule>
  </conditionalFormatting>
  <conditionalFormatting sqref="D26:AH26">
    <cfRule type="cellIs" dxfId="1338" priority="1345" operator="equal">
      <formula>"SP"</formula>
    </cfRule>
    <cfRule type="cellIs" dxfId="1337" priority="1346" operator="equal">
      <formula>"."</formula>
    </cfRule>
  </conditionalFormatting>
  <conditionalFormatting sqref="D28:AH28">
    <cfRule type="cellIs" dxfId="1336" priority="1340" operator="equal">
      <formula>"AL"</formula>
    </cfRule>
    <cfRule type="cellIs" dxfId="1335" priority="1341" operator="equal">
      <formula>"NA"</formula>
    </cfRule>
    <cfRule type="cellIs" dxfId="1334" priority="1342" operator="equal">
      <formula>"SL"</formula>
    </cfRule>
    <cfRule type="cellIs" dxfId="1333" priority="1343" stopIfTrue="1" operator="equal">
      <formula>"X"</formula>
    </cfRule>
    <cfRule type="cellIs" dxfId="1332" priority="1344" operator="equal">
      <formula>"H"</formula>
    </cfRule>
  </conditionalFormatting>
  <conditionalFormatting sqref="D28:AH28">
    <cfRule type="cellIs" dxfId="1331" priority="1338" operator="equal">
      <formula>"SP"</formula>
    </cfRule>
    <cfRule type="cellIs" dxfId="1330" priority="1339" operator="equal">
      <formula>"."</formula>
    </cfRule>
  </conditionalFormatting>
  <conditionalFormatting sqref="D30:AH30">
    <cfRule type="cellIs" dxfId="1329" priority="1333" operator="equal">
      <formula>"AL"</formula>
    </cfRule>
    <cfRule type="cellIs" dxfId="1328" priority="1334" operator="equal">
      <formula>"NA"</formula>
    </cfRule>
    <cfRule type="cellIs" dxfId="1327" priority="1335" operator="equal">
      <formula>"SL"</formula>
    </cfRule>
    <cfRule type="cellIs" dxfId="1326" priority="1336" stopIfTrue="1" operator="equal">
      <formula>"X"</formula>
    </cfRule>
    <cfRule type="cellIs" dxfId="1325" priority="1337" operator="equal">
      <formula>"H"</formula>
    </cfRule>
  </conditionalFormatting>
  <conditionalFormatting sqref="D30:AH30">
    <cfRule type="cellIs" dxfId="1324" priority="1331" operator="equal">
      <formula>"SP"</formula>
    </cfRule>
    <cfRule type="cellIs" dxfId="1323" priority="1332" operator="equal">
      <formula>"."</formula>
    </cfRule>
  </conditionalFormatting>
  <conditionalFormatting sqref="D32:AH32">
    <cfRule type="cellIs" dxfId="1322" priority="1326" operator="equal">
      <formula>"AL"</formula>
    </cfRule>
    <cfRule type="cellIs" dxfId="1321" priority="1327" operator="equal">
      <formula>"NA"</formula>
    </cfRule>
    <cfRule type="cellIs" dxfId="1320" priority="1328" operator="equal">
      <formula>"SL"</formula>
    </cfRule>
    <cfRule type="cellIs" dxfId="1319" priority="1329" stopIfTrue="1" operator="equal">
      <formula>"X"</formula>
    </cfRule>
    <cfRule type="cellIs" dxfId="1318" priority="1330" operator="equal">
      <formula>"H"</formula>
    </cfRule>
  </conditionalFormatting>
  <conditionalFormatting sqref="D32:AH32">
    <cfRule type="cellIs" dxfId="1317" priority="1324" operator="equal">
      <formula>"SP"</formula>
    </cfRule>
    <cfRule type="cellIs" dxfId="1316" priority="1325" operator="equal">
      <formula>"."</formula>
    </cfRule>
  </conditionalFormatting>
  <conditionalFormatting sqref="D34:AH34">
    <cfRule type="cellIs" dxfId="1315" priority="1319" operator="equal">
      <formula>"AL"</formula>
    </cfRule>
    <cfRule type="cellIs" dxfId="1314" priority="1320" operator="equal">
      <formula>"NA"</formula>
    </cfRule>
    <cfRule type="cellIs" dxfId="1313" priority="1321" operator="equal">
      <formula>"SL"</formula>
    </cfRule>
    <cfRule type="cellIs" dxfId="1312" priority="1322" stopIfTrue="1" operator="equal">
      <formula>"X"</formula>
    </cfRule>
    <cfRule type="cellIs" dxfId="1311" priority="1323" operator="equal">
      <formula>"H"</formula>
    </cfRule>
  </conditionalFormatting>
  <conditionalFormatting sqref="D34:AH34">
    <cfRule type="cellIs" dxfId="1310" priority="1317" operator="equal">
      <formula>"SP"</formula>
    </cfRule>
    <cfRule type="cellIs" dxfId="1309" priority="1318" operator="equal">
      <formula>"."</formula>
    </cfRule>
  </conditionalFormatting>
  <conditionalFormatting sqref="D36:AH36">
    <cfRule type="cellIs" dxfId="1308" priority="1312" operator="equal">
      <formula>"AL"</formula>
    </cfRule>
    <cfRule type="cellIs" dxfId="1307" priority="1313" operator="equal">
      <formula>"NA"</formula>
    </cfRule>
    <cfRule type="cellIs" dxfId="1306" priority="1314" operator="equal">
      <formula>"SL"</formula>
    </cfRule>
    <cfRule type="cellIs" dxfId="1305" priority="1315" stopIfTrue="1" operator="equal">
      <formula>"X"</formula>
    </cfRule>
    <cfRule type="cellIs" dxfId="1304" priority="1316" operator="equal">
      <formula>"H"</formula>
    </cfRule>
  </conditionalFormatting>
  <conditionalFormatting sqref="D36:AH36">
    <cfRule type="cellIs" dxfId="1303" priority="1310" operator="equal">
      <formula>"SP"</formula>
    </cfRule>
    <cfRule type="cellIs" dxfId="1302" priority="1311" operator="equal">
      <formula>"."</formula>
    </cfRule>
  </conditionalFormatting>
  <conditionalFormatting sqref="D38:AH38">
    <cfRule type="cellIs" dxfId="1301" priority="1305" operator="equal">
      <formula>"AL"</formula>
    </cfRule>
    <cfRule type="cellIs" dxfId="1300" priority="1306" operator="equal">
      <formula>"NA"</formula>
    </cfRule>
    <cfRule type="cellIs" dxfId="1299" priority="1307" operator="equal">
      <formula>"SL"</formula>
    </cfRule>
    <cfRule type="cellIs" dxfId="1298" priority="1308" stopIfTrue="1" operator="equal">
      <formula>"X"</formula>
    </cfRule>
    <cfRule type="cellIs" dxfId="1297" priority="1309" operator="equal">
      <formula>"H"</formula>
    </cfRule>
  </conditionalFormatting>
  <conditionalFormatting sqref="D38:AH38">
    <cfRule type="cellIs" dxfId="1296" priority="1303" operator="equal">
      <formula>"SP"</formula>
    </cfRule>
    <cfRule type="cellIs" dxfId="1295" priority="1304" operator="equal">
      <formula>"."</formula>
    </cfRule>
  </conditionalFormatting>
  <conditionalFormatting sqref="D40:AH40">
    <cfRule type="cellIs" dxfId="1294" priority="1298" operator="equal">
      <formula>"AL"</formula>
    </cfRule>
    <cfRule type="cellIs" dxfId="1293" priority="1299" operator="equal">
      <formula>"NA"</formula>
    </cfRule>
    <cfRule type="cellIs" dxfId="1292" priority="1300" operator="equal">
      <formula>"SL"</formula>
    </cfRule>
    <cfRule type="cellIs" dxfId="1291" priority="1301" stopIfTrue="1" operator="equal">
      <formula>"X"</formula>
    </cfRule>
    <cfRule type="cellIs" dxfId="1290" priority="1302" operator="equal">
      <formula>"H"</formula>
    </cfRule>
  </conditionalFormatting>
  <conditionalFormatting sqref="D40:AH40">
    <cfRule type="cellIs" dxfId="1289" priority="1296" operator="equal">
      <formula>"SP"</formula>
    </cfRule>
    <cfRule type="cellIs" dxfId="1288" priority="1297" operator="equal">
      <formula>"."</formula>
    </cfRule>
  </conditionalFormatting>
  <conditionalFormatting sqref="D27:AH27">
    <cfRule type="cellIs" dxfId="1287" priority="1284" operator="equal">
      <formula>"AL"</formula>
    </cfRule>
    <cfRule type="cellIs" dxfId="1286" priority="1285" operator="equal">
      <formula>"NA"</formula>
    </cfRule>
    <cfRule type="cellIs" dxfId="1285" priority="1286" operator="equal">
      <formula>"SL"</formula>
    </cfRule>
    <cfRule type="cellIs" dxfId="1284" priority="1287" stopIfTrue="1" operator="equal">
      <formula>"X"</formula>
    </cfRule>
    <cfRule type="cellIs" dxfId="1283" priority="1288" operator="equal">
      <formula>"H"</formula>
    </cfRule>
  </conditionalFormatting>
  <conditionalFormatting sqref="D27:AH27">
    <cfRule type="cellIs" dxfId="1282" priority="1282" operator="equal">
      <formula>"SP"</formula>
    </cfRule>
    <cfRule type="cellIs" dxfId="1281" priority="1283" operator="equal">
      <formula>"."</formula>
    </cfRule>
  </conditionalFormatting>
  <conditionalFormatting sqref="D29:AH29">
    <cfRule type="cellIs" dxfId="1280" priority="1277" operator="equal">
      <formula>"AL"</formula>
    </cfRule>
    <cfRule type="cellIs" dxfId="1279" priority="1278" operator="equal">
      <formula>"NA"</formula>
    </cfRule>
    <cfRule type="cellIs" dxfId="1278" priority="1279" operator="equal">
      <formula>"SL"</formula>
    </cfRule>
    <cfRule type="cellIs" dxfId="1277" priority="1280" stopIfTrue="1" operator="equal">
      <formula>"X"</formula>
    </cfRule>
    <cfRule type="cellIs" dxfId="1276" priority="1281" operator="equal">
      <formula>"H"</formula>
    </cfRule>
  </conditionalFormatting>
  <conditionalFormatting sqref="D29:AH29">
    <cfRule type="cellIs" dxfId="1275" priority="1275" operator="equal">
      <formula>"SP"</formula>
    </cfRule>
    <cfRule type="cellIs" dxfId="1274" priority="1276" operator="equal">
      <formula>"."</formula>
    </cfRule>
  </conditionalFormatting>
  <conditionalFormatting sqref="D31:AH31">
    <cfRule type="cellIs" dxfId="1273" priority="1270" operator="equal">
      <formula>"AL"</formula>
    </cfRule>
    <cfRule type="cellIs" dxfId="1272" priority="1271" operator="equal">
      <formula>"NA"</formula>
    </cfRule>
    <cfRule type="cellIs" dxfId="1271" priority="1272" operator="equal">
      <formula>"SL"</formula>
    </cfRule>
    <cfRule type="cellIs" dxfId="1270" priority="1273" stopIfTrue="1" operator="equal">
      <formula>"X"</formula>
    </cfRule>
    <cfRule type="cellIs" dxfId="1269" priority="1274" operator="equal">
      <formula>"H"</formula>
    </cfRule>
  </conditionalFormatting>
  <conditionalFormatting sqref="D31:AH31">
    <cfRule type="cellIs" dxfId="1268" priority="1268" operator="equal">
      <formula>"SP"</formula>
    </cfRule>
    <cfRule type="cellIs" dxfId="1267" priority="1269" operator="equal">
      <formula>"."</formula>
    </cfRule>
  </conditionalFormatting>
  <conditionalFormatting sqref="D33:AH33">
    <cfRule type="cellIs" dxfId="1266" priority="1263" operator="equal">
      <formula>"AL"</formula>
    </cfRule>
    <cfRule type="cellIs" dxfId="1265" priority="1264" operator="equal">
      <formula>"NA"</formula>
    </cfRule>
    <cfRule type="cellIs" dxfId="1264" priority="1265" operator="equal">
      <formula>"SL"</formula>
    </cfRule>
    <cfRule type="cellIs" dxfId="1263" priority="1266" stopIfTrue="1" operator="equal">
      <formula>"X"</formula>
    </cfRule>
    <cfRule type="cellIs" dxfId="1262" priority="1267" operator="equal">
      <formula>"H"</formula>
    </cfRule>
  </conditionalFormatting>
  <conditionalFormatting sqref="D33:AH33">
    <cfRule type="cellIs" dxfId="1261" priority="1261" operator="equal">
      <formula>"SP"</formula>
    </cfRule>
    <cfRule type="cellIs" dxfId="1260" priority="1262" operator="equal">
      <formula>"."</formula>
    </cfRule>
  </conditionalFormatting>
  <conditionalFormatting sqref="D35:AH35">
    <cfRule type="cellIs" dxfId="1259" priority="1256" operator="equal">
      <formula>"AL"</formula>
    </cfRule>
    <cfRule type="cellIs" dxfId="1258" priority="1257" operator="equal">
      <formula>"NA"</formula>
    </cfRule>
    <cfRule type="cellIs" dxfId="1257" priority="1258" operator="equal">
      <formula>"SL"</formula>
    </cfRule>
    <cfRule type="cellIs" dxfId="1256" priority="1259" stopIfTrue="1" operator="equal">
      <formula>"X"</formula>
    </cfRule>
    <cfRule type="cellIs" dxfId="1255" priority="1260" operator="equal">
      <formula>"H"</formula>
    </cfRule>
  </conditionalFormatting>
  <conditionalFormatting sqref="D35:AH35">
    <cfRule type="cellIs" dxfId="1254" priority="1254" operator="equal">
      <formula>"SP"</formula>
    </cfRule>
    <cfRule type="cellIs" dxfId="1253" priority="1255" operator="equal">
      <formula>"."</formula>
    </cfRule>
  </conditionalFormatting>
  <conditionalFormatting sqref="D37:AH37">
    <cfRule type="cellIs" dxfId="1252" priority="1249" operator="equal">
      <formula>"AL"</formula>
    </cfRule>
    <cfRule type="cellIs" dxfId="1251" priority="1250" operator="equal">
      <formula>"NA"</formula>
    </cfRule>
    <cfRule type="cellIs" dxfId="1250" priority="1251" operator="equal">
      <formula>"SL"</formula>
    </cfRule>
    <cfRule type="cellIs" dxfId="1249" priority="1252" stopIfTrue="1" operator="equal">
      <formula>"X"</formula>
    </cfRule>
    <cfRule type="cellIs" dxfId="1248" priority="1253" operator="equal">
      <formula>"H"</formula>
    </cfRule>
  </conditionalFormatting>
  <conditionalFormatting sqref="D37:AH37">
    <cfRule type="cellIs" dxfId="1247" priority="1247" operator="equal">
      <formula>"SP"</formula>
    </cfRule>
    <cfRule type="cellIs" dxfId="1246" priority="1248" operator="equal">
      <formula>"."</formula>
    </cfRule>
  </conditionalFormatting>
  <conditionalFormatting sqref="D39:AH39">
    <cfRule type="cellIs" dxfId="1245" priority="1242" operator="equal">
      <formula>"AL"</formula>
    </cfRule>
    <cfRule type="cellIs" dxfId="1244" priority="1243" operator="equal">
      <formula>"NA"</formula>
    </cfRule>
    <cfRule type="cellIs" dxfId="1243" priority="1244" operator="equal">
      <formula>"SL"</formula>
    </cfRule>
    <cfRule type="cellIs" dxfId="1242" priority="1245" stopIfTrue="1" operator="equal">
      <formula>"X"</formula>
    </cfRule>
    <cfRule type="cellIs" dxfId="1241" priority="1246" operator="equal">
      <formula>"H"</formula>
    </cfRule>
  </conditionalFormatting>
  <conditionalFormatting sqref="D39:AH39">
    <cfRule type="cellIs" dxfId="1240" priority="1240" operator="equal">
      <formula>"SP"</formula>
    </cfRule>
    <cfRule type="cellIs" dxfId="1239" priority="1241" operator="equal">
      <formula>"."</formula>
    </cfRule>
  </conditionalFormatting>
  <conditionalFormatting sqref="D41:AH41">
    <cfRule type="cellIs" dxfId="1238" priority="1235" operator="equal">
      <formula>"AL"</formula>
    </cfRule>
    <cfRule type="cellIs" dxfId="1237" priority="1236" operator="equal">
      <formula>"NA"</formula>
    </cfRule>
    <cfRule type="cellIs" dxfId="1236" priority="1237" operator="equal">
      <formula>"SL"</formula>
    </cfRule>
    <cfRule type="cellIs" dxfId="1235" priority="1238" stopIfTrue="1" operator="equal">
      <formula>"X"</formula>
    </cfRule>
    <cfRule type="cellIs" dxfId="1234" priority="1239" operator="equal">
      <formula>"H"</formula>
    </cfRule>
  </conditionalFormatting>
  <conditionalFormatting sqref="D41:AH41">
    <cfRule type="cellIs" dxfId="1233" priority="1233" operator="equal">
      <formula>"SP"</formula>
    </cfRule>
    <cfRule type="cellIs" dxfId="1232" priority="1234" operator="equal">
      <formula>"."</formula>
    </cfRule>
  </conditionalFormatting>
  <conditionalFormatting sqref="D57:AH57">
    <cfRule type="cellIs" dxfId="1231" priority="1228" operator="equal">
      <formula>"AL"</formula>
    </cfRule>
    <cfRule type="cellIs" dxfId="1230" priority="1229" operator="equal">
      <formula>"NA"</formula>
    </cfRule>
    <cfRule type="cellIs" dxfId="1229" priority="1230" operator="equal">
      <formula>"SL"</formula>
    </cfRule>
    <cfRule type="cellIs" dxfId="1228" priority="1231" stopIfTrue="1" operator="equal">
      <formula>"X"</formula>
    </cfRule>
    <cfRule type="cellIs" dxfId="1227" priority="1232" operator="equal">
      <formula>"H"</formula>
    </cfRule>
  </conditionalFormatting>
  <conditionalFormatting sqref="D57:AH57">
    <cfRule type="cellIs" dxfId="1226" priority="1226" operator="equal">
      <formula>"SP"</formula>
    </cfRule>
    <cfRule type="cellIs" dxfId="1225" priority="1227" operator="equal">
      <formula>"."</formula>
    </cfRule>
  </conditionalFormatting>
  <conditionalFormatting sqref="D59:AH59">
    <cfRule type="cellIs" dxfId="1224" priority="1221" operator="equal">
      <formula>"AL"</formula>
    </cfRule>
    <cfRule type="cellIs" dxfId="1223" priority="1222" operator="equal">
      <formula>"NA"</formula>
    </cfRule>
    <cfRule type="cellIs" dxfId="1222" priority="1223" operator="equal">
      <formula>"SL"</formula>
    </cfRule>
    <cfRule type="cellIs" dxfId="1221" priority="1224" stopIfTrue="1" operator="equal">
      <formula>"X"</formula>
    </cfRule>
    <cfRule type="cellIs" dxfId="1220" priority="1225" operator="equal">
      <formula>"H"</formula>
    </cfRule>
  </conditionalFormatting>
  <conditionalFormatting sqref="D59:AH59">
    <cfRule type="cellIs" dxfId="1219" priority="1219" operator="equal">
      <formula>"SP"</formula>
    </cfRule>
    <cfRule type="cellIs" dxfId="1218" priority="1220" operator="equal">
      <formula>"."</formula>
    </cfRule>
  </conditionalFormatting>
  <conditionalFormatting sqref="D61:AH61">
    <cfRule type="cellIs" dxfId="1217" priority="1214" operator="equal">
      <formula>"AL"</formula>
    </cfRule>
    <cfRule type="cellIs" dxfId="1216" priority="1215" operator="equal">
      <formula>"NA"</formula>
    </cfRule>
    <cfRule type="cellIs" dxfId="1215" priority="1216" operator="equal">
      <formula>"SL"</formula>
    </cfRule>
    <cfRule type="cellIs" dxfId="1214" priority="1217" stopIfTrue="1" operator="equal">
      <formula>"X"</formula>
    </cfRule>
    <cfRule type="cellIs" dxfId="1213" priority="1218" operator="equal">
      <formula>"H"</formula>
    </cfRule>
  </conditionalFormatting>
  <conditionalFormatting sqref="D61:AH61">
    <cfRule type="cellIs" dxfId="1212" priority="1212" operator="equal">
      <formula>"SP"</formula>
    </cfRule>
    <cfRule type="cellIs" dxfId="1211" priority="1213" operator="equal">
      <formula>"."</formula>
    </cfRule>
  </conditionalFormatting>
  <conditionalFormatting sqref="D63:AH63">
    <cfRule type="cellIs" dxfId="1210" priority="1207" operator="equal">
      <formula>"AL"</formula>
    </cfRule>
    <cfRule type="cellIs" dxfId="1209" priority="1208" operator="equal">
      <formula>"NA"</formula>
    </cfRule>
    <cfRule type="cellIs" dxfId="1208" priority="1209" operator="equal">
      <formula>"SL"</formula>
    </cfRule>
    <cfRule type="cellIs" dxfId="1207" priority="1210" stopIfTrue="1" operator="equal">
      <formula>"X"</formula>
    </cfRule>
    <cfRule type="cellIs" dxfId="1206" priority="1211" operator="equal">
      <formula>"H"</formula>
    </cfRule>
  </conditionalFormatting>
  <conditionalFormatting sqref="D63:AH63">
    <cfRule type="cellIs" dxfId="1205" priority="1205" operator="equal">
      <formula>"SP"</formula>
    </cfRule>
    <cfRule type="cellIs" dxfId="1204" priority="1206" operator="equal">
      <formula>"."</formula>
    </cfRule>
  </conditionalFormatting>
  <conditionalFormatting sqref="D65:AH65">
    <cfRule type="cellIs" dxfId="1203" priority="1200" operator="equal">
      <formula>"AL"</formula>
    </cfRule>
    <cfRule type="cellIs" dxfId="1202" priority="1201" operator="equal">
      <formula>"NA"</formula>
    </cfRule>
    <cfRule type="cellIs" dxfId="1201" priority="1202" operator="equal">
      <formula>"SL"</formula>
    </cfRule>
    <cfRule type="cellIs" dxfId="1200" priority="1203" stopIfTrue="1" operator="equal">
      <formula>"X"</formula>
    </cfRule>
    <cfRule type="cellIs" dxfId="1199" priority="1204" operator="equal">
      <formula>"H"</formula>
    </cfRule>
  </conditionalFormatting>
  <conditionalFormatting sqref="D65:AH65">
    <cfRule type="cellIs" dxfId="1198" priority="1198" operator="equal">
      <formula>"SP"</formula>
    </cfRule>
    <cfRule type="cellIs" dxfId="1197" priority="1199" operator="equal">
      <formula>"."</formula>
    </cfRule>
  </conditionalFormatting>
  <conditionalFormatting sqref="D67:AH67">
    <cfRule type="cellIs" dxfId="1196" priority="1193" operator="equal">
      <formula>"AL"</formula>
    </cfRule>
    <cfRule type="cellIs" dxfId="1195" priority="1194" operator="equal">
      <formula>"NA"</formula>
    </cfRule>
    <cfRule type="cellIs" dxfId="1194" priority="1195" operator="equal">
      <formula>"SL"</formula>
    </cfRule>
    <cfRule type="cellIs" dxfId="1193" priority="1196" stopIfTrue="1" operator="equal">
      <formula>"X"</formula>
    </cfRule>
    <cfRule type="cellIs" dxfId="1192" priority="1197" operator="equal">
      <formula>"H"</formula>
    </cfRule>
  </conditionalFormatting>
  <conditionalFormatting sqref="D67:AH67">
    <cfRule type="cellIs" dxfId="1191" priority="1191" operator="equal">
      <formula>"SP"</formula>
    </cfRule>
    <cfRule type="cellIs" dxfId="1190" priority="1192" operator="equal">
      <formula>"."</formula>
    </cfRule>
  </conditionalFormatting>
  <conditionalFormatting sqref="D69:AH69">
    <cfRule type="cellIs" dxfId="1189" priority="1186" operator="equal">
      <formula>"AL"</formula>
    </cfRule>
    <cfRule type="cellIs" dxfId="1188" priority="1187" operator="equal">
      <formula>"NA"</formula>
    </cfRule>
    <cfRule type="cellIs" dxfId="1187" priority="1188" operator="equal">
      <formula>"SL"</formula>
    </cfRule>
    <cfRule type="cellIs" dxfId="1186" priority="1189" stopIfTrue="1" operator="equal">
      <formula>"X"</formula>
    </cfRule>
    <cfRule type="cellIs" dxfId="1185" priority="1190" operator="equal">
      <formula>"H"</formula>
    </cfRule>
  </conditionalFormatting>
  <conditionalFormatting sqref="D69:AH69">
    <cfRule type="cellIs" dxfId="1184" priority="1184" operator="equal">
      <formula>"SP"</formula>
    </cfRule>
    <cfRule type="cellIs" dxfId="1183" priority="1185" operator="equal">
      <formula>"."</formula>
    </cfRule>
  </conditionalFormatting>
  <conditionalFormatting sqref="D71:AH71">
    <cfRule type="cellIs" dxfId="1182" priority="1179" operator="equal">
      <formula>"AL"</formula>
    </cfRule>
    <cfRule type="cellIs" dxfId="1181" priority="1180" operator="equal">
      <formula>"NA"</formula>
    </cfRule>
    <cfRule type="cellIs" dxfId="1180" priority="1181" operator="equal">
      <formula>"SL"</formula>
    </cfRule>
    <cfRule type="cellIs" dxfId="1179" priority="1182" stopIfTrue="1" operator="equal">
      <formula>"X"</formula>
    </cfRule>
    <cfRule type="cellIs" dxfId="1178" priority="1183" operator="equal">
      <formula>"H"</formula>
    </cfRule>
  </conditionalFormatting>
  <conditionalFormatting sqref="D71:AH71">
    <cfRule type="cellIs" dxfId="1177" priority="1177" operator="equal">
      <formula>"SP"</formula>
    </cfRule>
    <cfRule type="cellIs" dxfId="1176" priority="1178" operator="equal">
      <formula>"."</formula>
    </cfRule>
  </conditionalFormatting>
  <conditionalFormatting sqref="D58:AH58">
    <cfRule type="cellIs" dxfId="1175" priority="1172" operator="equal">
      <formula>"AL"</formula>
    </cfRule>
    <cfRule type="cellIs" dxfId="1174" priority="1173" operator="equal">
      <formula>"NA"</formula>
    </cfRule>
    <cfRule type="cellIs" dxfId="1173" priority="1174" operator="equal">
      <formula>"SL"</formula>
    </cfRule>
    <cfRule type="cellIs" dxfId="1172" priority="1175" stopIfTrue="1" operator="equal">
      <formula>"X"</formula>
    </cfRule>
    <cfRule type="cellIs" dxfId="1171" priority="1176" operator="equal">
      <formula>"H"</formula>
    </cfRule>
  </conditionalFormatting>
  <conditionalFormatting sqref="D58:AH58">
    <cfRule type="cellIs" dxfId="1170" priority="1170" operator="equal">
      <formula>"SP"</formula>
    </cfRule>
    <cfRule type="cellIs" dxfId="1169" priority="1171" operator="equal">
      <formula>"."</formula>
    </cfRule>
  </conditionalFormatting>
  <conditionalFormatting sqref="D60:AH60">
    <cfRule type="cellIs" dxfId="1168" priority="1165" operator="equal">
      <formula>"AL"</formula>
    </cfRule>
    <cfRule type="cellIs" dxfId="1167" priority="1166" operator="equal">
      <formula>"NA"</formula>
    </cfRule>
    <cfRule type="cellIs" dxfId="1166" priority="1167" operator="equal">
      <formula>"SL"</formula>
    </cfRule>
    <cfRule type="cellIs" dxfId="1165" priority="1168" stopIfTrue="1" operator="equal">
      <formula>"X"</formula>
    </cfRule>
    <cfRule type="cellIs" dxfId="1164" priority="1169" operator="equal">
      <formula>"H"</formula>
    </cfRule>
  </conditionalFormatting>
  <conditionalFormatting sqref="D60:AH60">
    <cfRule type="cellIs" dxfId="1163" priority="1163" operator="equal">
      <formula>"SP"</formula>
    </cfRule>
    <cfRule type="cellIs" dxfId="1162" priority="1164" operator="equal">
      <formula>"."</formula>
    </cfRule>
  </conditionalFormatting>
  <conditionalFormatting sqref="D62:AH62">
    <cfRule type="cellIs" dxfId="1161" priority="1158" operator="equal">
      <formula>"AL"</formula>
    </cfRule>
    <cfRule type="cellIs" dxfId="1160" priority="1159" operator="equal">
      <formula>"NA"</formula>
    </cfRule>
    <cfRule type="cellIs" dxfId="1159" priority="1160" operator="equal">
      <formula>"SL"</formula>
    </cfRule>
    <cfRule type="cellIs" dxfId="1158" priority="1161" stopIfTrue="1" operator="equal">
      <formula>"X"</formula>
    </cfRule>
    <cfRule type="cellIs" dxfId="1157" priority="1162" operator="equal">
      <formula>"H"</formula>
    </cfRule>
  </conditionalFormatting>
  <conditionalFormatting sqref="D62:AH62">
    <cfRule type="cellIs" dxfId="1156" priority="1156" operator="equal">
      <formula>"SP"</formula>
    </cfRule>
    <cfRule type="cellIs" dxfId="1155" priority="1157" operator="equal">
      <formula>"."</formula>
    </cfRule>
  </conditionalFormatting>
  <conditionalFormatting sqref="D64:AH64">
    <cfRule type="cellIs" dxfId="1154" priority="1151" operator="equal">
      <formula>"AL"</formula>
    </cfRule>
    <cfRule type="cellIs" dxfId="1153" priority="1152" operator="equal">
      <formula>"NA"</formula>
    </cfRule>
    <cfRule type="cellIs" dxfId="1152" priority="1153" operator="equal">
      <formula>"SL"</formula>
    </cfRule>
    <cfRule type="cellIs" dxfId="1151" priority="1154" stopIfTrue="1" operator="equal">
      <formula>"X"</formula>
    </cfRule>
    <cfRule type="cellIs" dxfId="1150" priority="1155" operator="equal">
      <formula>"H"</formula>
    </cfRule>
  </conditionalFormatting>
  <conditionalFormatting sqref="D64:AH64">
    <cfRule type="cellIs" dxfId="1149" priority="1149" operator="equal">
      <formula>"SP"</formula>
    </cfRule>
    <cfRule type="cellIs" dxfId="1148" priority="1150" operator="equal">
      <formula>"."</formula>
    </cfRule>
  </conditionalFormatting>
  <conditionalFormatting sqref="D66:AH66">
    <cfRule type="cellIs" dxfId="1147" priority="1144" operator="equal">
      <formula>"AL"</formula>
    </cfRule>
    <cfRule type="cellIs" dxfId="1146" priority="1145" operator="equal">
      <formula>"NA"</formula>
    </cfRule>
    <cfRule type="cellIs" dxfId="1145" priority="1146" operator="equal">
      <formula>"SL"</formula>
    </cfRule>
    <cfRule type="cellIs" dxfId="1144" priority="1147" stopIfTrue="1" operator="equal">
      <formula>"X"</formula>
    </cfRule>
    <cfRule type="cellIs" dxfId="1143" priority="1148" operator="equal">
      <formula>"H"</formula>
    </cfRule>
  </conditionalFormatting>
  <conditionalFormatting sqref="D66:AH66">
    <cfRule type="cellIs" dxfId="1142" priority="1142" operator="equal">
      <formula>"SP"</formula>
    </cfRule>
    <cfRule type="cellIs" dxfId="1141" priority="1143" operator="equal">
      <formula>"."</formula>
    </cfRule>
  </conditionalFormatting>
  <conditionalFormatting sqref="D68:AH68">
    <cfRule type="cellIs" dxfId="1140" priority="1137" operator="equal">
      <formula>"AL"</formula>
    </cfRule>
    <cfRule type="cellIs" dxfId="1139" priority="1138" operator="equal">
      <formula>"NA"</formula>
    </cfRule>
    <cfRule type="cellIs" dxfId="1138" priority="1139" operator="equal">
      <formula>"SL"</formula>
    </cfRule>
    <cfRule type="cellIs" dxfId="1137" priority="1140" stopIfTrue="1" operator="equal">
      <formula>"X"</formula>
    </cfRule>
    <cfRule type="cellIs" dxfId="1136" priority="1141" operator="equal">
      <formula>"H"</formula>
    </cfRule>
  </conditionalFormatting>
  <conditionalFormatting sqref="D68:AH68">
    <cfRule type="cellIs" dxfId="1135" priority="1135" operator="equal">
      <formula>"SP"</formula>
    </cfRule>
    <cfRule type="cellIs" dxfId="1134" priority="1136" operator="equal">
      <formula>"."</formula>
    </cfRule>
  </conditionalFormatting>
  <conditionalFormatting sqref="D70:AH70">
    <cfRule type="cellIs" dxfId="1133" priority="1130" operator="equal">
      <formula>"AL"</formula>
    </cfRule>
    <cfRule type="cellIs" dxfId="1132" priority="1131" operator="equal">
      <formula>"NA"</formula>
    </cfRule>
    <cfRule type="cellIs" dxfId="1131" priority="1132" operator="equal">
      <formula>"SL"</formula>
    </cfRule>
    <cfRule type="cellIs" dxfId="1130" priority="1133" stopIfTrue="1" operator="equal">
      <formula>"X"</formula>
    </cfRule>
    <cfRule type="cellIs" dxfId="1129" priority="1134" operator="equal">
      <formula>"H"</formula>
    </cfRule>
  </conditionalFormatting>
  <conditionalFormatting sqref="D70:AH70">
    <cfRule type="cellIs" dxfId="1128" priority="1128" operator="equal">
      <formula>"SP"</formula>
    </cfRule>
    <cfRule type="cellIs" dxfId="1127" priority="1129" operator="equal">
      <formula>"."</formula>
    </cfRule>
  </conditionalFormatting>
  <conditionalFormatting sqref="D72:AH72">
    <cfRule type="cellIs" dxfId="1126" priority="1123" operator="equal">
      <formula>"AL"</formula>
    </cfRule>
    <cfRule type="cellIs" dxfId="1125" priority="1124" operator="equal">
      <formula>"NA"</formula>
    </cfRule>
    <cfRule type="cellIs" dxfId="1124" priority="1125" operator="equal">
      <formula>"SL"</formula>
    </cfRule>
    <cfRule type="cellIs" dxfId="1123" priority="1126" stopIfTrue="1" operator="equal">
      <formula>"X"</formula>
    </cfRule>
    <cfRule type="cellIs" dxfId="1122" priority="1127" operator="equal">
      <formula>"H"</formula>
    </cfRule>
  </conditionalFormatting>
  <conditionalFormatting sqref="D72:AH72">
    <cfRule type="cellIs" dxfId="1121" priority="1121" operator="equal">
      <formula>"SP"</formula>
    </cfRule>
    <cfRule type="cellIs" dxfId="1120" priority="1122" operator="equal">
      <formula>"."</formula>
    </cfRule>
  </conditionalFormatting>
  <conditionalFormatting sqref="D103:AG104">
    <cfRule type="cellIs" dxfId="1119" priority="1009" operator="equal">
      <formula>"SP"</formula>
    </cfRule>
    <cfRule type="cellIs" dxfId="1118" priority="1010" operator="equal">
      <formula>"."</formula>
    </cfRule>
  </conditionalFormatting>
  <conditionalFormatting sqref="D88:AG88">
    <cfRule type="cellIs" dxfId="1117" priority="1116" operator="equal">
      <formula>"AL"</formula>
    </cfRule>
    <cfRule type="cellIs" dxfId="1116" priority="1117" operator="equal">
      <formula>"NA"</formula>
    </cfRule>
    <cfRule type="cellIs" dxfId="1115" priority="1118" operator="equal">
      <formula>"SL"</formula>
    </cfRule>
    <cfRule type="cellIs" dxfId="1114" priority="1119" stopIfTrue="1" operator="equal">
      <formula>"X"</formula>
    </cfRule>
    <cfRule type="cellIs" dxfId="1113" priority="1120" operator="equal">
      <formula>"H"</formula>
    </cfRule>
  </conditionalFormatting>
  <conditionalFormatting sqref="D88:AG88">
    <cfRule type="cellIs" dxfId="1112" priority="1114" operator="equal">
      <formula>"SP"</formula>
    </cfRule>
    <cfRule type="cellIs" dxfId="1111" priority="1115" operator="equal">
      <formula>"."</formula>
    </cfRule>
  </conditionalFormatting>
  <conditionalFormatting sqref="D90:AG90">
    <cfRule type="cellIs" dxfId="1110" priority="1109" operator="equal">
      <formula>"AL"</formula>
    </cfRule>
    <cfRule type="cellIs" dxfId="1109" priority="1110" operator="equal">
      <formula>"NA"</formula>
    </cfRule>
    <cfRule type="cellIs" dxfId="1108" priority="1111" operator="equal">
      <formula>"SL"</formula>
    </cfRule>
    <cfRule type="cellIs" dxfId="1107" priority="1112" stopIfTrue="1" operator="equal">
      <formula>"X"</formula>
    </cfRule>
    <cfRule type="cellIs" dxfId="1106" priority="1113" operator="equal">
      <formula>"H"</formula>
    </cfRule>
  </conditionalFormatting>
  <conditionalFormatting sqref="D90:AG90">
    <cfRule type="cellIs" dxfId="1105" priority="1107" operator="equal">
      <formula>"SP"</formula>
    </cfRule>
    <cfRule type="cellIs" dxfId="1104" priority="1108" operator="equal">
      <formula>"."</formula>
    </cfRule>
  </conditionalFormatting>
  <conditionalFormatting sqref="D92:AG92">
    <cfRule type="cellIs" dxfId="1103" priority="1102" operator="equal">
      <formula>"AL"</formula>
    </cfRule>
    <cfRule type="cellIs" dxfId="1102" priority="1103" operator="equal">
      <formula>"NA"</formula>
    </cfRule>
    <cfRule type="cellIs" dxfId="1101" priority="1104" operator="equal">
      <formula>"SL"</formula>
    </cfRule>
    <cfRule type="cellIs" dxfId="1100" priority="1105" stopIfTrue="1" operator="equal">
      <formula>"X"</formula>
    </cfRule>
    <cfRule type="cellIs" dxfId="1099" priority="1106" operator="equal">
      <formula>"H"</formula>
    </cfRule>
  </conditionalFormatting>
  <conditionalFormatting sqref="D92:AG92">
    <cfRule type="cellIs" dxfId="1098" priority="1100" operator="equal">
      <formula>"SP"</formula>
    </cfRule>
    <cfRule type="cellIs" dxfId="1097" priority="1101" operator="equal">
      <formula>"."</formula>
    </cfRule>
  </conditionalFormatting>
  <conditionalFormatting sqref="D94:AG94">
    <cfRule type="cellIs" dxfId="1096" priority="1095" operator="equal">
      <formula>"AL"</formula>
    </cfRule>
    <cfRule type="cellIs" dxfId="1095" priority="1096" operator="equal">
      <formula>"NA"</formula>
    </cfRule>
    <cfRule type="cellIs" dxfId="1094" priority="1097" operator="equal">
      <formula>"SL"</formula>
    </cfRule>
    <cfRule type="cellIs" dxfId="1093" priority="1098" stopIfTrue="1" operator="equal">
      <formula>"X"</formula>
    </cfRule>
    <cfRule type="cellIs" dxfId="1092" priority="1099" operator="equal">
      <formula>"H"</formula>
    </cfRule>
  </conditionalFormatting>
  <conditionalFormatting sqref="D94:AG94">
    <cfRule type="cellIs" dxfId="1091" priority="1093" operator="equal">
      <formula>"SP"</formula>
    </cfRule>
    <cfRule type="cellIs" dxfId="1090" priority="1094" operator="equal">
      <formula>"."</formula>
    </cfRule>
  </conditionalFormatting>
  <conditionalFormatting sqref="D96:AG96">
    <cfRule type="cellIs" dxfId="1089" priority="1088" operator="equal">
      <formula>"AL"</formula>
    </cfRule>
    <cfRule type="cellIs" dxfId="1088" priority="1089" operator="equal">
      <formula>"NA"</formula>
    </cfRule>
    <cfRule type="cellIs" dxfId="1087" priority="1090" operator="equal">
      <formula>"SL"</formula>
    </cfRule>
    <cfRule type="cellIs" dxfId="1086" priority="1091" stopIfTrue="1" operator="equal">
      <formula>"X"</formula>
    </cfRule>
    <cfRule type="cellIs" dxfId="1085" priority="1092" operator="equal">
      <formula>"H"</formula>
    </cfRule>
  </conditionalFormatting>
  <conditionalFormatting sqref="D96:AG96">
    <cfRule type="cellIs" dxfId="1084" priority="1086" operator="equal">
      <formula>"SP"</formula>
    </cfRule>
    <cfRule type="cellIs" dxfId="1083" priority="1087" operator="equal">
      <formula>"."</formula>
    </cfRule>
  </conditionalFormatting>
  <conditionalFormatting sqref="D98:AG98">
    <cfRule type="cellIs" dxfId="1082" priority="1081" operator="equal">
      <formula>"AL"</formula>
    </cfRule>
    <cfRule type="cellIs" dxfId="1081" priority="1082" operator="equal">
      <formula>"NA"</formula>
    </cfRule>
    <cfRule type="cellIs" dxfId="1080" priority="1083" operator="equal">
      <formula>"SL"</formula>
    </cfRule>
    <cfRule type="cellIs" dxfId="1079" priority="1084" stopIfTrue="1" operator="equal">
      <formula>"X"</formula>
    </cfRule>
    <cfRule type="cellIs" dxfId="1078" priority="1085" operator="equal">
      <formula>"H"</formula>
    </cfRule>
  </conditionalFormatting>
  <conditionalFormatting sqref="D98:AG98">
    <cfRule type="cellIs" dxfId="1077" priority="1079" operator="equal">
      <formula>"SP"</formula>
    </cfRule>
    <cfRule type="cellIs" dxfId="1076" priority="1080" operator="equal">
      <formula>"."</formula>
    </cfRule>
  </conditionalFormatting>
  <conditionalFormatting sqref="D100:AG100">
    <cfRule type="cellIs" dxfId="1075" priority="1074" operator="equal">
      <formula>"AL"</formula>
    </cfRule>
    <cfRule type="cellIs" dxfId="1074" priority="1075" operator="equal">
      <formula>"NA"</formula>
    </cfRule>
    <cfRule type="cellIs" dxfId="1073" priority="1076" operator="equal">
      <formula>"SL"</formula>
    </cfRule>
    <cfRule type="cellIs" dxfId="1072" priority="1077" stopIfTrue="1" operator="equal">
      <formula>"X"</formula>
    </cfRule>
    <cfRule type="cellIs" dxfId="1071" priority="1078" operator="equal">
      <formula>"H"</formula>
    </cfRule>
  </conditionalFormatting>
  <conditionalFormatting sqref="D100:AG100">
    <cfRule type="cellIs" dxfId="1070" priority="1072" operator="equal">
      <formula>"SP"</formula>
    </cfRule>
    <cfRule type="cellIs" dxfId="1069" priority="1073" operator="equal">
      <formula>"."</formula>
    </cfRule>
  </conditionalFormatting>
  <conditionalFormatting sqref="D102:AG102">
    <cfRule type="cellIs" dxfId="1068" priority="1067" operator="equal">
      <formula>"AL"</formula>
    </cfRule>
    <cfRule type="cellIs" dxfId="1067" priority="1068" operator="equal">
      <formula>"NA"</formula>
    </cfRule>
    <cfRule type="cellIs" dxfId="1066" priority="1069" operator="equal">
      <formula>"SL"</formula>
    </cfRule>
    <cfRule type="cellIs" dxfId="1065" priority="1070" stopIfTrue="1" operator="equal">
      <formula>"X"</formula>
    </cfRule>
    <cfRule type="cellIs" dxfId="1064" priority="1071" operator="equal">
      <formula>"H"</formula>
    </cfRule>
  </conditionalFormatting>
  <conditionalFormatting sqref="D102:AG102">
    <cfRule type="cellIs" dxfId="1063" priority="1065" operator="equal">
      <formula>"SP"</formula>
    </cfRule>
    <cfRule type="cellIs" dxfId="1062" priority="1066" operator="equal">
      <formula>"."</formula>
    </cfRule>
  </conditionalFormatting>
  <conditionalFormatting sqref="D89:AG89">
    <cfRule type="cellIs" dxfId="1061" priority="1060" operator="equal">
      <formula>"AL"</formula>
    </cfRule>
    <cfRule type="cellIs" dxfId="1060" priority="1061" operator="equal">
      <formula>"NA"</formula>
    </cfRule>
    <cfRule type="cellIs" dxfId="1059" priority="1062" operator="equal">
      <formula>"SL"</formula>
    </cfRule>
    <cfRule type="cellIs" dxfId="1058" priority="1063" stopIfTrue="1" operator="equal">
      <formula>"X"</formula>
    </cfRule>
    <cfRule type="cellIs" dxfId="1057" priority="1064" operator="equal">
      <formula>"H"</formula>
    </cfRule>
  </conditionalFormatting>
  <conditionalFormatting sqref="D89:AG89">
    <cfRule type="cellIs" dxfId="1056" priority="1058" operator="equal">
      <formula>"SP"</formula>
    </cfRule>
    <cfRule type="cellIs" dxfId="1055" priority="1059" operator="equal">
      <formula>"."</formula>
    </cfRule>
  </conditionalFormatting>
  <conditionalFormatting sqref="D91:AG91">
    <cfRule type="cellIs" dxfId="1054" priority="1053" operator="equal">
      <formula>"AL"</formula>
    </cfRule>
    <cfRule type="cellIs" dxfId="1053" priority="1054" operator="equal">
      <formula>"NA"</formula>
    </cfRule>
    <cfRule type="cellIs" dxfId="1052" priority="1055" operator="equal">
      <formula>"SL"</formula>
    </cfRule>
    <cfRule type="cellIs" dxfId="1051" priority="1056" stopIfTrue="1" operator="equal">
      <formula>"X"</formula>
    </cfRule>
    <cfRule type="cellIs" dxfId="1050" priority="1057" operator="equal">
      <formula>"H"</formula>
    </cfRule>
  </conditionalFormatting>
  <conditionalFormatting sqref="D91:AG91">
    <cfRule type="cellIs" dxfId="1049" priority="1051" operator="equal">
      <formula>"SP"</formula>
    </cfRule>
    <cfRule type="cellIs" dxfId="1048" priority="1052" operator="equal">
      <formula>"."</formula>
    </cfRule>
  </conditionalFormatting>
  <conditionalFormatting sqref="D93:AG93">
    <cfRule type="cellIs" dxfId="1047" priority="1046" operator="equal">
      <formula>"AL"</formula>
    </cfRule>
    <cfRule type="cellIs" dxfId="1046" priority="1047" operator="equal">
      <formula>"NA"</formula>
    </cfRule>
    <cfRule type="cellIs" dxfId="1045" priority="1048" operator="equal">
      <formula>"SL"</formula>
    </cfRule>
    <cfRule type="cellIs" dxfId="1044" priority="1049" stopIfTrue="1" operator="equal">
      <formula>"X"</formula>
    </cfRule>
    <cfRule type="cellIs" dxfId="1043" priority="1050" operator="equal">
      <formula>"H"</formula>
    </cfRule>
  </conditionalFormatting>
  <conditionalFormatting sqref="D93:AG93">
    <cfRule type="cellIs" dxfId="1042" priority="1044" operator="equal">
      <formula>"SP"</formula>
    </cfRule>
    <cfRule type="cellIs" dxfId="1041" priority="1045" operator="equal">
      <formula>"."</formula>
    </cfRule>
  </conditionalFormatting>
  <conditionalFormatting sqref="D95:AG95">
    <cfRule type="cellIs" dxfId="1040" priority="1039" operator="equal">
      <formula>"AL"</formula>
    </cfRule>
    <cfRule type="cellIs" dxfId="1039" priority="1040" operator="equal">
      <formula>"NA"</formula>
    </cfRule>
    <cfRule type="cellIs" dxfId="1038" priority="1041" operator="equal">
      <formula>"SL"</formula>
    </cfRule>
    <cfRule type="cellIs" dxfId="1037" priority="1042" stopIfTrue="1" operator="equal">
      <formula>"X"</formula>
    </cfRule>
    <cfRule type="cellIs" dxfId="1036" priority="1043" operator="equal">
      <formula>"H"</formula>
    </cfRule>
  </conditionalFormatting>
  <conditionalFormatting sqref="D95:AG95">
    <cfRule type="cellIs" dxfId="1035" priority="1037" operator="equal">
      <formula>"SP"</formula>
    </cfRule>
    <cfRule type="cellIs" dxfId="1034" priority="1038" operator="equal">
      <formula>"."</formula>
    </cfRule>
  </conditionalFormatting>
  <conditionalFormatting sqref="D97:AG97">
    <cfRule type="cellIs" dxfId="1033" priority="1032" operator="equal">
      <formula>"AL"</formula>
    </cfRule>
    <cfRule type="cellIs" dxfId="1032" priority="1033" operator="equal">
      <formula>"NA"</formula>
    </cfRule>
    <cfRule type="cellIs" dxfId="1031" priority="1034" operator="equal">
      <formula>"SL"</formula>
    </cfRule>
    <cfRule type="cellIs" dxfId="1030" priority="1035" stopIfTrue="1" operator="equal">
      <formula>"X"</formula>
    </cfRule>
    <cfRule type="cellIs" dxfId="1029" priority="1036" operator="equal">
      <formula>"H"</formula>
    </cfRule>
  </conditionalFormatting>
  <conditionalFormatting sqref="D97:AG97">
    <cfRule type="cellIs" dxfId="1028" priority="1030" operator="equal">
      <formula>"SP"</formula>
    </cfRule>
    <cfRule type="cellIs" dxfId="1027" priority="1031" operator="equal">
      <formula>"."</formula>
    </cfRule>
  </conditionalFormatting>
  <conditionalFormatting sqref="D99:AG99">
    <cfRule type="cellIs" dxfId="1026" priority="1025" operator="equal">
      <formula>"AL"</formula>
    </cfRule>
    <cfRule type="cellIs" dxfId="1025" priority="1026" operator="equal">
      <formula>"NA"</formula>
    </cfRule>
    <cfRule type="cellIs" dxfId="1024" priority="1027" operator="equal">
      <formula>"SL"</formula>
    </cfRule>
    <cfRule type="cellIs" dxfId="1023" priority="1028" stopIfTrue="1" operator="equal">
      <formula>"X"</formula>
    </cfRule>
    <cfRule type="cellIs" dxfId="1022" priority="1029" operator="equal">
      <formula>"H"</formula>
    </cfRule>
  </conditionalFormatting>
  <conditionalFormatting sqref="D99:AG99">
    <cfRule type="cellIs" dxfId="1021" priority="1023" operator="equal">
      <formula>"SP"</formula>
    </cfRule>
    <cfRule type="cellIs" dxfId="1020" priority="1024" operator="equal">
      <formula>"."</formula>
    </cfRule>
  </conditionalFormatting>
  <conditionalFormatting sqref="D101:AG101">
    <cfRule type="cellIs" dxfId="1019" priority="1018" operator="equal">
      <formula>"AL"</formula>
    </cfRule>
    <cfRule type="cellIs" dxfId="1018" priority="1019" operator="equal">
      <formula>"NA"</formula>
    </cfRule>
    <cfRule type="cellIs" dxfId="1017" priority="1020" operator="equal">
      <formula>"SL"</formula>
    </cfRule>
    <cfRule type="cellIs" dxfId="1016" priority="1021" stopIfTrue="1" operator="equal">
      <formula>"X"</formula>
    </cfRule>
    <cfRule type="cellIs" dxfId="1015" priority="1022" operator="equal">
      <formula>"H"</formula>
    </cfRule>
  </conditionalFormatting>
  <conditionalFormatting sqref="D101:AG101">
    <cfRule type="cellIs" dxfId="1014" priority="1016" operator="equal">
      <formula>"SP"</formula>
    </cfRule>
    <cfRule type="cellIs" dxfId="1013" priority="1017" operator="equal">
      <formula>"."</formula>
    </cfRule>
  </conditionalFormatting>
  <conditionalFormatting sqref="D103:AG104">
    <cfRule type="cellIs" dxfId="1012" priority="1011" operator="equal">
      <formula>"AL"</formula>
    </cfRule>
    <cfRule type="cellIs" dxfId="1011" priority="1012" operator="equal">
      <formula>"NA"</formula>
    </cfRule>
    <cfRule type="cellIs" dxfId="1010" priority="1013" operator="equal">
      <formula>"SL"</formula>
    </cfRule>
    <cfRule type="cellIs" dxfId="1009" priority="1014" stopIfTrue="1" operator="equal">
      <formula>"X"</formula>
    </cfRule>
    <cfRule type="cellIs" dxfId="1008" priority="1015" operator="equal">
      <formula>"H"</formula>
    </cfRule>
  </conditionalFormatting>
  <conditionalFormatting sqref="D119:AH119">
    <cfRule type="cellIs" dxfId="1007" priority="1004" operator="equal">
      <formula>"AL"</formula>
    </cfRule>
    <cfRule type="cellIs" dxfId="1006" priority="1005" operator="equal">
      <formula>"NA"</formula>
    </cfRule>
    <cfRule type="cellIs" dxfId="1005" priority="1006" operator="equal">
      <formula>"SL"</formula>
    </cfRule>
    <cfRule type="cellIs" dxfId="1004" priority="1007" stopIfTrue="1" operator="equal">
      <formula>"X"</formula>
    </cfRule>
    <cfRule type="cellIs" dxfId="1003" priority="1008" operator="equal">
      <formula>"H"</formula>
    </cfRule>
  </conditionalFormatting>
  <conditionalFormatting sqref="D119:AH119">
    <cfRule type="cellIs" dxfId="1002" priority="1002" operator="equal">
      <formula>"SP"</formula>
    </cfRule>
    <cfRule type="cellIs" dxfId="1001" priority="1003" operator="equal">
      <formula>"."</formula>
    </cfRule>
  </conditionalFormatting>
  <conditionalFormatting sqref="D121:AH121">
    <cfRule type="cellIs" dxfId="1000" priority="997" operator="equal">
      <formula>"AL"</formula>
    </cfRule>
    <cfRule type="cellIs" dxfId="999" priority="998" operator="equal">
      <formula>"NA"</formula>
    </cfRule>
    <cfRule type="cellIs" dxfId="998" priority="999" operator="equal">
      <formula>"SL"</formula>
    </cfRule>
    <cfRule type="cellIs" dxfId="997" priority="1000" stopIfTrue="1" operator="equal">
      <formula>"X"</formula>
    </cfRule>
    <cfRule type="cellIs" dxfId="996" priority="1001" operator="equal">
      <formula>"H"</formula>
    </cfRule>
  </conditionalFormatting>
  <conditionalFormatting sqref="D121:AH121">
    <cfRule type="cellIs" dxfId="995" priority="995" operator="equal">
      <formula>"SP"</formula>
    </cfRule>
    <cfRule type="cellIs" dxfId="994" priority="996" operator="equal">
      <formula>"."</formula>
    </cfRule>
  </conditionalFormatting>
  <conditionalFormatting sqref="D123:AH123">
    <cfRule type="cellIs" dxfId="993" priority="990" operator="equal">
      <formula>"AL"</formula>
    </cfRule>
    <cfRule type="cellIs" dxfId="992" priority="991" operator="equal">
      <formula>"NA"</formula>
    </cfRule>
    <cfRule type="cellIs" dxfId="991" priority="992" operator="equal">
      <formula>"SL"</formula>
    </cfRule>
    <cfRule type="cellIs" dxfId="990" priority="993" stopIfTrue="1" operator="equal">
      <formula>"X"</formula>
    </cfRule>
    <cfRule type="cellIs" dxfId="989" priority="994" operator="equal">
      <formula>"H"</formula>
    </cfRule>
  </conditionalFormatting>
  <conditionalFormatting sqref="D123:AH123">
    <cfRule type="cellIs" dxfId="988" priority="988" operator="equal">
      <formula>"SP"</formula>
    </cfRule>
    <cfRule type="cellIs" dxfId="987" priority="989" operator="equal">
      <formula>"."</formula>
    </cfRule>
  </conditionalFormatting>
  <conditionalFormatting sqref="D125:AH125">
    <cfRule type="cellIs" dxfId="986" priority="983" operator="equal">
      <formula>"AL"</formula>
    </cfRule>
    <cfRule type="cellIs" dxfId="985" priority="984" operator="equal">
      <formula>"NA"</formula>
    </cfRule>
    <cfRule type="cellIs" dxfId="984" priority="985" operator="equal">
      <formula>"SL"</formula>
    </cfRule>
    <cfRule type="cellIs" dxfId="983" priority="986" stopIfTrue="1" operator="equal">
      <formula>"X"</formula>
    </cfRule>
    <cfRule type="cellIs" dxfId="982" priority="987" operator="equal">
      <formula>"H"</formula>
    </cfRule>
  </conditionalFormatting>
  <conditionalFormatting sqref="D125:AH125">
    <cfRule type="cellIs" dxfId="981" priority="981" operator="equal">
      <formula>"SP"</formula>
    </cfRule>
    <cfRule type="cellIs" dxfId="980" priority="982" operator="equal">
      <formula>"."</formula>
    </cfRule>
  </conditionalFormatting>
  <conditionalFormatting sqref="D127:AH127">
    <cfRule type="cellIs" dxfId="979" priority="976" operator="equal">
      <formula>"AL"</formula>
    </cfRule>
    <cfRule type="cellIs" dxfId="978" priority="977" operator="equal">
      <formula>"NA"</formula>
    </cfRule>
    <cfRule type="cellIs" dxfId="977" priority="978" operator="equal">
      <formula>"SL"</formula>
    </cfRule>
    <cfRule type="cellIs" dxfId="976" priority="979" stopIfTrue="1" operator="equal">
      <formula>"X"</formula>
    </cfRule>
    <cfRule type="cellIs" dxfId="975" priority="980" operator="equal">
      <formula>"H"</formula>
    </cfRule>
  </conditionalFormatting>
  <conditionalFormatting sqref="D127:AH127">
    <cfRule type="cellIs" dxfId="974" priority="974" operator="equal">
      <formula>"SP"</formula>
    </cfRule>
    <cfRule type="cellIs" dxfId="973" priority="975" operator="equal">
      <formula>"."</formula>
    </cfRule>
  </conditionalFormatting>
  <conditionalFormatting sqref="D129:AH129">
    <cfRule type="cellIs" dxfId="972" priority="969" operator="equal">
      <formula>"AL"</formula>
    </cfRule>
    <cfRule type="cellIs" dxfId="971" priority="970" operator="equal">
      <formula>"NA"</formula>
    </cfRule>
    <cfRule type="cellIs" dxfId="970" priority="971" operator="equal">
      <formula>"SL"</formula>
    </cfRule>
    <cfRule type="cellIs" dxfId="969" priority="972" stopIfTrue="1" operator="equal">
      <formula>"X"</formula>
    </cfRule>
    <cfRule type="cellIs" dxfId="968" priority="973" operator="equal">
      <formula>"H"</formula>
    </cfRule>
  </conditionalFormatting>
  <conditionalFormatting sqref="D129:AH129">
    <cfRule type="cellIs" dxfId="967" priority="967" operator="equal">
      <formula>"SP"</formula>
    </cfRule>
    <cfRule type="cellIs" dxfId="966" priority="968" operator="equal">
      <formula>"."</formula>
    </cfRule>
  </conditionalFormatting>
  <conditionalFormatting sqref="D131:AH131">
    <cfRule type="cellIs" dxfId="965" priority="962" operator="equal">
      <formula>"AL"</formula>
    </cfRule>
    <cfRule type="cellIs" dxfId="964" priority="963" operator="equal">
      <formula>"NA"</formula>
    </cfRule>
    <cfRule type="cellIs" dxfId="963" priority="964" operator="equal">
      <formula>"SL"</formula>
    </cfRule>
    <cfRule type="cellIs" dxfId="962" priority="965" stopIfTrue="1" operator="equal">
      <formula>"X"</formula>
    </cfRule>
    <cfRule type="cellIs" dxfId="961" priority="966" operator="equal">
      <formula>"H"</formula>
    </cfRule>
  </conditionalFormatting>
  <conditionalFormatting sqref="D131:AH131">
    <cfRule type="cellIs" dxfId="960" priority="960" operator="equal">
      <formula>"SP"</formula>
    </cfRule>
    <cfRule type="cellIs" dxfId="959" priority="961" operator="equal">
      <formula>"."</formula>
    </cfRule>
  </conditionalFormatting>
  <conditionalFormatting sqref="D133:AH133">
    <cfRule type="cellIs" dxfId="958" priority="955" operator="equal">
      <formula>"AL"</formula>
    </cfRule>
    <cfRule type="cellIs" dxfId="957" priority="956" operator="equal">
      <formula>"NA"</formula>
    </cfRule>
    <cfRule type="cellIs" dxfId="956" priority="957" operator="equal">
      <formula>"SL"</formula>
    </cfRule>
    <cfRule type="cellIs" dxfId="955" priority="958" stopIfTrue="1" operator="equal">
      <formula>"X"</formula>
    </cfRule>
    <cfRule type="cellIs" dxfId="954" priority="959" operator="equal">
      <formula>"H"</formula>
    </cfRule>
  </conditionalFormatting>
  <conditionalFormatting sqref="D133:AH133">
    <cfRule type="cellIs" dxfId="953" priority="953" operator="equal">
      <formula>"SP"</formula>
    </cfRule>
    <cfRule type="cellIs" dxfId="952" priority="954" operator="equal">
      <formula>"."</formula>
    </cfRule>
  </conditionalFormatting>
  <conditionalFormatting sqref="D120:AH120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120:AH120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122:AH122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122:AH122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124:AH124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124:AH124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126:AH126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126:AH126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128:AH128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128:AH128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130:AH130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130:AH130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132:AH132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132:AH132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134:AH134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134:AH134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165:AG166">
    <cfRule type="cellIs" dxfId="895" priority="785" operator="equal">
      <formula>"SP"</formula>
    </cfRule>
    <cfRule type="cellIs" dxfId="894" priority="786" operator="equal">
      <formula>"."</formula>
    </cfRule>
  </conditionalFormatting>
  <conditionalFormatting sqref="D150:AG150">
    <cfRule type="cellIs" dxfId="893" priority="892" operator="equal">
      <formula>"AL"</formula>
    </cfRule>
    <cfRule type="cellIs" dxfId="892" priority="893" operator="equal">
      <formula>"NA"</formula>
    </cfRule>
    <cfRule type="cellIs" dxfId="891" priority="894" operator="equal">
      <formula>"SL"</formula>
    </cfRule>
    <cfRule type="cellIs" dxfId="890" priority="895" stopIfTrue="1" operator="equal">
      <formula>"X"</formula>
    </cfRule>
    <cfRule type="cellIs" dxfId="889" priority="896" operator="equal">
      <formula>"H"</formula>
    </cfRule>
  </conditionalFormatting>
  <conditionalFormatting sqref="D150:AG150">
    <cfRule type="cellIs" dxfId="888" priority="890" operator="equal">
      <formula>"SP"</formula>
    </cfRule>
    <cfRule type="cellIs" dxfId="887" priority="891" operator="equal">
      <formula>"."</formula>
    </cfRule>
  </conditionalFormatting>
  <conditionalFormatting sqref="D152:AG152">
    <cfRule type="cellIs" dxfId="886" priority="885" operator="equal">
      <formula>"AL"</formula>
    </cfRule>
    <cfRule type="cellIs" dxfId="885" priority="886" operator="equal">
      <formula>"NA"</formula>
    </cfRule>
    <cfRule type="cellIs" dxfId="884" priority="887" operator="equal">
      <formula>"SL"</formula>
    </cfRule>
    <cfRule type="cellIs" dxfId="883" priority="888" stopIfTrue="1" operator="equal">
      <formula>"X"</formula>
    </cfRule>
    <cfRule type="cellIs" dxfId="882" priority="889" operator="equal">
      <formula>"H"</formula>
    </cfRule>
  </conditionalFormatting>
  <conditionalFormatting sqref="D152:AG152">
    <cfRule type="cellIs" dxfId="881" priority="883" operator="equal">
      <formula>"SP"</formula>
    </cfRule>
    <cfRule type="cellIs" dxfId="880" priority="884" operator="equal">
      <formula>"."</formula>
    </cfRule>
  </conditionalFormatting>
  <conditionalFormatting sqref="D154:AG154">
    <cfRule type="cellIs" dxfId="879" priority="878" operator="equal">
      <formula>"AL"</formula>
    </cfRule>
    <cfRule type="cellIs" dxfId="878" priority="879" operator="equal">
      <formula>"NA"</formula>
    </cfRule>
    <cfRule type="cellIs" dxfId="877" priority="880" operator="equal">
      <formula>"SL"</formula>
    </cfRule>
    <cfRule type="cellIs" dxfId="876" priority="881" stopIfTrue="1" operator="equal">
      <formula>"X"</formula>
    </cfRule>
    <cfRule type="cellIs" dxfId="875" priority="882" operator="equal">
      <formula>"H"</formula>
    </cfRule>
  </conditionalFormatting>
  <conditionalFormatting sqref="D154:AG154">
    <cfRule type="cellIs" dxfId="874" priority="876" operator="equal">
      <formula>"SP"</formula>
    </cfRule>
    <cfRule type="cellIs" dxfId="873" priority="877" operator="equal">
      <formula>"."</formula>
    </cfRule>
  </conditionalFormatting>
  <conditionalFormatting sqref="D156:AG156">
    <cfRule type="cellIs" dxfId="872" priority="871" operator="equal">
      <formula>"AL"</formula>
    </cfRule>
    <cfRule type="cellIs" dxfId="871" priority="872" operator="equal">
      <formula>"NA"</formula>
    </cfRule>
    <cfRule type="cellIs" dxfId="870" priority="873" operator="equal">
      <formula>"SL"</formula>
    </cfRule>
    <cfRule type="cellIs" dxfId="869" priority="874" stopIfTrue="1" operator="equal">
      <formula>"X"</formula>
    </cfRule>
    <cfRule type="cellIs" dxfId="868" priority="875" operator="equal">
      <formula>"H"</formula>
    </cfRule>
  </conditionalFormatting>
  <conditionalFormatting sqref="D156:AG156">
    <cfRule type="cellIs" dxfId="867" priority="869" operator="equal">
      <formula>"SP"</formula>
    </cfRule>
    <cfRule type="cellIs" dxfId="866" priority="870" operator="equal">
      <formula>"."</formula>
    </cfRule>
  </conditionalFormatting>
  <conditionalFormatting sqref="D158:AG158">
    <cfRule type="cellIs" dxfId="865" priority="864" operator="equal">
      <formula>"AL"</formula>
    </cfRule>
    <cfRule type="cellIs" dxfId="864" priority="865" operator="equal">
      <formula>"NA"</formula>
    </cfRule>
    <cfRule type="cellIs" dxfId="863" priority="866" operator="equal">
      <formula>"SL"</formula>
    </cfRule>
    <cfRule type="cellIs" dxfId="862" priority="867" stopIfTrue="1" operator="equal">
      <formula>"X"</formula>
    </cfRule>
    <cfRule type="cellIs" dxfId="861" priority="868" operator="equal">
      <formula>"H"</formula>
    </cfRule>
  </conditionalFormatting>
  <conditionalFormatting sqref="D158:AG158">
    <cfRule type="cellIs" dxfId="860" priority="862" operator="equal">
      <formula>"SP"</formula>
    </cfRule>
    <cfRule type="cellIs" dxfId="859" priority="863" operator="equal">
      <formula>"."</formula>
    </cfRule>
  </conditionalFormatting>
  <conditionalFormatting sqref="D160:AG160">
    <cfRule type="cellIs" dxfId="858" priority="857" operator="equal">
      <formula>"AL"</formula>
    </cfRule>
    <cfRule type="cellIs" dxfId="857" priority="858" operator="equal">
      <formula>"NA"</formula>
    </cfRule>
    <cfRule type="cellIs" dxfId="856" priority="859" operator="equal">
      <formula>"SL"</formula>
    </cfRule>
    <cfRule type="cellIs" dxfId="855" priority="860" stopIfTrue="1" operator="equal">
      <formula>"X"</formula>
    </cfRule>
    <cfRule type="cellIs" dxfId="854" priority="861" operator="equal">
      <formula>"H"</formula>
    </cfRule>
  </conditionalFormatting>
  <conditionalFormatting sqref="D160:AG160">
    <cfRule type="cellIs" dxfId="853" priority="855" operator="equal">
      <formula>"SP"</formula>
    </cfRule>
    <cfRule type="cellIs" dxfId="852" priority="856" operator="equal">
      <formula>"."</formula>
    </cfRule>
  </conditionalFormatting>
  <conditionalFormatting sqref="D162:AG162">
    <cfRule type="cellIs" dxfId="851" priority="850" operator="equal">
      <formula>"AL"</formula>
    </cfRule>
    <cfRule type="cellIs" dxfId="850" priority="851" operator="equal">
      <formula>"NA"</formula>
    </cfRule>
    <cfRule type="cellIs" dxfId="849" priority="852" operator="equal">
      <formula>"SL"</formula>
    </cfRule>
    <cfRule type="cellIs" dxfId="848" priority="853" stopIfTrue="1" operator="equal">
      <formula>"X"</formula>
    </cfRule>
    <cfRule type="cellIs" dxfId="847" priority="854" operator="equal">
      <formula>"H"</formula>
    </cfRule>
  </conditionalFormatting>
  <conditionalFormatting sqref="D162:AG162">
    <cfRule type="cellIs" dxfId="846" priority="848" operator="equal">
      <formula>"SP"</formula>
    </cfRule>
    <cfRule type="cellIs" dxfId="845" priority="849" operator="equal">
      <formula>"."</formula>
    </cfRule>
  </conditionalFormatting>
  <conditionalFormatting sqref="D164:AG164">
    <cfRule type="cellIs" dxfId="844" priority="843" operator="equal">
      <formula>"AL"</formula>
    </cfRule>
    <cfRule type="cellIs" dxfId="843" priority="844" operator="equal">
      <formula>"NA"</formula>
    </cfRule>
    <cfRule type="cellIs" dxfId="842" priority="845" operator="equal">
      <formula>"SL"</formula>
    </cfRule>
    <cfRule type="cellIs" dxfId="841" priority="846" stopIfTrue="1" operator="equal">
      <formula>"X"</formula>
    </cfRule>
    <cfRule type="cellIs" dxfId="840" priority="847" operator="equal">
      <formula>"H"</formula>
    </cfRule>
  </conditionalFormatting>
  <conditionalFormatting sqref="D164:AG164">
    <cfRule type="cellIs" dxfId="839" priority="841" operator="equal">
      <formula>"SP"</formula>
    </cfRule>
    <cfRule type="cellIs" dxfId="838" priority="842" operator="equal">
      <formula>"."</formula>
    </cfRule>
  </conditionalFormatting>
  <conditionalFormatting sqref="D151:AG151">
    <cfRule type="cellIs" dxfId="837" priority="836" operator="equal">
      <formula>"AL"</formula>
    </cfRule>
    <cfRule type="cellIs" dxfId="836" priority="837" operator="equal">
      <formula>"NA"</formula>
    </cfRule>
    <cfRule type="cellIs" dxfId="835" priority="838" operator="equal">
      <formula>"SL"</formula>
    </cfRule>
    <cfRule type="cellIs" dxfId="834" priority="839" stopIfTrue="1" operator="equal">
      <formula>"X"</formula>
    </cfRule>
    <cfRule type="cellIs" dxfId="833" priority="840" operator="equal">
      <formula>"H"</formula>
    </cfRule>
  </conditionalFormatting>
  <conditionalFormatting sqref="D151:AG151">
    <cfRule type="cellIs" dxfId="832" priority="834" operator="equal">
      <formula>"SP"</formula>
    </cfRule>
    <cfRule type="cellIs" dxfId="831" priority="835" operator="equal">
      <formula>"."</formula>
    </cfRule>
  </conditionalFormatting>
  <conditionalFormatting sqref="D153:AG153">
    <cfRule type="cellIs" dxfId="830" priority="829" operator="equal">
      <formula>"AL"</formula>
    </cfRule>
    <cfRule type="cellIs" dxfId="829" priority="830" operator="equal">
      <formula>"NA"</formula>
    </cfRule>
    <cfRule type="cellIs" dxfId="828" priority="831" operator="equal">
      <formula>"SL"</formula>
    </cfRule>
    <cfRule type="cellIs" dxfId="827" priority="832" stopIfTrue="1" operator="equal">
      <formula>"X"</formula>
    </cfRule>
    <cfRule type="cellIs" dxfId="826" priority="833" operator="equal">
      <formula>"H"</formula>
    </cfRule>
  </conditionalFormatting>
  <conditionalFormatting sqref="D153:AG153">
    <cfRule type="cellIs" dxfId="825" priority="827" operator="equal">
      <formula>"SP"</formula>
    </cfRule>
    <cfRule type="cellIs" dxfId="824" priority="828" operator="equal">
      <formula>"."</formula>
    </cfRule>
  </conditionalFormatting>
  <conditionalFormatting sqref="D155:AG155">
    <cfRule type="cellIs" dxfId="823" priority="822" operator="equal">
      <formula>"AL"</formula>
    </cfRule>
    <cfRule type="cellIs" dxfId="822" priority="823" operator="equal">
      <formula>"NA"</formula>
    </cfRule>
    <cfRule type="cellIs" dxfId="821" priority="824" operator="equal">
      <formula>"SL"</formula>
    </cfRule>
    <cfRule type="cellIs" dxfId="820" priority="825" stopIfTrue="1" operator="equal">
      <formula>"X"</formula>
    </cfRule>
    <cfRule type="cellIs" dxfId="819" priority="826" operator="equal">
      <formula>"H"</formula>
    </cfRule>
  </conditionalFormatting>
  <conditionalFormatting sqref="D155:AG155">
    <cfRule type="cellIs" dxfId="818" priority="820" operator="equal">
      <formula>"SP"</formula>
    </cfRule>
    <cfRule type="cellIs" dxfId="817" priority="821" operator="equal">
      <formula>"."</formula>
    </cfRule>
  </conditionalFormatting>
  <conditionalFormatting sqref="D157:AG157">
    <cfRule type="cellIs" dxfId="816" priority="815" operator="equal">
      <formula>"AL"</formula>
    </cfRule>
    <cfRule type="cellIs" dxfId="815" priority="816" operator="equal">
      <formula>"NA"</formula>
    </cfRule>
    <cfRule type="cellIs" dxfId="814" priority="817" operator="equal">
      <formula>"SL"</formula>
    </cfRule>
    <cfRule type="cellIs" dxfId="813" priority="818" stopIfTrue="1" operator="equal">
      <formula>"X"</formula>
    </cfRule>
    <cfRule type="cellIs" dxfId="812" priority="819" operator="equal">
      <formula>"H"</formula>
    </cfRule>
  </conditionalFormatting>
  <conditionalFormatting sqref="D157:AG157">
    <cfRule type="cellIs" dxfId="811" priority="813" operator="equal">
      <formula>"SP"</formula>
    </cfRule>
    <cfRule type="cellIs" dxfId="810" priority="814" operator="equal">
      <formula>"."</formula>
    </cfRule>
  </conditionalFormatting>
  <conditionalFormatting sqref="D159:AG159">
    <cfRule type="cellIs" dxfId="809" priority="808" operator="equal">
      <formula>"AL"</formula>
    </cfRule>
    <cfRule type="cellIs" dxfId="808" priority="809" operator="equal">
      <formula>"NA"</formula>
    </cfRule>
    <cfRule type="cellIs" dxfId="807" priority="810" operator="equal">
      <formula>"SL"</formula>
    </cfRule>
    <cfRule type="cellIs" dxfId="806" priority="811" stopIfTrue="1" operator="equal">
      <formula>"X"</formula>
    </cfRule>
    <cfRule type="cellIs" dxfId="805" priority="812" operator="equal">
      <formula>"H"</formula>
    </cfRule>
  </conditionalFormatting>
  <conditionalFormatting sqref="D159:AG159">
    <cfRule type="cellIs" dxfId="804" priority="806" operator="equal">
      <formula>"SP"</formula>
    </cfRule>
    <cfRule type="cellIs" dxfId="803" priority="807" operator="equal">
      <formula>"."</formula>
    </cfRule>
  </conditionalFormatting>
  <conditionalFormatting sqref="D161:AG161">
    <cfRule type="cellIs" dxfId="802" priority="801" operator="equal">
      <formula>"AL"</formula>
    </cfRule>
    <cfRule type="cellIs" dxfId="801" priority="802" operator="equal">
      <formula>"NA"</formula>
    </cfRule>
    <cfRule type="cellIs" dxfId="800" priority="803" operator="equal">
      <formula>"SL"</formula>
    </cfRule>
    <cfRule type="cellIs" dxfId="799" priority="804" stopIfTrue="1" operator="equal">
      <formula>"X"</formula>
    </cfRule>
    <cfRule type="cellIs" dxfId="798" priority="805" operator="equal">
      <formula>"H"</formula>
    </cfRule>
  </conditionalFormatting>
  <conditionalFormatting sqref="D161:AG161">
    <cfRule type="cellIs" dxfId="797" priority="799" operator="equal">
      <formula>"SP"</formula>
    </cfRule>
    <cfRule type="cellIs" dxfId="796" priority="800" operator="equal">
      <formula>"."</formula>
    </cfRule>
  </conditionalFormatting>
  <conditionalFormatting sqref="D163:AG163">
    <cfRule type="cellIs" dxfId="795" priority="794" operator="equal">
      <formula>"AL"</formula>
    </cfRule>
    <cfRule type="cellIs" dxfId="794" priority="795" operator="equal">
      <formula>"NA"</formula>
    </cfRule>
    <cfRule type="cellIs" dxfId="793" priority="796" operator="equal">
      <formula>"SL"</formula>
    </cfRule>
    <cfRule type="cellIs" dxfId="792" priority="797" stopIfTrue="1" operator="equal">
      <formula>"X"</formula>
    </cfRule>
    <cfRule type="cellIs" dxfId="791" priority="798" operator="equal">
      <formula>"H"</formula>
    </cfRule>
  </conditionalFormatting>
  <conditionalFormatting sqref="D163:AG163">
    <cfRule type="cellIs" dxfId="790" priority="792" operator="equal">
      <formula>"SP"</formula>
    </cfRule>
    <cfRule type="cellIs" dxfId="789" priority="793" operator="equal">
      <formula>"."</formula>
    </cfRule>
  </conditionalFormatting>
  <conditionalFormatting sqref="D165:AG166">
    <cfRule type="cellIs" dxfId="788" priority="787" operator="equal">
      <formula>"AL"</formula>
    </cfRule>
    <cfRule type="cellIs" dxfId="787" priority="788" operator="equal">
      <formula>"NA"</formula>
    </cfRule>
    <cfRule type="cellIs" dxfId="786" priority="789" operator="equal">
      <formula>"SL"</formula>
    </cfRule>
    <cfRule type="cellIs" dxfId="785" priority="790" stopIfTrue="1" operator="equal">
      <formula>"X"</formula>
    </cfRule>
    <cfRule type="cellIs" dxfId="784" priority="791" operator="equal">
      <formula>"H"</formula>
    </cfRule>
  </conditionalFormatting>
  <conditionalFormatting sqref="D181:AH181">
    <cfRule type="cellIs" dxfId="783" priority="780" operator="equal">
      <formula>"AL"</formula>
    </cfRule>
    <cfRule type="cellIs" dxfId="782" priority="781" operator="equal">
      <formula>"NA"</formula>
    </cfRule>
    <cfRule type="cellIs" dxfId="781" priority="782" operator="equal">
      <formula>"SL"</formula>
    </cfRule>
    <cfRule type="cellIs" dxfId="780" priority="783" stopIfTrue="1" operator="equal">
      <formula>"X"</formula>
    </cfRule>
    <cfRule type="cellIs" dxfId="779" priority="784" operator="equal">
      <formula>"H"</formula>
    </cfRule>
  </conditionalFormatting>
  <conditionalFormatting sqref="D181:AH181">
    <cfRule type="cellIs" dxfId="778" priority="778" operator="equal">
      <formula>"SP"</formula>
    </cfRule>
    <cfRule type="cellIs" dxfId="777" priority="779" operator="equal">
      <formula>"."</formula>
    </cfRule>
  </conditionalFormatting>
  <conditionalFormatting sqref="D183:AH183">
    <cfRule type="cellIs" dxfId="776" priority="773" operator="equal">
      <formula>"AL"</formula>
    </cfRule>
    <cfRule type="cellIs" dxfId="775" priority="774" operator="equal">
      <formula>"NA"</formula>
    </cfRule>
    <cfRule type="cellIs" dxfId="774" priority="775" operator="equal">
      <formula>"SL"</formula>
    </cfRule>
    <cfRule type="cellIs" dxfId="773" priority="776" stopIfTrue="1" operator="equal">
      <formula>"X"</formula>
    </cfRule>
    <cfRule type="cellIs" dxfId="772" priority="777" operator="equal">
      <formula>"H"</formula>
    </cfRule>
  </conditionalFormatting>
  <conditionalFormatting sqref="D183:AH183">
    <cfRule type="cellIs" dxfId="771" priority="771" operator="equal">
      <formula>"SP"</formula>
    </cfRule>
    <cfRule type="cellIs" dxfId="770" priority="772" operator="equal">
      <formula>"."</formula>
    </cfRule>
  </conditionalFormatting>
  <conditionalFormatting sqref="D185:AH185">
    <cfRule type="cellIs" dxfId="769" priority="766" operator="equal">
      <formula>"AL"</formula>
    </cfRule>
    <cfRule type="cellIs" dxfId="768" priority="767" operator="equal">
      <formula>"NA"</formula>
    </cfRule>
    <cfRule type="cellIs" dxfId="767" priority="768" operator="equal">
      <formula>"SL"</formula>
    </cfRule>
    <cfRule type="cellIs" dxfId="766" priority="769" stopIfTrue="1" operator="equal">
      <formula>"X"</formula>
    </cfRule>
    <cfRule type="cellIs" dxfId="765" priority="770" operator="equal">
      <formula>"H"</formula>
    </cfRule>
  </conditionalFormatting>
  <conditionalFormatting sqref="D185:AH185">
    <cfRule type="cellIs" dxfId="764" priority="764" operator="equal">
      <formula>"SP"</formula>
    </cfRule>
    <cfRule type="cellIs" dxfId="763" priority="765" operator="equal">
      <formula>"."</formula>
    </cfRule>
  </conditionalFormatting>
  <conditionalFormatting sqref="D187:AH187">
    <cfRule type="cellIs" dxfId="762" priority="759" operator="equal">
      <formula>"AL"</formula>
    </cfRule>
    <cfRule type="cellIs" dxfId="761" priority="760" operator="equal">
      <formula>"NA"</formula>
    </cfRule>
    <cfRule type="cellIs" dxfId="760" priority="761" operator="equal">
      <formula>"SL"</formula>
    </cfRule>
    <cfRule type="cellIs" dxfId="759" priority="762" stopIfTrue="1" operator="equal">
      <formula>"X"</formula>
    </cfRule>
    <cfRule type="cellIs" dxfId="758" priority="763" operator="equal">
      <formula>"H"</formula>
    </cfRule>
  </conditionalFormatting>
  <conditionalFormatting sqref="D187:AH187">
    <cfRule type="cellIs" dxfId="757" priority="757" operator="equal">
      <formula>"SP"</formula>
    </cfRule>
    <cfRule type="cellIs" dxfId="756" priority="758" operator="equal">
      <formula>"."</formula>
    </cfRule>
  </conditionalFormatting>
  <conditionalFormatting sqref="D189:AH189">
    <cfRule type="cellIs" dxfId="755" priority="752" operator="equal">
      <formula>"AL"</formula>
    </cfRule>
    <cfRule type="cellIs" dxfId="754" priority="753" operator="equal">
      <formula>"NA"</formula>
    </cfRule>
    <cfRule type="cellIs" dxfId="753" priority="754" operator="equal">
      <formula>"SL"</formula>
    </cfRule>
    <cfRule type="cellIs" dxfId="752" priority="755" stopIfTrue="1" operator="equal">
      <formula>"X"</formula>
    </cfRule>
    <cfRule type="cellIs" dxfId="751" priority="756" operator="equal">
      <formula>"H"</formula>
    </cfRule>
  </conditionalFormatting>
  <conditionalFormatting sqref="D189:AH189">
    <cfRule type="cellIs" dxfId="750" priority="750" operator="equal">
      <formula>"SP"</formula>
    </cfRule>
    <cfRule type="cellIs" dxfId="749" priority="751" operator="equal">
      <formula>"."</formula>
    </cfRule>
  </conditionalFormatting>
  <conditionalFormatting sqref="D191:AH191">
    <cfRule type="cellIs" dxfId="748" priority="745" operator="equal">
      <formula>"AL"</formula>
    </cfRule>
    <cfRule type="cellIs" dxfId="747" priority="746" operator="equal">
      <formula>"NA"</formula>
    </cfRule>
    <cfRule type="cellIs" dxfId="746" priority="747" operator="equal">
      <formula>"SL"</formula>
    </cfRule>
    <cfRule type="cellIs" dxfId="745" priority="748" stopIfTrue="1" operator="equal">
      <formula>"X"</formula>
    </cfRule>
    <cfRule type="cellIs" dxfId="744" priority="749" operator="equal">
      <formula>"H"</formula>
    </cfRule>
  </conditionalFormatting>
  <conditionalFormatting sqref="D191:AH191">
    <cfRule type="cellIs" dxfId="743" priority="743" operator="equal">
      <formula>"SP"</formula>
    </cfRule>
    <cfRule type="cellIs" dxfId="742" priority="744" operator="equal">
      <formula>"."</formula>
    </cfRule>
  </conditionalFormatting>
  <conditionalFormatting sqref="D193:AH193">
    <cfRule type="cellIs" dxfId="741" priority="738" operator="equal">
      <formula>"AL"</formula>
    </cfRule>
    <cfRule type="cellIs" dxfId="740" priority="739" operator="equal">
      <formula>"NA"</formula>
    </cfRule>
    <cfRule type="cellIs" dxfId="739" priority="740" operator="equal">
      <formula>"SL"</formula>
    </cfRule>
    <cfRule type="cellIs" dxfId="738" priority="741" stopIfTrue="1" operator="equal">
      <formula>"X"</formula>
    </cfRule>
    <cfRule type="cellIs" dxfId="737" priority="742" operator="equal">
      <formula>"H"</formula>
    </cfRule>
  </conditionalFormatting>
  <conditionalFormatting sqref="D193:AH193">
    <cfRule type="cellIs" dxfId="736" priority="736" operator="equal">
      <formula>"SP"</formula>
    </cfRule>
    <cfRule type="cellIs" dxfId="735" priority="737" operator="equal">
      <formula>"."</formula>
    </cfRule>
  </conditionalFormatting>
  <conditionalFormatting sqref="D195:AH195">
    <cfRule type="cellIs" dxfId="734" priority="731" operator="equal">
      <formula>"AL"</formula>
    </cfRule>
    <cfRule type="cellIs" dxfId="733" priority="732" operator="equal">
      <formula>"NA"</formula>
    </cfRule>
    <cfRule type="cellIs" dxfId="732" priority="733" operator="equal">
      <formula>"SL"</formula>
    </cfRule>
    <cfRule type="cellIs" dxfId="731" priority="734" stopIfTrue="1" operator="equal">
      <formula>"X"</formula>
    </cfRule>
    <cfRule type="cellIs" dxfId="730" priority="735" operator="equal">
      <formula>"H"</formula>
    </cfRule>
  </conditionalFormatting>
  <conditionalFormatting sqref="D195:AH195">
    <cfRule type="cellIs" dxfId="729" priority="729" operator="equal">
      <formula>"SP"</formula>
    </cfRule>
    <cfRule type="cellIs" dxfId="728" priority="730" operator="equal">
      <formula>"."</formula>
    </cfRule>
  </conditionalFormatting>
  <conditionalFormatting sqref="D182:AH182">
    <cfRule type="cellIs" dxfId="727" priority="724" operator="equal">
      <formula>"AL"</formula>
    </cfRule>
    <cfRule type="cellIs" dxfId="726" priority="725" operator="equal">
      <formula>"NA"</formula>
    </cfRule>
    <cfRule type="cellIs" dxfId="725" priority="726" operator="equal">
      <formula>"SL"</formula>
    </cfRule>
    <cfRule type="cellIs" dxfId="724" priority="727" stopIfTrue="1" operator="equal">
      <formula>"X"</formula>
    </cfRule>
    <cfRule type="cellIs" dxfId="723" priority="728" operator="equal">
      <formula>"H"</formula>
    </cfRule>
  </conditionalFormatting>
  <conditionalFormatting sqref="D182:AH182">
    <cfRule type="cellIs" dxfId="722" priority="722" operator="equal">
      <formula>"SP"</formula>
    </cfRule>
    <cfRule type="cellIs" dxfId="721" priority="723" operator="equal">
      <formula>"."</formula>
    </cfRule>
  </conditionalFormatting>
  <conditionalFormatting sqref="D184:AH184">
    <cfRule type="cellIs" dxfId="720" priority="717" operator="equal">
      <formula>"AL"</formula>
    </cfRule>
    <cfRule type="cellIs" dxfId="719" priority="718" operator="equal">
      <formula>"NA"</formula>
    </cfRule>
    <cfRule type="cellIs" dxfId="718" priority="719" operator="equal">
      <formula>"SL"</formula>
    </cfRule>
    <cfRule type="cellIs" dxfId="717" priority="720" stopIfTrue="1" operator="equal">
      <formula>"X"</formula>
    </cfRule>
    <cfRule type="cellIs" dxfId="716" priority="721" operator="equal">
      <formula>"H"</formula>
    </cfRule>
  </conditionalFormatting>
  <conditionalFormatting sqref="D184:AH184">
    <cfRule type="cellIs" dxfId="715" priority="715" operator="equal">
      <formula>"SP"</formula>
    </cfRule>
    <cfRule type="cellIs" dxfId="714" priority="716" operator="equal">
      <formula>"."</formula>
    </cfRule>
  </conditionalFormatting>
  <conditionalFormatting sqref="D186:AH186">
    <cfRule type="cellIs" dxfId="713" priority="710" operator="equal">
      <formula>"AL"</formula>
    </cfRule>
    <cfRule type="cellIs" dxfId="712" priority="711" operator="equal">
      <formula>"NA"</formula>
    </cfRule>
    <cfRule type="cellIs" dxfId="711" priority="712" operator="equal">
      <formula>"SL"</formula>
    </cfRule>
    <cfRule type="cellIs" dxfId="710" priority="713" stopIfTrue="1" operator="equal">
      <formula>"X"</formula>
    </cfRule>
    <cfRule type="cellIs" dxfId="709" priority="714" operator="equal">
      <formula>"H"</formula>
    </cfRule>
  </conditionalFormatting>
  <conditionalFormatting sqref="D186:AH186">
    <cfRule type="cellIs" dxfId="708" priority="708" operator="equal">
      <formula>"SP"</formula>
    </cfRule>
    <cfRule type="cellIs" dxfId="707" priority="709" operator="equal">
      <formula>"."</formula>
    </cfRule>
  </conditionalFormatting>
  <conditionalFormatting sqref="D188:AH188">
    <cfRule type="cellIs" dxfId="706" priority="703" operator="equal">
      <formula>"AL"</formula>
    </cfRule>
    <cfRule type="cellIs" dxfId="705" priority="704" operator="equal">
      <formula>"NA"</formula>
    </cfRule>
    <cfRule type="cellIs" dxfId="704" priority="705" operator="equal">
      <formula>"SL"</formula>
    </cfRule>
    <cfRule type="cellIs" dxfId="703" priority="706" stopIfTrue="1" operator="equal">
      <formula>"X"</formula>
    </cfRule>
    <cfRule type="cellIs" dxfId="702" priority="707" operator="equal">
      <formula>"H"</formula>
    </cfRule>
  </conditionalFormatting>
  <conditionalFormatting sqref="D188:AH188">
    <cfRule type="cellIs" dxfId="701" priority="701" operator="equal">
      <formula>"SP"</formula>
    </cfRule>
    <cfRule type="cellIs" dxfId="700" priority="702" operator="equal">
      <formula>"."</formula>
    </cfRule>
  </conditionalFormatting>
  <conditionalFormatting sqref="D190:AH190">
    <cfRule type="cellIs" dxfId="699" priority="696" operator="equal">
      <formula>"AL"</formula>
    </cfRule>
    <cfRule type="cellIs" dxfId="698" priority="697" operator="equal">
      <formula>"NA"</formula>
    </cfRule>
    <cfRule type="cellIs" dxfId="697" priority="698" operator="equal">
      <formula>"SL"</formula>
    </cfRule>
    <cfRule type="cellIs" dxfId="696" priority="699" stopIfTrue="1" operator="equal">
      <formula>"X"</formula>
    </cfRule>
    <cfRule type="cellIs" dxfId="695" priority="700" operator="equal">
      <formula>"H"</formula>
    </cfRule>
  </conditionalFormatting>
  <conditionalFormatting sqref="D190:AH190">
    <cfRule type="cellIs" dxfId="694" priority="694" operator="equal">
      <formula>"SP"</formula>
    </cfRule>
    <cfRule type="cellIs" dxfId="693" priority="695" operator="equal">
      <formula>"."</formula>
    </cfRule>
  </conditionalFormatting>
  <conditionalFormatting sqref="D192:AH192">
    <cfRule type="cellIs" dxfId="692" priority="689" operator="equal">
      <formula>"AL"</formula>
    </cfRule>
    <cfRule type="cellIs" dxfId="691" priority="690" operator="equal">
      <formula>"NA"</formula>
    </cfRule>
    <cfRule type="cellIs" dxfId="690" priority="691" operator="equal">
      <formula>"SL"</formula>
    </cfRule>
    <cfRule type="cellIs" dxfId="689" priority="692" stopIfTrue="1" operator="equal">
      <formula>"X"</formula>
    </cfRule>
    <cfRule type="cellIs" dxfId="688" priority="693" operator="equal">
      <formula>"H"</formula>
    </cfRule>
  </conditionalFormatting>
  <conditionalFormatting sqref="D192:AH192">
    <cfRule type="cellIs" dxfId="687" priority="687" operator="equal">
      <formula>"SP"</formula>
    </cfRule>
    <cfRule type="cellIs" dxfId="686" priority="688" operator="equal">
      <formula>"."</formula>
    </cfRule>
  </conditionalFormatting>
  <conditionalFormatting sqref="D194:AH194">
    <cfRule type="cellIs" dxfId="685" priority="682" operator="equal">
      <formula>"AL"</formula>
    </cfRule>
    <cfRule type="cellIs" dxfId="684" priority="683" operator="equal">
      <formula>"NA"</formula>
    </cfRule>
    <cfRule type="cellIs" dxfId="683" priority="684" operator="equal">
      <formula>"SL"</formula>
    </cfRule>
    <cfRule type="cellIs" dxfId="682" priority="685" stopIfTrue="1" operator="equal">
      <formula>"X"</formula>
    </cfRule>
    <cfRule type="cellIs" dxfId="681" priority="686" operator="equal">
      <formula>"H"</formula>
    </cfRule>
  </conditionalFormatting>
  <conditionalFormatting sqref="D194:AH194">
    <cfRule type="cellIs" dxfId="680" priority="680" operator="equal">
      <formula>"SP"</formula>
    </cfRule>
    <cfRule type="cellIs" dxfId="679" priority="681" operator="equal">
      <formula>"."</formula>
    </cfRule>
  </conditionalFormatting>
  <conditionalFormatting sqref="D196:AH196">
    <cfRule type="cellIs" dxfId="678" priority="675" operator="equal">
      <formula>"AL"</formula>
    </cfRule>
    <cfRule type="cellIs" dxfId="677" priority="676" operator="equal">
      <formula>"NA"</formula>
    </cfRule>
    <cfRule type="cellIs" dxfId="676" priority="677" operator="equal">
      <formula>"SL"</formula>
    </cfRule>
    <cfRule type="cellIs" dxfId="675" priority="678" stopIfTrue="1" operator="equal">
      <formula>"X"</formula>
    </cfRule>
    <cfRule type="cellIs" dxfId="674" priority="679" operator="equal">
      <formula>"H"</formula>
    </cfRule>
  </conditionalFormatting>
  <conditionalFormatting sqref="D196:AH196">
    <cfRule type="cellIs" dxfId="673" priority="673" operator="equal">
      <formula>"SP"</formula>
    </cfRule>
    <cfRule type="cellIs" dxfId="672" priority="674" operator="equal">
      <formula>"."</formula>
    </cfRule>
  </conditionalFormatting>
  <conditionalFormatting sqref="D212:AH212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212:AH212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214:AH214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214:AH214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216:AH216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216:AH216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218:AH218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218:AH218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220:AH220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220:AH220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222:AH222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222:AH222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224:AH224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224:AH224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226:AH226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226:AH226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213:AH213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213:AH213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215:AH215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215:AH215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217:AH217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217:AH217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219:AH219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219:AH219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221:AH221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221:AH221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223:AH223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223:AH223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225:AH225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225:AH225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227:AH227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227:AH227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243:AF243">
    <cfRule type="cellIs" dxfId="559" priority="556" operator="equal">
      <formula>"AL"</formula>
    </cfRule>
    <cfRule type="cellIs" dxfId="558" priority="557" operator="equal">
      <formula>"NA"</formula>
    </cfRule>
    <cfRule type="cellIs" dxfId="557" priority="558" operator="equal">
      <formula>"SL"</formula>
    </cfRule>
    <cfRule type="cellIs" dxfId="556" priority="559" stopIfTrue="1" operator="equal">
      <formula>"X"</formula>
    </cfRule>
    <cfRule type="cellIs" dxfId="555" priority="560" operator="equal">
      <formula>"H"</formula>
    </cfRule>
  </conditionalFormatting>
  <conditionalFormatting sqref="D243:AF243">
    <cfRule type="cellIs" dxfId="554" priority="554" operator="equal">
      <formula>"SP"</formula>
    </cfRule>
    <cfRule type="cellIs" dxfId="553" priority="555" operator="equal">
      <formula>"."</formula>
    </cfRule>
  </conditionalFormatting>
  <conditionalFormatting sqref="D245:AF245">
    <cfRule type="cellIs" dxfId="552" priority="549" operator="equal">
      <formula>"AL"</formula>
    </cfRule>
    <cfRule type="cellIs" dxfId="551" priority="550" operator="equal">
      <formula>"NA"</formula>
    </cfRule>
    <cfRule type="cellIs" dxfId="550" priority="551" operator="equal">
      <formula>"SL"</formula>
    </cfRule>
    <cfRule type="cellIs" dxfId="549" priority="552" stopIfTrue="1" operator="equal">
      <formula>"X"</formula>
    </cfRule>
    <cfRule type="cellIs" dxfId="548" priority="553" operator="equal">
      <formula>"H"</formula>
    </cfRule>
  </conditionalFormatting>
  <conditionalFormatting sqref="D245:AF245">
    <cfRule type="cellIs" dxfId="547" priority="547" operator="equal">
      <formula>"SP"</formula>
    </cfRule>
    <cfRule type="cellIs" dxfId="546" priority="548" operator="equal">
      <formula>"."</formula>
    </cfRule>
  </conditionalFormatting>
  <conditionalFormatting sqref="D247:AF247">
    <cfRule type="cellIs" dxfId="545" priority="542" operator="equal">
      <formula>"AL"</formula>
    </cfRule>
    <cfRule type="cellIs" dxfId="544" priority="543" operator="equal">
      <formula>"NA"</formula>
    </cfRule>
    <cfRule type="cellIs" dxfId="543" priority="544" operator="equal">
      <formula>"SL"</formula>
    </cfRule>
    <cfRule type="cellIs" dxfId="542" priority="545" stopIfTrue="1" operator="equal">
      <formula>"X"</formula>
    </cfRule>
    <cfRule type="cellIs" dxfId="541" priority="546" operator="equal">
      <formula>"H"</formula>
    </cfRule>
  </conditionalFormatting>
  <conditionalFormatting sqref="D247:AF247">
    <cfRule type="cellIs" dxfId="540" priority="540" operator="equal">
      <formula>"SP"</formula>
    </cfRule>
    <cfRule type="cellIs" dxfId="539" priority="541" operator="equal">
      <formula>"."</formula>
    </cfRule>
  </conditionalFormatting>
  <conditionalFormatting sqref="D249:AF249">
    <cfRule type="cellIs" dxfId="538" priority="535" operator="equal">
      <formula>"AL"</formula>
    </cfRule>
    <cfRule type="cellIs" dxfId="537" priority="536" operator="equal">
      <formula>"NA"</formula>
    </cfRule>
    <cfRule type="cellIs" dxfId="536" priority="537" operator="equal">
      <formula>"SL"</formula>
    </cfRule>
    <cfRule type="cellIs" dxfId="535" priority="538" stopIfTrue="1" operator="equal">
      <formula>"X"</formula>
    </cfRule>
    <cfRule type="cellIs" dxfId="534" priority="539" operator="equal">
      <formula>"H"</formula>
    </cfRule>
  </conditionalFormatting>
  <conditionalFormatting sqref="D249:AF249">
    <cfRule type="cellIs" dxfId="533" priority="533" operator="equal">
      <formula>"SP"</formula>
    </cfRule>
    <cfRule type="cellIs" dxfId="532" priority="534" operator="equal">
      <formula>"."</formula>
    </cfRule>
  </conditionalFormatting>
  <conditionalFormatting sqref="D251:AF251">
    <cfRule type="cellIs" dxfId="531" priority="528" operator="equal">
      <formula>"AL"</formula>
    </cfRule>
    <cfRule type="cellIs" dxfId="530" priority="529" operator="equal">
      <formula>"NA"</formula>
    </cfRule>
    <cfRule type="cellIs" dxfId="529" priority="530" operator="equal">
      <formula>"SL"</formula>
    </cfRule>
    <cfRule type="cellIs" dxfId="528" priority="531" stopIfTrue="1" operator="equal">
      <formula>"X"</formula>
    </cfRule>
    <cfRule type="cellIs" dxfId="527" priority="532" operator="equal">
      <formula>"H"</formula>
    </cfRule>
  </conditionalFormatting>
  <conditionalFormatting sqref="D251:AF251">
    <cfRule type="cellIs" dxfId="526" priority="526" operator="equal">
      <formula>"SP"</formula>
    </cfRule>
    <cfRule type="cellIs" dxfId="525" priority="527" operator="equal">
      <formula>"."</formula>
    </cfRule>
  </conditionalFormatting>
  <conditionalFormatting sqref="D253:AF253">
    <cfRule type="cellIs" dxfId="524" priority="521" operator="equal">
      <formula>"AL"</formula>
    </cfRule>
    <cfRule type="cellIs" dxfId="523" priority="522" operator="equal">
      <formula>"NA"</formula>
    </cfRule>
    <cfRule type="cellIs" dxfId="522" priority="523" operator="equal">
      <formula>"SL"</formula>
    </cfRule>
    <cfRule type="cellIs" dxfId="521" priority="524" stopIfTrue="1" operator="equal">
      <formula>"X"</formula>
    </cfRule>
    <cfRule type="cellIs" dxfId="520" priority="525" operator="equal">
      <formula>"H"</formula>
    </cfRule>
  </conditionalFormatting>
  <conditionalFormatting sqref="D253:AF253">
    <cfRule type="cellIs" dxfId="519" priority="519" operator="equal">
      <formula>"SP"</formula>
    </cfRule>
    <cfRule type="cellIs" dxfId="518" priority="520" operator="equal">
      <formula>"."</formula>
    </cfRule>
  </conditionalFormatting>
  <conditionalFormatting sqref="D255:AF255">
    <cfRule type="cellIs" dxfId="517" priority="514" operator="equal">
      <formula>"AL"</formula>
    </cfRule>
    <cfRule type="cellIs" dxfId="516" priority="515" operator="equal">
      <formula>"NA"</formula>
    </cfRule>
    <cfRule type="cellIs" dxfId="515" priority="516" operator="equal">
      <formula>"SL"</formula>
    </cfRule>
    <cfRule type="cellIs" dxfId="514" priority="517" stopIfTrue="1" operator="equal">
      <formula>"X"</formula>
    </cfRule>
    <cfRule type="cellIs" dxfId="513" priority="518" operator="equal">
      <formula>"H"</formula>
    </cfRule>
  </conditionalFormatting>
  <conditionalFormatting sqref="D255:AF255">
    <cfRule type="cellIs" dxfId="512" priority="512" operator="equal">
      <formula>"SP"</formula>
    </cfRule>
    <cfRule type="cellIs" dxfId="511" priority="513" operator="equal">
      <formula>"."</formula>
    </cfRule>
  </conditionalFormatting>
  <conditionalFormatting sqref="D257:AF257">
    <cfRule type="cellIs" dxfId="510" priority="507" operator="equal">
      <formula>"AL"</formula>
    </cfRule>
    <cfRule type="cellIs" dxfId="509" priority="508" operator="equal">
      <formula>"NA"</formula>
    </cfRule>
    <cfRule type="cellIs" dxfId="508" priority="509" operator="equal">
      <formula>"SL"</formula>
    </cfRule>
    <cfRule type="cellIs" dxfId="507" priority="510" stopIfTrue="1" operator="equal">
      <formula>"X"</formula>
    </cfRule>
    <cfRule type="cellIs" dxfId="506" priority="511" operator="equal">
      <formula>"H"</formula>
    </cfRule>
  </conditionalFormatting>
  <conditionalFormatting sqref="D257:AF257">
    <cfRule type="cellIs" dxfId="505" priority="505" operator="equal">
      <formula>"SP"</formula>
    </cfRule>
    <cfRule type="cellIs" dxfId="504" priority="506" operator="equal">
      <formula>"."</formula>
    </cfRule>
  </conditionalFormatting>
  <conditionalFormatting sqref="D244:AF244">
    <cfRule type="cellIs" dxfId="503" priority="500" operator="equal">
      <formula>"AL"</formula>
    </cfRule>
    <cfRule type="cellIs" dxfId="502" priority="501" operator="equal">
      <formula>"NA"</formula>
    </cfRule>
    <cfRule type="cellIs" dxfId="501" priority="502" operator="equal">
      <formula>"SL"</formula>
    </cfRule>
    <cfRule type="cellIs" dxfId="500" priority="503" stopIfTrue="1" operator="equal">
      <formula>"X"</formula>
    </cfRule>
    <cfRule type="cellIs" dxfId="499" priority="504" operator="equal">
      <formula>"H"</formula>
    </cfRule>
  </conditionalFormatting>
  <conditionalFormatting sqref="D244:AF244">
    <cfRule type="cellIs" dxfId="498" priority="498" operator="equal">
      <formula>"SP"</formula>
    </cfRule>
    <cfRule type="cellIs" dxfId="497" priority="499" operator="equal">
      <formula>"."</formula>
    </cfRule>
  </conditionalFormatting>
  <conditionalFormatting sqref="D246:AF246">
    <cfRule type="cellIs" dxfId="496" priority="493" operator="equal">
      <formula>"AL"</formula>
    </cfRule>
    <cfRule type="cellIs" dxfId="495" priority="494" operator="equal">
      <formula>"NA"</formula>
    </cfRule>
    <cfRule type="cellIs" dxfId="494" priority="495" operator="equal">
      <formula>"SL"</formula>
    </cfRule>
    <cfRule type="cellIs" dxfId="493" priority="496" stopIfTrue="1" operator="equal">
      <formula>"X"</formula>
    </cfRule>
    <cfRule type="cellIs" dxfId="492" priority="497" operator="equal">
      <formula>"H"</formula>
    </cfRule>
  </conditionalFormatting>
  <conditionalFormatting sqref="D246:AF246">
    <cfRule type="cellIs" dxfId="491" priority="491" operator="equal">
      <formula>"SP"</formula>
    </cfRule>
    <cfRule type="cellIs" dxfId="490" priority="492" operator="equal">
      <formula>"."</formula>
    </cfRule>
  </conditionalFormatting>
  <conditionalFormatting sqref="D248:AF248">
    <cfRule type="cellIs" dxfId="489" priority="486" operator="equal">
      <formula>"AL"</formula>
    </cfRule>
    <cfRule type="cellIs" dxfId="488" priority="487" operator="equal">
      <formula>"NA"</formula>
    </cfRule>
    <cfRule type="cellIs" dxfId="487" priority="488" operator="equal">
      <formula>"SL"</formula>
    </cfRule>
    <cfRule type="cellIs" dxfId="486" priority="489" stopIfTrue="1" operator="equal">
      <formula>"X"</formula>
    </cfRule>
    <cfRule type="cellIs" dxfId="485" priority="490" operator="equal">
      <formula>"H"</formula>
    </cfRule>
  </conditionalFormatting>
  <conditionalFormatting sqref="D248:AF248">
    <cfRule type="cellIs" dxfId="484" priority="484" operator="equal">
      <formula>"SP"</formula>
    </cfRule>
    <cfRule type="cellIs" dxfId="483" priority="485" operator="equal">
      <formula>"."</formula>
    </cfRule>
  </conditionalFormatting>
  <conditionalFormatting sqref="D250:AF250">
    <cfRule type="cellIs" dxfId="482" priority="479" operator="equal">
      <formula>"AL"</formula>
    </cfRule>
    <cfRule type="cellIs" dxfId="481" priority="480" operator="equal">
      <formula>"NA"</formula>
    </cfRule>
    <cfRule type="cellIs" dxfId="480" priority="481" operator="equal">
      <formula>"SL"</formula>
    </cfRule>
    <cfRule type="cellIs" dxfId="479" priority="482" stopIfTrue="1" operator="equal">
      <formula>"X"</formula>
    </cfRule>
    <cfRule type="cellIs" dxfId="478" priority="483" operator="equal">
      <formula>"H"</formula>
    </cfRule>
  </conditionalFormatting>
  <conditionalFormatting sqref="D250:AF250">
    <cfRule type="cellIs" dxfId="477" priority="477" operator="equal">
      <formula>"SP"</formula>
    </cfRule>
    <cfRule type="cellIs" dxfId="476" priority="478" operator="equal">
      <formula>"."</formula>
    </cfRule>
  </conditionalFormatting>
  <conditionalFormatting sqref="D252:AF252">
    <cfRule type="cellIs" dxfId="475" priority="472" operator="equal">
      <formula>"AL"</formula>
    </cfRule>
    <cfRule type="cellIs" dxfId="474" priority="473" operator="equal">
      <formula>"NA"</formula>
    </cfRule>
    <cfRule type="cellIs" dxfId="473" priority="474" operator="equal">
      <formula>"SL"</formula>
    </cfRule>
    <cfRule type="cellIs" dxfId="472" priority="475" stopIfTrue="1" operator="equal">
      <formula>"X"</formula>
    </cfRule>
    <cfRule type="cellIs" dxfId="471" priority="476" operator="equal">
      <formula>"H"</formula>
    </cfRule>
  </conditionalFormatting>
  <conditionalFormatting sqref="D252:AF252">
    <cfRule type="cellIs" dxfId="470" priority="470" operator="equal">
      <formula>"SP"</formula>
    </cfRule>
    <cfRule type="cellIs" dxfId="469" priority="471" operator="equal">
      <formula>"."</formula>
    </cfRule>
  </conditionalFormatting>
  <conditionalFormatting sqref="D254:AF254">
    <cfRule type="cellIs" dxfId="468" priority="465" operator="equal">
      <formula>"AL"</formula>
    </cfRule>
    <cfRule type="cellIs" dxfId="467" priority="466" operator="equal">
      <formula>"NA"</formula>
    </cfRule>
    <cfRule type="cellIs" dxfId="466" priority="467" operator="equal">
      <formula>"SL"</formula>
    </cfRule>
    <cfRule type="cellIs" dxfId="465" priority="468" stopIfTrue="1" operator="equal">
      <formula>"X"</formula>
    </cfRule>
    <cfRule type="cellIs" dxfId="464" priority="469" operator="equal">
      <formula>"H"</formula>
    </cfRule>
  </conditionalFormatting>
  <conditionalFormatting sqref="D254:AF254">
    <cfRule type="cellIs" dxfId="463" priority="463" operator="equal">
      <formula>"SP"</formula>
    </cfRule>
    <cfRule type="cellIs" dxfId="462" priority="464" operator="equal">
      <formula>"."</formula>
    </cfRule>
  </conditionalFormatting>
  <conditionalFormatting sqref="D256:AF256">
    <cfRule type="cellIs" dxfId="461" priority="458" operator="equal">
      <formula>"AL"</formula>
    </cfRule>
    <cfRule type="cellIs" dxfId="460" priority="459" operator="equal">
      <formula>"NA"</formula>
    </cfRule>
    <cfRule type="cellIs" dxfId="459" priority="460" operator="equal">
      <formula>"SL"</formula>
    </cfRule>
    <cfRule type="cellIs" dxfId="458" priority="461" stopIfTrue="1" operator="equal">
      <formula>"X"</formula>
    </cfRule>
    <cfRule type="cellIs" dxfId="457" priority="462" operator="equal">
      <formula>"H"</formula>
    </cfRule>
  </conditionalFormatting>
  <conditionalFormatting sqref="D256:AF256">
    <cfRule type="cellIs" dxfId="456" priority="456" operator="equal">
      <formula>"SP"</formula>
    </cfRule>
    <cfRule type="cellIs" dxfId="455" priority="457" operator="equal">
      <formula>"."</formula>
    </cfRule>
  </conditionalFormatting>
  <conditionalFormatting sqref="D258:AF259">
    <cfRule type="cellIs" dxfId="454" priority="451" operator="equal">
      <formula>"AL"</formula>
    </cfRule>
    <cfRule type="cellIs" dxfId="453" priority="452" operator="equal">
      <formula>"NA"</formula>
    </cfRule>
    <cfRule type="cellIs" dxfId="452" priority="453" operator="equal">
      <formula>"SL"</formula>
    </cfRule>
    <cfRule type="cellIs" dxfId="451" priority="454" stopIfTrue="1" operator="equal">
      <formula>"X"</formula>
    </cfRule>
    <cfRule type="cellIs" dxfId="450" priority="455" operator="equal">
      <formula>"H"</formula>
    </cfRule>
  </conditionalFormatting>
  <conditionalFormatting sqref="D258:AF259">
    <cfRule type="cellIs" dxfId="449" priority="449" operator="equal">
      <formula>"SP"</formula>
    </cfRule>
    <cfRule type="cellIs" dxfId="448" priority="450" operator="equal">
      <formula>"."</formula>
    </cfRule>
  </conditionalFormatting>
  <conditionalFormatting sqref="D274:AH274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274:AH274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276:AH276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276:AH276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278:AH278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278:AH278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280:AH280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280:AH280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282:AH282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282:AH282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284:AH284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284:AH284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286:AH286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286:AH286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288:AH288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288:AH288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275:AH275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275:AH275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277:AH277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277:AH277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279:AH279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279:AH279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281:AH281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281:AH281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283:AH283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283:AH283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285:AH285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285:AH285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287:AH287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287:AH287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289:AH289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289:AH289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320:AG320">
    <cfRule type="cellIs" dxfId="335" priority="225" operator="equal">
      <formula>"SP"</formula>
    </cfRule>
    <cfRule type="cellIs" dxfId="334" priority="226" operator="equal">
      <formula>"."</formula>
    </cfRule>
  </conditionalFormatting>
  <conditionalFormatting sqref="D305:AG305">
    <cfRule type="cellIs" dxfId="333" priority="332" operator="equal">
      <formula>"AL"</formula>
    </cfRule>
    <cfRule type="cellIs" dxfId="332" priority="333" operator="equal">
      <formula>"NA"</formula>
    </cfRule>
    <cfRule type="cellIs" dxfId="331" priority="334" operator="equal">
      <formula>"SL"</formula>
    </cfRule>
    <cfRule type="cellIs" dxfId="330" priority="335" stopIfTrue="1" operator="equal">
      <formula>"X"</formula>
    </cfRule>
    <cfRule type="cellIs" dxfId="329" priority="336" operator="equal">
      <formula>"H"</formula>
    </cfRule>
  </conditionalFormatting>
  <conditionalFormatting sqref="D305:AG305">
    <cfRule type="cellIs" dxfId="328" priority="330" operator="equal">
      <formula>"SP"</formula>
    </cfRule>
    <cfRule type="cellIs" dxfId="327" priority="331" operator="equal">
      <formula>"."</formula>
    </cfRule>
  </conditionalFormatting>
  <conditionalFormatting sqref="D307:AG307">
    <cfRule type="cellIs" dxfId="326" priority="325" operator="equal">
      <formula>"AL"</formula>
    </cfRule>
    <cfRule type="cellIs" dxfId="325" priority="326" operator="equal">
      <formula>"NA"</formula>
    </cfRule>
    <cfRule type="cellIs" dxfId="324" priority="327" operator="equal">
      <formula>"SL"</formula>
    </cfRule>
    <cfRule type="cellIs" dxfId="323" priority="328" stopIfTrue="1" operator="equal">
      <formula>"X"</formula>
    </cfRule>
    <cfRule type="cellIs" dxfId="322" priority="329" operator="equal">
      <formula>"H"</formula>
    </cfRule>
  </conditionalFormatting>
  <conditionalFormatting sqref="D307:AG307">
    <cfRule type="cellIs" dxfId="321" priority="323" operator="equal">
      <formula>"SP"</formula>
    </cfRule>
    <cfRule type="cellIs" dxfId="320" priority="324" operator="equal">
      <formula>"."</formula>
    </cfRule>
  </conditionalFormatting>
  <conditionalFormatting sqref="D309:AG309">
    <cfRule type="cellIs" dxfId="319" priority="318" operator="equal">
      <formula>"AL"</formula>
    </cfRule>
    <cfRule type="cellIs" dxfId="318" priority="319" operator="equal">
      <formula>"NA"</formula>
    </cfRule>
    <cfRule type="cellIs" dxfId="317" priority="320" operator="equal">
      <formula>"SL"</formula>
    </cfRule>
    <cfRule type="cellIs" dxfId="316" priority="321" stopIfTrue="1" operator="equal">
      <formula>"X"</formula>
    </cfRule>
    <cfRule type="cellIs" dxfId="315" priority="322" operator="equal">
      <formula>"H"</formula>
    </cfRule>
  </conditionalFormatting>
  <conditionalFormatting sqref="D309:AG309">
    <cfRule type="cellIs" dxfId="314" priority="316" operator="equal">
      <formula>"SP"</formula>
    </cfRule>
    <cfRule type="cellIs" dxfId="313" priority="317" operator="equal">
      <formula>"."</formula>
    </cfRule>
  </conditionalFormatting>
  <conditionalFormatting sqref="D311:AG311">
    <cfRule type="cellIs" dxfId="312" priority="311" operator="equal">
      <formula>"AL"</formula>
    </cfRule>
    <cfRule type="cellIs" dxfId="311" priority="312" operator="equal">
      <formula>"NA"</formula>
    </cfRule>
    <cfRule type="cellIs" dxfId="310" priority="313" operator="equal">
      <formula>"SL"</formula>
    </cfRule>
    <cfRule type="cellIs" dxfId="309" priority="314" stopIfTrue="1" operator="equal">
      <formula>"X"</formula>
    </cfRule>
    <cfRule type="cellIs" dxfId="308" priority="315" operator="equal">
      <formula>"H"</formula>
    </cfRule>
  </conditionalFormatting>
  <conditionalFormatting sqref="D311:AG311">
    <cfRule type="cellIs" dxfId="307" priority="309" operator="equal">
      <formula>"SP"</formula>
    </cfRule>
    <cfRule type="cellIs" dxfId="306" priority="310" operator="equal">
      <formula>"."</formula>
    </cfRule>
  </conditionalFormatting>
  <conditionalFormatting sqref="D313:AG313">
    <cfRule type="cellIs" dxfId="305" priority="304" operator="equal">
      <formula>"AL"</formula>
    </cfRule>
    <cfRule type="cellIs" dxfId="304" priority="305" operator="equal">
      <formula>"NA"</formula>
    </cfRule>
    <cfRule type="cellIs" dxfId="303" priority="306" operator="equal">
      <formula>"SL"</formula>
    </cfRule>
    <cfRule type="cellIs" dxfId="302" priority="307" stopIfTrue="1" operator="equal">
      <formula>"X"</formula>
    </cfRule>
    <cfRule type="cellIs" dxfId="301" priority="308" operator="equal">
      <formula>"H"</formula>
    </cfRule>
  </conditionalFormatting>
  <conditionalFormatting sqref="D313:AG313">
    <cfRule type="cellIs" dxfId="300" priority="302" operator="equal">
      <formula>"SP"</formula>
    </cfRule>
    <cfRule type="cellIs" dxfId="299" priority="303" operator="equal">
      <formula>"."</formula>
    </cfRule>
  </conditionalFormatting>
  <conditionalFormatting sqref="D315:AG315">
    <cfRule type="cellIs" dxfId="298" priority="297" operator="equal">
      <formula>"AL"</formula>
    </cfRule>
    <cfRule type="cellIs" dxfId="297" priority="298" operator="equal">
      <formula>"NA"</formula>
    </cfRule>
    <cfRule type="cellIs" dxfId="296" priority="299" operator="equal">
      <formula>"SL"</formula>
    </cfRule>
    <cfRule type="cellIs" dxfId="295" priority="300" stopIfTrue="1" operator="equal">
      <formula>"X"</formula>
    </cfRule>
    <cfRule type="cellIs" dxfId="294" priority="301" operator="equal">
      <formula>"H"</formula>
    </cfRule>
  </conditionalFormatting>
  <conditionalFormatting sqref="D315:AG315">
    <cfRule type="cellIs" dxfId="293" priority="295" operator="equal">
      <formula>"SP"</formula>
    </cfRule>
    <cfRule type="cellIs" dxfId="292" priority="296" operator="equal">
      <formula>"."</formula>
    </cfRule>
  </conditionalFormatting>
  <conditionalFormatting sqref="D317:AG317">
    <cfRule type="cellIs" dxfId="291" priority="290" operator="equal">
      <formula>"AL"</formula>
    </cfRule>
    <cfRule type="cellIs" dxfId="290" priority="291" operator="equal">
      <formula>"NA"</formula>
    </cfRule>
    <cfRule type="cellIs" dxfId="289" priority="292" operator="equal">
      <formula>"SL"</formula>
    </cfRule>
    <cfRule type="cellIs" dxfId="288" priority="293" stopIfTrue="1" operator="equal">
      <formula>"X"</formula>
    </cfRule>
    <cfRule type="cellIs" dxfId="287" priority="294" operator="equal">
      <formula>"H"</formula>
    </cfRule>
  </conditionalFormatting>
  <conditionalFormatting sqref="D317:AG317">
    <cfRule type="cellIs" dxfId="286" priority="288" operator="equal">
      <formula>"SP"</formula>
    </cfRule>
    <cfRule type="cellIs" dxfId="285" priority="289" operator="equal">
      <formula>"."</formula>
    </cfRule>
  </conditionalFormatting>
  <conditionalFormatting sqref="D319:AG319">
    <cfRule type="cellIs" dxfId="284" priority="283" operator="equal">
      <formula>"AL"</formula>
    </cfRule>
    <cfRule type="cellIs" dxfId="283" priority="284" operator="equal">
      <formula>"NA"</formula>
    </cfRule>
    <cfRule type="cellIs" dxfId="282" priority="285" operator="equal">
      <formula>"SL"</formula>
    </cfRule>
    <cfRule type="cellIs" dxfId="281" priority="286" stopIfTrue="1" operator="equal">
      <formula>"X"</formula>
    </cfRule>
    <cfRule type="cellIs" dxfId="280" priority="287" operator="equal">
      <formula>"H"</formula>
    </cfRule>
  </conditionalFormatting>
  <conditionalFormatting sqref="D319:AG319">
    <cfRule type="cellIs" dxfId="279" priority="281" operator="equal">
      <formula>"SP"</formula>
    </cfRule>
    <cfRule type="cellIs" dxfId="278" priority="282" operator="equal">
      <formula>"."</formula>
    </cfRule>
  </conditionalFormatting>
  <conditionalFormatting sqref="D306:AG306">
    <cfRule type="cellIs" dxfId="277" priority="276" operator="equal">
      <formula>"AL"</formula>
    </cfRule>
    <cfRule type="cellIs" dxfId="276" priority="277" operator="equal">
      <formula>"NA"</formula>
    </cfRule>
    <cfRule type="cellIs" dxfId="275" priority="278" operator="equal">
      <formula>"SL"</formula>
    </cfRule>
    <cfRule type="cellIs" dxfId="274" priority="279" stopIfTrue="1" operator="equal">
      <formula>"X"</formula>
    </cfRule>
    <cfRule type="cellIs" dxfId="273" priority="280" operator="equal">
      <formula>"H"</formula>
    </cfRule>
  </conditionalFormatting>
  <conditionalFormatting sqref="D306:AG306">
    <cfRule type="cellIs" dxfId="272" priority="274" operator="equal">
      <formula>"SP"</formula>
    </cfRule>
    <cfRule type="cellIs" dxfId="271" priority="275" operator="equal">
      <formula>"."</formula>
    </cfRule>
  </conditionalFormatting>
  <conditionalFormatting sqref="D308:AG308">
    <cfRule type="cellIs" dxfId="270" priority="269" operator="equal">
      <formula>"AL"</formula>
    </cfRule>
    <cfRule type="cellIs" dxfId="269" priority="270" operator="equal">
      <formula>"NA"</formula>
    </cfRule>
    <cfRule type="cellIs" dxfId="268" priority="271" operator="equal">
      <formula>"SL"</formula>
    </cfRule>
    <cfRule type="cellIs" dxfId="267" priority="272" stopIfTrue="1" operator="equal">
      <formula>"X"</formula>
    </cfRule>
    <cfRule type="cellIs" dxfId="266" priority="273" operator="equal">
      <formula>"H"</formula>
    </cfRule>
  </conditionalFormatting>
  <conditionalFormatting sqref="D308:AG308">
    <cfRule type="cellIs" dxfId="265" priority="267" operator="equal">
      <formula>"SP"</formula>
    </cfRule>
    <cfRule type="cellIs" dxfId="264" priority="268" operator="equal">
      <formula>"."</formula>
    </cfRule>
  </conditionalFormatting>
  <conditionalFormatting sqref="D310:AG310">
    <cfRule type="cellIs" dxfId="263" priority="262" operator="equal">
      <formula>"AL"</formula>
    </cfRule>
    <cfRule type="cellIs" dxfId="262" priority="263" operator="equal">
      <formula>"NA"</formula>
    </cfRule>
    <cfRule type="cellIs" dxfId="261" priority="264" operator="equal">
      <formula>"SL"</formula>
    </cfRule>
    <cfRule type="cellIs" dxfId="260" priority="265" stopIfTrue="1" operator="equal">
      <formula>"X"</formula>
    </cfRule>
    <cfRule type="cellIs" dxfId="259" priority="266" operator="equal">
      <formula>"H"</formula>
    </cfRule>
  </conditionalFormatting>
  <conditionalFormatting sqref="D310:AG310">
    <cfRule type="cellIs" dxfId="258" priority="260" operator="equal">
      <formula>"SP"</formula>
    </cfRule>
    <cfRule type="cellIs" dxfId="257" priority="261" operator="equal">
      <formula>"."</formula>
    </cfRule>
  </conditionalFormatting>
  <conditionalFormatting sqref="D312:AG312">
    <cfRule type="cellIs" dxfId="256" priority="255" operator="equal">
      <formula>"AL"</formula>
    </cfRule>
    <cfRule type="cellIs" dxfId="255" priority="256" operator="equal">
      <formula>"NA"</formula>
    </cfRule>
    <cfRule type="cellIs" dxfId="254" priority="257" operator="equal">
      <formula>"SL"</formula>
    </cfRule>
    <cfRule type="cellIs" dxfId="253" priority="258" stopIfTrue="1" operator="equal">
      <formula>"X"</formula>
    </cfRule>
    <cfRule type="cellIs" dxfId="252" priority="259" operator="equal">
      <formula>"H"</formula>
    </cfRule>
  </conditionalFormatting>
  <conditionalFormatting sqref="D312:AG312">
    <cfRule type="cellIs" dxfId="251" priority="253" operator="equal">
      <formula>"SP"</formula>
    </cfRule>
    <cfRule type="cellIs" dxfId="250" priority="254" operator="equal">
      <formula>"."</formula>
    </cfRule>
  </conditionalFormatting>
  <conditionalFormatting sqref="D314:AG314">
    <cfRule type="cellIs" dxfId="249" priority="248" operator="equal">
      <formula>"AL"</formula>
    </cfRule>
    <cfRule type="cellIs" dxfId="248" priority="249" operator="equal">
      <formula>"NA"</formula>
    </cfRule>
    <cfRule type="cellIs" dxfId="247" priority="250" operator="equal">
      <formula>"SL"</formula>
    </cfRule>
    <cfRule type="cellIs" dxfId="246" priority="251" stopIfTrue="1" operator="equal">
      <formula>"X"</formula>
    </cfRule>
    <cfRule type="cellIs" dxfId="245" priority="252" operator="equal">
      <formula>"H"</formula>
    </cfRule>
  </conditionalFormatting>
  <conditionalFormatting sqref="D314:AG314">
    <cfRule type="cellIs" dxfId="244" priority="246" operator="equal">
      <formula>"SP"</formula>
    </cfRule>
    <cfRule type="cellIs" dxfId="243" priority="247" operator="equal">
      <formula>"."</formula>
    </cfRule>
  </conditionalFormatting>
  <conditionalFormatting sqref="D316:AG316">
    <cfRule type="cellIs" dxfId="242" priority="241" operator="equal">
      <formula>"AL"</formula>
    </cfRule>
    <cfRule type="cellIs" dxfId="241" priority="242" operator="equal">
      <formula>"NA"</formula>
    </cfRule>
    <cfRule type="cellIs" dxfId="240" priority="243" operator="equal">
      <formula>"SL"</formula>
    </cfRule>
    <cfRule type="cellIs" dxfId="239" priority="244" stopIfTrue="1" operator="equal">
      <formula>"X"</formula>
    </cfRule>
    <cfRule type="cellIs" dxfId="238" priority="245" operator="equal">
      <formula>"H"</formula>
    </cfRule>
  </conditionalFormatting>
  <conditionalFormatting sqref="D316:AG316">
    <cfRule type="cellIs" dxfId="237" priority="239" operator="equal">
      <formula>"SP"</formula>
    </cfRule>
    <cfRule type="cellIs" dxfId="236" priority="240" operator="equal">
      <formula>"."</formula>
    </cfRule>
  </conditionalFormatting>
  <conditionalFormatting sqref="D318:AG318">
    <cfRule type="cellIs" dxfId="235" priority="234" operator="equal">
      <formula>"AL"</formula>
    </cfRule>
    <cfRule type="cellIs" dxfId="234" priority="235" operator="equal">
      <formula>"NA"</formula>
    </cfRule>
    <cfRule type="cellIs" dxfId="233" priority="236" operator="equal">
      <formula>"SL"</formula>
    </cfRule>
    <cfRule type="cellIs" dxfId="232" priority="237" stopIfTrue="1" operator="equal">
      <formula>"X"</formula>
    </cfRule>
    <cfRule type="cellIs" dxfId="231" priority="238" operator="equal">
      <formula>"H"</formula>
    </cfRule>
  </conditionalFormatting>
  <conditionalFormatting sqref="D318:AG318">
    <cfRule type="cellIs" dxfId="230" priority="232" operator="equal">
      <formula>"SP"</formula>
    </cfRule>
    <cfRule type="cellIs" dxfId="229" priority="233" operator="equal">
      <formula>"."</formula>
    </cfRule>
  </conditionalFormatting>
  <conditionalFormatting sqref="D320:AG320">
    <cfRule type="cellIs" dxfId="228" priority="227" operator="equal">
      <formula>"AL"</formula>
    </cfRule>
    <cfRule type="cellIs" dxfId="227" priority="228" operator="equal">
      <formula>"NA"</formula>
    </cfRule>
    <cfRule type="cellIs" dxfId="226" priority="229" operator="equal">
      <formula>"SL"</formula>
    </cfRule>
    <cfRule type="cellIs" dxfId="225" priority="230" stopIfTrue="1" operator="equal">
      <formula>"X"</formula>
    </cfRule>
    <cfRule type="cellIs" dxfId="224" priority="231" operator="equal">
      <formula>"H"</formula>
    </cfRule>
  </conditionalFormatting>
  <conditionalFormatting sqref="D336:AH336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336:AH336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338:AH338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338:AH338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340:AH340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340:AH340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342:AH342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342:AH342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344:AH344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344:AH344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346:AH346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346:AH346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348:AH348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348:AH348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350:AH350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350:AH350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337:AH337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337:AH337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339:AH339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339:AH339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341:AH341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341:AH341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343:AH343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343:AH343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345:AH345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345:AH345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347:AH347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347:AH347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349:AH349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349:AH349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351:AH351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351:AH351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382:AG382">
    <cfRule type="cellIs" dxfId="111" priority="1" operator="equal">
      <formula>"SP"</formula>
    </cfRule>
    <cfRule type="cellIs" dxfId="110" priority="2" operator="equal">
      <formula>"."</formula>
    </cfRule>
  </conditionalFormatting>
  <conditionalFormatting sqref="D367:AG367">
    <cfRule type="cellIs" dxfId="109" priority="108" operator="equal">
      <formula>"AL"</formula>
    </cfRule>
    <cfRule type="cellIs" dxfId="108" priority="109" operator="equal">
      <formula>"NA"</formula>
    </cfRule>
    <cfRule type="cellIs" dxfId="107" priority="110" operator="equal">
      <formula>"SL"</formula>
    </cfRule>
    <cfRule type="cellIs" dxfId="106" priority="111" stopIfTrue="1" operator="equal">
      <formula>"X"</formula>
    </cfRule>
    <cfRule type="cellIs" dxfId="105" priority="112" operator="equal">
      <formula>"H"</formula>
    </cfRule>
  </conditionalFormatting>
  <conditionalFormatting sqref="D367:AG367">
    <cfRule type="cellIs" dxfId="104" priority="106" operator="equal">
      <formula>"SP"</formula>
    </cfRule>
    <cfRule type="cellIs" dxfId="103" priority="107" operator="equal">
      <formula>"."</formula>
    </cfRule>
  </conditionalFormatting>
  <conditionalFormatting sqref="D369:AG369">
    <cfRule type="cellIs" dxfId="102" priority="101" operator="equal">
      <formula>"AL"</formula>
    </cfRule>
    <cfRule type="cellIs" dxfId="101" priority="102" operator="equal">
      <formula>"NA"</formula>
    </cfRule>
    <cfRule type="cellIs" dxfId="100" priority="103" operator="equal">
      <formula>"SL"</formula>
    </cfRule>
    <cfRule type="cellIs" dxfId="99" priority="104" stopIfTrue="1" operator="equal">
      <formula>"X"</formula>
    </cfRule>
    <cfRule type="cellIs" dxfId="98" priority="105" operator="equal">
      <formula>"H"</formula>
    </cfRule>
  </conditionalFormatting>
  <conditionalFormatting sqref="D369:AG369">
    <cfRule type="cellIs" dxfId="97" priority="99" operator="equal">
      <formula>"SP"</formula>
    </cfRule>
    <cfRule type="cellIs" dxfId="96" priority="100" operator="equal">
      <formula>"."</formula>
    </cfRule>
  </conditionalFormatting>
  <conditionalFormatting sqref="D371:AG371">
    <cfRule type="cellIs" dxfId="95" priority="94" operator="equal">
      <formula>"AL"</formula>
    </cfRule>
    <cfRule type="cellIs" dxfId="94" priority="95" operator="equal">
      <formula>"NA"</formula>
    </cfRule>
    <cfRule type="cellIs" dxfId="93" priority="96" operator="equal">
      <formula>"SL"</formula>
    </cfRule>
    <cfRule type="cellIs" dxfId="92" priority="97" stopIfTrue="1" operator="equal">
      <formula>"X"</formula>
    </cfRule>
    <cfRule type="cellIs" dxfId="91" priority="98" operator="equal">
      <formula>"H"</formula>
    </cfRule>
  </conditionalFormatting>
  <conditionalFormatting sqref="D371:AG371">
    <cfRule type="cellIs" dxfId="90" priority="92" operator="equal">
      <formula>"SP"</formula>
    </cfRule>
    <cfRule type="cellIs" dxfId="89" priority="93" operator="equal">
      <formula>"."</formula>
    </cfRule>
  </conditionalFormatting>
  <conditionalFormatting sqref="D373:AG373">
    <cfRule type="cellIs" dxfId="88" priority="87" operator="equal">
      <formula>"AL"</formula>
    </cfRule>
    <cfRule type="cellIs" dxfId="87" priority="88" operator="equal">
      <formula>"NA"</formula>
    </cfRule>
    <cfRule type="cellIs" dxfId="86" priority="89" operator="equal">
      <formula>"SL"</formula>
    </cfRule>
    <cfRule type="cellIs" dxfId="85" priority="90" stopIfTrue="1" operator="equal">
      <formula>"X"</formula>
    </cfRule>
    <cfRule type="cellIs" dxfId="84" priority="91" operator="equal">
      <formula>"H"</formula>
    </cfRule>
  </conditionalFormatting>
  <conditionalFormatting sqref="D373:AG373">
    <cfRule type="cellIs" dxfId="83" priority="85" operator="equal">
      <formula>"SP"</formula>
    </cfRule>
    <cfRule type="cellIs" dxfId="82" priority="86" operator="equal">
      <formula>"."</formula>
    </cfRule>
  </conditionalFormatting>
  <conditionalFormatting sqref="D375:AG375">
    <cfRule type="cellIs" dxfId="81" priority="80" operator="equal">
      <formula>"AL"</formula>
    </cfRule>
    <cfRule type="cellIs" dxfId="80" priority="81" operator="equal">
      <formula>"NA"</formula>
    </cfRule>
    <cfRule type="cellIs" dxfId="79" priority="82" operator="equal">
      <formula>"SL"</formula>
    </cfRule>
    <cfRule type="cellIs" dxfId="78" priority="83" stopIfTrue="1" operator="equal">
      <formula>"X"</formula>
    </cfRule>
    <cfRule type="cellIs" dxfId="77" priority="84" operator="equal">
      <formula>"H"</formula>
    </cfRule>
  </conditionalFormatting>
  <conditionalFormatting sqref="D375:AG375">
    <cfRule type="cellIs" dxfId="76" priority="78" operator="equal">
      <formula>"SP"</formula>
    </cfRule>
    <cfRule type="cellIs" dxfId="75" priority="79" operator="equal">
      <formula>"."</formula>
    </cfRule>
  </conditionalFormatting>
  <conditionalFormatting sqref="D377:AG377">
    <cfRule type="cellIs" dxfId="74" priority="73" operator="equal">
      <formula>"AL"</formula>
    </cfRule>
    <cfRule type="cellIs" dxfId="73" priority="74" operator="equal">
      <formula>"NA"</formula>
    </cfRule>
    <cfRule type="cellIs" dxfId="72" priority="75" operator="equal">
      <formula>"SL"</formula>
    </cfRule>
    <cfRule type="cellIs" dxfId="71" priority="76" stopIfTrue="1" operator="equal">
      <formula>"X"</formula>
    </cfRule>
    <cfRule type="cellIs" dxfId="70" priority="77" operator="equal">
      <formula>"H"</formula>
    </cfRule>
  </conditionalFormatting>
  <conditionalFormatting sqref="D377:AG377">
    <cfRule type="cellIs" dxfId="69" priority="71" operator="equal">
      <formula>"SP"</formula>
    </cfRule>
    <cfRule type="cellIs" dxfId="68" priority="72" operator="equal">
      <formula>"."</formula>
    </cfRule>
  </conditionalFormatting>
  <conditionalFormatting sqref="D379:AG379">
    <cfRule type="cellIs" dxfId="67" priority="66" operator="equal">
      <formula>"AL"</formula>
    </cfRule>
    <cfRule type="cellIs" dxfId="66" priority="67" operator="equal">
      <formula>"NA"</formula>
    </cfRule>
    <cfRule type="cellIs" dxfId="65" priority="68" operator="equal">
      <formula>"SL"</formula>
    </cfRule>
    <cfRule type="cellIs" dxfId="64" priority="69" stopIfTrue="1" operator="equal">
      <formula>"X"</formula>
    </cfRule>
    <cfRule type="cellIs" dxfId="63" priority="70" operator="equal">
      <formula>"H"</formula>
    </cfRule>
  </conditionalFormatting>
  <conditionalFormatting sqref="D379:AG379">
    <cfRule type="cellIs" dxfId="62" priority="64" operator="equal">
      <formula>"SP"</formula>
    </cfRule>
    <cfRule type="cellIs" dxfId="61" priority="65" operator="equal">
      <formula>"."</formula>
    </cfRule>
  </conditionalFormatting>
  <conditionalFormatting sqref="D381:AG381">
    <cfRule type="cellIs" dxfId="60" priority="59" operator="equal">
      <formula>"AL"</formula>
    </cfRule>
    <cfRule type="cellIs" dxfId="59" priority="60" operator="equal">
      <formula>"NA"</formula>
    </cfRule>
    <cfRule type="cellIs" dxfId="58" priority="61" operator="equal">
      <formula>"SL"</formula>
    </cfRule>
    <cfRule type="cellIs" dxfId="57" priority="62" stopIfTrue="1" operator="equal">
      <formula>"X"</formula>
    </cfRule>
    <cfRule type="cellIs" dxfId="56" priority="63" operator="equal">
      <formula>"H"</formula>
    </cfRule>
  </conditionalFormatting>
  <conditionalFormatting sqref="D381:AG381">
    <cfRule type="cellIs" dxfId="55" priority="57" operator="equal">
      <formula>"SP"</formula>
    </cfRule>
    <cfRule type="cellIs" dxfId="54" priority="58" operator="equal">
      <formula>"."</formula>
    </cfRule>
  </conditionalFormatting>
  <conditionalFormatting sqref="D368:AG368">
    <cfRule type="cellIs" dxfId="53" priority="52" operator="equal">
      <formula>"AL"</formula>
    </cfRule>
    <cfRule type="cellIs" dxfId="52" priority="53" operator="equal">
      <formula>"NA"</formula>
    </cfRule>
    <cfRule type="cellIs" dxfId="51" priority="54" operator="equal">
      <formula>"SL"</formula>
    </cfRule>
    <cfRule type="cellIs" dxfId="50" priority="55" stopIfTrue="1" operator="equal">
      <formula>"X"</formula>
    </cfRule>
    <cfRule type="cellIs" dxfId="49" priority="56" operator="equal">
      <formula>"H"</formula>
    </cfRule>
  </conditionalFormatting>
  <conditionalFormatting sqref="D368:AG368">
    <cfRule type="cellIs" dxfId="48" priority="50" operator="equal">
      <formula>"SP"</formula>
    </cfRule>
    <cfRule type="cellIs" dxfId="47" priority="51" operator="equal">
      <formula>"."</formula>
    </cfRule>
  </conditionalFormatting>
  <conditionalFormatting sqref="D370:AG370">
    <cfRule type="cellIs" dxfId="46" priority="45" operator="equal">
      <formula>"AL"</formula>
    </cfRule>
    <cfRule type="cellIs" dxfId="45" priority="46" operator="equal">
      <formula>"NA"</formula>
    </cfRule>
    <cfRule type="cellIs" dxfId="44" priority="47" operator="equal">
      <formula>"SL"</formula>
    </cfRule>
    <cfRule type="cellIs" dxfId="43" priority="48" stopIfTrue="1" operator="equal">
      <formula>"X"</formula>
    </cfRule>
    <cfRule type="cellIs" dxfId="42" priority="49" operator="equal">
      <formula>"H"</formula>
    </cfRule>
  </conditionalFormatting>
  <conditionalFormatting sqref="D370:AG370">
    <cfRule type="cellIs" dxfId="41" priority="43" operator="equal">
      <formula>"SP"</formula>
    </cfRule>
    <cfRule type="cellIs" dxfId="40" priority="44" operator="equal">
      <formula>"."</formula>
    </cfRule>
  </conditionalFormatting>
  <conditionalFormatting sqref="D372:AG372">
    <cfRule type="cellIs" dxfId="39" priority="38" operator="equal">
      <formula>"AL"</formula>
    </cfRule>
    <cfRule type="cellIs" dxfId="38" priority="39" operator="equal">
      <formula>"NA"</formula>
    </cfRule>
    <cfRule type="cellIs" dxfId="37" priority="40" operator="equal">
      <formula>"SL"</formula>
    </cfRule>
    <cfRule type="cellIs" dxfId="36" priority="41" stopIfTrue="1" operator="equal">
      <formula>"X"</formula>
    </cfRule>
    <cfRule type="cellIs" dxfId="35" priority="42" operator="equal">
      <formula>"H"</formula>
    </cfRule>
  </conditionalFormatting>
  <conditionalFormatting sqref="D372:AG372">
    <cfRule type="cellIs" dxfId="34" priority="36" operator="equal">
      <formula>"SP"</formula>
    </cfRule>
    <cfRule type="cellIs" dxfId="33" priority="37" operator="equal">
      <formula>"."</formula>
    </cfRule>
  </conditionalFormatting>
  <conditionalFormatting sqref="D374:AG374">
    <cfRule type="cellIs" dxfId="32" priority="31" operator="equal">
      <formula>"AL"</formula>
    </cfRule>
    <cfRule type="cellIs" dxfId="31" priority="32" operator="equal">
      <formula>"NA"</formula>
    </cfRule>
    <cfRule type="cellIs" dxfId="30" priority="33" operator="equal">
      <formula>"SL"</formula>
    </cfRule>
    <cfRule type="cellIs" dxfId="29" priority="34" stopIfTrue="1" operator="equal">
      <formula>"X"</formula>
    </cfRule>
    <cfRule type="cellIs" dxfId="28" priority="35" operator="equal">
      <formula>"H"</formula>
    </cfRule>
  </conditionalFormatting>
  <conditionalFormatting sqref="D374:AG374">
    <cfRule type="cellIs" dxfId="27" priority="29" operator="equal">
      <formula>"SP"</formula>
    </cfRule>
    <cfRule type="cellIs" dxfId="26" priority="30" operator="equal">
      <formula>"."</formula>
    </cfRule>
  </conditionalFormatting>
  <conditionalFormatting sqref="D376:AG376">
    <cfRule type="cellIs" dxfId="25" priority="24" operator="equal">
      <formula>"AL"</formula>
    </cfRule>
    <cfRule type="cellIs" dxfId="24" priority="25" operator="equal">
      <formula>"NA"</formula>
    </cfRule>
    <cfRule type="cellIs" dxfId="23" priority="26" operator="equal">
      <formula>"SL"</formula>
    </cfRule>
    <cfRule type="cellIs" dxfId="22" priority="27" stopIfTrue="1" operator="equal">
      <formula>"X"</formula>
    </cfRule>
    <cfRule type="cellIs" dxfId="21" priority="28" operator="equal">
      <formula>"H"</formula>
    </cfRule>
  </conditionalFormatting>
  <conditionalFormatting sqref="D376:AG376">
    <cfRule type="cellIs" dxfId="20" priority="22" operator="equal">
      <formula>"SP"</formula>
    </cfRule>
    <cfRule type="cellIs" dxfId="19" priority="23" operator="equal">
      <formula>"."</formula>
    </cfRule>
  </conditionalFormatting>
  <conditionalFormatting sqref="D378:AG378">
    <cfRule type="cellIs" dxfId="18" priority="17" operator="equal">
      <formula>"AL"</formula>
    </cfRule>
    <cfRule type="cellIs" dxfId="17" priority="18" operator="equal">
      <formula>"NA"</formula>
    </cfRule>
    <cfRule type="cellIs" dxfId="16" priority="19" operator="equal">
      <formula>"SL"</formula>
    </cfRule>
    <cfRule type="cellIs" dxfId="15" priority="20" stopIfTrue="1" operator="equal">
      <formula>"X"</formula>
    </cfRule>
    <cfRule type="cellIs" dxfId="14" priority="21" operator="equal">
      <formula>"H"</formula>
    </cfRule>
  </conditionalFormatting>
  <conditionalFormatting sqref="D378:AG378">
    <cfRule type="cellIs" dxfId="13" priority="15" operator="equal">
      <formula>"SP"</formula>
    </cfRule>
    <cfRule type="cellIs" dxfId="12" priority="16" operator="equal">
      <formula>"."</formula>
    </cfRule>
  </conditionalFormatting>
  <conditionalFormatting sqref="D380:AG380">
    <cfRule type="cellIs" dxfId="11" priority="10" operator="equal">
      <formula>"AL"</formula>
    </cfRule>
    <cfRule type="cellIs" dxfId="10" priority="11" operator="equal">
      <formula>"NA"</formula>
    </cfRule>
    <cfRule type="cellIs" dxfId="9" priority="12" operator="equal">
      <formula>"SL"</formula>
    </cfRule>
    <cfRule type="cellIs" dxfId="8" priority="13" stopIfTrue="1" operator="equal">
      <formula>"X"</formula>
    </cfRule>
    <cfRule type="cellIs" dxfId="7" priority="14" operator="equal">
      <formula>"H"</formula>
    </cfRule>
  </conditionalFormatting>
  <conditionalFormatting sqref="D380:AG380">
    <cfRule type="cellIs" dxfId="6" priority="8" operator="equal">
      <formula>"SP"</formula>
    </cfRule>
    <cfRule type="cellIs" dxfId="5" priority="9" operator="equal">
      <formula>"."</formula>
    </cfRule>
  </conditionalFormatting>
  <conditionalFormatting sqref="D382:AG382">
    <cfRule type="cellIs" dxfId="4" priority="3" operator="equal">
      <formula>"AL"</formula>
    </cfRule>
    <cfRule type="cellIs" dxfId="3" priority="4" operator="equal">
      <formula>"NA"</formula>
    </cfRule>
    <cfRule type="cellIs" dxfId="2" priority="5" operator="equal">
      <formula>"SL"</formula>
    </cfRule>
    <cfRule type="cellIs" dxfId="1" priority="6" stopIfTrue="1" operator="equal">
      <formula>"X"</formula>
    </cfRule>
    <cfRule type="cellIs" dxfId="0" priority="7" operator="equal">
      <formula>"H"</formula>
    </cfRule>
  </conditionalFormatting>
  <dataValidations count="3">
    <dataValidation type="list" allowBlank="1" showInputMessage="1" showErrorMessage="1" sqref="AH293:AH320 AH355:AH366 AG231:AH259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DropDown="1" showInputMessage="1" showErrorMessage="1" errorTitle="Invalid Entry" error="Entry can be D,A,N,H,RO,SL,AL,NA or blank only!" sqref="D14:AH41 D45:AH72 D76:AG103 D107:AH134 D138:AG165 D169:AH196 D200:AH227 D231:AF258 D262:AH289 D293:AG320 D324:AH351 D355:AG382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P35"/>
  <sheetViews>
    <sheetView showGridLines="0" showRowColHeaders="0" workbookViewId="0">
      <selection activeCell="P22" sqref="P22"/>
    </sheetView>
  </sheetViews>
  <sheetFormatPr defaultRowHeight="13.2"/>
  <cols>
    <col min="1" max="1" width="2.77734375" customWidth="1"/>
    <col min="2" max="2" width="7.44140625" customWidth="1"/>
    <col min="3" max="4" width="16.6640625" customWidth="1"/>
    <col min="6" max="6" width="2.77734375" customWidth="1"/>
    <col min="7" max="7" width="14.5546875" customWidth="1"/>
    <col min="8" max="8" width="2.77734375" customWidth="1"/>
    <col min="9" max="9" width="12" customWidth="1"/>
    <col min="10" max="10" width="2.77734375" customWidth="1"/>
    <col min="11" max="11" width="17.21875" customWidth="1"/>
    <col min="12" max="12" width="2.77734375" customWidth="1"/>
    <col min="13" max="13" width="13.5546875" customWidth="1"/>
    <col min="14" max="14" width="2.77734375" customWidth="1"/>
    <col min="15" max="15" width="21.21875" customWidth="1"/>
    <col min="16" max="16" width="13.88671875" customWidth="1"/>
  </cols>
  <sheetData>
    <row r="2" spans="2:16" ht="39" customHeight="1"/>
    <row r="3" spans="2:16" ht="17.399999999999999">
      <c r="C3" s="137" t="s">
        <v>24</v>
      </c>
      <c r="D3" s="138" t="s">
        <v>53</v>
      </c>
    </row>
    <row r="4" spans="2:16">
      <c r="G4" s="20" t="s">
        <v>52</v>
      </c>
    </row>
    <row r="5" spans="2:16" ht="13.8" thickBot="1"/>
    <row r="6" spans="2:16" ht="14.4" customHeight="1" thickBot="1">
      <c r="B6" s="219" t="s">
        <v>0</v>
      </c>
      <c r="C6" s="220"/>
      <c r="D6" s="220"/>
      <c r="E6" s="221"/>
      <c r="G6" s="217" t="s">
        <v>7</v>
      </c>
      <c r="I6" s="217" t="s">
        <v>12</v>
      </c>
      <c r="K6" s="217" t="s">
        <v>70</v>
      </c>
      <c r="M6" s="222" t="s">
        <v>71</v>
      </c>
      <c r="O6" s="213" t="s">
        <v>88</v>
      </c>
      <c r="P6" s="214"/>
    </row>
    <row r="7" spans="2:16" ht="14.4" customHeight="1" thickBot="1">
      <c r="B7" s="64"/>
      <c r="C7" s="65" t="s">
        <v>1</v>
      </c>
      <c r="D7" s="65" t="s">
        <v>2</v>
      </c>
      <c r="E7" s="65" t="s">
        <v>3</v>
      </c>
      <c r="G7" s="218"/>
      <c r="I7" s="218"/>
      <c r="K7" s="218"/>
      <c r="M7" s="222"/>
      <c r="O7" s="215"/>
      <c r="P7" s="216"/>
    </row>
    <row r="8" spans="2:16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59" t="s">
        <v>10</v>
      </c>
      <c r="K8" s="162">
        <v>42188</v>
      </c>
      <c r="M8" s="196">
        <f>InitialPeriodEnding</f>
        <v>42188</v>
      </c>
      <c r="O8" s="193" t="s">
        <v>90</v>
      </c>
      <c r="P8" s="197">
        <v>44197</v>
      </c>
    </row>
    <row r="9" spans="2:16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0" t="s">
        <v>11</v>
      </c>
      <c r="M9" s="196">
        <f>M8+7*2</f>
        <v>42202</v>
      </c>
      <c r="O9" s="194" t="s">
        <v>91</v>
      </c>
      <c r="P9" s="198">
        <v>44222</v>
      </c>
    </row>
    <row r="10" spans="2:16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0" t="s">
        <v>9</v>
      </c>
      <c r="M10" s="196">
        <f t="shared" ref="M10:M34" si="0">M9+7*2</f>
        <v>42216</v>
      </c>
      <c r="O10" s="194" t="s">
        <v>92</v>
      </c>
      <c r="P10" s="198">
        <v>44267</v>
      </c>
    </row>
    <row r="11" spans="2:16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0" t="s">
        <v>58</v>
      </c>
      <c r="M11" s="196">
        <f t="shared" si="0"/>
        <v>42230</v>
      </c>
      <c r="O11" s="194" t="s">
        <v>93</v>
      </c>
      <c r="P11" s="198">
        <v>44285</v>
      </c>
    </row>
    <row r="12" spans="2:16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0" t="s">
        <v>39</v>
      </c>
      <c r="M12" s="196">
        <f t="shared" si="0"/>
        <v>42244</v>
      </c>
      <c r="O12" s="194" t="s">
        <v>94</v>
      </c>
      <c r="P12" s="198">
        <v>44286</v>
      </c>
    </row>
    <row r="13" spans="2:16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0" t="s">
        <v>40</v>
      </c>
      <c r="M13" s="196">
        <f t="shared" si="0"/>
        <v>42258</v>
      </c>
      <c r="O13" s="194" t="s">
        <v>95</v>
      </c>
      <c r="P13" s="198">
        <v>44288</v>
      </c>
    </row>
    <row r="14" spans="2:16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0" t="s">
        <v>45</v>
      </c>
      <c r="M14" s="196">
        <f t="shared" si="0"/>
        <v>42272</v>
      </c>
      <c r="O14" s="194" t="s">
        <v>96</v>
      </c>
      <c r="P14" s="198">
        <v>44311</v>
      </c>
    </row>
    <row r="15" spans="2:16" ht="14.4" thickBot="1">
      <c r="B15" s="50" t="s">
        <v>37</v>
      </c>
      <c r="C15" s="58" t="s">
        <v>104</v>
      </c>
      <c r="D15" s="58" t="s">
        <v>103</v>
      </c>
      <c r="E15" s="63" t="str">
        <f>LEFT(EmpGName08)&amp;" " &amp; LEFT(EmpSName08)</f>
        <v>C H</v>
      </c>
      <c r="I15" s="160" t="s">
        <v>46</v>
      </c>
      <c r="M15" s="196">
        <f t="shared" si="0"/>
        <v>42286</v>
      </c>
      <c r="O15" s="194" t="s">
        <v>97</v>
      </c>
      <c r="P15" s="198">
        <v>44324</v>
      </c>
    </row>
    <row r="16" spans="2:16" ht="14.4" thickBot="1">
      <c r="B16" s="50" t="s">
        <v>38</v>
      </c>
      <c r="C16" s="58" t="s">
        <v>105</v>
      </c>
      <c r="D16" s="58" t="s">
        <v>106</v>
      </c>
      <c r="E16" s="63" t="str">
        <f>LEFT(EmpGName09)&amp;" " &amp; LEFT(EmpSName09)</f>
        <v>E H</v>
      </c>
      <c r="I16" s="160" t="s">
        <v>51</v>
      </c>
      <c r="M16" s="196">
        <f t="shared" si="0"/>
        <v>42300</v>
      </c>
      <c r="O16" s="194" t="s">
        <v>98</v>
      </c>
      <c r="P16" s="198">
        <v>44111</v>
      </c>
    </row>
    <row r="17" spans="2:16" ht="14.4" thickBot="1">
      <c r="B17" s="66" t="s">
        <v>47</v>
      </c>
      <c r="C17" s="58" t="s">
        <v>107</v>
      </c>
      <c r="D17" s="58" t="s">
        <v>108</v>
      </c>
      <c r="E17" s="63" t="str">
        <f>LEFT(EmpGName10)&amp;" " &amp; LEFT(EmpSName10)</f>
        <v>J S</v>
      </c>
      <c r="I17" s="160" t="s">
        <v>62</v>
      </c>
      <c r="M17" s="196">
        <f t="shared" si="0"/>
        <v>42314</v>
      </c>
      <c r="O17" s="194" t="s">
        <v>99</v>
      </c>
      <c r="P17" s="198">
        <v>44189</v>
      </c>
    </row>
    <row r="18" spans="2:16" ht="14.4" thickBot="1">
      <c r="B18" s="66" t="s">
        <v>48</v>
      </c>
      <c r="C18" s="58" t="s">
        <v>107</v>
      </c>
      <c r="D18" s="58" t="s">
        <v>109</v>
      </c>
      <c r="E18" s="63" t="str">
        <f>LEFT(EmpGName11)&amp;" " &amp; LEFT(EmpSName11)</f>
        <v>E S</v>
      </c>
      <c r="I18" s="161"/>
      <c r="M18" s="196">
        <f t="shared" si="0"/>
        <v>42328</v>
      </c>
      <c r="O18" s="194" t="s">
        <v>100</v>
      </c>
      <c r="P18" s="198">
        <v>44190</v>
      </c>
    </row>
    <row r="19" spans="2:16" ht="14.4" thickBot="1">
      <c r="B19" s="66" t="s">
        <v>49</v>
      </c>
      <c r="C19" s="163" t="s">
        <v>110</v>
      </c>
      <c r="D19" s="163" t="s">
        <v>111</v>
      </c>
      <c r="E19" s="63" t="str">
        <f>LEFT(EmpGName12)&amp;" " &amp; LEFT(EmpSName12)</f>
        <v>J J</v>
      </c>
      <c r="M19" s="196">
        <f>M18+7*2</f>
        <v>42342</v>
      </c>
      <c r="O19" s="194" t="s">
        <v>101</v>
      </c>
      <c r="P19" s="198">
        <v>44191</v>
      </c>
    </row>
    <row r="20" spans="2:16" ht="14.4" thickBot="1">
      <c r="B20" s="66" t="s">
        <v>72</v>
      </c>
      <c r="C20" s="163" t="s">
        <v>112</v>
      </c>
      <c r="D20" s="163" t="s">
        <v>112</v>
      </c>
      <c r="E20" s="63" t="str">
        <f>LEFT(EmpGName13)&amp;" " &amp; LEFT(EmpSName13)</f>
        <v>J J</v>
      </c>
      <c r="M20" s="196">
        <f t="shared" si="0"/>
        <v>42356</v>
      </c>
      <c r="O20" s="194" t="s">
        <v>102</v>
      </c>
      <c r="P20" s="198">
        <v>44196</v>
      </c>
    </row>
    <row r="21" spans="2:16" ht="14.4" thickBot="1">
      <c r="B21" s="66" t="s">
        <v>73</v>
      </c>
      <c r="C21" s="163" t="s">
        <v>113</v>
      </c>
      <c r="D21" s="163" t="s">
        <v>114</v>
      </c>
      <c r="E21" s="63" t="str">
        <f>LEFT(EmpGName14)&amp;" " &amp; LEFT(EmpSName14)</f>
        <v>J J</v>
      </c>
      <c r="M21" s="196">
        <f t="shared" si="0"/>
        <v>42370</v>
      </c>
      <c r="O21" s="194"/>
      <c r="P21" s="198"/>
    </row>
    <row r="22" spans="2:16" ht="14.4" thickBot="1">
      <c r="B22" s="66" t="s">
        <v>74</v>
      </c>
      <c r="C22" s="163" t="s">
        <v>115</v>
      </c>
      <c r="D22" s="163" t="s">
        <v>116</v>
      </c>
      <c r="E22" s="63" t="str">
        <f>LEFT(EmpGName15)&amp;" " &amp; LEFT(EmpSName15)</f>
        <v>J F</v>
      </c>
      <c r="M22" s="196">
        <f t="shared" si="0"/>
        <v>42384</v>
      </c>
      <c r="O22" s="195"/>
      <c r="P22" s="199"/>
    </row>
    <row r="23" spans="2:16" ht="14.4" thickBot="1">
      <c r="B23" s="66" t="s">
        <v>75</v>
      </c>
      <c r="C23" s="163" t="s">
        <v>115</v>
      </c>
      <c r="D23" s="163" t="s">
        <v>111</v>
      </c>
      <c r="E23" s="63" t="str">
        <f>LEFT(EmpGName16)&amp;" " &amp; LEFT(EmpSName16)</f>
        <v>J F</v>
      </c>
      <c r="M23" s="196">
        <f t="shared" si="0"/>
        <v>42398</v>
      </c>
      <c r="O23" s="44"/>
      <c r="P23" s="44"/>
    </row>
    <row r="24" spans="2:16" ht="14.4" thickBot="1">
      <c r="B24" s="66" t="s">
        <v>76</v>
      </c>
      <c r="C24" s="163" t="s">
        <v>117</v>
      </c>
      <c r="D24" s="163" t="s">
        <v>110</v>
      </c>
      <c r="E24" s="63" t="str">
        <f>LEFT(EmpGName17)&amp;" " &amp; LEFT(EmpSName17)</f>
        <v>J S</v>
      </c>
      <c r="M24" s="196">
        <f t="shared" si="0"/>
        <v>42412</v>
      </c>
    </row>
    <row r="25" spans="2:16" ht="14.4" thickBot="1">
      <c r="B25" s="66" t="s">
        <v>77</v>
      </c>
      <c r="C25" s="163" t="s">
        <v>117</v>
      </c>
      <c r="D25" s="163" t="s">
        <v>106</v>
      </c>
      <c r="E25" s="63" t="str">
        <f>LEFT(EmpGName18)&amp;" " &amp; LEFT(EmpSName18)</f>
        <v>E S</v>
      </c>
      <c r="M25" s="196">
        <f t="shared" si="0"/>
        <v>42426</v>
      </c>
    </row>
    <row r="26" spans="2:16" ht="14.4" thickBot="1">
      <c r="B26" s="66" t="s">
        <v>78</v>
      </c>
      <c r="C26" s="163" t="s">
        <v>118</v>
      </c>
      <c r="D26" s="163" t="s">
        <v>112</v>
      </c>
      <c r="E26" s="63" t="str">
        <f>LEFT(EmpGName19)&amp;" " &amp; LEFT(EmpSName19)</f>
        <v>J B</v>
      </c>
      <c r="M26" s="196">
        <f t="shared" si="0"/>
        <v>42440</v>
      </c>
    </row>
    <row r="27" spans="2:16" ht="14.4" thickBot="1">
      <c r="B27" s="66" t="s">
        <v>79</v>
      </c>
      <c r="C27" s="163" t="s">
        <v>118</v>
      </c>
      <c r="D27" s="163" t="s">
        <v>111</v>
      </c>
      <c r="E27" s="63" t="str">
        <f>LEFT(EmpGName20)&amp;" " &amp; LEFT(EmpSName20)</f>
        <v>J B</v>
      </c>
      <c r="M27" s="196">
        <f t="shared" si="0"/>
        <v>42454</v>
      </c>
    </row>
    <row r="28" spans="2:16" ht="14.4" thickBot="1">
      <c r="B28" s="66" t="s">
        <v>80</v>
      </c>
      <c r="C28" s="163" t="s">
        <v>118</v>
      </c>
      <c r="D28" s="163" t="s">
        <v>119</v>
      </c>
      <c r="E28" s="63" t="str">
        <f>LEFT(EmpGName21)&amp;" " &amp; LEFT(EmpSName21)</f>
        <v>S B</v>
      </c>
      <c r="M28" s="196">
        <f t="shared" si="0"/>
        <v>42468</v>
      </c>
    </row>
    <row r="29" spans="2:16" ht="14.4" thickBot="1">
      <c r="B29" s="66" t="s">
        <v>81</v>
      </c>
      <c r="C29" s="163" t="s">
        <v>120</v>
      </c>
      <c r="D29" s="163" t="s">
        <v>121</v>
      </c>
      <c r="E29" s="63" t="str">
        <f>LEFT(EmpGName22)&amp;" " &amp; LEFT(EmpSName22)</f>
        <v>E B</v>
      </c>
      <c r="M29" s="196">
        <f t="shared" si="0"/>
        <v>42482</v>
      </c>
    </row>
    <row r="30" spans="2:16" ht="14.4" thickBot="1">
      <c r="B30" s="66" t="s">
        <v>82</v>
      </c>
      <c r="C30" s="163" t="s">
        <v>120</v>
      </c>
      <c r="D30" s="163" t="s">
        <v>109</v>
      </c>
      <c r="E30" s="63" t="str">
        <f>LEFT(EmpGName23)&amp;" " &amp; LEFT(EmpSName23)</f>
        <v>E B</v>
      </c>
      <c r="M30" s="196">
        <f t="shared" si="0"/>
        <v>42496</v>
      </c>
    </row>
    <row r="31" spans="2:16" ht="14.4" thickBot="1">
      <c r="B31" s="66" t="s">
        <v>83</v>
      </c>
      <c r="C31" s="163" t="s">
        <v>120</v>
      </c>
      <c r="D31" s="163" t="s">
        <v>122</v>
      </c>
      <c r="E31" s="63" t="str">
        <f>LEFT(EmpGName24)&amp;" " &amp; LEFT(EmpSName24)</f>
        <v>S B</v>
      </c>
      <c r="M31" s="196">
        <f t="shared" si="0"/>
        <v>42510</v>
      </c>
    </row>
    <row r="32" spans="2:16" ht="14.4" thickBot="1">
      <c r="B32" s="66" t="s">
        <v>84</v>
      </c>
      <c r="C32" s="163" t="s">
        <v>123</v>
      </c>
      <c r="D32" s="163" t="s">
        <v>124</v>
      </c>
      <c r="E32" s="63" t="str">
        <f>LEFT(EmpGName25)&amp;" " &amp; LEFT(EmpSName25)</f>
        <v>S G</v>
      </c>
      <c r="M32" s="196">
        <f t="shared" si="0"/>
        <v>42524</v>
      </c>
    </row>
    <row r="33" spans="2:13" ht="14.4" thickBot="1">
      <c r="B33" s="66" t="s">
        <v>85</v>
      </c>
      <c r="C33" s="163" t="s">
        <v>123</v>
      </c>
      <c r="D33" s="163" t="s">
        <v>27</v>
      </c>
      <c r="E33" s="63" t="str">
        <f>LEFT(EmpGName26)&amp;" " &amp; LEFT(EmpSName26)</f>
        <v>I G</v>
      </c>
      <c r="M33" s="196">
        <f t="shared" si="0"/>
        <v>42538</v>
      </c>
    </row>
    <row r="34" spans="2:13" ht="14.4" thickBot="1">
      <c r="B34" s="66" t="s">
        <v>86</v>
      </c>
      <c r="C34" s="163" t="s">
        <v>123</v>
      </c>
      <c r="D34" s="163" t="s">
        <v>43</v>
      </c>
      <c r="E34" s="63" t="str">
        <f>LEFT(EmpGName27)&amp;" " &amp; LEFT(EmpSName27)</f>
        <v>D G</v>
      </c>
      <c r="M34" s="196">
        <f t="shared" si="0"/>
        <v>42552</v>
      </c>
    </row>
    <row r="35" spans="2:13" ht="14.4" thickBot="1">
      <c r="B35" s="67" t="s">
        <v>87</v>
      </c>
      <c r="C35" s="164" t="s">
        <v>123</v>
      </c>
      <c r="D35" s="164" t="s">
        <v>108</v>
      </c>
      <c r="E35" s="91" t="str">
        <f>LEFT(EmpGName28)&amp;" " &amp; LEFT(EmpSName28)</f>
        <v>J G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6">
    <mergeCell ref="O6:P7"/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17" t="str">
        <f>Location</f>
        <v>Oodlawirra Quarantine Station</v>
      </c>
      <c r="J2" s="100"/>
      <c r="K2" s="100"/>
      <c r="L2" s="100"/>
      <c r="M2" s="100"/>
      <c r="N2" s="100"/>
      <c r="O2" s="100"/>
      <c r="P2" s="100"/>
      <c r="Q2" s="100"/>
      <c r="R2" s="117" t="str">
        <f xml:space="preserve"> "Financial Year Commencing 1st July, " &amp; CurYear -1</f>
        <v>Financial Year Commencing 1st July, 2020</v>
      </c>
      <c r="S2" s="34"/>
      <c r="T2" s="100"/>
      <c r="U2" s="100"/>
      <c r="V2" s="34"/>
      <c r="W2" s="100"/>
      <c r="X2" s="100"/>
      <c r="Y2" s="100"/>
      <c r="Z2" s="100"/>
      <c r="AA2" s="100"/>
      <c r="AB2" s="100"/>
      <c r="AC2" s="100"/>
      <c r="AD2" s="100"/>
      <c r="AE2" s="100"/>
      <c r="AF2" s="100"/>
    </row>
    <row r="3" spans="2:33" s="26" customFormat="1" ht="27" customHeight="1">
      <c r="B3" s="47"/>
      <c r="I3" s="118" t="s">
        <v>25</v>
      </c>
      <c r="R3" s="11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97" customFormat="1" ht="13.8" thickBot="1">
      <c r="B4" s="98"/>
      <c r="C4" s="28" t="str">
        <f>LEFT(TEXT(C5&amp;"-"&amp;$B5&amp;"-"&amp;CurYear-1,"ddd"),2)</f>
        <v>We</v>
      </c>
      <c r="D4" s="28" t="str">
        <f t="shared" ref="D4:AG4" si="0">LEFT(TEXT(D5&amp;"-"&amp;$B5&amp;"-"&amp;CurYear-1,"ddd"),2)</f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97" t="str">
        <f t="shared" si="0"/>
        <v>Fr</v>
      </c>
    </row>
    <row r="5" spans="2:33" ht="14.4" thickTop="1" thickBot="1">
      <c r="B5" s="101" t="str">
        <f>Roster!C13</f>
        <v>July</v>
      </c>
      <c r="C5" s="102">
        <v>1</v>
      </c>
      <c r="D5" s="103">
        <v>2</v>
      </c>
      <c r="E5" s="103">
        <v>3</v>
      </c>
      <c r="F5" s="103">
        <v>4</v>
      </c>
      <c r="G5" s="103">
        <v>5</v>
      </c>
      <c r="H5" s="103">
        <v>6</v>
      </c>
      <c r="I5" s="103">
        <v>7</v>
      </c>
      <c r="J5" s="103">
        <v>8</v>
      </c>
      <c r="K5" s="103">
        <v>9</v>
      </c>
      <c r="L5" s="103">
        <v>10</v>
      </c>
      <c r="M5" s="103">
        <v>11</v>
      </c>
      <c r="N5" s="103">
        <v>12</v>
      </c>
      <c r="O5" s="103">
        <v>13</v>
      </c>
      <c r="P5" s="103">
        <v>14</v>
      </c>
      <c r="Q5" s="103">
        <v>15</v>
      </c>
      <c r="R5" s="103">
        <v>16</v>
      </c>
      <c r="S5" s="103">
        <v>17</v>
      </c>
      <c r="T5" s="103">
        <v>18</v>
      </c>
      <c r="U5" s="103">
        <v>19</v>
      </c>
      <c r="V5" s="103">
        <v>20</v>
      </c>
      <c r="W5" s="103">
        <v>21</v>
      </c>
      <c r="X5" s="103">
        <v>22</v>
      </c>
      <c r="Y5" s="103">
        <v>23</v>
      </c>
      <c r="Z5" s="103">
        <v>24</v>
      </c>
      <c r="AA5" s="103">
        <v>25</v>
      </c>
      <c r="AB5" s="103">
        <v>26</v>
      </c>
      <c r="AC5" s="103">
        <v>27</v>
      </c>
      <c r="AD5" s="103">
        <v>28</v>
      </c>
      <c r="AE5" s="103">
        <v>29</v>
      </c>
      <c r="AF5" s="103">
        <v>30</v>
      </c>
      <c r="AG5" s="104">
        <v>31</v>
      </c>
    </row>
    <row r="6" spans="2:33" ht="14.4" thickTop="1" thickBot="1">
      <c r="B6" s="101">
        <f>CurYear-1</f>
        <v>2020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101" t="str">
        <f>Roster!C44</f>
        <v>August</v>
      </c>
      <c r="C8" s="102">
        <v>1</v>
      </c>
      <c r="D8" s="103">
        <v>2</v>
      </c>
      <c r="E8" s="103">
        <v>3</v>
      </c>
      <c r="F8" s="103">
        <v>4</v>
      </c>
      <c r="G8" s="103">
        <v>5</v>
      </c>
      <c r="H8" s="103">
        <v>6</v>
      </c>
      <c r="I8" s="103">
        <v>7</v>
      </c>
      <c r="J8" s="103">
        <v>8</v>
      </c>
      <c r="K8" s="103">
        <v>9</v>
      </c>
      <c r="L8" s="103">
        <v>10</v>
      </c>
      <c r="M8" s="103">
        <v>11</v>
      </c>
      <c r="N8" s="103">
        <v>12</v>
      </c>
      <c r="O8" s="103">
        <v>13</v>
      </c>
      <c r="P8" s="103">
        <v>14</v>
      </c>
      <c r="Q8" s="103">
        <v>15</v>
      </c>
      <c r="R8" s="103">
        <v>16</v>
      </c>
      <c r="S8" s="103">
        <v>17</v>
      </c>
      <c r="T8" s="103">
        <v>18</v>
      </c>
      <c r="U8" s="103">
        <v>19</v>
      </c>
      <c r="V8" s="103">
        <v>20</v>
      </c>
      <c r="W8" s="103">
        <v>21</v>
      </c>
      <c r="X8" s="103">
        <v>22</v>
      </c>
      <c r="Y8" s="103">
        <v>23</v>
      </c>
      <c r="Z8" s="103">
        <v>24</v>
      </c>
      <c r="AA8" s="103">
        <v>25</v>
      </c>
      <c r="AB8" s="103">
        <v>26</v>
      </c>
      <c r="AC8" s="103">
        <v>27</v>
      </c>
      <c r="AD8" s="106">
        <v>28</v>
      </c>
      <c r="AE8" s="103">
        <v>29</v>
      </c>
      <c r="AF8" s="107">
        <v>30</v>
      </c>
      <c r="AG8" s="104">
        <v>31</v>
      </c>
    </row>
    <row r="9" spans="2:33" ht="14.4" thickTop="1" thickBot="1">
      <c r="B9" s="101">
        <f>CurYear-1</f>
        <v>2020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08"/>
    </row>
    <row r="11" spans="2:33" ht="14.4" thickTop="1" thickBot="1">
      <c r="B11" s="101" t="str">
        <f>Roster!C75</f>
        <v>September</v>
      </c>
      <c r="C11" s="109">
        <v>1</v>
      </c>
      <c r="D11" s="110">
        <v>2</v>
      </c>
      <c r="E11" s="110">
        <v>3</v>
      </c>
      <c r="F11" s="110">
        <v>4</v>
      </c>
      <c r="G11" s="110">
        <v>5</v>
      </c>
      <c r="H11" s="110">
        <v>6</v>
      </c>
      <c r="I11" s="110">
        <v>7</v>
      </c>
      <c r="J11" s="110">
        <v>8</v>
      </c>
      <c r="K11" s="110">
        <v>9</v>
      </c>
      <c r="L11" s="110">
        <v>10</v>
      </c>
      <c r="M11" s="110">
        <v>11</v>
      </c>
      <c r="N11" s="110">
        <v>12</v>
      </c>
      <c r="O11" s="110">
        <v>13</v>
      </c>
      <c r="P11" s="110">
        <v>14</v>
      </c>
      <c r="Q11" s="110">
        <v>15</v>
      </c>
      <c r="R11" s="110">
        <v>16</v>
      </c>
      <c r="S11" s="110">
        <v>17</v>
      </c>
      <c r="T11" s="110">
        <v>18</v>
      </c>
      <c r="U11" s="110">
        <v>19</v>
      </c>
      <c r="V11" s="110">
        <v>20</v>
      </c>
      <c r="W11" s="110">
        <v>21</v>
      </c>
      <c r="X11" s="110">
        <v>22</v>
      </c>
      <c r="Y11" s="110">
        <v>23</v>
      </c>
      <c r="Z11" s="110">
        <v>24</v>
      </c>
      <c r="AA11" s="110">
        <v>25</v>
      </c>
      <c r="AB11" s="110">
        <v>26</v>
      </c>
      <c r="AC11" s="110">
        <v>27</v>
      </c>
      <c r="AD11" s="110">
        <v>28</v>
      </c>
      <c r="AE11" s="110">
        <v>29</v>
      </c>
      <c r="AF11" s="111">
        <v>30</v>
      </c>
    </row>
    <row r="12" spans="2:33" ht="14.4" thickTop="1" thickBot="1">
      <c r="B12" s="101">
        <f>CurYear-1</f>
        <v>2020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101" t="str">
        <f>Roster!C106</f>
        <v>October</v>
      </c>
      <c r="C14" s="102">
        <v>1</v>
      </c>
      <c r="D14" s="103">
        <v>2</v>
      </c>
      <c r="E14" s="103">
        <v>3</v>
      </c>
      <c r="F14" s="103">
        <v>4</v>
      </c>
      <c r="G14" s="103">
        <v>5</v>
      </c>
      <c r="H14" s="103">
        <v>6</v>
      </c>
      <c r="I14" s="103">
        <v>7</v>
      </c>
      <c r="J14" s="103">
        <v>8</v>
      </c>
      <c r="K14" s="103">
        <v>9</v>
      </c>
      <c r="L14" s="103">
        <v>10</v>
      </c>
      <c r="M14" s="103">
        <v>11</v>
      </c>
      <c r="N14" s="103">
        <v>12</v>
      </c>
      <c r="O14" s="103">
        <v>13</v>
      </c>
      <c r="P14" s="103">
        <v>14</v>
      </c>
      <c r="Q14" s="103">
        <v>15</v>
      </c>
      <c r="R14" s="103">
        <v>16</v>
      </c>
      <c r="S14" s="103">
        <v>17</v>
      </c>
      <c r="T14" s="103">
        <v>18</v>
      </c>
      <c r="U14" s="103">
        <v>19</v>
      </c>
      <c r="V14" s="103">
        <v>20</v>
      </c>
      <c r="W14" s="103">
        <v>21</v>
      </c>
      <c r="X14" s="103">
        <v>22</v>
      </c>
      <c r="Y14" s="103">
        <v>23</v>
      </c>
      <c r="Z14" s="103">
        <v>24</v>
      </c>
      <c r="AA14" s="103">
        <v>25</v>
      </c>
      <c r="AB14" s="103">
        <v>26</v>
      </c>
      <c r="AC14" s="103">
        <v>27</v>
      </c>
      <c r="AD14" s="103">
        <v>28</v>
      </c>
      <c r="AE14" s="103">
        <v>29</v>
      </c>
      <c r="AF14" s="103">
        <v>30</v>
      </c>
      <c r="AG14" s="104">
        <v>31</v>
      </c>
    </row>
    <row r="15" spans="2:33" ht="14.4" thickTop="1" thickBot="1">
      <c r="B15" s="101">
        <f>CurYear-1</f>
        <v>2020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08"/>
    </row>
    <row r="17" spans="2:33" ht="14.4" thickTop="1" thickBot="1">
      <c r="B17" s="101" t="str">
        <f>Roster!C137</f>
        <v>November</v>
      </c>
      <c r="C17" s="109">
        <v>1</v>
      </c>
      <c r="D17" s="110">
        <v>2</v>
      </c>
      <c r="E17" s="110">
        <v>3</v>
      </c>
      <c r="F17" s="110">
        <v>4</v>
      </c>
      <c r="G17" s="110">
        <v>5</v>
      </c>
      <c r="H17" s="110">
        <v>6</v>
      </c>
      <c r="I17" s="110">
        <v>7</v>
      </c>
      <c r="J17" s="110">
        <v>8</v>
      </c>
      <c r="K17" s="110">
        <v>9</v>
      </c>
      <c r="L17" s="110">
        <v>10</v>
      </c>
      <c r="M17" s="110">
        <v>11</v>
      </c>
      <c r="N17" s="110">
        <v>12</v>
      </c>
      <c r="O17" s="110">
        <v>13</v>
      </c>
      <c r="P17" s="110">
        <v>14</v>
      </c>
      <c r="Q17" s="110">
        <v>15</v>
      </c>
      <c r="R17" s="110">
        <v>16</v>
      </c>
      <c r="S17" s="110">
        <v>17</v>
      </c>
      <c r="T17" s="110">
        <v>18</v>
      </c>
      <c r="U17" s="110">
        <v>19</v>
      </c>
      <c r="V17" s="110">
        <v>20</v>
      </c>
      <c r="W17" s="110">
        <v>21</v>
      </c>
      <c r="X17" s="110">
        <v>22</v>
      </c>
      <c r="Y17" s="110">
        <v>23</v>
      </c>
      <c r="Z17" s="110">
        <v>24</v>
      </c>
      <c r="AA17" s="110">
        <v>25</v>
      </c>
      <c r="AB17" s="110">
        <v>26</v>
      </c>
      <c r="AC17" s="110">
        <v>27</v>
      </c>
      <c r="AD17" s="110">
        <v>28</v>
      </c>
      <c r="AE17" s="110">
        <v>29</v>
      </c>
      <c r="AF17" s="111">
        <v>30</v>
      </c>
    </row>
    <row r="18" spans="2:33" ht="14.4" thickTop="1" thickBot="1">
      <c r="B18" s="101">
        <f>CurYear-1</f>
        <v>2020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12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1" t="str">
        <f>Roster!C168</f>
        <v>December</v>
      </c>
      <c r="C20" s="102">
        <v>1</v>
      </c>
      <c r="D20" s="103">
        <v>2</v>
      </c>
      <c r="E20" s="103">
        <v>3</v>
      </c>
      <c r="F20" s="103">
        <v>4</v>
      </c>
      <c r="G20" s="103">
        <v>5</v>
      </c>
      <c r="H20" s="103">
        <v>6</v>
      </c>
      <c r="I20" s="103">
        <v>7</v>
      </c>
      <c r="J20" s="103">
        <v>8</v>
      </c>
      <c r="K20" s="103">
        <v>9</v>
      </c>
      <c r="L20" s="103">
        <v>10</v>
      </c>
      <c r="M20" s="103">
        <v>11</v>
      </c>
      <c r="N20" s="103">
        <v>12</v>
      </c>
      <c r="O20" s="103">
        <v>13</v>
      </c>
      <c r="P20" s="103">
        <v>14</v>
      </c>
      <c r="Q20" s="103">
        <v>15</v>
      </c>
      <c r="R20" s="103">
        <v>16</v>
      </c>
      <c r="S20" s="103">
        <v>17</v>
      </c>
      <c r="T20" s="103">
        <v>18</v>
      </c>
      <c r="U20" s="103">
        <v>19</v>
      </c>
      <c r="V20" s="103">
        <v>20</v>
      </c>
      <c r="W20" s="103">
        <v>21</v>
      </c>
      <c r="X20" s="103">
        <v>22</v>
      </c>
      <c r="Y20" s="103">
        <v>23</v>
      </c>
      <c r="Z20" s="103">
        <v>24</v>
      </c>
      <c r="AA20" s="103">
        <v>25</v>
      </c>
      <c r="AB20" s="103">
        <v>26</v>
      </c>
      <c r="AC20" s="103">
        <v>27</v>
      </c>
      <c r="AD20" s="103">
        <v>28</v>
      </c>
      <c r="AE20" s="103">
        <v>29</v>
      </c>
      <c r="AF20" s="103">
        <v>30</v>
      </c>
      <c r="AG20" s="104">
        <v>31</v>
      </c>
    </row>
    <row r="21" spans="2:33" ht="14.4" thickTop="1" thickBot="1">
      <c r="B21" s="101">
        <f>CurYear-1</f>
        <v>2020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1" t="str">
        <f>Roster!$C$199</f>
        <v>January</v>
      </c>
      <c r="C23" s="102">
        <v>1</v>
      </c>
      <c r="D23" s="103">
        <v>2</v>
      </c>
      <c r="E23" s="103">
        <v>3</v>
      </c>
      <c r="F23" s="103">
        <v>4</v>
      </c>
      <c r="G23" s="103">
        <v>5</v>
      </c>
      <c r="H23" s="103">
        <v>6</v>
      </c>
      <c r="I23" s="103">
        <v>7</v>
      </c>
      <c r="J23" s="103">
        <v>8</v>
      </c>
      <c r="K23" s="103">
        <v>9</v>
      </c>
      <c r="L23" s="103">
        <v>10</v>
      </c>
      <c r="M23" s="103">
        <v>11</v>
      </c>
      <c r="N23" s="103">
        <v>12</v>
      </c>
      <c r="O23" s="103">
        <v>13</v>
      </c>
      <c r="P23" s="103">
        <v>14</v>
      </c>
      <c r="Q23" s="103">
        <v>15</v>
      </c>
      <c r="R23" s="103">
        <v>16</v>
      </c>
      <c r="S23" s="103">
        <v>17</v>
      </c>
      <c r="T23" s="103">
        <v>18</v>
      </c>
      <c r="U23" s="103">
        <v>19</v>
      </c>
      <c r="V23" s="103">
        <v>20</v>
      </c>
      <c r="W23" s="103">
        <v>21</v>
      </c>
      <c r="X23" s="103">
        <v>22</v>
      </c>
      <c r="Y23" s="103">
        <v>23</v>
      </c>
      <c r="Z23" s="103">
        <v>24</v>
      </c>
      <c r="AA23" s="103">
        <v>25</v>
      </c>
      <c r="AB23" s="103">
        <v>26</v>
      </c>
      <c r="AC23" s="103">
        <v>27</v>
      </c>
      <c r="AD23" s="103">
        <v>28</v>
      </c>
      <c r="AE23" s="103">
        <v>29</v>
      </c>
      <c r="AF23" s="103">
        <v>30</v>
      </c>
      <c r="AG23" s="104">
        <v>31</v>
      </c>
    </row>
    <row r="24" spans="2:33" ht="14.4" thickTop="1" thickBot="1">
      <c r="B24" s="101" t="str">
        <f>CurYear</f>
        <v>2021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Mo</v>
      </c>
      <c r="D25" s="119" t="str">
        <f t="shared" si="7"/>
        <v>Tu</v>
      </c>
      <c r="E25" s="119" t="str">
        <f t="shared" si="7"/>
        <v>We</v>
      </c>
      <c r="F25" s="119" t="str">
        <f t="shared" si="7"/>
        <v>Th</v>
      </c>
      <c r="G25" s="119" t="str">
        <f t="shared" si="7"/>
        <v>Fr</v>
      </c>
      <c r="H25" s="119" t="str">
        <f t="shared" si="7"/>
        <v>Sa</v>
      </c>
      <c r="I25" s="119" t="str">
        <f t="shared" si="7"/>
        <v>Su</v>
      </c>
      <c r="J25" s="119" t="str">
        <f t="shared" si="7"/>
        <v>Mo</v>
      </c>
      <c r="K25" s="119" t="str">
        <f t="shared" si="7"/>
        <v>Tu</v>
      </c>
      <c r="L25" s="119" t="str">
        <f t="shared" si="7"/>
        <v>We</v>
      </c>
      <c r="M25" s="119" t="str">
        <f t="shared" si="7"/>
        <v>Th</v>
      </c>
      <c r="N25" s="119" t="str">
        <f t="shared" si="7"/>
        <v>Fr</v>
      </c>
      <c r="O25" s="119" t="str">
        <f t="shared" si="7"/>
        <v>Sa</v>
      </c>
      <c r="P25" s="119" t="str">
        <f t="shared" si="7"/>
        <v>Su</v>
      </c>
      <c r="Q25" s="119" t="str">
        <f t="shared" si="7"/>
        <v>Mo</v>
      </c>
      <c r="R25" s="119" t="str">
        <f t="shared" si="7"/>
        <v>Tu</v>
      </c>
      <c r="S25" s="119" t="str">
        <f t="shared" si="7"/>
        <v>We</v>
      </c>
      <c r="T25" s="119" t="str">
        <f t="shared" si="7"/>
        <v>Th</v>
      </c>
      <c r="U25" s="119" t="str">
        <f t="shared" si="7"/>
        <v>Fr</v>
      </c>
      <c r="V25" s="119" t="str">
        <f t="shared" si="7"/>
        <v>Sa</v>
      </c>
      <c r="W25" s="119" t="str">
        <f t="shared" si="7"/>
        <v>Su</v>
      </c>
      <c r="X25" s="119" t="str">
        <f t="shared" si="7"/>
        <v>Mo</v>
      </c>
      <c r="Y25" s="119" t="str">
        <f t="shared" si="7"/>
        <v>Tu</v>
      </c>
      <c r="Z25" s="119" t="str">
        <f t="shared" si="7"/>
        <v>We</v>
      </c>
      <c r="AA25" s="119" t="str">
        <f t="shared" si="7"/>
        <v>Th</v>
      </c>
      <c r="AB25" s="119" t="str">
        <f t="shared" si="7"/>
        <v>Fr</v>
      </c>
      <c r="AC25" s="119" t="str">
        <f t="shared" si="7"/>
        <v>Sa</v>
      </c>
      <c r="AD25" s="119" t="str">
        <f t="shared" si="7"/>
        <v>Su</v>
      </c>
      <c r="AE25" s="135" t="str">
        <f t="shared" si="7"/>
        <v>29</v>
      </c>
      <c r="AF25" s="114"/>
      <c r="AG25" s="114"/>
    </row>
    <row r="26" spans="2:33" ht="14.4" thickTop="1" thickBot="1">
      <c r="B26" s="101" t="str">
        <f>Roster!$C$230</f>
        <v>February</v>
      </c>
      <c r="C26" s="102">
        <v>1</v>
      </c>
      <c r="D26" s="110">
        <v>2</v>
      </c>
      <c r="E26" s="110">
        <v>3</v>
      </c>
      <c r="F26" s="110">
        <v>4</v>
      </c>
      <c r="G26" s="110">
        <v>5</v>
      </c>
      <c r="H26" s="110">
        <v>6</v>
      </c>
      <c r="I26" s="110">
        <v>7</v>
      </c>
      <c r="J26" s="110">
        <v>8</v>
      </c>
      <c r="K26" s="110">
        <v>9</v>
      </c>
      <c r="L26" s="110">
        <v>10</v>
      </c>
      <c r="M26" s="110">
        <v>11</v>
      </c>
      <c r="N26" s="110">
        <v>12</v>
      </c>
      <c r="O26" s="110">
        <v>13</v>
      </c>
      <c r="P26" s="110">
        <v>14</v>
      </c>
      <c r="Q26" s="110">
        <v>15</v>
      </c>
      <c r="R26" s="110">
        <v>16</v>
      </c>
      <c r="S26" s="110">
        <v>17</v>
      </c>
      <c r="T26" s="110">
        <v>18</v>
      </c>
      <c r="U26" s="110">
        <v>19</v>
      </c>
      <c r="V26" s="110">
        <v>20</v>
      </c>
      <c r="W26" s="110">
        <v>21</v>
      </c>
      <c r="X26" s="110">
        <v>22</v>
      </c>
      <c r="Y26" s="110">
        <v>23</v>
      </c>
      <c r="Z26" s="110">
        <v>24</v>
      </c>
      <c r="AA26" s="110">
        <v>25</v>
      </c>
      <c r="AB26" s="110">
        <v>26</v>
      </c>
      <c r="AC26" s="110">
        <v>27</v>
      </c>
      <c r="AD26" s="115">
        <v>28</v>
      </c>
      <c r="AE26" s="120">
        <v>29</v>
      </c>
      <c r="AF26" s="97"/>
    </row>
    <row r="27" spans="2:33" ht="14.4" thickTop="1" thickBot="1">
      <c r="B27" s="101" t="str">
        <f>CurYear</f>
        <v>2021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21">
        <f>Roster!AF231</f>
        <v>0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26" t="str">
        <f t="shared" si="8"/>
        <v>Tu</v>
      </c>
      <c r="AG28" s="26" t="str">
        <f t="shared" si="8"/>
        <v>We</v>
      </c>
    </row>
    <row r="29" spans="2:33" ht="14.4" thickTop="1" thickBot="1">
      <c r="B29" s="101" t="str">
        <f>Roster!$C$261</f>
        <v>March</v>
      </c>
      <c r="C29" s="102">
        <v>1</v>
      </c>
      <c r="D29" s="103">
        <v>2</v>
      </c>
      <c r="E29" s="103">
        <v>3</v>
      </c>
      <c r="F29" s="103">
        <v>4</v>
      </c>
      <c r="G29" s="103">
        <v>5</v>
      </c>
      <c r="H29" s="103">
        <v>6</v>
      </c>
      <c r="I29" s="103">
        <v>7</v>
      </c>
      <c r="J29" s="103">
        <v>8</v>
      </c>
      <c r="K29" s="103">
        <v>9</v>
      </c>
      <c r="L29" s="103">
        <v>10</v>
      </c>
      <c r="M29" s="103">
        <v>11</v>
      </c>
      <c r="N29" s="103">
        <v>12</v>
      </c>
      <c r="O29" s="103">
        <v>13</v>
      </c>
      <c r="P29" s="103">
        <v>14</v>
      </c>
      <c r="Q29" s="103">
        <v>15</v>
      </c>
      <c r="R29" s="103">
        <v>16</v>
      </c>
      <c r="S29" s="103">
        <v>17</v>
      </c>
      <c r="T29" s="103">
        <v>18</v>
      </c>
      <c r="U29" s="103">
        <v>19</v>
      </c>
      <c r="V29" s="103">
        <v>20</v>
      </c>
      <c r="W29" s="103">
        <v>21</v>
      </c>
      <c r="X29" s="103">
        <v>22</v>
      </c>
      <c r="Y29" s="103">
        <v>23</v>
      </c>
      <c r="Z29" s="103">
        <v>24</v>
      </c>
      <c r="AA29" s="103">
        <v>25</v>
      </c>
      <c r="AB29" s="103">
        <v>26</v>
      </c>
      <c r="AC29" s="103">
        <v>27</v>
      </c>
      <c r="AD29" s="103">
        <v>28</v>
      </c>
      <c r="AE29" s="103">
        <v>29</v>
      </c>
      <c r="AF29" s="103">
        <v>30</v>
      </c>
      <c r="AG29" s="104">
        <v>31</v>
      </c>
    </row>
    <row r="30" spans="2:33" ht="14.4" thickTop="1" thickBot="1">
      <c r="B30" s="101" t="str">
        <f>CurYear</f>
        <v>2021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116"/>
    </row>
    <row r="32" spans="2:33" ht="14.4" thickTop="1" thickBot="1">
      <c r="B32" s="101" t="str">
        <f>Roster!$C$292</f>
        <v>April</v>
      </c>
      <c r="C32" s="102">
        <v>1</v>
      </c>
      <c r="D32" s="103">
        <v>2</v>
      </c>
      <c r="E32" s="103">
        <v>3</v>
      </c>
      <c r="F32" s="103">
        <v>4</v>
      </c>
      <c r="G32" s="103">
        <v>5</v>
      </c>
      <c r="H32" s="103">
        <v>6</v>
      </c>
      <c r="I32" s="103">
        <v>7</v>
      </c>
      <c r="J32" s="103">
        <v>8</v>
      </c>
      <c r="K32" s="103">
        <v>9</v>
      </c>
      <c r="L32" s="103">
        <v>10</v>
      </c>
      <c r="M32" s="103">
        <v>11</v>
      </c>
      <c r="N32" s="103">
        <v>12</v>
      </c>
      <c r="O32" s="103">
        <v>13</v>
      </c>
      <c r="P32" s="103">
        <v>14</v>
      </c>
      <c r="Q32" s="103">
        <v>15</v>
      </c>
      <c r="R32" s="103">
        <v>16</v>
      </c>
      <c r="S32" s="103">
        <v>17</v>
      </c>
      <c r="T32" s="103">
        <v>18</v>
      </c>
      <c r="U32" s="103">
        <v>19</v>
      </c>
      <c r="V32" s="103">
        <v>20</v>
      </c>
      <c r="W32" s="103">
        <v>21</v>
      </c>
      <c r="X32" s="103">
        <v>22</v>
      </c>
      <c r="Y32" s="103">
        <v>23</v>
      </c>
      <c r="Z32" s="103">
        <v>24</v>
      </c>
      <c r="AA32" s="103">
        <v>25</v>
      </c>
      <c r="AB32" s="103">
        <v>26</v>
      </c>
      <c r="AC32" s="103">
        <v>27</v>
      </c>
      <c r="AD32" s="103">
        <v>28</v>
      </c>
      <c r="AE32" s="103">
        <v>29</v>
      </c>
      <c r="AF32" s="104">
        <v>30</v>
      </c>
    </row>
    <row r="33" spans="2:33" ht="14.4" thickTop="1" thickBot="1">
      <c r="B33" s="101" t="str">
        <f>CurYear</f>
        <v>2021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20" t="str">
        <f t="shared" si="10"/>
        <v>Mo</v>
      </c>
    </row>
    <row r="35" spans="2:33" ht="14.4" thickTop="1" thickBot="1">
      <c r="B35" s="101" t="str">
        <f>Roster!$C$323</f>
        <v>May</v>
      </c>
      <c r="C35" s="102">
        <v>1</v>
      </c>
      <c r="D35" s="103">
        <v>2</v>
      </c>
      <c r="E35" s="103">
        <v>3</v>
      </c>
      <c r="F35" s="103">
        <v>4</v>
      </c>
      <c r="G35" s="103">
        <v>5</v>
      </c>
      <c r="H35" s="103">
        <v>6</v>
      </c>
      <c r="I35" s="103">
        <v>7</v>
      </c>
      <c r="J35" s="103">
        <v>8</v>
      </c>
      <c r="K35" s="103">
        <v>9</v>
      </c>
      <c r="L35" s="103">
        <v>10</v>
      </c>
      <c r="M35" s="103">
        <v>11</v>
      </c>
      <c r="N35" s="103">
        <v>12</v>
      </c>
      <c r="O35" s="103">
        <v>13</v>
      </c>
      <c r="P35" s="103">
        <v>14</v>
      </c>
      <c r="Q35" s="103">
        <v>15</v>
      </c>
      <c r="R35" s="103">
        <v>16</v>
      </c>
      <c r="S35" s="103">
        <v>17</v>
      </c>
      <c r="T35" s="103">
        <v>18</v>
      </c>
      <c r="U35" s="103">
        <v>19</v>
      </c>
      <c r="V35" s="103">
        <v>20</v>
      </c>
      <c r="W35" s="103">
        <v>21</v>
      </c>
      <c r="X35" s="103">
        <v>22</v>
      </c>
      <c r="Y35" s="103">
        <v>23</v>
      </c>
      <c r="Z35" s="103">
        <v>24</v>
      </c>
      <c r="AA35" s="103">
        <v>25</v>
      </c>
      <c r="AB35" s="103">
        <v>26</v>
      </c>
      <c r="AC35" s="103">
        <v>27</v>
      </c>
      <c r="AD35" s="103">
        <v>28</v>
      </c>
      <c r="AE35" s="103">
        <v>29</v>
      </c>
      <c r="AF35" s="103">
        <v>30</v>
      </c>
      <c r="AG35" s="104">
        <v>31</v>
      </c>
    </row>
    <row r="36" spans="2:33" ht="14.4" thickTop="1" thickBot="1">
      <c r="B36" s="101" t="str">
        <f>CurYear</f>
        <v>2021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08"/>
    </row>
    <row r="38" spans="2:33" ht="14.4" thickTop="1" thickBot="1">
      <c r="B38" s="101" t="str">
        <f>Roster!C354</f>
        <v>June</v>
      </c>
      <c r="C38" s="102">
        <v>1</v>
      </c>
      <c r="D38" s="103">
        <v>2</v>
      </c>
      <c r="E38" s="103">
        <v>3</v>
      </c>
      <c r="F38" s="103">
        <v>4</v>
      </c>
      <c r="G38" s="103">
        <v>5</v>
      </c>
      <c r="H38" s="103">
        <v>6</v>
      </c>
      <c r="I38" s="103">
        <v>7</v>
      </c>
      <c r="J38" s="103">
        <v>8</v>
      </c>
      <c r="K38" s="103">
        <v>9</v>
      </c>
      <c r="L38" s="103">
        <v>10</v>
      </c>
      <c r="M38" s="103">
        <v>11</v>
      </c>
      <c r="N38" s="103">
        <v>12</v>
      </c>
      <c r="O38" s="103">
        <v>13</v>
      </c>
      <c r="P38" s="103">
        <v>14</v>
      </c>
      <c r="Q38" s="103">
        <v>15</v>
      </c>
      <c r="R38" s="103">
        <v>16</v>
      </c>
      <c r="S38" s="103">
        <v>17</v>
      </c>
      <c r="T38" s="103">
        <v>18</v>
      </c>
      <c r="U38" s="103">
        <v>19</v>
      </c>
      <c r="V38" s="103">
        <v>20</v>
      </c>
      <c r="W38" s="103">
        <v>21</v>
      </c>
      <c r="X38" s="103">
        <v>22</v>
      </c>
      <c r="Y38" s="103">
        <v>23</v>
      </c>
      <c r="Z38" s="103">
        <v>24</v>
      </c>
      <c r="AA38" s="103">
        <v>25</v>
      </c>
      <c r="AB38" s="103">
        <v>26</v>
      </c>
      <c r="AC38" s="103">
        <v>27</v>
      </c>
      <c r="AD38" s="103">
        <v>28</v>
      </c>
      <c r="AE38" s="103">
        <v>29</v>
      </c>
      <c r="AF38" s="104">
        <v>30</v>
      </c>
    </row>
    <row r="39" spans="2:33" ht="14.4" thickTop="1" thickBot="1">
      <c r="B39" s="101" t="str">
        <f>CurYear</f>
        <v>2021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25" customFormat="1" ht="17.399999999999999">
      <c r="B1" s="124"/>
    </row>
    <row r="2" spans="2:35" s="125" customFormat="1" ht="24.75" customHeight="1">
      <c r="B2" s="124"/>
      <c r="I2" s="129" t="str">
        <f>Location</f>
        <v>Oodlawirra Quarantine Station</v>
      </c>
      <c r="J2" s="127"/>
      <c r="K2" s="127"/>
      <c r="L2" s="127"/>
      <c r="M2" s="127"/>
      <c r="N2" s="127"/>
      <c r="O2" s="127"/>
      <c r="P2" s="127"/>
      <c r="Q2" s="127"/>
      <c r="R2" s="129" t="str">
        <f xml:space="preserve"> "Financial Year Commencing 1st July, " &amp; CurYear -1</f>
        <v>Financial Year Commencing 1st July, 2020</v>
      </c>
      <c r="S2" s="126"/>
      <c r="T2" s="127"/>
      <c r="U2" s="127"/>
      <c r="V2" s="126"/>
      <c r="W2" s="127"/>
      <c r="X2" s="127"/>
      <c r="Y2" s="127"/>
      <c r="Z2" s="127"/>
      <c r="AA2" s="127"/>
      <c r="AB2" s="127"/>
      <c r="AC2" s="127"/>
      <c r="AD2" s="127"/>
      <c r="AE2" s="127"/>
      <c r="AF2" s="127"/>
    </row>
    <row r="3" spans="2:35" s="125" customFormat="1" ht="27" customHeight="1">
      <c r="B3" s="124"/>
      <c r="I3" s="130" t="s">
        <v>25</v>
      </c>
      <c r="R3" s="130" t="str">
        <f>EmpGName02 &amp;" " &amp; EmpSName02</f>
        <v>Kevin Stone</v>
      </c>
      <c r="S3" s="128"/>
      <c r="T3" s="128"/>
      <c r="U3" s="128"/>
      <c r="V3" s="128"/>
      <c r="W3" s="128"/>
      <c r="X3" s="128"/>
      <c r="Y3" s="128"/>
      <c r="Z3" s="128"/>
      <c r="AA3" s="128"/>
      <c r="AB3" s="128"/>
      <c r="AC3" s="128"/>
    </row>
    <row r="4" spans="2:35" s="44" customFormat="1" ht="13.8" thickBot="1">
      <c r="B4" s="98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98" t="str">
        <f t="shared" si="0"/>
        <v>Fr</v>
      </c>
    </row>
    <row r="5" spans="2:35" ht="14.4" thickTop="1" thickBot="1">
      <c r="B5" s="101" t="str">
        <f>Roster!C13</f>
        <v>July</v>
      </c>
      <c r="C5" s="102">
        <v>1</v>
      </c>
      <c r="D5" s="103">
        <v>2</v>
      </c>
      <c r="E5" s="103">
        <v>3</v>
      </c>
      <c r="F5" s="103">
        <v>4</v>
      </c>
      <c r="G5" s="103">
        <v>5</v>
      </c>
      <c r="H5" s="103">
        <v>6</v>
      </c>
      <c r="I5" s="103">
        <v>7</v>
      </c>
      <c r="J5" s="103">
        <v>8</v>
      </c>
      <c r="K5" s="103">
        <v>9</v>
      </c>
      <c r="L5" s="103">
        <v>10</v>
      </c>
      <c r="M5" s="103">
        <v>11</v>
      </c>
      <c r="N5" s="103">
        <v>12</v>
      </c>
      <c r="O5" s="103">
        <v>13</v>
      </c>
      <c r="P5" s="103">
        <v>14</v>
      </c>
      <c r="Q5" s="103">
        <v>15</v>
      </c>
      <c r="R5" s="103">
        <v>16</v>
      </c>
      <c r="S5" s="103">
        <v>17</v>
      </c>
      <c r="T5" s="103">
        <v>18</v>
      </c>
      <c r="U5" s="103">
        <v>19</v>
      </c>
      <c r="V5" s="103">
        <v>20</v>
      </c>
      <c r="W5" s="103">
        <v>21</v>
      </c>
      <c r="X5" s="103">
        <v>22</v>
      </c>
      <c r="Y5" s="103">
        <v>23</v>
      </c>
      <c r="Z5" s="103">
        <v>24</v>
      </c>
      <c r="AA5" s="103">
        <v>25</v>
      </c>
      <c r="AB5" s="103">
        <v>26</v>
      </c>
      <c r="AC5" s="103">
        <v>27</v>
      </c>
      <c r="AD5" s="103">
        <v>28</v>
      </c>
      <c r="AE5" s="103">
        <v>29</v>
      </c>
      <c r="AF5" s="103">
        <v>30</v>
      </c>
      <c r="AG5" s="104">
        <v>31</v>
      </c>
    </row>
    <row r="6" spans="2:35" ht="14.4" thickTop="1" thickBot="1">
      <c r="B6" s="101">
        <f>CurYear-1</f>
        <v>2020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105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5" ht="14.4" thickTop="1" thickBot="1">
      <c r="B8" s="101" t="str">
        <f>Roster!C44</f>
        <v>August</v>
      </c>
      <c r="C8" s="102">
        <v>1</v>
      </c>
      <c r="D8" s="103">
        <v>2</v>
      </c>
      <c r="E8" s="103">
        <v>3</v>
      </c>
      <c r="F8" s="103">
        <v>4</v>
      </c>
      <c r="G8" s="103">
        <v>5</v>
      </c>
      <c r="H8" s="103">
        <v>6</v>
      </c>
      <c r="I8" s="103">
        <v>7</v>
      </c>
      <c r="J8" s="103">
        <v>8</v>
      </c>
      <c r="K8" s="103">
        <v>9</v>
      </c>
      <c r="L8" s="103">
        <v>10</v>
      </c>
      <c r="M8" s="103">
        <v>11</v>
      </c>
      <c r="N8" s="103">
        <v>12</v>
      </c>
      <c r="O8" s="103">
        <v>13</v>
      </c>
      <c r="P8" s="103">
        <v>14</v>
      </c>
      <c r="Q8" s="103">
        <v>15</v>
      </c>
      <c r="R8" s="103">
        <v>16</v>
      </c>
      <c r="S8" s="103">
        <v>17</v>
      </c>
      <c r="T8" s="103">
        <v>18</v>
      </c>
      <c r="U8" s="103">
        <v>19</v>
      </c>
      <c r="V8" s="103">
        <v>20</v>
      </c>
      <c r="W8" s="103">
        <v>21</v>
      </c>
      <c r="X8" s="103">
        <v>22</v>
      </c>
      <c r="Y8" s="103">
        <v>23</v>
      </c>
      <c r="Z8" s="103">
        <v>24</v>
      </c>
      <c r="AA8" s="103">
        <v>25</v>
      </c>
      <c r="AB8" s="103">
        <v>26</v>
      </c>
      <c r="AC8" s="103">
        <v>27</v>
      </c>
      <c r="AD8" s="106">
        <v>28</v>
      </c>
      <c r="AE8" s="103">
        <v>29</v>
      </c>
      <c r="AF8" s="107">
        <v>30</v>
      </c>
      <c r="AG8" s="104">
        <v>31</v>
      </c>
    </row>
    <row r="9" spans="2:35" ht="14.4" thickTop="1" thickBot="1">
      <c r="B9" s="101">
        <f>CurYear-1</f>
        <v>2020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08"/>
      <c r="AI10" s="99"/>
    </row>
    <row r="11" spans="2:35" ht="14.4" thickTop="1" thickBot="1">
      <c r="B11" s="101" t="str">
        <f>Roster!C75</f>
        <v>September</v>
      </c>
      <c r="C11" s="109">
        <v>1</v>
      </c>
      <c r="D11" s="110">
        <v>2</v>
      </c>
      <c r="E11" s="110">
        <v>3</v>
      </c>
      <c r="F11" s="110">
        <v>4</v>
      </c>
      <c r="G11" s="110">
        <v>5</v>
      </c>
      <c r="H11" s="110">
        <v>6</v>
      </c>
      <c r="I11" s="110">
        <v>7</v>
      </c>
      <c r="J11" s="110">
        <v>8</v>
      </c>
      <c r="K11" s="110">
        <v>9</v>
      </c>
      <c r="L11" s="110">
        <v>10</v>
      </c>
      <c r="M11" s="110">
        <v>11</v>
      </c>
      <c r="N11" s="110">
        <v>12</v>
      </c>
      <c r="O11" s="110">
        <v>13</v>
      </c>
      <c r="P11" s="110">
        <v>14</v>
      </c>
      <c r="Q11" s="110">
        <v>15</v>
      </c>
      <c r="R11" s="110">
        <v>16</v>
      </c>
      <c r="S11" s="110">
        <v>17</v>
      </c>
      <c r="T11" s="110">
        <v>18</v>
      </c>
      <c r="U11" s="110">
        <v>19</v>
      </c>
      <c r="V11" s="110">
        <v>20</v>
      </c>
      <c r="W11" s="110">
        <v>21</v>
      </c>
      <c r="X11" s="110">
        <v>22</v>
      </c>
      <c r="Y11" s="110">
        <v>23</v>
      </c>
      <c r="Z11" s="110">
        <v>24</v>
      </c>
      <c r="AA11" s="110">
        <v>25</v>
      </c>
      <c r="AB11" s="110">
        <v>26</v>
      </c>
      <c r="AC11" s="110">
        <v>27</v>
      </c>
      <c r="AD11" s="110">
        <v>28</v>
      </c>
      <c r="AE11" s="110">
        <v>29</v>
      </c>
      <c r="AF11" s="111">
        <v>30</v>
      </c>
      <c r="AG11" s="20"/>
    </row>
    <row r="12" spans="2:35" ht="14.4" thickTop="1" thickBot="1">
      <c r="B12" s="101">
        <f>CurYear-1</f>
        <v>2020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5" ht="14.4" thickTop="1" thickBot="1">
      <c r="B14" s="101" t="str">
        <f>Roster!C106</f>
        <v>October</v>
      </c>
      <c r="C14" s="102">
        <v>1</v>
      </c>
      <c r="D14" s="103">
        <v>2</v>
      </c>
      <c r="E14" s="103">
        <v>3</v>
      </c>
      <c r="F14" s="103">
        <v>4</v>
      </c>
      <c r="G14" s="103">
        <v>5</v>
      </c>
      <c r="H14" s="103">
        <v>6</v>
      </c>
      <c r="I14" s="103">
        <v>7</v>
      </c>
      <c r="J14" s="103">
        <v>8</v>
      </c>
      <c r="K14" s="103">
        <v>9</v>
      </c>
      <c r="L14" s="103">
        <v>10</v>
      </c>
      <c r="M14" s="103">
        <v>11</v>
      </c>
      <c r="N14" s="103">
        <v>12</v>
      </c>
      <c r="O14" s="103">
        <v>13</v>
      </c>
      <c r="P14" s="103">
        <v>14</v>
      </c>
      <c r="Q14" s="103">
        <v>15</v>
      </c>
      <c r="R14" s="103">
        <v>16</v>
      </c>
      <c r="S14" s="103">
        <v>17</v>
      </c>
      <c r="T14" s="103">
        <v>18</v>
      </c>
      <c r="U14" s="103">
        <v>19</v>
      </c>
      <c r="V14" s="103">
        <v>20</v>
      </c>
      <c r="W14" s="103">
        <v>21</v>
      </c>
      <c r="X14" s="103">
        <v>22</v>
      </c>
      <c r="Y14" s="103">
        <v>23</v>
      </c>
      <c r="Z14" s="103">
        <v>24</v>
      </c>
      <c r="AA14" s="103">
        <v>25</v>
      </c>
      <c r="AB14" s="103">
        <v>26</v>
      </c>
      <c r="AC14" s="103">
        <v>27</v>
      </c>
      <c r="AD14" s="103">
        <v>28</v>
      </c>
      <c r="AE14" s="103">
        <v>29</v>
      </c>
      <c r="AF14" s="103">
        <v>30</v>
      </c>
      <c r="AG14" s="104">
        <v>31</v>
      </c>
    </row>
    <row r="15" spans="2:35" ht="14.4" thickTop="1" thickBot="1">
      <c r="B15" s="101">
        <f>CurYear-1</f>
        <v>2020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08"/>
    </row>
    <row r="17" spans="2:33" ht="14.4" thickTop="1" thickBot="1">
      <c r="B17" s="101" t="str">
        <f>Roster!C137</f>
        <v>November</v>
      </c>
      <c r="C17" s="109">
        <v>1</v>
      </c>
      <c r="D17" s="110">
        <v>2</v>
      </c>
      <c r="E17" s="110">
        <v>3</v>
      </c>
      <c r="F17" s="110">
        <v>4</v>
      </c>
      <c r="G17" s="110">
        <v>5</v>
      </c>
      <c r="H17" s="110">
        <v>6</v>
      </c>
      <c r="I17" s="110">
        <v>7</v>
      </c>
      <c r="J17" s="110">
        <v>8</v>
      </c>
      <c r="K17" s="110">
        <v>9</v>
      </c>
      <c r="L17" s="110">
        <v>10</v>
      </c>
      <c r="M17" s="110">
        <v>11</v>
      </c>
      <c r="N17" s="110">
        <v>12</v>
      </c>
      <c r="O17" s="110">
        <v>13</v>
      </c>
      <c r="P17" s="110">
        <v>14</v>
      </c>
      <c r="Q17" s="110">
        <v>15</v>
      </c>
      <c r="R17" s="110">
        <v>16</v>
      </c>
      <c r="S17" s="110">
        <v>17</v>
      </c>
      <c r="T17" s="110">
        <v>18</v>
      </c>
      <c r="U17" s="110">
        <v>19</v>
      </c>
      <c r="V17" s="110">
        <v>20</v>
      </c>
      <c r="W17" s="110">
        <v>21</v>
      </c>
      <c r="X17" s="110">
        <v>22</v>
      </c>
      <c r="Y17" s="110">
        <v>23</v>
      </c>
      <c r="Z17" s="110">
        <v>24</v>
      </c>
      <c r="AA17" s="110">
        <v>25</v>
      </c>
      <c r="AB17" s="110">
        <v>26</v>
      </c>
      <c r="AC17" s="110">
        <v>27</v>
      </c>
      <c r="AD17" s="110">
        <v>28</v>
      </c>
      <c r="AE17" s="110">
        <v>29</v>
      </c>
      <c r="AF17" s="111">
        <v>30</v>
      </c>
      <c r="AG17" s="20"/>
    </row>
    <row r="18" spans="2:33" ht="14.4" thickTop="1" thickBot="1">
      <c r="B18" s="101">
        <f>CurYear-1</f>
        <v>2020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12"/>
    </row>
    <row r="19" spans="2:33" ht="14.4" thickTop="1" thickBot="1">
      <c r="B19" s="46"/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1" t="str">
        <f>Roster!C168</f>
        <v>December</v>
      </c>
      <c r="C20" s="102">
        <v>1</v>
      </c>
      <c r="D20" s="103">
        <v>2</v>
      </c>
      <c r="E20" s="103">
        <v>3</v>
      </c>
      <c r="F20" s="103">
        <v>4</v>
      </c>
      <c r="G20" s="103">
        <v>5</v>
      </c>
      <c r="H20" s="103">
        <v>6</v>
      </c>
      <c r="I20" s="103">
        <v>7</v>
      </c>
      <c r="J20" s="103">
        <v>8</v>
      </c>
      <c r="K20" s="103">
        <v>9</v>
      </c>
      <c r="L20" s="103">
        <v>10</v>
      </c>
      <c r="M20" s="103">
        <v>11</v>
      </c>
      <c r="N20" s="103">
        <v>12</v>
      </c>
      <c r="O20" s="103">
        <v>13</v>
      </c>
      <c r="P20" s="103">
        <v>14</v>
      </c>
      <c r="Q20" s="103">
        <v>15</v>
      </c>
      <c r="R20" s="103">
        <v>16</v>
      </c>
      <c r="S20" s="103">
        <v>17</v>
      </c>
      <c r="T20" s="103">
        <v>18</v>
      </c>
      <c r="U20" s="103">
        <v>19</v>
      </c>
      <c r="V20" s="103">
        <v>20</v>
      </c>
      <c r="W20" s="103">
        <v>21</v>
      </c>
      <c r="X20" s="103">
        <v>22</v>
      </c>
      <c r="Y20" s="103">
        <v>23</v>
      </c>
      <c r="Z20" s="103">
        <v>24</v>
      </c>
      <c r="AA20" s="103">
        <v>25</v>
      </c>
      <c r="AB20" s="103">
        <v>26</v>
      </c>
      <c r="AC20" s="103">
        <v>27</v>
      </c>
      <c r="AD20" s="103">
        <v>28</v>
      </c>
      <c r="AE20" s="103">
        <v>29</v>
      </c>
      <c r="AF20" s="103">
        <v>30</v>
      </c>
      <c r="AG20" s="104">
        <v>31</v>
      </c>
    </row>
    <row r="21" spans="2:33" ht="14.4" thickTop="1" thickBot="1">
      <c r="B21" s="101">
        <f>CurYear-1</f>
        <v>2020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1" t="str">
        <f>Roster!$C$199</f>
        <v>January</v>
      </c>
      <c r="C23" s="102">
        <v>1</v>
      </c>
      <c r="D23" s="103">
        <v>2</v>
      </c>
      <c r="E23" s="103">
        <v>3</v>
      </c>
      <c r="F23" s="103">
        <v>4</v>
      </c>
      <c r="G23" s="103">
        <v>5</v>
      </c>
      <c r="H23" s="103">
        <v>6</v>
      </c>
      <c r="I23" s="103">
        <v>7</v>
      </c>
      <c r="J23" s="103">
        <v>8</v>
      </c>
      <c r="K23" s="103">
        <v>9</v>
      </c>
      <c r="L23" s="103">
        <v>10</v>
      </c>
      <c r="M23" s="103">
        <v>11</v>
      </c>
      <c r="N23" s="103">
        <v>12</v>
      </c>
      <c r="O23" s="103">
        <v>13</v>
      </c>
      <c r="P23" s="103">
        <v>14</v>
      </c>
      <c r="Q23" s="103">
        <v>15</v>
      </c>
      <c r="R23" s="103">
        <v>16</v>
      </c>
      <c r="S23" s="103">
        <v>17</v>
      </c>
      <c r="T23" s="103">
        <v>18</v>
      </c>
      <c r="U23" s="103">
        <v>19</v>
      </c>
      <c r="V23" s="103">
        <v>20</v>
      </c>
      <c r="W23" s="103">
        <v>21</v>
      </c>
      <c r="X23" s="103">
        <v>22</v>
      </c>
      <c r="Y23" s="103">
        <v>23</v>
      </c>
      <c r="Z23" s="103">
        <v>24</v>
      </c>
      <c r="AA23" s="103">
        <v>25</v>
      </c>
      <c r="AB23" s="103">
        <v>26</v>
      </c>
      <c r="AC23" s="103">
        <v>27</v>
      </c>
      <c r="AD23" s="103">
        <v>28</v>
      </c>
      <c r="AE23" s="103">
        <v>29</v>
      </c>
      <c r="AF23" s="103">
        <v>30</v>
      </c>
      <c r="AG23" s="104">
        <v>31</v>
      </c>
    </row>
    <row r="24" spans="2:33" ht="14.4" thickTop="1" thickBot="1">
      <c r="B24" s="101" t="str">
        <f>CurYear</f>
        <v>2021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2" t="str">
        <f t="shared" si="7"/>
        <v>29</v>
      </c>
      <c r="AF25" s="113"/>
      <c r="AG25" s="114"/>
    </row>
    <row r="26" spans="2:33" ht="14.4" thickTop="1" thickBot="1">
      <c r="B26" s="101" t="str">
        <f>Roster!$C$230</f>
        <v>February</v>
      </c>
      <c r="C26" s="102">
        <v>1</v>
      </c>
      <c r="D26" s="110">
        <v>2</v>
      </c>
      <c r="E26" s="110">
        <v>3</v>
      </c>
      <c r="F26" s="110">
        <v>4</v>
      </c>
      <c r="G26" s="110">
        <v>5</v>
      </c>
      <c r="H26" s="110">
        <v>6</v>
      </c>
      <c r="I26" s="110">
        <v>7</v>
      </c>
      <c r="J26" s="110">
        <v>8</v>
      </c>
      <c r="K26" s="110">
        <v>9</v>
      </c>
      <c r="L26" s="110">
        <v>10</v>
      </c>
      <c r="M26" s="110">
        <v>11</v>
      </c>
      <c r="N26" s="110">
        <v>12</v>
      </c>
      <c r="O26" s="110">
        <v>13</v>
      </c>
      <c r="P26" s="110">
        <v>14</v>
      </c>
      <c r="Q26" s="110">
        <v>15</v>
      </c>
      <c r="R26" s="110">
        <v>16</v>
      </c>
      <c r="S26" s="110">
        <v>17</v>
      </c>
      <c r="T26" s="110">
        <v>18</v>
      </c>
      <c r="U26" s="110">
        <v>19</v>
      </c>
      <c r="V26" s="110">
        <v>20</v>
      </c>
      <c r="W26" s="110">
        <v>21</v>
      </c>
      <c r="X26" s="110">
        <v>22</v>
      </c>
      <c r="Y26" s="110">
        <v>23</v>
      </c>
      <c r="Z26" s="110">
        <v>24</v>
      </c>
      <c r="AA26" s="110">
        <v>25</v>
      </c>
      <c r="AB26" s="110">
        <v>26</v>
      </c>
      <c r="AC26" s="110">
        <v>27</v>
      </c>
      <c r="AD26" s="115">
        <v>28</v>
      </c>
      <c r="AE26" s="120">
        <v>29</v>
      </c>
      <c r="AF26" s="97"/>
      <c r="AG26" s="20"/>
    </row>
    <row r="27" spans="2:33" ht="14.4" thickTop="1" thickBot="1">
      <c r="B27" s="101" t="str">
        <f>CurYear</f>
        <v>2021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21">
        <f>Roster!AF232</f>
        <v>0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26" t="str">
        <f t="shared" si="8"/>
        <v>Tu</v>
      </c>
      <c r="AG28" s="47" t="str">
        <f t="shared" si="8"/>
        <v>We</v>
      </c>
    </row>
    <row r="29" spans="2:33" ht="14.4" thickTop="1" thickBot="1">
      <c r="B29" s="101" t="str">
        <f>Roster!$C$261</f>
        <v>March</v>
      </c>
      <c r="C29" s="102">
        <v>1</v>
      </c>
      <c r="D29" s="103">
        <v>2</v>
      </c>
      <c r="E29" s="103">
        <v>3</v>
      </c>
      <c r="F29" s="103">
        <v>4</v>
      </c>
      <c r="G29" s="103">
        <v>5</v>
      </c>
      <c r="H29" s="103">
        <v>6</v>
      </c>
      <c r="I29" s="103">
        <v>7</v>
      </c>
      <c r="J29" s="103">
        <v>8</v>
      </c>
      <c r="K29" s="103">
        <v>9</v>
      </c>
      <c r="L29" s="103">
        <v>10</v>
      </c>
      <c r="M29" s="103">
        <v>11</v>
      </c>
      <c r="N29" s="103">
        <v>12</v>
      </c>
      <c r="O29" s="103">
        <v>13</v>
      </c>
      <c r="P29" s="103">
        <v>14</v>
      </c>
      <c r="Q29" s="103">
        <v>15</v>
      </c>
      <c r="R29" s="103">
        <v>16</v>
      </c>
      <c r="S29" s="103">
        <v>17</v>
      </c>
      <c r="T29" s="103">
        <v>18</v>
      </c>
      <c r="U29" s="103">
        <v>19</v>
      </c>
      <c r="V29" s="103">
        <v>20</v>
      </c>
      <c r="W29" s="103">
        <v>21</v>
      </c>
      <c r="X29" s="103">
        <v>22</v>
      </c>
      <c r="Y29" s="103">
        <v>23</v>
      </c>
      <c r="Z29" s="103">
        <v>24</v>
      </c>
      <c r="AA29" s="103">
        <v>25</v>
      </c>
      <c r="AB29" s="103">
        <v>26</v>
      </c>
      <c r="AC29" s="103">
        <v>27</v>
      </c>
      <c r="AD29" s="103">
        <v>28</v>
      </c>
      <c r="AE29" s="103">
        <v>29</v>
      </c>
      <c r="AF29" s="103">
        <v>30</v>
      </c>
      <c r="AG29" s="104">
        <v>31</v>
      </c>
    </row>
    <row r="30" spans="2:33" ht="14.4" thickTop="1" thickBot="1">
      <c r="B30" s="101" t="str">
        <f>CurYear</f>
        <v>2021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116"/>
    </row>
    <row r="32" spans="2:33" ht="14.4" thickTop="1" thickBot="1">
      <c r="B32" s="101" t="str">
        <f>Roster!$C$292</f>
        <v>April</v>
      </c>
      <c r="C32" s="102">
        <v>1</v>
      </c>
      <c r="D32" s="103">
        <v>2</v>
      </c>
      <c r="E32" s="103">
        <v>3</v>
      </c>
      <c r="F32" s="103">
        <v>4</v>
      </c>
      <c r="G32" s="103">
        <v>5</v>
      </c>
      <c r="H32" s="103">
        <v>6</v>
      </c>
      <c r="I32" s="103">
        <v>7</v>
      </c>
      <c r="J32" s="103">
        <v>8</v>
      </c>
      <c r="K32" s="103">
        <v>9</v>
      </c>
      <c r="L32" s="103">
        <v>10</v>
      </c>
      <c r="M32" s="103">
        <v>11</v>
      </c>
      <c r="N32" s="103">
        <v>12</v>
      </c>
      <c r="O32" s="103">
        <v>13</v>
      </c>
      <c r="P32" s="103">
        <v>14</v>
      </c>
      <c r="Q32" s="103">
        <v>15</v>
      </c>
      <c r="R32" s="103">
        <v>16</v>
      </c>
      <c r="S32" s="103">
        <v>17</v>
      </c>
      <c r="T32" s="103">
        <v>18</v>
      </c>
      <c r="U32" s="103">
        <v>19</v>
      </c>
      <c r="V32" s="103">
        <v>20</v>
      </c>
      <c r="W32" s="103">
        <v>21</v>
      </c>
      <c r="X32" s="103">
        <v>22</v>
      </c>
      <c r="Y32" s="103">
        <v>23</v>
      </c>
      <c r="Z32" s="103">
        <v>24</v>
      </c>
      <c r="AA32" s="103">
        <v>25</v>
      </c>
      <c r="AB32" s="103">
        <v>26</v>
      </c>
      <c r="AC32" s="103">
        <v>27</v>
      </c>
      <c r="AD32" s="103">
        <v>28</v>
      </c>
      <c r="AE32" s="103">
        <v>29</v>
      </c>
      <c r="AF32" s="104">
        <v>30</v>
      </c>
      <c r="AG32" s="20"/>
    </row>
    <row r="33" spans="2:33" ht="14.4" thickTop="1" thickBot="1">
      <c r="B33" s="101" t="str">
        <f>CurYear</f>
        <v>2021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46" t="str">
        <f t="shared" si="10"/>
        <v>Mo</v>
      </c>
    </row>
    <row r="35" spans="2:33" ht="14.4" thickTop="1" thickBot="1">
      <c r="B35" s="101" t="str">
        <f>Roster!$C$323</f>
        <v>May</v>
      </c>
      <c r="C35" s="102">
        <v>1</v>
      </c>
      <c r="D35" s="103">
        <v>2</v>
      </c>
      <c r="E35" s="103">
        <v>3</v>
      </c>
      <c r="F35" s="103">
        <v>4</v>
      </c>
      <c r="G35" s="103">
        <v>5</v>
      </c>
      <c r="H35" s="103">
        <v>6</v>
      </c>
      <c r="I35" s="103">
        <v>7</v>
      </c>
      <c r="J35" s="103">
        <v>8</v>
      </c>
      <c r="K35" s="103">
        <v>9</v>
      </c>
      <c r="L35" s="103">
        <v>10</v>
      </c>
      <c r="M35" s="103">
        <v>11</v>
      </c>
      <c r="N35" s="103">
        <v>12</v>
      </c>
      <c r="O35" s="103">
        <v>13</v>
      </c>
      <c r="P35" s="103">
        <v>14</v>
      </c>
      <c r="Q35" s="103">
        <v>15</v>
      </c>
      <c r="R35" s="103">
        <v>16</v>
      </c>
      <c r="S35" s="103">
        <v>17</v>
      </c>
      <c r="T35" s="103">
        <v>18</v>
      </c>
      <c r="U35" s="103">
        <v>19</v>
      </c>
      <c r="V35" s="103">
        <v>20</v>
      </c>
      <c r="W35" s="103">
        <v>21</v>
      </c>
      <c r="X35" s="103">
        <v>22</v>
      </c>
      <c r="Y35" s="103">
        <v>23</v>
      </c>
      <c r="Z35" s="103">
        <v>24</v>
      </c>
      <c r="AA35" s="103">
        <v>25</v>
      </c>
      <c r="AB35" s="103">
        <v>26</v>
      </c>
      <c r="AC35" s="103">
        <v>27</v>
      </c>
      <c r="AD35" s="103">
        <v>28</v>
      </c>
      <c r="AE35" s="103">
        <v>29</v>
      </c>
      <c r="AF35" s="103">
        <v>30</v>
      </c>
      <c r="AG35" s="104">
        <v>31</v>
      </c>
    </row>
    <row r="36" spans="2:33" ht="14.4" thickTop="1" thickBot="1">
      <c r="B36" s="101" t="str">
        <f>CurYear</f>
        <v>2021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08"/>
    </row>
    <row r="38" spans="2:33" ht="14.4" thickTop="1" thickBot="1">
      <c r="B38" s="101" t="str">
        <f>Roster!C354</f>
        <v>June</v>
      </c>
      <c r="C38" s="102">
        <v>1</v>
      </c>
      <c r="D38" s="103">
        <v>2</v>
      </c>
      <c r="E38" s="103">
        <v>3</v>
      </c>
      <c r="F38" s="103">
        <v>4</v>
      </c>
      <c r="G38" s="103">
        <v>5</v>
      </c>
      <c r="H38" s="103">
        <v>6</v>
      </c>
      <c r="I38" s="103">
        <v>7</v>
      </c>
      <c r="J38" s="103">
        <v>8</v>
      </c>
      <c r="K38" s="103">
        <v>9</v>
      </c>
      <c r="L38" s="103">
        <v>10</v>
      </c>
      <c r="M38" s="103">
        <v>11</v>
      </c>
      <c r="N38" s="103">
        <v>12</v>
      </c>
      <c r="O38" s="103">
        <v>13</v>
      </c>
      <c r="P38" s="103">
        <v>14</v>
      </c>
      <c r="Q38" s="103">
        <v>15</v>
      </c>
      <c r="R38" s="103">
        <v>16</v>
      </c>
      <c r="S38" s="103">
        <v>17</v>
      </c>
      <c r="T38" s="103">
        <v>18</v>
      </c>
      <c r="U38" s="103">
        <v>19</v>
      </c>
      <c r="V38" s="103">
        <v>20</v>
      </c>
      <c r="W38" s="103">
        <v>21</v>
      </c>
      <c r="X38" s="103">
        <v>22</v>
      </c>
      <c r="Y38" s="103">
        <v>23</v>
      </c>
      <c r="Z38" s="103">
        <v>24</v>
      </c>
      <c r="AA38" s="103">
        <v>25</v>
      </c>
      <c r="AB38" s="103">
        <v>26</v>
      </c>
      <c r="AC38" s="103">
        <v>27</v>
      </c>
      <c r="AD38" s="103">
        <v>28</v>
      </c>
      <c r="AE38" s="103">
        <v>29</v>
      </c>
      <c r="AF38" s="104">
        <v>30</v>
      </c>
      <c r="AG38" s="20"/>
    </row>
    <row r="39" spans="2:33" ht="14.4" thickTop="1" thickBot="1">
      <c r="B39" s="101" t="str">
        <f>CurYear</f>
        <v>2021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12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2020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EmpGName03 &amp;" " &amp; EmpSName03</f>
        <v>Ian Thelning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2020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2020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2020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2020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2020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2020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2021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2021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21">
        <f>Roster!AF233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47" t="str">
        <f t="shared" si="8"/>
        <v>Tu</v>
      </c>
      <c r="AG28" s="47" t="str">
        <f t="shared" si="8"/>
        <v>We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2021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2021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46" t="str">
        <f t="shared" si="10"/>
        <v>Mo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2021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2021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2020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2020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2020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2020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2020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2020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2020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2021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2021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21">
        <f>Roster!AF234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47" t="str">
        <f t="shared" si="8"/>
        <v>Tu</v>
      </c>
      <c r="AG28" s="47" t="str">
        <f t="shared" si="8"/>
        <v>We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2021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2021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46" t="str">
        <f t="shared" si="10"/>
        <v>Mo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2021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2021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2020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EmpGName05 &amp;" " &amp; EmpSName05</f>
        <v>David Castle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2020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2020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2020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2020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2020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2020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2021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2021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21">
        <f>Roster!AF235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47" t="str">
        <f t="shared" si="8"/>
        <v>Tu</v>
      </c>
      <c r="AG28" s="47" t="str">
        <f t="shared" si="8"/>
        <v>We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2021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2021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46" t="str">
        <f t="shared" si="10"/>
        <v>Mo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2021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2021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5" zoomScaleNormal="85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2020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2020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2020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2020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2020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2020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2020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2021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2021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21">
        <f>Roster!AF236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47" t="str">
        <f t="shared" si="8"/>
        <v>Tu</v>
      </c>
      <c r="AG28" s="47" t="str">
        <f t="shared" si="8"/>
        <v>We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2021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2021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46" t="str">
        <f t="shared" si="10"/>
        <v>Mo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2021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2021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2020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EmpGName07 &amp;" " &amp; EmpSName07</f>
        <v>Troy Sorensen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2020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2020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2020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2020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2020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2020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2021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2021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21">
        <f>Roster!AF237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26" t="str">
        <f t="shared" si="8"/>
        <v>Tu</v>
      </c>
      <c r="AG28" s="26" t="str">
        <f t="shared" si="8"/>
        <v>We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2021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2021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20" t="str">
        <f t="shared" si="10"/>
        <v>Mo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2021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2021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2020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EmpGName08 &amp;" " &amp; EmpSName08</f>
        <v>Charlie Horse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2020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2020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2020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2020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2020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2020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2021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2021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26" t="str">
        <f t="shared" si="8"/>
        <v>Tu</v>
      </c>
      <c r="AG28" s="26" t="str">
        <f t="shared" si="8"/>
        <v>We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2021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2021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20" t="str">
        <f t="shared" si="10"/>
        <v>Mo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2021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2021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2020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EmpGName09 &amp;" " &amp; EmpSName09</f>
        <v xml:space="preserve">Eddy Horse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34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97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2020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2020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2020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2020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2020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2020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2021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2021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26" t="str">
        <f t="shared" si="8"/>
        <v>Tu</v>
      </c>
      <c r="AG28" s="26" t="str">
        <f t="shared" si="8"/>
        <v>We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2021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2021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20" t="str">
        <f t="shared" si="10"/>
        <v>Mo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2021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2021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2020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EmpGName10 &amp;" " &amp; EmpSName10</f>
        <v>John Smeegal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2020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2020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2020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2020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2020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2020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2021</v>
      </c>
      <c r="C24" s="52" t="str">
        <f>Roster!D209</f>
        <v>.</v>
      </c>
      <c r="D24" s="74" t="str">
        <f>Roster!E209</f>
        <v>.</v>
      </c>
      <c r="E24" s="74" t="str">
        <f>Roster!F209</f>
        <v>.</v>
      </c>
      <c r="F24" s="74" t="str">
        <f>Roster!G209</f>
        <v>.</v>
      </c>
      <c r="G24" s="74" t="str">
        <f>Roster!H209</f>
        <v>.</v>
      </c>
      <c r="H24" s="74" t="str">
        <f>Roster!I209</f>
        <v>.</v>
      </c>
      <c r="I24" s="74" t="str">
        <f>Roster!J209</f>
        <v>.</v>
      </c>
      <c r="J24" s="74" t="str">
        <f>Roster!K209</f>
        <v>.</v>
      </c>
      <c r="K24" s="74" t="str">
        <f>Roster!L209</f>
        <v>.</v>
      </c>
      <c r="L24" s="74" t="str">
        <f>Roster!M209</f>
        <v>.</v>
      </c>
      <c r="M24" s="74" t="str">
        <f>Roster!N209</f>
        <v>.</v>
      </c>
      <c r="N24" s="74" t="str">
        <f>Roster!O209</f>
        <v>.</v>
      </c>
      <c r="O24" s="74" t="str">
        <f>Roster!P209</f>
        <v>.</v>
      </c>
      <c r="P24" s="74" t="str">
        <f>Roster!Q209</f>
        <v>.</v>
      </c>
      <c r="Q24" s="74" t="str">
        <f>Roster!R209</f>
        <v>.</v>
      </c>
      <c r="R24" s="74" t="str">
        <f>Roster!S209</f>
        <v>.</v>
      </c>
      <c r="S24" s="74" t="str">
        <f>Roster!T209</f>
        <v>.</v>
      </c>
      <c r="T24" s="74" t="str">
        <f>Roster!U209</f>
        <v>.</v>
      </c>
      <c r="U24" s="74" t="str">
        <f>Roster!V209</f>
        <v>.</v>
      </c>
      <c r="V24" s="74" t="str">
        <f>Roster!W209</f>
        <v>.</v>
      </c>
      <c r="W24" s="74" t="str">
        <f>Roster!X209</f>
        <v>.</v>
      </c>
      <c r="X24" s="74" t="str">
        <f>Roster!Y209</f>
        <v>.</v>
      </c>
      <c r="Y24" s="74" t="str">
        <f>Roster!Z209</f>
        <v>.</v>
      </c>
      <c r="Z24" s="74" t="str">
        <f>Roster!AA209</f>
        <v>.</v>
      </c>
      <c r="AA24" s="74" t="str">
        <f>Roster!AB209</f>
        <v>.</v>
      </c>
      <c r="AB24" s="74" t="str">
        <f>Roster!AC209</f>
        <v>.</v>
      </c>
      <c r="AC24" s="74" t="str">
        <f>Roster!AD209</f>
        <v>.</v>
      </c>
      <c r="AD24" s="74" t="str">
        <f>Roster!AE209</f>
        <v>.</v>
      </c>
      <c r="AE24" s="74" t="str">
        <f>Roster!AF209</f>
        <v>.</v>
      </c>
      <c r="AF24" s="74" t="str">
        <f>Roster!AG209</f>
        <v>.</v>
      </c>
      <c r="AG24" s="75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2021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26" t="str">
        <f t="shared" si="8"/>
        <v>Tu</v>
      </c>
      <c r="AG28" s="26" t="str">
        <f t="shared" si="8"/>
        <v>We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2021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2021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20" t="str">
        <f t="shared" si="10"/>
        <v>Mo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2021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2021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2020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EmpGName11 &amp;" " &amp; EmpSName11</f>
        <v>Edwin Smeegal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2020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2020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2020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2020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2020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2020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2021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2021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26" t="str">
        <f t="shared" si="8"/>
        <v>Tu</v>
      </c>
      <c r="AG28" s="26" t="str">
        <f t="shared" si="8"/>
        <v>We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2021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2021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20" t="str">
        <f t="shared" si="10"/>
        <v>Mo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2021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2021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68" zoomScaleNormal="68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2020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EmpGName12 &amp;" " &amp; EmpSName12</f>
        <v>Jimmy James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2020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2020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2020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2020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2020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2020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2021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8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83">
        <v>29</v>
      </c>
      <c r="AF26" s="44"/>
    </row>
    <row r="27" spans="2:33" ht="14.4" thickTop="1" thickBot="1">
      <c r="B27" s="32" t="str">
        <f>CurYear</f>
        <v>2021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84">
        <f>Roster!AF242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Mo</v>
      </c>
      <c r="D28" s="25" t="str">
        <f t="shared" si="8"/>
        <v>Tu</v>
      </c>
      <c r="E28" s="25" t="str">
        <f t="shared" si="8"/>
        <v>We</v>
      </c>
      <c r="F28" s="25" t="str">
        <f t="shared" si="8"/>
        <v>Th</v>
      </c>
      <c r="G28" s="25" t="str">
        <f t="shared" si="8"/>
        <v>Fr</v>
      </c>
      <c r="H28" s="25" t="str">
        <f t="shared" si="8"/>
        <v>Sa</v>
      </c>
      <c r="I28" s="25" t="str">
        <f t="shared" si="8"/>
        <v>Su</v>
      </c>
      <c r="J28" s="25" t="str">
        <f t="shared" si="8"/>
        <v>Mo</v>
      </c>
      <c r="K28" s="25" t="str">
        <f t="shared" si="8"/>
        <v>Tu</v>
      </c>
      <c r="L28" s="25" t="str">
        <f t="shared" si="8"/>
        <v>We</v>
      </c>
      <c r="M28" s="25" t="str">
        <f t="shared" si="8"/>
        <v>Th</v>
      </c>
      <c r="N28" s="25" t="str">
        <f t="shared" si="8"/>
        <v>Fr</v>
      </c>
      <c r="O28" s="25" t="str">
        <f t="shared" si="8"/>
        <v>Sa</v>
      </c>
      <c r="P28" s="25" t="str">
        <f t="shared" si="8"/>
        <v>Su</v>
      </c>
      <c r="Q28" s="25" t="str">
        <f t="shared" si="8"/>
        <v>Mo</v>
      </c>
      <c r="R28" s="25" t="str">
        <f t="shared" si="8"/>
        <v>Tu</v>
      </c>
      <c r="S28" s="25" t="str">
        <f t="shared" si="8"/>
        <v>We</v>
      </c>
      <c r="T28" s="25" t="str">
        <f t="shared" si="8"/>
        <v>Th</v>
      </c>
      <c r="U28" s="25" t="str">
        <f t="shared" si="8"/>
        <v>Fr</v>
      </c>
      <c r="V28" s="25" t="str">
        <f t="shared" si="8"/>
        <v>Sa</v>
      </c>
      <c r="W28" s="25" t="str">
        <f t="shared" si="8"/>
        <v>Su</v>
      </c>
      <c r="X28" s="25" t="str">
        <f t="shared" si="8"/>
        <v>Mo</v>
      </c>
      <c r="Y28" s="25" t="str">
        <f t="shared" si="8"/>
        <v>Tu</v>
      </c>
      <c r="Z28" s="25" t="str">
        <f t="shared" si="8"/>
        <v>We</v>
      </c>
      <c r="AA28" s="25" t="str">
        <f t="shared" si="8"/>
        <v>Th</v>
      </c>
      <c r="AB28" s="25" t="str">
        <f t="shared" si="8"/>
        <v>Fr</v>
      </c>
      <c r="AC28" s="25" t="str">
        <f t="shared" si="8"/>
        <v>Sa</v>
      </c>
      <c r="AD28" s="25" t="str">
        <f t="shared" si="8"/>
        <v>Su</v>
      </c>
      <c r="AE28" s="45" t="str">
        <f t="shared" si="8"/>
        <v>Mo</v>
      </c>
      <c r="AF28" s="26" t="str">
        <f t="shared" si="8"/>
        <v>Tu</v>
      </c>
      <c r="AG28" s="26" t="str">
        <f t="shared" si="8"/>
        <v>We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2021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Th</v>
      </c>
      <c r="D31" s="25" t="str">
        <f t="shared" si="9"/>
        <v>Fr</v>
      </c>
      <c r="E31" s="25" t="str">
        <f t="shared" si="9"/>
        <v>Sa</v>
      </c>
      <c r="F31" s="25" t="str">
        <f t="shared" si="9"/>
        <v>Su</v>
      </c>
      <c r="G31" s="25" t="str">
        <f t="shared" si="9"/>
        <v>Mo</v>
      </c>
      <c r="H31" s="25" t="str">
        <f t="shared" si="9"/>
        <v>Tu</v>
      </c>
      <c r="I31" s="25" t="str">
        <f t="shared" si="9"/>
        <v>We</v>
      </c>
      <c r="J31" s="25" t="str">
        <f t="shared" si="9"/>
        <v>Th</v>
      </c>
      <c r="K31" s="25" t="str">
        <f t="shared" si="9"/>
        <v>Fr</v>
      </c>
      <c r="L31" s="25" t="str">
        <f t="shared" si="9"/>
        <v>Sa</v>
      </c>
      <c r="M31" s="25" t="str">
        <f t="shared" si="9"/>
        <v>Su</v>
      </c>
      <c r="N31" s="25" t="str">
        <f t="shared" si="9"/>
        <v>Mo</v>
      </c>
      <c r="O31" s="25" t="str">
        <f t="shared" si="9"/>
        <v>Tu</v>
      </c>
      <c r="P31" s="25" t="str">
        <f t="shared" si="9"/>
        <v>We</v>
      </c>
      <c r="Q31" s="25" t="str">
        <f t="shared" si="9"/>
        <v>Th</v>
      </c>
      <c r="R31" s="25" t="str">
        <f t="shared" si="9"/>
        <v>Fr</v>
      </c>
      <c r="S31" s="25" t="str">
        <f t="shared" si="9"/>
        <v>Sa</v>
      </c>
      <c r="T31" s="25" t="str">
        <f t="shared" si="9"/>
        <v>Su</v>
      </c>
      <c r="U31" s="25" t="str">
        <f t="shared" si="9"/>
        <v>Mo</v>
      </c>
      <c r="V31" s="25" t="str">
        <f t="shared" si="9"/>
        <v>Tu</v>
      </c>
      <c r="W31" s="25" t="str">
        <f t="shared" si="9"/>
        <v>We</v>
      </c>
      <c r="X31" s="25" t="str">
        <f t="shared" si="9"/>
        <v>Th</v>
      </c>
      <c r="Y31" s="25" t="str">
        <f t="shared" si="9"/>
        <v>Fr</v>
      </c>
      <c r="Z31" s="25" t="str">
        <f t="shared" si="9"/>
        <v>Sa</v>
      </c>
      <c r="AA31" s="25" t="str">
        <f t="shared" si="9"/>
        <v>Su</v>
      </c>
      <c r="AB31" s="25" t="str">
        <f t="shared" si="9"/>
        <v>Mo</v>
      </c>
      <c r="AC31" s="25" t="str">
        <f t="shared" si="9"/>
        <v>Tu</v>
      </c>
      <c r="AD31" s="25" t="str">
        <f t="shared" si="9"/>
        <v>We</v>
      </c>
      <c r="AE31" s="25" t="str">
        <f t="shared" si="9"/>
        <v>Th</v>
      </c>
      <c r="AF31" s="25" t="str">
        <f t="shared" si="9"/>
        <v>Fr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2021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Sa</v>
      </c>
      <c r="D34" s="21" t="str">
        <f t="shared" si="10"/>
        <v>Su</v>
      </c>
      <c r="E34" s="21" t="str">
        <f t="shared" si="10"/>
        <v>Mo</v>
      </c>
      <c r="F34" s="21" t="str">
        <f t="shared" si="10"/>
        <v>Tu</v>
      </c>
      <c r="G34" s="21" t="str">
        <f t="shared" si="10"/>
        <v>We</v>
      </c>
      <c r="H34" s="21" t="str">
        <f t="shared" si="10"/>
        <v>Th</v>
      </c>
      <c r="I34" s="21" t="str">
        <f t="shared" si="10"/>
        <v>Fr</v>
      </c>
      <c r="J34" s="21" t="str">
        <f t="shared" si="10"/>
        <v>Sa</v>
      </c>
      <c r="K34" s="21" t="str">
        <f t="shared" si="10"/>
        <v>Su</v>
      </c>
      <c r="L34" s="21" t="str">
        <f t="shared" si="10"/>
        <v>Mo</v>
      </c>
      <c r="M34" s="21" t="str">
        <f t="shared" si="10"/>
        <v>Tu</v>
      </c>
      <c r="N34" s="21" t="str">
        <f t="shared" si="10"/>
        <v>We</v>
      </c>
      <c r="O34" s="21" t="str">
        <f t="shared" si="10"/>
        <v>Th</v>
      </c>
      <c r="P34" s="21" t="str">
        <f t="shared" si="10"/>
        <v>Fr</v>
      </c>
      <c r="Q34" s="21" t="str">
        <f t="shared" si="10"/>
        <v>Sa</v>
      </c>
      <c r="R34" s="21" t="str">
        <f t="shared" si="10"/>
        <v>Su</v>
      </c>
      <c r="S34" s="21" t="str">
        <f t="shared" si="10"/>
        <v>Mo</v>
      </c>
      <c r="T34" s="21" t="str">
        <f t="shared" si="10"/>
        <v>Tu</v>
      </c>
      <c r="U34" s="21" t="str">
        <f t="shared" si="10"/>
        <v>We</v>
      </c>
      <c r="V34" s="21" t="str">
        <f t="shared" si="10"/>
        <v>Th</v>
      </c>
      <c r="W34" s="21" t="str">
        <f t="shared" si="10"/>
        <v>Fr</v>
      </c>
      <c r="X34" s="21" t="str">
        <f t="shared" si="10"/>
        <v>Sa</v>
      </c>
      <c r="Y34" s="21" t="str">
        <f t="shared" si="10"/>
        <v>Su</v>
      </c>
      <c r="Z34" s="21" t="str">
        <f t="shared" si="10"/>
        <v>Mo</v>
      </c>
      <c r="AA34" s="21" t="str">
        <f t="shared" si="10"/>
        <v>Tu</v>
      </c>
      <c r="AB34" s="21" t="str">
        <f t="shared" si="10"/>
        <v>We</v>
      </c>
      <c r="AC34" s="21" t="str">
        <f t="shared" si="10"/>
        <v>Th</v>
      </c>
      <c r="AD34" s="21" t="str">
        <f t="shared" si="10"/>
        <v>Fr</v>
      </c>
      <c r="AE34" s="21" t="str">
        <f t="shared" si="10"/>
        <v>Sa</v>
      </c>
      <c r="AF34" s="21" t="str">
        <f t="shared" si="10"/>
        <v>Su</v>
      </c>
      <c r="AG34" s="20" t="str">
        <f t="shared" si="10"/>
        <v>Mo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2021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Tu</v>
      </c>
      <c r="D37" s="21" t="str">
        <f t="shared" si="11"/>
        <v>We</v>
      </c>
      <c r="E37" s="21" t="str">
        <f t="shared" si="11"/>
        <v>Th</v>
      </c>
      <c r="F37" s="21" t="str">
        <f t="shared" si="11"/>
        <v>Fr</v>
      </c>
      <c r="G37" s="21" t="str">
        <f t="shared" si="11"/>
        <v>Sa</v>
      </c>
      <c r="H37" s="21" t="str">
        <f t="shared" si="11"/>
        <v>Su</v>
      </c>
      <c r="I37" s="21" t="str">
        <f t="shared" si="11"/>
        <v>Mo</v>
      </c>
      <c r="J37" s="21" t="str">
        <f t="shared" si="11"/>
        <v>Tu</v>
      </c>
      <c r="K37" s="21" t="str">
        <f t="shared" si="11"/>
        <v>We</v>
      </c>
      <c r="L37" s="21" t="str">
        <f t="shared" si="11"/>
        <v>Th</v>
      </c>
      <c r="M37" s="21" t="str">
        <f t="shared" si="11"/>
        <v>Fr</v>
      </c>
      <c r="N37" s="21" t="str">
        <f t="shared" si="11"/>
        <v>Sa</v>
      </c>
      <c r="O37" s="21" t="str">
        <f t="shared" si="11"/>
        <v>Su</v>
      </c>
      <c r="P37" s="21" t="str">
        <f t="shared" si="11"/>
        <v>Mo</v>
      </c>
      <c r="Q37" s="21" t="str">
        <f t="shared" si="11"/>
        <v>Tu</v>
      </c>
      <c r="R37" s="21" t="str">
        <f t="shared" si="11"/>
        <v>We</v>
      </c>
      <c r="S37" s="21" t="str">
        <f t="shared" si="11"/>
        <v>Th</v>
      </c>
      <c r="T37" s="21" t="str">
        <f t="shared" si="11"/>
        <v>Fr</v>
      </c>
      <c r="U37" s="21" t="str">
        <f t="shared" si="11"/>
        <v>Sa</v>
      </c>
      <c r="V37" s="21" t="str">
        <f t="shared" si="11"/>
        <v>Su</v>
      </c>
      <c r="W37" s="21" t="str">
        <f t="shared" si="11"/>
        <v>Mo</v>
      </c>
      <c r="X37" s="21" t="str">
        <f t="shared" si="11"/>
        <v>Tu</v>
      </c>
      <c r="Y37" s="21" t="str">
        <f t="shared" si="11"/>
        <v>We</v>
      </c>
      <c r="Z37" s="21" t="str">
        <f t="shared" si="11"/>
        <v>Th</v>
      </c>
      <c r="AA37" s="21" t="str">
        <f t="shared" si="11"/>
        <v>Fr</v>
      </c>
      <c r="AB37" s="21" t="str">
        <f t="shared" si="11"/>
        <v>Sa</v>
      </c>
      <c r="AC37" s="21" t="str">
        <f t="shared" si="11"/>
        <v>Su</v>
      </c>
      <c r="AD37" s="21" t="str">
        <f t="shared" si="11"/>
        <v>Mo</v>
      </c>
      <c r="AE37" s="21" t="str">
        <f t="shared" si="11"/>
        <v>Tu</v>
      </c>
      <c r="AF37" s="21" t="str">
        <f t="shared" si="11"/>
        <v>We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2021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N41"/>
  <sheetViews>
    <sheetView showGridLines="0" tabSelected="1" topLeftCell="D27" zoomScale="219" zoomScaleNormal="219" workbookViewId="0">
      <selection activeCell="A2" sqref="A2:M16"/>
    </sheetView>
  </sheetViews>
  <sheetFormatPr defaultColWidth="9.109375" defaultRowHeight="13.2"/>
  <cols>
    <col min="1" max="1" width="9.109375" style="56"/>
    <col min="2" max="2" width="2.77734375" style="56" customWidth="1"/>
    <col min="3" max="3" width="10.6640625" style="56" customWidth="1"/>
    <col min="4" max="4" width="9.6640625" style="56" customWidth="1"/>
    <col min="5" max="6" width="5.109375" style="56" customWidth="1"/>
    <col min="7" max="13" width="5.33203125" style="56" customWidth="1"/>
    <col min="14" max="16384" width="9.109375" style="56"/>
  </cols>
  <sheetData>
    <row r="1" spans="2:14" s="55" customFormat="1" ht="24" customHeight="1"/>
    <row r="2" spans="2:14" s="55" customFormat="1" ht="21" customHeight="1">
      <c r="C2" s="57"/>
      <c r="D2" s="57"/>
    </row>
    <row r="3" spans="2:14" s="55" customFormat="1">
      <c r="C3" s="223" t="str">
        <f>CurYear-1 &amp; "/"&amp;CurYear</f>
        <v>2020/2021</v>
      </c>
      <c r="D3" s="223"/>
      <c r="E3" s="92" t="s">
        <v>9</v>
      </c>
      <c r="F3" s="92" t="s">
        <v>11</v>
      </c>
      <c r="G3" s="92" t="s">
        <v>10</v>
      </c>
      <c r="H3" s="92" t="s">
        <v>69</v>
      </c>
      <c r="I3" s="92" t="s">
        <v>39</v>
      </c>
      <c r="J3" s="92" t="s">
        <v>40</v>
      </c>
      <c r="K3" s="92" t="s">
        <v>45</v>
      </c>
      <c r="L3" s="95" t="s">
        <v>51</v>
      </c>
      <c r="M3" s="92" t="s">
        <v>46</v>
      </c>
      <c r="N3" s="92" t="s">
        <v>29</v>
      </c>
    </row>
    <row r="4" spans="2:14" s="55" customFormat="1">
      <c r="B4" s="55">
        <v>1</v>
      </c>
      <c r="C4" s="178" t="str">
        <f>EmpGName01</f>
        <v>Luciano</v>
      </c>
      <c r="D4" s="178" t="str">
        <f>EmpSName01</f>
        <v>Marampon</v>
      </c>
      <c r="E4" s="78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F4" s="78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G4" s="78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H4" s="78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I4" s="78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J4" s="78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K4" s="78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L4" s="78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M4" s="78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N4" s="80">
        <f>SUM(E4:M4)</f>
        <v>0</v>
      </c>
    </row>
    <row r="5" spans="2:14" s="55" customFormat="1">
      <c r="B5" s="55">
        <v>2</v>
      </c>
      <c r="C5" s="179" t="str">
        <f>EmpGName02</f>
        <v>Kevin</v>
      </c>
      <c r="D5" s="179" t="str">
        <f>EmpSName02</f>
        <v>Stone</v>
      </c>
      <c r="E5" s="77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F5" s="77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G5" s="77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H5" s="77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I5" s="77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J5" s="77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K5" s="77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L5" s="77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M5" s="77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N5" s="79">
        <f>SUM(E5:M5)</f>
        <v>0</v>
      </c>
    </row>
    <row r="6" spans="2:14" s="55" customFormat="1">
      <c r="B6" s="55">
        <v>3</v>
      </c>
      <c r="C6" s="178" t="str">
        <f>EmpGName03</f>
        <v>Ian</v>
      </c>
      <c r="D6" s="178" t="str">
        <f>EmpSName03</f>
        <v>Thelning</v>
      </c>
      <c r="E6" s="78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F6" s="78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G6" s="78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H6" s="78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I6" s="78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J6" s="78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K6" s="78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L6" s="78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M6" s="78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N6" s="80">
        <f>SUM(E6:M6)</f>
        <v>0</v>
      </c>
    </row>
    <row r="7" spans="2:14" s="55" customFormat="1">
      <c r="B7" s="55">
        <v>4</v>
      </c>
      <c r="C7" s="179" t="str">
        <f>EmpGName04</f>
        <v>Leon</v>
      </c>
      <c r="D7" s="179" t="str">
        <f>EmpSName04</f>
        <v>King</v>
      </c>
      <c r="E7" s="77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F7" s="77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G7" s="77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H7" s="77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I7" s="77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J7" s="77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K7" s="77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L7" s="77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M7" s="77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N7" s="79">
        <f t="shared" ref="N7:N11" si="0">SUM(E7:M7)</f>
        <v>0</v>
      </c>
    </row>
    <row r="8" spans="2:14" s="55" customFormat="1">
      <c r="B8" s="55">
        <v>5</v>
      </c>
      <c r="C8" s="178" t="str">
        <f>EmpGName05</f>
        <v>David</v>
      </c>
      <c r="D8" s="178" t="str">
        <f>EmpSName05</f>
        <v>Castle</v>
      </c>
      <c r="E8" s="78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F8" s="78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G8" s="78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H8" s="78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I8" s="78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J8" s="78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K8" s="78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L8" s="78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M8" s="78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N8" s="80">
        <f t="shared" si="0"/>
        <v>0</v>
      </c>
    </row>
    <row r="9" spans="2:14" s="55" customFormat="1">
      <c r="B9" s="55">
        <v>6</v>
      </c>
      <c r="C9" s="179" t="str">
        <f>EmpGName06</f>
        <v>Robin</v>
      </c>
      <c r="D9" s="179" t="str">
        <f>EmpSName06</f>
        <v>Fielding</v>
      </c>
      <c r="E9" s="77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F9" s="77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G9" s="77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H9" s="77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I9" s="77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J9" s="77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K9" s="77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L9" s="77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M9" s="77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N9" s="79">
        <f t="shared" si="0"/>
        <v>0</v>
      </c>
    </row>
    <row r="10" spans="2:14" s="55" customFormat="1">
      <c r="B10" s="55">
        <v>7</v>
      </c>
      <c r="C10" s="178" t="str">
        <f>EmpGName07</f>
        <v>Troy</v>
      </c>
      <c r="D10" s="178" t="str">
        <f>EmpSName07</f>
        <v>Sorensen</v>
      </c>
      <c r="E10" s="80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F10" s="80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G10" s="80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H10" s="80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I10" s="78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J10" s="78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K10" s="78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L10" s="80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M10" s="78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N10" s="80">
        <f t="shared" si="0"/>
        <v>0</v>
      </c>
    </row>
    <row r="11" spans="2:14" s="55" customFormat="1">
      <c r="B11" s="55">
        <v>8</v>
      </c>
      <c r="C11" s="179" t="str">
        <f>EmpGName08</f>
        <v>Charlie</v>
      </c>
      <c r="D11" s="179" t="str">
        <f>EmpSName08</f>
        <v>Horse</v>
      </c>
      <c r="E11" s="79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F11" s="79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G11" s="79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H11" s="79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I11" s="77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J11" s="77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K11" s="77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L11" s="79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M11" s="77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N11" s="79">
        <f t="shared" si="0"/>
        <v>0</v>
      </c>
    </row>
    <row r="12" spans="2:14" s="55" customFormat="1">
      <c r="B12" s="55">
        <v>9</v>
      </c>
      <c r="C12" s="178" t="str">
        <f>EmpGName09</f>
        <v>Eddy</v>
      </c>
      <c r="D12" s="178" t="str">
        <f>EmpSName09</f>
        <v xml:space="preserve">Horse </v>
      </c>
      <c r="E12" s="80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F12" s="80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G12" s="80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H12" s="80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I12" s="78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J12" s="78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K12" s="78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L12" s="80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M12" s="78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N12" s="80">
        <f>SUM(E12:M12)</f>
        <v>0</v>
      </c>
    </row>
    <row r="13" spans="2:14" s="55" customFormat="1">
      <c r="B13" s="55">
        <v>10</v>
      </c>
      <c r="C13" s="179" t="str">
        <f>EmpSName10</f>
        <v>Smeegal</v>
      </c>
      <c r="D13" s="179" t="str">
        <f>EmpGName10</f>
        <v>John</v>
      </c>
      <c r="E13" s="79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F13" s="79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G13" s="79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H13" s="79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I13" s="77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J13" s="77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K13" s="77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L13" s="79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M13" s="77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N13" s="79">
        <f t="shared" ref="N13:N16" si="1">SUM(E13:M13)</f>
        <v>0</v>
      </c>
    </row>
    <row r="14" spans="2:14" s="55" customFormat="1">
      <c r="B14" s="55">
        <v>11</v>
      </c>
      <c r="C14" s="178" t="str">
        <f>EmpSName11</f>
        <v>Smeegal</v>
      </c>
      <c r="D14" s="178" t="str">
        <f>EmpGName11</f>
        <v>Edwin</v>
      </c>
      <c r="E14" s="80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F14" s="80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G14" s="80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H14" s="80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I14" s="78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J14" s="78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K14" s="78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L14" s="80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M14" s="78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N14" s="80">
        <f t="shared" si="1"/>
        <v>0</v>
      </c>
    </row>
    <row r="15" spans="2:14" s="55" customFormat="1" ht="15" customHeight="1">
      <c r="B15" s="55">
        <v>12</v>
      </c>
      <c r="C15" s="179" t="str">
        <f>EmpSName12</f>
        <v>James</v>
      </c>
      <c r="D15" s="179" t="str">
        <f>EmpGName12</f>
        <v>Jimmy</v>
      </c>
      <c r="E15" s="79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F15" s="79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G15" s="79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H15" s="79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I15" s="79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J15" s="79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K15" s="79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L15" s="79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M15" s="79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N15" s="79">
        <f t="shared" si="1"/>
        <v>0</v>
      </c>
    </row>
    <row r="16" spans="2:14" s="55" customFormat="1" ht="15" customHeight="1">
      <c r="B16" s="55">
        <v>13</v>
      </c>
      <c r="C16" s="180" t="str">
        <f>EmpSName13</f>
        <v>Jack</v>
      </c>
      <c r="D16" s="178" t="str">
        <f>EmpGName13</f>
        <v>Jack</v>
      </c>
      <c r="E16" s="80">
        <f>COUNTIF(Emp13Jan,"D")+COUNTIF(Emp13Feb,"D")+COUNTIF(Emp13Mar,"D")+COUNTIF(Emp13Apr,"D")+COUNTIF(Emp13May,"D")+COUNTIF(Emp13Jun,"D")+COUNTIF(Emp13Jul,"D")+COUNTIF(Emp13Aug,"D")+COUNTIF(Emp13Sep,"D")+COUNTIF(Emp13Oct,"D")+COUNTIF(Emp13Nov,"D")+COUNTIF(Emp13Dec,"D")</f>
        <v>0</v>
      </c>
      <c r="F16" s="80">
        <f>COUNTIF(Emp13Jan,"N")+COUNTIF(Emp13Feb,"N")+COUNTIF(Emp13Mar,"N")+COUNTIF(Emp13Apr,"N")+COUNTIF(Emp13May,"N")+COUNTIF(Emp13Jun,"N")+COUNTIF(Emp13Jul,"N")+COUNTIF(Emp13Aug,"N")+COUNTIF(Emp13Sep,"N")+COUNTIF(Emp13Oct,"N")+COUNTIF(Emp13Nov,"N")+COUNTIF(Emp13Dec,"N")</f>
        <v>0</v>
      </c>
      <c r="G16" s="80">
        <f>COUNTIF(Emp13Jan,"A")+COUNTIF(Emp13Feb,"A")+COUNTIF(Emp13Mar,"A")+COUNTIF(Emp13Apr,"A")+COUNTIF(Emp13May,"A")+COUNTIF(Emp13Jun,"A")+COUNTIF(Emp13Jul,"A")+COUNTIF(Emp13Aug,"A")+COUNTIF(Emp13Sep,"A")+COUNTIF(Emp13Oct,"A")+COUNTIF(Emp13Nov,"A")+COUNTIF(Emp13Dec,"A")</f>
        <v>0</v>
      </c>
      <c r="H16" s="80">
        <f>COUNTIF(Emp13Jan,"PO")+COUNTIF(Emp13Feb,"PO")+COUNTIF(Emp13Mar,"PO")+COUNTIF(Emp13Apr,"PO")+COUNTIF(Emp13May,"PO")+COUNTIF(Emp13Jun,"PO")+COUNTIF(Emp13Jul,"PO")+COUNTIF(Emp13Aug,"PO")+COUNTIF(Emp13Sep,"PO")+COUNTIF(Emp13Oct,"PO")+COUNTIF(Emp13Nov,"PO")+COUNTIF(Emp13Dec,"PO")</f>
        <v>0</v>
      </c>
      <c r="I16" s="78">
        <f>COUNTIF(Emp13Jan,"SL")+COUNTIF(Emp13Feb,"SL")+COUNTIF(Emp13Mar,"SL")+COUNTIF(Emp13Apr,"SL")+COUNTIF(Emp13May,"SL")+COUNTIF(Emp13Jun,"SL")+COUNTIF(Emp13Jul,"SL")+COUNTIF(Emp13Aug,"SL")+COUNTIF(Emp13Sep,"SL")+COUNTIF(Emp13Oct,"SL")+COUNTIF(Emp13Nov,"SL")+COUNTIF(Emp13Dec,"SL")</f>
        <v>0</v>
      </c>
      <c r="J16" s="78">
        <f>COUNTIF(Emp13Jan,"AL")+COUNTIF(Emp13Feb,"AL")+COUNTIF(Emp13Mar,"AL")+COUNTIF(Emp13Apr,"AL")+COUNTIF(Emp13May,"AL")+COUNTIF(Emp13Jun,"AL")+COUNTIF(Emp13Jul,"AL")+COUNTIF(Emp13Aug,"AL")+COUNTIF(Emp13Sep,"AL")+COUNTIF(Emp13Oct,"AL")+COUNTIF(Emp13Nov,"AL")+COUNTIF(Emp13Dec,"AL")</f>
        <v>0</v>
      </c>
      <c r="K16" s="78">
        <f>COUNTIF(Emp13Jan,"H")+COUNTIF(Emp13Feb,"H")+COUNTIF(Emp13Mar,"H")+COUNTIF(Emp13Apr,"H")+COUNTIF(Emp13May,"H")+COUNTIF(Emp13Jun,"H")+COUNTIF(Emp13Jul,"H")+COUNTIF(Emp13Aug,"H")+COUNTIF(Emp13Sep,"H")+COUNTIF(Emp13Oct,"H")+COUNTIF(Emp13Nov,"H")+COUNTIF(Emp13Dec,"H")</f>
        <v>0</v>
      </c>
      <c r="L16" s="80">
        <f>COUNTIF(Emp13Jan,"NA")+COUNTIF(Emp13Feb,"NA")+COUNTIF(Emp13Mar,"NA")+COUNTIF(Emp13Apr,"NA")+COUNTIF(Emp13May,"NA")+COUNTIF(Emp13Jun,"NA")+COUNTIF(Emp13Jul,"NA")+COUNTIF(Emp13Aug,"NA")+COUNTIF(Emp13Sep,"NA")+COUNTIF(Emp13Oct,"NA")+COUNTIF(Emp13Nov,"NA")+COUNTIF(Emp13Dec,"NA")</f>
        <v>0</v>
      </c>
      <c r="M16" s="78">
        <f>COUNTIF(Emp13Jan,"SP")+COUNTIF(Emp13Feb,"SP")+COUNTIF(Emp13Mar,"SP")+COUNTIF(Emp13Apr,"SP")+COUNTIF(Emp13May,"SP")+COUNTIF(Emp13Jun,"SP")+COUNTIF(Emp13Jul,"SP")+COUNTIF(Emp13Aug,"SP")+COUNTIF(Emp13Sep,"SP")+COUNTIF(Emp13Oct,"SP")+COUNTIF(Emp13Nov,"SP")+COUNTIF(Emp13Dec,"SP")</f>
        <v>0</v>
      </c>
      <c r="N16" s="80">
        <f t="shared" si="1"/>
        <v>0</v>
      </c>
    </row>
    <row r="17" spans="2:14" s="55" customFormat="1" ht="15" customHeight="1">
      <c r="B17" s="55">
        <v>14</v>
      </c>
      <c r="C17" s="181" t="str">
        <f>EmpSName14</f>
        <v xml:space="preserve">Jacky </v>
      </c>
      <c r="D17" s="179" t="str">
        <f>EmpGName14</f>
        <v>Jacky</v>
      </c>
      <c r="E17" s="79">
        <f>COUNTIF(Emp14Jan,"D")+COUNTIF(Emp14Feb,"D")+COUNTIF(Emp14Mar,"D")+COUNTIF(Emp14Apr,"D")+COUNTIF(Emp14May,"D")+COUNTIF(Emp14Jun,"D")+COUNTIF(Emp14Jul,"D")+COUNTIF(Emp14Aug,"D")+COUNTIF(Emp14Sep,"D")+COUNTIF(Emp14Oct,"D")+COUNTIF(Emp14Nov,"D")+COUNTIF(Emp14Dec,"D")</f>
        <v>0</v>
      </c>
      <c r="F17" s="79">
        <f>COUNTIF(Emp14Jan,"N")+COUNTIF(Emp14Feb,"N")+COUNTIF(Emp14Mar,"N")+COUNTIF(Emp14Apr,"N")+COUNTIF(Emp14May,"N")+COUNTIF(Emp14Jun,"N")+COUNTIF(Emp14Jul,"N")+COUNTIF(Emp14Aug,"N")+COUNTIF(Emp14Sep,"N")+COUNTIF(Emp14Oct,"N")+COUNTIF(Emp14Nov,"N")+COUNTIF(Emp14Dec,"N")</f>
        <v>0</v>
      </c>
      <c r="G17" s="79">
        <f>COUNTIF(Emp14Jan,"A")+COUNTIF(Emp14Feb,"A")+COUNTIF(Emp14Mar,"A")+COUNTIF(Emp14Apr,"A")+COUNTIF(Emp14May,"A")+COUNTIF(Emp14Jun,"A")+COUNTIF(Emp14Jul,"A")+COUNTIF(Emp14Aug,"A")+COUNTIF(Emp14Sep,"A")+COUNTIF(Emp14Oct,"A")+COUNTIF(Emp14Nov,"A")+COUNTIF(Emp14Dec,"A")</f>
        <v>0</v>
      </c>
      <c r="H17" s="79">
        <f>COUNTIF(Emp14Jan,"PO")+COUNTIF(Emp14Feb,"PO")+COUNTIF(Emp14Mar,"PO")+COUNTIF(Emp14Apr,"PO")+COUNTIF(Emp14May,"PO")+COUNTIF(Emp14Jun,"PO")+COUNTIF(Emp14Jul,"PO")+COUNTIF(Emp14Aug,"PO")+COUNTIF(Emp14Sep,"PO")+COUNTIF(Emp14Oct,"PO")+COUNTIF(Emp14Nov,"PO")+COUNTIF(Emp14Dec,"PO")</f>
        <v>0</v>
      </c>
      <c r="I17" s="79">
        <f>COUNTIF(Emp14Jan,"SL")+COUNTIF(Emp14Feb,"SL")+COUNTIF(Emp14Mar,"SL")+COUNTIF(Emp14Apr,"SL")+COUNTIF(Emp14May,"SL")+COUNTIF(Emp14Jun,"SL")+COUNTIF(Emp14Jul,"SL")+COUNTIF(Emp14Aug,"SL")+COUNTIF(Emp14Sep,"SL")+COUNTIF(Emp14Oct,"SL")+COUNTIF(Emp14Nov,"SL")+COUNTIF(Emp14Dec,"SL")</f>
        <v>0</v>
      </c>
      <c r="J17" s="79">
        <f>COUNTIF(Emp14Jan,"AL")+COUNTIF(Emp14Feb,"AL")+COUNTIF(Emp14Mar,"AL")+COUNTIF(Emp14Apr,"AL")+COUNTIF(Emp14May,"AL")+COUNTIF(Emp14Jun,"AL")+COUNTIF(Emp14Jul,"AL")+COUNTIF(Emp14Aug,"AL")+COUNTIF(Emp14Sep,"AL")+COUNTIF(Emp14Oct,"AL")+COUNTIF(Emp14Nov,"AL")+COUNTIF(Emp14Dec,"AL")</f>
        <v>0</v>
      </c>
      <c r="K17" s="79">
        <f>COUNTIF(Emp14Jan,"H")+COUNTIF(Emp14Feb,"H")+COUNTIF(Emp14Mar,"H")+COUNTIF(Emp14Apr,"H")+COUNTIF(Emp14May,"H")+COUNTIF(Emp14Jun,"H")+COUNTIF(Emp14Jul,"H")+COUNTIF(Emp14Aug,"H")+COUNTIF(Emp14Sep,"H")+COUNTIF(Emp14Oct,"H")+COUNTIF(Emp14Nov,"H")+COUNTIF(Emp14Dec,"H")</f>
        <v>0</v>
      </c>
      <c r="L17" s="79">
        <f>COUNTIF(Emp14Jan,"NA")+COUNTIF(Emp14Feb,"NA")+COUNTIF(Emp14Mar,"NA")+COUNTIF(Emp14Apr,"NA")+COUNTIF(Emp14May,"NA")+COUNTIF(Emp14Jun,"NA")+COUNTIF(Emp14Jul,"NA")+COUNTIF(Emp14Aug,"NA")+COUNTIF(Emp14Sep,"NA")+COUNTIF(Emp14Oct,"NA")+COUNTIF(Emp14Nov,"NA")+COUNTIF(Emp14Dec,"NA")</f>
        <v>0</v>
      </c>
      <c r="M17" s="79">
        <f>COUNTIF(Emp14Jan,"SP")+COUNTIF(Emp14Feb,"SP")+COUNTIF(Emp14Mar,"SP")+COUNTIF(Emp14Apr,"SP")+COUNTIF(Emp14May,"SP")+COUNTIF(Emp14Jun,"SP")+COUNTIF(Emp14Jul,"SP")+COUNTIF(Emp14Aug,"SP")+COUNTIF(Emp14Sep,"SP")+COUNTIF(Emp14Oct,"SP")+COUNTIF(Emp14Nov,"SP")+COUNTIF(Emp14Dec,"SP")</f>
        <v>0</v>
      </c>
      <c r="N17" s="79">
        <f t="shared" ref="N17" si="2">SUM(E17:M17)</f>
        <v>0</v>
      </c>
    </row>
    <row r="18" spans="2:14" s="55" customFormat="1" ht="15" customHeight="1">
      <c r="B18" s="55">
        <v>15</v>
      </c>
      <c r="C18" s="178" t="str">
        <f>EmpSName15</f>
        <v>Friedle</v>
      </c>
      <c r="D18" s="178" t="str">
        <f>EmpGName15</f>
        <v>Johnny</v>
      </c>
      <c r="E18" s="80">
        <f>COUNTIF(Emp15Jan,"D")+COUNTIF(Emp15Feb,"D")+COUNTIF(Emp15Mar,"D")+COUNTIF(Emp15Apr,"D")+COUNTIF(Emp15May,"D")+COUNTIF(Emp15Jun,"D")+COUNTIF(Emp15Jul,"D")+COUNTIF(Emp15Aug,"D")+COUNTIF(Emp15Sep,"D")+COUNTIF(Emp15Oct,"D")+COUNTIF(Emp15Nov,"D")+COUNTIF(Emp15Dec,"D")</f>
        <v>0</v>
      </c>
      <c r="F18" s="80">
        <f>COUNTIF(Emp15Jan,"N")+COUNTIF(Emp15Feb,"N")+COUNTIF(Emp15Mar,"N")+COUNTIF(Emp15Apr,"N")+COUNTIF(Emp15May,"N")+COUNTIF(Emp15Jun,"N")+COUNTIF(Emp15Jul,"N")+COUNTIF(Emp15Aug,"N")+COUNTIF(Emp15Sep,"N")+COUNTIF(Emp15Oct,"N")+COUNTIF(Emp15Nov,"N")+COUNTIF(Emp15Dec,"N")</f>
        <v>0</v>
      </c>
      <c r="G18" s="80">
        <f>COUNTIF(Emp15Jan,"A")+COUNTIF(Emp15Feb,"A")+COUNTIF(Emp15Mar,"A")+COUNTIF(Emp15Apr,"A")+COUNTIF(Emp15May,"A")+COUNTIF(Emp15Jun,"A")+COUNTIF(Emp15Jul,"A")+COUNTIF(Emp15Aug,"A")+COUNTIF(Emp15Sep,"A")+COUNTIF(Emp15Oct,"A")+COUNTIF(Emp15Nov,"A")+COUNTIF(Emp15Dec,"A")</f>
        <v>0</v>
      </c>
      <c r="H18" s="80">
        <f>COUNTIF(Emp15Jan,"PO")+COUNTIF(Emp15Feb,"PO")+COUNTIF(Emp15Mar,"PO")+COUNTIF(Emp15Apr,"PO")+COUNTIF(Emp15May,"PO")+COUNTIF(Emp15Jun,"PO")+COUNTIF(Emp15Jul,"PO")+COUNTIF(Emp15Aug,"PO")+COUNTIF(Emp15Sep,"PO")+COUNTIF(Emp15Oct,"PO")+COUNTIF(Emp15Nov,"PO")+COUNTIF(Emp15Dec,"PO")</f>
        <v>0</v>
      </c>
      <c r="I18" s="78">
        <f>COUNTIF(Emp15Jan,"SL")+COUNTIF(Emp15Feb,"SL")+COUNTIF(Emp15Mar,"SL")+COUNTIF(Emp15Apr,"SL")+COUNTIF(Emp15May,"SL")+COUNTIF(Emp15Jun,"SL")+COUNTIF(Emp15Jul,"SL")+COUNTIF(Emp15Aug,"SL")+COUNTIF(Emp15Sep,"SL")+COUNTIF(Emp15Oct,"SL")+COUNTIF(Emp15Nov,"SL")+COUNTIF(Emp15Dec,"SL")</f>
        <v>0</v>
      </c>
      <c r="J18" s="78">
        <f>COUNTIF(Emp15Jan,"AL")+COUNTIF(Emp15Feb,"AL")+COUNTIF(Emp15Mar,"AL")+COUNTIF(Emp15Apr,"AL")+COUNTIF(Emp15May,"AL")+COUNTIF(Emp15Jun,"AL")+COUNTIF(Emp15Jul,"AL")+COUNTIF(Emp15Aug,"AL")+COUNTIF(Emp15Sep,"AL")+COUNTIF(Emp15Oct,"AL")+COUNTIF(Emp15Nov,"AL")+COUNTIF(Emp15Dec,"AL")</f>
        <v>0</v>
      </c>
      <c r="K18" s="78">
        <f>COUNTIF(Emp15Jan,"H")+COUNTIF(Emp15Feb,"H")+COUNTIF(Emp15Mar,"H")+COUNTIF(Emp15Apr,"H")+COUNTIF(Emp15May,"H")+COUNTIF(Emp15Jun,"H")+COUNTIF(Emp15Jul,"H")+COUNTIF(Emp15Aug,"H")+COUNTIF(Emp15Sep,"H")+COUNTIF(Emp15Oct,"H")+COUNTIF(Emp15Nov,"H")+COUNTIF(Emp15Dec,"H")</f>
        <v>0</v>
      </c>
      <c r="L18" s="80">
        <f>COUNTIF(Emp15Jan,"NA")+COUNTIF(Emp15Feb,"NA")+COUNTIF(Emp15Mar,"NA")+COUNTIF(Emp15Apr,"NA")+COUNTIF(Emp15May,"NA")+COUNTIF(Emp15Jun,"NA")+COUNTIF(Emp15Jul,"NA")+COUNTIF(Emp15Aug,"NA")+COUNTIF(Emp15Sep,"NA")+COUNTIF(Emp15Oct,"NA")+COUNTIF(Emp15Nov,"NA")+COUNTIF(Emp15Dec,"NA")</f>
        <v>0</v>
      </c>
      <c r="M18" s="78">
        <f>COUNTIF(Emp15Jan,"SP")+COUNTIF(Emp15Feb,"SP")+COUNTIF(Emp15Mar,"SP")+COUNTIF(Emp15Apr,"SP")+COUNTIF(Emp15May,"SP")+COUNTIF(Emp15Jun,"SP")+COUNTIF(Emp15Jul,"SP")+COUNTIF(Emp15Aug,"SP")+COUNTIF(Emp15Sep,"SP")+COUNTIF(Emp15Oct,"SP")+COUNTIF(Emp15Nov,"SP")+COUNTIF(Emp15Dec,"SP")</f>
        <v>0</v>
      </c>
      <c r="N18" s="80">
        <f t="shared" ref="N18" si="3">SUM(E18:M18)</f>
        <v>0</v>
      </c>
    </row>
    <row r="19" spans="2:14" s="55" customFormat="1" ht="15" customHeight="1">
      <c r="B19" s="55">
        <v>16</v>
      </c>
      <c r="C19" s="179" t="str">
        <f>EmpSName16</f>
        <v>Friedle</v>
      </c>
      <c r="D19" s="179" t="str">
        <f>EmpGName16</f>
        <v>Jimmy</v>
      </c>
      <c r="E19" s="79">
        <f>COUNTIF(Emp16Jan,"D")+COUNTIF(Emp16Feb,"D")+COUNTIF(Emp16Mar,"D")+COUNTIF(Emp16Apr,"D")+COUNTIF(Emp16May,"D")+COUNTIF(Emp16Jun,"D")+COUNTIF(Emp16Jul,"D")+COUNTIF(Emp16Aug,"D")+COUNTIF(Emp16Sep,"D")+COUNTIF(Emp16Oct,"D")+COUNTIF(Emp16Nov,"D")+COUNTIF(Emp16Dec,"D")</f>
        <v>0</v>
      </c>
      <c r="F19" s="79">
        <f>COUNTIF(Emp16Jan,"N")+COUNTIF(Emp16Feb,"N")+COUNTIF(Emp16Mar,"N")+COUNTIF(Emp16Apr,"N")+COUNTIF(Emp16May,"N")+COUNTIF(Emp16Jun,"N")+COUNTIF(Emp16Jul,"N")+COUNTIF(Emp16Aug,"N")+COUNTIF(Emp16Sep,"N")+COUNTIF(Emp16Oct,"N")+COUNTIF(Emp16Nov,"N")+COUNTIF(Emp16Dec,"N")</f>
        <v>0</v>
      </c>
      <c r="G19" s="79">
        <f>COUNTIF(Emp16Jan,"A")+COUNTIF(Emp16Feb,"A")+COUNTIF(Emp16Mar,"A")+COUNTIF(Emp16Apr,"A")+COUNTIF(Emp16May,"A")+COUNTIF(Emp16Jun,"A")+COUNTIF(Emp16Jul,"A")+COUNTIF(Emp16Aug,"A")+COUNTIF(Emp16Sep,"A")+COUNTIF(Emp16Oct,"A")+COUNTIF(Emp16Nov,"A")+COUNTIF(Emp16Dec,"A")</f>
        <v>0</v>
      </c>
      <c r="H19" s="79">
        <f>COUNTIF(Emp16Jan,"PO")+COUNTIF(Emp16Feb,"PO")+COUNTIF(Emp16Mar,"PO")+COUNTIF(Emp16Apr,"PO")+COUNTIF(Emp16May,"PO")+COUNTIF(Emp16Jun,"PO")+COUNTIF(Emp16Jul,"PO")+COUNTIF(Emp16Aug,"PO")+COUNTIF(Emp16Sep,"PO")+COUNTIF(Emp16Oct,"PO")+COUNTIF(Emp16Nov,"PO")+COUNTIF(Emp16Dec,"PO")</f>
        <v>0</v>
      </c>
      <c r="I19" s="79">
        <f>COUNTIF(Emp16Jan,"SL")+COUNTIF(Emp16Feb,"SL")+COUNTIF(Emp16Mar,"SL")+COUNTIF(Emp16Apr,"SL")+COUNTIF(Emp16May,"SL")+COUNTIF(Emp16Jun,"SL")+COUNTIF(Emp16Jul,"SL")+COUNTIF(Emp16Aug,"SL")+COUNTIF(Emp16Sep,"SL")+COUNTIF(Emp16Oct,"SL")+COUNTIF(Emp16Nov,"SL")+COUNTIF(Emp16Dec,"SL")</f>
        <v>0</v>
      </c>
      <c r="J19" s="79">
        <f>COUNTIF(Emp16Jan,"AL")+COUNTIF(Emp16Feb,"AL")+COUNTIF(Emp16Mar,"AL")+COUNTIF(Emp16Apr,"AL")+COUNTIF(Emp16May,"AL")+COUNTIF(Emp16Jun,"AL")+COUNTIF(Emp16Jul,"AL")+COUNTIF(Emp16Aug,"AL")+COUNTIF(Emp16Sep,"AL")+COUNTIF(Emp16Oct,"AL")+COUNTIF(Emp16Nov,"AL")+COUNTIF(Emp16Dec,"AL")</f>
        <v>0</v>
      </c>
      <c r="K19" s="79">
        <f>COUNTIF(Emp16Jan,"H")+COUNTIF(Emp16Feb,"H")+COUNTIF(Emp16Mar,"H")+COUNTIF(Emp16Apr,"H")+COUNTIF(Emp16May,"H")+COUNTIF(Emp16Jun,"H")+COUNTIF(Emp16Jul,"H")+COUNTIF(Emp16Aug,"H")+COUNTIF(Emp16Sep,"H")+COUNTIF(Emp16Oct,"H")+COUNTIF(Emp16Nov,"H")+COUNTIF(Emp16Dec,"H")</f>
        <v>0</v>
      </c>
      <c r="L19" s="79">
        <f>COUNTIF(Emp16Jan,"NA")+COUNTIF(Emp16Feb,"NA")+COUNTIF(Emp16Mar,"NA")+COUNTIF(Emp16Apr,"NA")+COUNTIF(Emp16May,"NA")+COUNTIF(Emp16Jun,"NA")+COUNTIF(Emp16Jul,"NA")+COUNTIF(Emp16Aug,"NA")+COUNTIF(Emp16Sep,"NA")+COUNTIF(Emp16Oct,"NA")+COUNTIF(Emp16Nov,"NA")+COUNTIF(Emp16Dec,"NA")</f>
        <v>0</v>
      </c>
      <c r="M19" s="79">
        <f>COUNTIF(Emp16Jan,"SP")+COUNTIF(Emp16Feb,"SP")+COUNTIF(Emp16Mar,"SP")+COUNTIF(Emp16Apr,"SP")+COUNTIF(Emp16May,"SP")+COUNTIF(Emp16Jun,"SP")+COUNTIF(Emp16Jul,"SP")+COUNTIF(Emp16Aug,"SP")+COUNTIF(Emp16Sep,"SP")+COUNTIF(Emp16Oct,"SP")+COUNTIF(Emp16Nov,"SP")+COUNTIF(Emp16Dec,"SP")</f>
        <v>0</v>
      </c>
      <c r="N19" s="79">
        <f t="shared" ref="N19" si="4">SUM(E19:M19)</f>
        <v>0</v>
      </c>
    </row>
    <row r="20" spans="2:14" s="55" customFormat="1" ht="15" customHeight="1">
      <c r="B20" s="55">
        <v>17</v>
      </c>
      <c r="C20" s="178" t="str">
        <f>EmpSName17</f>
        <v>Smart</v>
      </c>
      <c r="D20" s="178" t="str">
        <f>EmpGName17</f>
        <v>James</v>
      </c>
      <c r="E20" s="80">
        <f>COUNTIF(Emp17Jan,"D")+COUNTIF(Emp17Feb,"D")+COUNTIF(Emp17Mar,"D")+COUNTIF(Emp17Apr,"D")+COUNTIF(Emp17May,"D")+COUNTIF(Emp17Jun,"D")+COUNTIF(Emp17Jul,"D")+COUNTIF(Emp17Aug,"D")+COUNTIF(Emp17Sep,"D")+COUNTIF(Emp17Oct,"D")+COUNTIF(Emp17Nov,"D")+COUNTIF(Emp17Dec,"D")</f>
        <v>0</v>
      </c>
      <c r="F20" s="80">
        <f>COUNTIF(Emp17Jan,"N")+COUNTIF(Emp17Feb,"N")+COUNTIF(Emp17Mar,"N")+COUNTIF(Emp17Apr,"N")+COUNTIF(Emp17May,"N")+COUNTIF(Emp17Jun,"N")+COUNTIF(Emp17Jul,"N")+COUNTIF(Emp17Aug,"N")+COUNTIF(Emp17Sep,"N")+COUNTIF(Emp17Oct,"N")+COUNTIF(Emp17Nov,"N")+COUNTIF(Emp17Dec,"N")</f>
        <v>0</v>
      </c>
      <c r="G20" s="80">
        <f>COUNTIF(Emp17Jan,"A")+COUNTIF(Emp17Feb,"A")+COUNTIF(Emp17Mar,"A")+COUNTIF(Emp17Apr,"A")+COUNTIF(Emp17May,"A")+COUNTIF(Emp17Jun,"A")+COUNTIF(Emp17Jul,"A")+COUNTIF(Emp17Aug,"A")+COUNTIF(Emp17Sep,"A")+COUNTIF(Emp17Oct,"A")+COUNTIF(Emp17Nov,"A")+COUNTIF(Emp17Dec,"A")</f>
        <v>0</v>
      </c>
      <c r="H20" s="80">
        <f>COUNTIF(Emp17Jan,"PO")+COUNTIF(Emp17Feb,"PO")+COUNTIF(Emp17Mar,"PO")+COUNTIF(Emp17Apr,"PO")+COUNTIF(Emp17May,"PO")+COUNTIF(Emp17Jun,"PO")+COUNTIF(Emp17Jul,"PO")+COUNTIF(Emp17Aug,"PO")+COUNTIF(Emp17Sep,"PO")+COUNTIF(Emp17Oct,"PO")+COUNTIF(Emp17Nov,"PO")+COUNTIF(Emp17Dec,"PO")</f>
        <v>0</v>
      </c>
      <c r="I20" s="78">
        <f>COUNTIF(Emp17Jan,"SL")+COUNTIF(Emp17Feb,"SL")+COUNTIF(Emp17Mar,"SL")+COUNTIF(Emp17Apr,"SL")+COUNTIF(Emp17May,"SL")+COUNTIF(Emp17Jun,"SL")+COUNTIF(Emp17Jul,"SL")+COUNTIF(Emp17Aug,"SL")+COUNTIF(Emp17Sep,"SL")+COUNTIF(Emp17Oct,"SL")+COUNTIF(Emp17Nov,"SL")+COUNTIF(Emp17Dec,"SL")</f>
        <v>0</v>
      </c>
      <c r="J20" s="78">
        <f>COUNTIF(Emp17Jan,"AL")+COUNTIF(Emp17Feb,"AL")+COUNTIF(Emp17Mar,"AL")+COUNTIF(Emp17Apr,"AL")+COUNTIF(Emp17May,"AL")+COUNTIF(Emp17Jun,"AL")+COUNTIF(Emp17Jul,"AL")+COUNTIF(Emp17Aug,"AL")+COUNTIF(Emp17Sep,"AL")+COUNTIF(Emp17Oct,"AL")+COUNTIF(Emp17Nov,"AL")+COUNTIF(Emp17Dec,"AL")</f>
        <v>0</v>
      </c>
      <c r="K20" s="78">
        <f>COUNTIF(Emp17Jan,"H")+COUNTIF(Emp17Feb,"H")+COUNTIF(Emp17Mar,"H")+COUNTIF(Emp17Apr,"H")+COUNTIF(Emp17May,"H")+COUNTIF(Emp17Jun,"H")+COUNTIF(Emp17Jul,"H")+COUNTIF(Emp17Aug,"H")+COUNTIF(Emp17Sep,"H")+COUNTIF(Emp17Oct,"H")+COUNTIF(Emp17Nov,"H")+COUNTIF(Emp17Dec,"H")</f>
        <v>0</v>
      </c>
      <c r="L20" s="80">
        <f>COUNTIF(Emp17Jan,"NA")+COUNTIF(Emp17Feb,"NA")+COUNTIF(Emp17Mar,"NA")+COUNTIF(Emp17Apr,"NA")+COUNTIF(Emp17May,"NA")+COUNTIF(Emp17Jun,"NA")+COUNTIF(Emp17Jul,"NA")+COUNTIF(Emp17Aug,"NA")+COUNTIF(Emp17Sep,"NA")+COUNTIF(Emp17Oct,"NA")+COUNTIF(Emp17Nov,"NA")+COUNTIF(Emp17Dec,"NA")</f>
        <v>0</v>
      </c>
      <c r="M20" s="78">
        <f>COUNTIF(Emp17Jan,"SP")+COUNTIF(Emp17Feb,"SP")+COUNTIF(Emp17Mar,"SP")+COUNTIF(Emp17Apr,"SP")+COUNTIF(Emp17May,"SP")+COUNTIF(Emp17Jun,"SP")+COUNTIF(Emp17Jul,"SP")+COUNTIF(Emp17Aug,"SP")+COUNTIF(Emp17Sep,"SP")+COUNTIF(Emp17Oct,"SP")+COUNTIF(Emp17Nov,"SP")+COUNTIF(Emp17Dec,"SP")</f>
        <v>0</v>
      </c>
      <c r="N20" s="80">
        <f t="shared" ref="N20" si="5">SUM(E20:M20)</f>
        <v>0</v>
      </c>
    </row>
    <row r="21" spans="2:14" s="55" customFormat="1" ht="15" customHeight="1">
      <c r="B21" s="55">
        <v>18</v>
      </c>
      <c r="C21" s="179" t="str">
        <f>EmpSName18</f>
        <v>Smart</v>
      </c>
      <c r="D21" s="179" t="str">
        <f>EmpGName18</f>
        <v>Eddy</v>
      </c>
      <c r="E21" s="79">
        <f>COUNTIF(Emp18Jan,"D")+COUNTIF(Emp18Feb,"D")+COUNTIF(Emp18Mar,"D")+COUNTIF(Emp18Apr,"D")+COUNTIF(Emp18May,"D")+COUNTIF(Emp18Jun,"D")+COUNTIF(Emp18Jul,"D")+COUNTIF(Emp18Aug,"D")+COUNTIF(Emp18Sep,"D")+COUNTIF(Emp18Oct,"D")+COUNTIF(Emp18Nov,"D")+COUNTIF(Emp18Dec,"D")</f>
        <v>0</v>
      </c>
      <c r="F21" s="79">
        <f>COUNTIF(Emp18Jan,"N")+COUNTIF(Emp18Feb,"N")+COUNTIF(Emp18Mar,"N")+COUNTIF(Emp18Apr,"N")+COUNTIF(Emp18May,"N")+COUNTIF(Emp18Jun,"N")+COUNTIF(Emp18Jul,"N")+COUNTIF(Emp18Aug,"N")+COUNTIF(Emp18Sep,"N")+COUNTIF(Emp18Oct,"N")+COUNTIF(Emp18Nov,"N")+COUNTIF(Emp18Dec,"N")</f>
        <v>0</v>
      </c>
      <c r="G21" s="79">
        <f>COUNTIF(Emp18Jan,"A")+COUNTIF(Emp18Feb,"A")+COUNTIF(Emp18Mar,"A")+COUNTIF(Emp18Apr,"A")+COUNTIF(Emp18May,"A")+COUNTIF(Emp18Jun,"A")+COUNTIF(Emp18Jul,"A")+COUNTIF(Emp18Aug,"A")+COUNTIF(Emp18Sep,"A")+COUNTIF(Emp18Oct,"A")+COUNTIF(Emp18Nov,"A")+COUNTIF(Emp18Dec,"A")</f>
        <v>0</v>
      </c>
      <c r="H21" s="79">
        <f>COUNTIF(Emp18Jan,"PO")+COUNTIF(Emp18Feb,"PO")+COUNTIF(Emp18Mar,"PO")+COUNTIF(Emp18Apr,"PO")+COUNTIF(Emp18May,"PO")+COUNTIF(Emp18Jun,"PO")+COUNTIF(Emp18Jul,"PO")+COUNTIF(Emp18Aug,"PO")+COUNTIF(Emp18Sep,"PO")+COUNTIF(Emp18Oct,"PO")+COUNTIF(Emp18Nov,"PO")+COUNTIF(Emp18Dec,"PO")</f>
        <v>0</v>
      </c>
      <c r="I21" s="79">
        <f>COUNTIF(Emp18Jan,"SL")+COUNTIF(Emp18Feb,"SL")+COUNTIF(Emp18Mar,"SL")+COUNTIF(Emp18Apr,"SL")+COUNTIF(Emp18May,"SL")+COUNTIF(Emp18Jun,"SL")+COUNTIF(Emp18Jul,"SL")+COUNTIF(Emp18Aug,"SL")+COUNTIF(Emp18Sep,"SL")+COUNTIF(Emp18Oct,"SL")+COUNTIF(Emp18Nov,"SL")+COUNTIF(Emp18Dec,"SL")</f>
        <v>0</v>
      </c>
      <c r="J21" s="79">
        <f>COUNTIF(Emp18Jan,"AL")+COUNTIF(Emp18Feb,"AL")+COUNTIF(Emp18Mar,"AL")+COUNTIF(Emp18Apr,"AL")+COUNTIF(Emp18May,"AL")+COUNTIF(Emp18Jun,"AL")+COUNTIF(Emp18Jul,"AL")+COUNTIF(Emp18Aug,"AL")+COUNTIF(Emp18Sep,"AL")+COUNTIF(Emp18Oct,"AL")+COUNTIF(Emp18Nov,"AL")+COUNTIF(Emp18Dec,"AL")</f>
        <v>0</v>
      </c>
      <c r="K21" s="79">
        <f>COUNTIF(Emp18Jan,"H")+COUNTIF(Emp18Feb,"H")+COUNTIF(Emp18Mar,"H")+COUNTIF(Emp18Apr,"H")+COUNTIF(Emp18May,"H")+COUNTIF(Emp18Jun,"H")+COUNTIF(Emp18Jul,"H")+COUNTIF(Emp18Aug,"H")+COUNTIF(Emp18Sep,"H")+COUNTIF(Emp18Oct,"H")+COUNTIF(Emp18Nov,"H")+COUNTIF(Emp18Dec,"H")</f>
        <v>0</v>
      </c>
      <c r="L21" s="79">
        <f>COUNTIF(Emp18Jan,"NA")+COUNTIF(Emp18Feb,"NA")+COUNTIF(Emp18Mar,"NA")+COUNTIF(Emp18Apr,"NA")+COUNTIF(Emp18May,"NA")+COUNTIF(Emp18Jun,"NA")+COUNTIF(Emp18Jul,"NA")+COUNTIF(Emp18Aug,"NA")+COUNTIF(Emp18Sep,"NA")+COUNTIF(Emp18Oct,"NA")+COUNTIF(Emp18Nov,"NA")+COUNTIF(Emp18Dec,"NA")</f>
        <v>0</v>
      </c>
      <c r="M21" s="79">
        <f>COUNTIF(Emp18Jan,"SP")+COUNTIF(Emp18Feb,"SP")+COUNTIF(Emp18Mar,"SP")+COUNTIF(Emp18Apr,"SP")+COUNTIF(Emp18May,"SP")+COUNTIF(Emp18Jun,"SP")+COUNTIF(Emp18Jul,"SP")+COUNTIF(Emp18Aug,"SP")+COUNTIF(Emp18Sep,"SP")+COUNTIF(Emp18Oct,"SP")+COUNTIF(Emp18Nov,"SP")+COUNTIF(Emp18Dec,"SP")</f>
        <v>0</v>
      </c>
      <c r="N21" s="79">
        <f t="shared" ref="N21" si="6">SUM(E21:M21)</f>
        <v>0</v>
      </c>
    </row>
    <row r="22" spans="2:14" s="55" customFormat="1" ht="15" customHeight="1">
      <c r="B22" s="55">
        <v>19</v>
      </c>
      <c r="C22" s="178" t="str">
        <f>EmpSName19</f>
        <v>Black</v>
      </c>
      <c r="D22" s="178" t="str">
        <f>EmpGName19</f>
        <v>Jack</v>
      </c>
      <c r="E22" s="80">
        <f>COUNTIF(Emp19Jan,"D")+COUNTIF(Emp19Feb,"D")+COUNTIF(Emp19Mar,"D")+COUNTIF(Emp19Apr,"D")+COUNTIF(Emp19May,"D")+COUNTIF(Emp19Jun,"D")+COUNTIF(Emp19Jul,"D")+COUNTIF(Emp19Aug,"D")+COUNTIF(Emp19Sep,"D")+COUNTIF(Emp19Oct,"D")+COUNTIF(Emp19Nov,"D")+COUNTIF(Emp19Dec,"D")</f>
        <v>0</v>
      </c>
      <c r="F22" s="80">
        <f>COUNTIF(Emp19Jan,"N")+COUNTIF(Emp19Feb,"N")+COUNTIF(Emp19Mar,"N")+COUNTIF(Emp19Apr,"N")+COUNTIF(Emp19May,"N")+COUNTIF(Emp19Jun,"N")+COUNTIF(Emp19Jul,"N")+COUNTIF(Emp19Aug,"N")+COUNTIF(Emp19Sep,"N")+COUNTIF(Emp19Oct,"N")+COUNTIF(Emp19Nov,"N")+COUNTIF(Emp19Dec,"N")</f>
        <v>0</v>
      </c>
      <c r="G22" s="80">
        <f>COUNTIF(Emp19Jan,"A")+COUNTIF(Emp19Feb,"A")+COUNTIF(Emp19Mar,"A")+COUNTIF(Emp19Apr,"A")+COUNTIF(Emp19May,"A")+COUNTIF(Emp19Jun,"A")+COUNTIF(Emp19Jul,"A")+COUNTIF(Emp19Aug,"A")+COUNTIF(Emp19Sep,"A")+COUNTIF(Emp19Oct,"A")+COUNTIF(Emp19Nov,"A")+COUNTIF(Emp19Dec,"A")</f>
        <v>0</v>
      </c>
      <c r="H22" s="80">
        <f>COUNTIF(Emp19Jan,"PO")+COUNTIF(Emp19Feb,"PO")+COUNTIF(Emp19Mar,"PO")+COUNTIF(Emp19Apr,"PO")+COUNTIF(Emp19May,"PO")+COUNTIF(Emp19Jun,"PO")+COUNTIF(Emp19Jul,"PO")+COUNTIF(Emp19Aug,"PO")+COUNTIF(Emp19Sep,"PO")+COUNTIF(Emp19Oct,"PO")+COUNTIF(Emp19Nov,"PO")+COUNTIF(Emp19Dec,"PO")</f>
        <v>0</v>
      </c>
      <c r="I22" s="78">
        <f>COUNTIF(Emp19Jan,"SL")+COUNTIF(Emp19Feb,"SL")+COUNTIF(Emp19Mar,"SL")+COUNTIF(Emp19Apr,"SL")+COUNTIF(Emp19May,"SL")+COUNTIF(Emp19Jun,"SL")+COUNTIF(Emp19Jul,"SL")+COUNTIF(Emp19Aug,"SL")+COUNTIF(Emp19Sep,"SL")+COUNTIF(Emp19Oct,"SL")+COUNTIF(Emp19Nov,"SL")+COUNTIF(Emp19Dec,"SL")</f>
        <v>0</v>
      </c>
      <c r="J22" s="78">
        <f>COUNTIF(Emp19Jan,"AL")+COUNTIF(Emp19Feb,"AL")+COUNTIF(Emp19Mar,"AL")+COUNTIF(Emp19Apr,"AL")+COUNTIF(Emp19May,"AL")+COUNTIF(Emp19Jun,"AL")+COUNTIF(Emp19Jul,"AL")+COUNTIF(Emp19Aug,"AL")+COUNTIF(Emp19Sep,"AL")+COUNTIF(Emp19Oct,"AL")+COUNTIF(Emp19Nov,"AL")+COUNTIF(Emp19Dec,"AL")</f>
        <v>0</v>
      </c>
      <c r="K22" s="78">
        <f>COUNTIF(Emp19Jan,"H")+COUNTIF(Emp19Feb,"H")+COUNTIF(Emp19Mar,"H")+COUNTIF(Emp19Apr,"H")+COUNTIF(Emp19May,"H")+COUNTIF(Emp19Jun,"H")+COUNTIF(Emp19Jul,"H")+COUNTIF(Emp19Aug,"H")+COUNTIF(Emp19Sep,"H")+COUNTIF(Emp19Oct,"H")+COUNTIF(Emp19Nov,"H")+COUNTIF(Emp19Dec,"H")</f>
        <v>0</v>
      </c>
      <c r="L22" s="80">
        <f>COUNTIF(Emp19Jan,"NA")+COUNTIF(Emp19Feb,"NA")+COUNTIF(Emp19Mar,"NA")+COUNTIF(Emp19Apr,"NA")+COUNTIF(Emp19May,"NA")+COUNTIF(Emp19Jun,"NA")+COUNTIF(Emp19Jul,"NA")+COUNTIF(Emp19Aug,"NA")+COUNTIF(Emp19Sep,"NA")+COUNTIF(Emp19Oct,"NA")+COUNTIF(Emp19Nov,"NA")+COUNTIF(Emp19Dec,"NA")</f>
        <v>0</v>
      </c>
      <c r="M22" s="78">
        <f>COUNTIF(Emp19Jan,"SP")+COUNTIF(Emp19Feb,"SP")+COUNTIF(Emp19Mar,"SP")+COUNTIF(Emp19Apr,"SP")+COUNTIF(Emp19May,"SP")+COUNTIF(Emp19Jun,"SP")+COUNTIF(Emp19Jul,"SP")+COUNTIF(Emp19Aug,"SP")+COUNTIF(Emp19Sep,"SP")+COUNTIF(Emp19Oct,"SP")+COUNTIF(Emp19Nov,"SP")+COUNTIF(Emp19Dec,"SP")</f>
        <v>0</v>
      </c>
      <c r="N22" s="80">
        <f t="shared" ref="N22" si="7">SUM(E22:M22)</f>
        <v>0</v>
      </c>
    </row>
    <row r="23" spans="2:14" s="55" customFormat="1" ht="15" customHeight="1">
      <c r="B23" s="55">
        <v>20</v>
      </c>
      <c r="C23" s="179" t="str">
        <f>EmpSName20</f>
        <v>Black</v>
      </c>
      <c r="D23" s="179" t="str">
        <f>EmpGName20</f>
        <v>Jimmy</v>
      </c>
      <c r="E23" s="79">
        <f>COUNTIF(Emp20Jan,"D")+COUNTIF(Emp20Feb,"D")+COUNTIF(Emp20Mar,"D")+COUNTIF(Emp20Apr,"D")+COUNTIF(Emp20May,"D")+COUNTIF(Emp20Jun,"D")+COUNTIF(Emp20Jul,"D")+COUNTIF(Emp20Aug,"D")+COUNTIF(Emp20Sep,"D")+COUNTIF(Emp20Oct,"D")+COUNTIF(Emp20Nov,"D")+COUNTIF(Emp20Dec,"D")</f>
        <v>0</v>
      </c>
      <c r="F23" s="79">
        <f>COUNTIF(Emp20Jan,"N")+COUNTIF(Emp20Feb,"N")+COUNTIF(Emp20Mar,"N")+COUNTIF(Emp20Apr,"N")+COUNTIF(Emp20May,"N")+COUNTIF(Emp20Jun,"N")+COUNTIF(Emp20Jul,"N")+COUNTIF(Emp20Aug,"N")+COUNTIF(Emp20Sep,"N")+COUNTIF(Emp20Oct,"N")+COUNTIF(Emp20Nov,"N")+COUNTIF(Emp20Dec,"N")</f>
        <v>0</v>
      </c>
      <c r="G23" s="79">
        <f>COUNTIF(Emp20Jan,"A")+COUNTIF(Emp20Feb,"A")+COUNTIF(Emp20Mar,"A")+COUNTIF(Emp20Apr,"A")+COUNTIF(Emp20May,"A")+COUNTIF(Emp20Jun,"A")+COUNTIF(Emp20Jul,"A")+COUNTIF(Emp20Aug,"A")+COUNTIF(Emp20Sep,"A")+COUNTIF(Emp20Oct,"A")+COUNTIF(Emp20Nov,"A")+COUNTIF(Emp20Dec,"A")</f>
        <v>0</v>
      </c>
      <c r="H23" s="79">
        <f>COUNTIF(Emp20Jan,"PO")+COUNTIF(Emp20Feb,"PO")+COUNTIF(Emp20Mar,"PO")+COUNTIF(Emp20Apr,"PO")+COUNTIF(Emp20May,"PO")+COUNTIF(Emp20Jun,"PO")+COUNTIF(Emp20Jul,"PO")+COUNTIF(Emp20Aug,"PO")+COUNTIF(Emp20Sep,"PO")+COUNTIF(Emp20Oct,"PO")+COUNTIF(Emp20Nov,"PO")+COUNTIF(Emp20Dec,"PO")</f>
        <v>0</v>
      </c>
      <c r="I23" s="79">
        <f>COUNTIF(Emp20Jan,"SL")+COUNTIF(Emp20Feb,"SL")+COUNTIF(Emp20Mar,"SL")+COUNTIF(Emp20Apr,"SL")+COUNTIF(Emp20May,"SL")+COUNTIF(Emp20Jun,"SL")+COUNTIF(Emp20Jul,"SL")+COUNTIF(Emp20Aug,"SL")+COUNTIF(Emp20Sep,"SL")+COUNTIF(Emp20Oct,"SL")+COUNTIF(Emp20Nov,"SL")+COUNTIF(Emp20Dec,"SL")</f>
        <v>0</v>
      </c>
      <c r="J23" s="79">
        <f>COUNTIF(Emp20Jan,"AL")+COUNTIF(Emp20Feb,"AL")+COUNTIF(Emp20Mar,"AL")+COUNTIF(Emp20Apr,"AL")+COUNTIF(Emp20May,"AL")+COUNTIF(Emp20Jun,"AL")+COUNTIF(Emp20Jul,"AL")+COUNTIF(Emp20Aug,"AL")+COUNTIF(Emp20Sep,"AL")+COUNTIF(Emp20Oct,"AL")+COUNTIF(Emp20Nov,"AL")+COUNTIF(Emp20Dec,"AL")</f>
        <v>0</v>
      </c>
      <c r="K23" s="79">
        <f>COUNTIF(Emp20Jan,"H")+COUNTIF(Emp20Feb,"H")+COUNTIF(Emp20Mar,"H")+COUNTIF(Emp20Apr,"H")+COUNTIF(Emp20May,"H")+COUNTIF(Emp20Jun,"H")+COUNTIF(Emp20Jul,"H")+COUNTIF(Emp20Aug,"H")+COUNTIF(Emp20Sep,"H")+COUNTIF(Emp20Oct,"H")+COUNTIF(Emp20Nov,"H")+COUNTIF(Emp20Dec,"H")</f>
        <v>0</v>
      </c>
      <c r="L23" s="79">
        <f>COUNTIF(Emp20Jan,"NA")+COUNTIF(Emp20Feb,"NA")+COUNTIF(Emp20Mar,"NA")+COUNTIF(Emp20Apr,"NA")+COUNTIF(Emp20May,"NA")+COUNTIF(Emp20Jun,"NA")+COUNTIF(Emp20Jul,"NA")+COUNTIF(Emp20Aug,"NA")+COUNTIF(Emp20Sep,"NA")+COUNTIF(Emp20Oct,"NA")+COUNTIF(Emp20Nov,"NA")+COUNTIF(Emp20Dec,"NA")</f>
        <v>0</v>
      </c>
      <c r="M23" s="79">
        <f>COUNTIF(Emp20Jan,"SP")+COUNTIF(Emp20Feb,"SP")+COUNTIF(Emp20Mar,"SP")+COUNTIF(Emp20Apr,"SP")+COUNTIF(Emp20May,"SP")+COUNTIF(Emp20Jun,"SP")+COUNTIF(Emp20Jul,"SP")+COUNTIF(Emp20Aug,"SP")+COUNTIF(Emp20Sep,"SP")+COUNTIF(Emp20Oct,"SP")+COUNTIF(Emp20Nov,"SP")+COUNTIF(Emp20Dec,"SP")</f>
        <v>0</v>
      </c>
      <c r="N23" s="79">
        <f t="shared" ref="N23" si="8">SUM(E23:M23)</f>
        <v>0</v>
      </c>
    </row>
    <row r="24" spans="2:14" s="55" customFormat="1" ht="15" customHeight="1">
      <c r="B24" s="55">
        <v>21</v>
      </c>
      <c r="C24" s="178" t="str">
        <f>EmpSName21</f>
        <v>Black</v>
      </c>
      <c r="D24" s="178" t="str">
        <f>EmpGName21</f>
        <v>Susan</v>
      </c>
      <c r="E24" s="80">
        <f>COUNTIF(Emp21Jan,"D")+COUNTIF(Emp21Feb,"D")+COUNTIF(Emp21Mar,"D")+COUNTIF(Emp21Apr,"D")+COUNTIF(Emp21May,"D")+COUNTIF(Emp21Jun,"D")+COUNTIF(Emp21Jul,"D")+COUNTIF(Emp21Aug,"D")+COUNTIF(Emp21Sep,"D")+COUNTIF(Emp21Oct,"D")+COUNTIF(Emp21Nov,"D")+COUNTIF(Emp21Dec,"D")</f>
        <v>0</v>
      </c>
      <c r="F24" s="80">
        <f>COUNTIF(Emp21Jan,"N")+COUNTIF(Emp21Feb,"N")+COUNTIF(Emp21Mar,"N")+COUNTIF(Emp21Apr,"N")+COUNTIF(Emp21May,"N")+COUNTIF(Emp21Jun,"N")+COUNTIF(Emp21Jul,"N")+COUNTIF(Emp21Aug,"N")+COUNTIF(Emp21Sep,"N")+COUNTIF(Emp21Oct,"N")+COUNTIF(Emp21Nov,"N")+COUNTIF(Emp21Dec,"N")</f>
        <v>0</v>
      </c>
      <c r="G24" s="80">
        <f>COUNTIF(Emp21Jan,"A")+COUNTIF(Emp21Feb,"A")+COUNTIF(Emp21Mar,"A")+COUNTIF(Emp21Apr,"A")+COUNTIF(Emp21May,"A")+COUNTIF(Emp21Jun,"A")+COUNTIF(Emp21Jul,"A")+COUNTIF(Emp21Aug,"A")+COUNTIF(Emp21Sep,"A")+COUNTIF(Emp21Oct,"A")+COUNTIF(Emp21Nov,"A")+COUNTIF(Emp21Dec,"A")</f>
        <v>0</v>
      </c>
      <c r="H24" s="80">
        <f>COUNTIF(Emp21Jan,"PO")+COUNTIF(Emp21Feb,"PO")+COUNTIF(Emp21Mar,"PO")+COUNTIF(Emp21Apr,"PO")+COUNTIF(Emp21May,"PO")+COUNTIF(Emp21Jun,"PO")+COUNTIF(Emp21Jul,"PO")+COUNTIF(Emp21Aug,"PO")+COUNTIF(Emp21Sep,"PO")+COUNTIF(Emp21Oct,"PO")+COUNTIF(Emp21Nov,"PO")+COUNTIF(Emp21Dec,"PO")</f>
        <v>0</v>
      </c>
      <c r="I24" s="78">
        <f>COUNTIF(Emp21Jan,"SL")+COUNTIF(Emp21Feb,"SL")+COUNTIF(Emp21Mar,"SL")+COUNTIF(Emp21Apr,"SL")+COUNTIF(Emp21May,"SL")+COUNTIF(Emp21Jun,"SL")+COUNTIF(Emp21Jul,"SL")+COUNTIF(Emp21Aug,"SL")+COUNTIF(Emp21Sep,"SL")+COUNTIF(Emp21Oct,"SL")+COUNTIF(Emp21Nov,"SL")+COUNTIF(Emp21Dec,"SL")</f>
        <v>0</v>
      </c>
      <c r="J24" s="78">
        <f>COUNTIF(Emp21Jan,"AL")+COUNTIF(Emp21Feb,"AL")+COUNTIF(Emp21Mar,"AL")+COUNTIF(Emp21Apr,"AL")+COUNTIF(Emp21May,"AL")+COUNTIF(Emp21Jun,"AL")+COUNTIF(Emp21Jul,"AL")+COUNTIF(Emp21Aug,"AL")+COUNTIF(Emp21Sep,"AL")+COUNTIF(Emp21Oct,"AL")+COUNTIF(Emp21Nov,"AL")+COUNTIF(Emp21Dec,"AL")</f>
        <v>0</v>
      </c>
      <c r="K24" s="78">
        <f>COUNTIF(Emp21Jan,"H")+COUNTIF(Emp21Feb,"H")+COUNTIF(Emp21Mar,"H")+COUNTIF(Emp21Apr,"H")+COUNTIF(Emp21May,"H")+COUNTIF(Emp21Jun,"H")+COUNTIF(Emp21Jul,"H")+COUNTIF(Emp21Aug,"H")+COUNTIF(Emp21Sep,"H")+COUNTIF(Emp21Oct,"H")+COUNTIF(Emp21Nov,"H")+COUNTIF(Emp21Dec,"H")</f>
        <v>0</v>
      </c>
      <c r="L24" s="80">
        <f>COUNTIF(Emp21Jan,"NA")+COUNTIF(Emp21Feb,"NA")+COUNTIF(Emp21Mar,"NA")+COUNTIF(Emp21Apr,"NA")+COUNTIF(Emp21May,"NA")+COUNTIF(Emp21Jun,"NA")+COUNTIF(Emp21Jul,"NA")+COUNTIF(Emp21Aug,"NA")+COUNTIF(Emp21Sep,"NA")+COUNTIF(Emp21Oct,"NA")+COUNTIF(Emp21Nov,"NA")+COUNTIF(Emp21Dec,"NA")</f>
        <v>0</v>
      </c>
      <c r="M24" s="78">
        <f>COUNTIF(Emp21Jan,"SP")+COUNTIF(Emp21Feb,"SP")+COUNTIF(Emp21Mar,"SP")+COUNTIF(Emp21Apr,"SP")+COUNTIF(Emp21May,"SP")+COUNTIF(Emp21Jun,"SP")+COUNTIF(Emp21Jul,"SP")+COUNTIF(Emp21Aug,"SP")+COUNTIF(Emp21Sep,"SP")+COUNTIF(Emp21Oct,"SP")+COUNTIF(Emp21Nov,"SP")+COUNTIF(Emp21Dec,"SP")</f>
        <v>0</v>
      </c>
      <c r="N24" s="80">
        <f t="shared" ref="N24" si="9">SUM(E24:M24)</f>
        <v>0</v>
      </c>
    </row>
    <row r="25" spans="2:14" s="55" customFormat="1" ht="15" customHeight="1">
      <c r="B25" s="55">
        <v>22</v>
      </c>
      <c r="C25" s="179" t="s">
        <v>89</v>
      </c>
      <c r="D25" s="179" t="str">
        <f>EmpGName22</f>
        <v>Elwin</v>
      </c>
      <c r="E25" s="79">
        <f>COUNTIF(Emp22Jan,"D")+COUNTIF(Emp22Feb,"D")+COUNTIF(Emp22Mar,"D")+COUNTIF(Emp22Apr,"D")+COUNTIF(Emp22May,"D")+COUNTIF(Emp22Jun,"D")+COUNTIF(Emp22Jul,"D")+COUNTIF(Emp22Aug,"D")+COUNTIF(Emp22Sep,"D")+COUNTIF(Emp22Oct,"D")+COUNTIF(Emp22Nov,"D")+COUNTIF(Emp22Dec,"D")</f>
        <v>0</v>
      </c>
      <c r="F25" s="79">
        <f>COUNTIF(Emp22Jan,"N")+COUNTIF(Emp22Feb,"N")+COUNTIF(Emp22Mar,"N")+COUNTIF(Emp22Apr,"N")+COUNTIF(Emp22May,"N")+COUNTIF(Emp22Jun,"N")+COUNTIF(Emp22Jul,"N")+COUNTIF(Emp22Aug,"N")+COUNTIF(Emp22Sep,"N")+COUNTIF(Emp22Oct,"N")+COUNTIF(Emp22Nov,"N")+COUNTIF(Emp22Dec,"N")</f>
        <v>0</v>
      </c>
      <c r="G25" s="79">
        <f>COUNTIF(Emp22Jan,"A")+COUNTIF(Emp22Feb,"A")+COUNTIF(Emp22Mar,"A")+COUNTIF(Emp22Apr,"A")+COUNTIF(Emp22May,"A")+COUNTIF(Emp22Jun,"A")+COUNTIF(Emp22Jul,"A")+COUNTIF(Emp22Aug,"A")+COUNTIF(Emp22Sep,"A")+COUNTIF(Emp22Oct,"A")+COUNTIF(Emp22Nov,"A")+COUNTIF(Emp22Dec,"A")</f>
        <v>0</v>
      </c>
      <c r="H25" s="79">
        <f>COUNTIF(Emp22Jan,"PO")+COUNTIF(Emp22Feb,"PO")+COUNTIF(Emp22Mar,"PO")+COUNTIF(Emp22Apr,"PO")+COUNTIF(Emp22May,"PO")+COUNTIF(Emp22Jun,"PO")+COUNTIF(Emp22Jul,"PO")+COUNTIF(Emp22Aug,"PO")+COUNTIF(Emp22Sep,"PO")+COUNTIF(Emp22Oct,"PO")+COUNTIF(Emp22Nov,"PO")+COUNTIF(Emp22Dec,"PO")</f>
        <v>0</v>
      </c>
      <c r="I25" s="79">
        <f>COUNTIF(Emp22Jan,"SL")+COUNTIF(Emp22Feb,"SL")+COUNTIF(Emp22Mar,"SL")+COUNTIF(Emp22Apr,"SL")+COUNTIF(Emp22May,"SL")+COUNTIF(Emp22Jun,"SL")+COUNTIF(Emp22Jul,"SL")+COUNTIF(Emp22Aug,"SL")+COUNTIF(Emp22Sep,"SL")+COUNTIF(Emp22Oct,"SL")+COUNTIF(Emp22Nov,"SL")+COUNTIF(Emp22Dec,"SL")</f>
        <v>0</v>
      </c>
      <c r="J25" s="79">
        <f>COUNTIF(Emp22Jan,"AL")+COUNTIF(Emp22Feb,"AL")+COUNTIF(Emp22Mar,"AL")+COUNTIF(Emp22Apr,"AL")+COUNTIF(Emp22May,"AL")+COUNTIF(Emp22Jun,"AL")+COUNTIF(Emp22Jul,"AL")+COUNTIF(Emp22Aug,"AL")+COUNTIF(Emp22Sep,"AL")+COUNTIF(Emp22Oct,"AL")+COUNTIF(Emp22Nov,"AL")+COUNTIF(Emp22Dec,"AL")</f>
        <v>0</v>
      </c>
      <c r="K25" s="79">
        <f>COUNTIF(Emp22Jan,"H")+COUNTIF(Emp22Feb,"H")+COUNTIF(Emp22Mar,"H")+COUNTIF(Emp22Apr,"H")+COUNTIF(Emp22May,"H")+COUNTIF(Emp22Jun,"H")+COUNTIF(Emp22Jul,"H")+COUNTIF(Emp22Aug,"H")+COUNTIF(Emp22Sep,"H")+COUNTIF(Emp22Oct,"H")+COUNTIF(Emp22Nov,"H")+COUNTIF(Emp22Dec,"H")</f>
        <v>0</v>
      </c>
      <c r="L25" s="79">
        <f>COUNTIF(Emp22Jan,"NA")+COUNTIF(Emp22Feb,"NA")+COUNTIF(Emp22Mar,"NA")+COUNTIF(Emp22Apr,"NA")+COUNTIF(Emp22May,"NA")+COUNTIF(Emp22Jun,"NA")+COUNTIF(Emp22Jul,"NA")+COUNTIF(Emp22Aug,"NA")+COUNTIF(Emp22Sep,"NA")+COUNTIF(Emp22Oct,"NA")+COUNTIF(Emp22Nov,"NA")+COUNTIF(Emp22Dec,"NA")</f>
        <v>0</v>
      </c>
      <c r="M25" s="79">
        <f>COUNTIF(Emp22Jan,"SP")+COUNTIF(Emp22Feb,"SP")+COUNTIF(Emp22Mar,"SP")+COUNTIF(Emp22Apr,"SP")+COUNTIF(Emp22May,"SP")+COUNTIF(Emp22Jun,"SP")+COUNTIF(Emp22Jul,"SP")+COUNTIF(Emp22Aug,"SP")+COUNTIF(Emp22Sep,"SP")+COUNTIF(Emp22Oct,"SP")+COUNTIF(Emp22Nov,"SP")+COUNTIF(Emp22Dec,"SP")</f>
        <v>0</v>
      </c>
      <c r="N25" s="79">
        <f t="shared" ref="N25" si="10">SUM(E25:M25)</f>
        <v>0</v>
      </c>
    </row>
    <row r="26" spans="2:14" s="55" customFormat="1" ht="15" customHeight="1">
      <c r="B26" s="55">
        <v>23</v>
      </c>
      <c r="C26" s="178" t="str">
        <f>EmpSName23</f>
        <v>Brown</v>
      </c>
      <c r="D26" s="178" t="str">
        <f>EmpGName23</f>
        <v>Edwin</v>
      </c>
      <c r="E26" s="80">
        <f>COUNTIF(Emp23Jan,"D")+COUNTIF(Emp23Feb,"D")+COUNTIF(Emp23Mar,"D")+COUNTIF(Emp23Apr,"D")+COUNTIF(Emp23May,"D")+COUNTIF(Emp23Jun,"D")+COUNTIF(Emp23Jul,"D")+COUNTIF(Emp23Aug,"D")+COUNTIF(Emp23Sep,"D")+COUNTIF(Emp23Oct,"D")+COUNTIF(Emp23Nov,"D")+COUNTIF(Emp23Dec,"D")</f>
        <v>0</v>
      </c>
      <c r="F26" s="80">
        <f>COUNTIF(Emp23Jan,"N")+COUNTIF(Emp23Feb,"N")+COUNTIF(Emp23Mar,"N")+COUNTIF(Emp23Apr,"N")+COUNTIF(Emp23May,"N")+COUNTIF(Emp23Jun,"N")+COUNTIF(Emp23Jul,"N")+COUNTIF(Emp23Aug,"N")+COUNTIF(Emp23Sep,"N")+COUNTIF(Emp23Oct,"N")+COUNTIF(Emp23Nov,"N")+COUNTIF(Emp23Dec,"N")</f>
        <v>0</v>
      </c>
      <c r="G26" s="80">
        <f>COUNTIF(Emp23Jan,"A")+COUNTIF(Emp23Feb,"A")+COUNTIF(Emp23Mar,"A")+COUNTIF(Emp23Apr,"A")+COUNTIF(Emp23May,"A")+COUNTIF(Emp23Jun,"A")+COUNTIF(Emp23Jul,"A")+COUNTIF(Emp23Aug,"A")+COUNTIF(Emp23Sep,"A")+COUNTIF(Emp23Oct,"A")+COUNTIF(Emp23Nov,"A")+COUNTIF(Emp23Dec,"A")</f>
        <v>0</v>
      </c>
      <c r="H26" s="80">
        <f>COUNTIF(Emp23Jan,"PO")+COUNTIF(Emp23Feb,"PO")+COUNTIF(Emp23Mar,"PO")+COUNTIF(Emp23Apr,"PO")+COUNTIF(Emp23May,"PO")+COUNTIF(Emp23Jun,"PO")+COUNTIF(Emp23Jul,"PO")+COUNTIF(Emp23Aug,"PO")+COUNTIF(Emp23Sep,"PO")+COUNTIF(Emp23Oct,"PO")+COUNTIF(Emp23Nov,"PO")+COUNTIF(Emp23Dec,"PO")</f>
        <v>0</v>
      </c>
      <c r="I26" s="78">
        <f>COUNTIF(Emp23Jan,"SL")+COUNTIF(Emp23Feb,"SL")+COUNTIF(Emp23Mar,"SL")+COUNTIF(Emp23Apr,"SL")+COUNTIF(Emp23May,"SL")+COUNTIF(Emp23Jun,"SL")+COUNTIF(Emp23Jul,"SL")+COUNTIF(Emp23Aug,"SL")+COUNTIF(Emp23Sep,"SL")+COUNTIF(Emp23Oct,"SL")+COUNTIF(Emp23Nov,"SL")+COUNTIF(Emp23Dec,"SL")</f>
        <v>0</v>
      </c>
      <c r="J26" s="78">
        <f>COUNTIF(Emp23Jan,"AL")+COUNTIF(Emp23Feb,"AL")+COUNTIF(Emp23Mar,"AL")+COUNTIF(Emp23Apr,"AL")+COUNTIF(Emp23May,"AL")+COUNTIF(Emp23Jun,"AL")+COUNTIF(Emp23Jul,"AL")+COUNTIF(Emp23Aug,"AL")+COUNTIF(Emp23Sep,"AL")+COUNTIF(Emp23Oct,"AL")+COUNTIF(Emp23Nov,"AL")+COUNTIF(Emp23Dec,"AL")</f>
        <v>0</v>
      </c>
      <c r="K26" s="78">
        <f>COUNTIF(Emp23Jan,"H")+COUNTIF(Emp23Feb,"H")+COUNTIF(Emp23Mar,"H")+COUNTIF(Emp23Apr,"H")+COUNTIF(Emp23May,"H")+COUNTIF(Emp23Jun,"H")+COUNTIF(Emp23Jul,"H")+COUNTIF(Emp23Aug,"H")+COUNTIF(Emp23Sep,"H")+COUNTIF(Emp23Oct,"H")+COUNTIF(Emp23Nov,"H")+COUNTIF(Emp23Dec,"H")</f>
        <v>0</v>
      </c>
      <c r="L26" s="80">
        <f>COUNTIF(Emp23Jan,"NA")+COUNTIF(Emp23Feb,"NA")+COUNTIF(Emp23Mar,"NA")+COUNTIF(Emp23Apr,"NA")+COUNTIF(Emp23May,"NA")+COUNTIF(Emp23Jun,"NA")+COUNTIF(Emp23Jul,"NA")+COUNTIF(Emp23Aug,"NA")+COUNTIF(Emp23Sep,"NA")+COUNTIF(Emp23Oct,"NA")+COUNTIF(Emp23Nov,"NA")+COUNTIF(Emp23Dec,"NA")</f>
        <v>0</v>
      </c>
      <c r="M26" s="78">
        <f>COUNTIF(Emp23Jan,"SP")+COUNTIF(Emp23Feb,"SP")+COUNTIF(Emp23Mar,"SP")+COUNTIF(Emp23Apr,"SP")+COUNTIF(Emp23May,"SP")+COUNTIF(Emp23Jun,"SP")+COUNTIF(Emp23Jul,"SP")+COUNTIF(Emp23Aug,"SP")+COUNTIF(Emp23Sep,"SP")+COUNTIF(Emp23Oct,"SP")+COUNTIF(Emp23Nov,"SP")+COUNTIF(Emp23Dec,"SP")</f>
        <v>0</v>
      </c>
      <c r="N26" s="80">
        <f t="shared" ref="N26" si="11">SUM(E26:M26)</f>
        <v>0</v>
      </c>
    </row>
    <row r="27" spans="2:14" s="55" customFormat="1" ht="15" customHeight="1">
      <c r="B27" s="55">
        <v>24</v>
      </c>
      <c r="C27" s="179" t="str">
        <f>EmpSName24</f>
        <v>Brown</v>
      </c>
      <c r="D27" s="179" t="str">
        <f>EmpGName24</f>
        <v>Sue</v>
      </c>
      <c r="E27" s="79">
        <f>COUNTIF(Emp24Jan,"D")+COUNTIF(Emp24Feb,"D")+COUNTIF(Emp24Mar,"D")+COUNTIF(Emp24Apr,"D")+COUNTIF(Emp24May,"D")+COUNTIF(Emp24Jun,"D")+COUNTIF(Emp24Jul,"D")+COUNTIF(Emp24Aug,"D")+COUNTIF(Emp24Sep,"D")+COUNTIF(Emp24Oct,"D")+COUNTIF(Emp24Nov,"D")+COUNTIF(Emp24Dec,"D")</f>
        <v>0</v>
      </c>
      <c r="F27" s="79">
        <f>COUNTIF(Emp24Jan,"N")+COUNTIF(Emp24Feb,"N")+COUNTIF(Emp24Mar,"N")+COUNTIF(Emp24Apr,"N")+COUNTIF(Emp24May,"N")+COUNTIF(Emp24Jun,"N")+COUNTIF(Emp24Jul,"N")+COUNTIF(Emp24Aug,"N")+COUNTIF(Emp24Sep,"N")+COUNTIF(Emp24Oct,"N")+COUNTIF(Emp24Nov,"N")+COUNTIF(Emp24Dec,"N")</f>
        <v>0</v>
      </c>
      <c r="G27" s="79">
        <f>COUNTIF(Emp24Jan,"A")+COUNTIF(Emp24Feb,"A")+COUNTIF(Emp24Mar,"A")+COUNTIF(Emp24Apr,"A")+COUNTIF(Emp24May,"A")+COUNTIF(Emp24Jun,"A")+COUNTIF(Emp24Jul,"A")+COUNTIF(Emp24Aug,"A")+COUNTIF(Emp24Sep,"A")+COUNTIF(Emp24Oct,"A")+COUNTIF(Emp24Nov,"A")+COUNTIF(Emp24Dec,"A")</f>
        <v>0</v>
      </c>
      <c r="H27" s="79">
        <f>COUNTIF(Emp24Jan,"PO")+COUNTIF(Emp24Feb,"PO")+COUNTIF(Emp24Mar,"PO")+COUNTIF(Emp24Apr,"PO")+COUNTIF(Emp24May,"PO")+COUNTIF(Emp24Jun,"PO")+COUNTIF(Emp24Jul,"PO")+COUNTIF(Emp24Aug,"PO")+COUNTIF(Emp24Sep,"PO")+COUNTIF(Emp24Oct,"PO")+COUNTIF(Emp24Nov,"PO")+COUNTIF(Emp24Dec,"PO")</f>
        <v>0</v>
      </c>
      <c r="I27" s="79">
        <f>COUNTIF(Emp24Jan,"SL")+COUNTIF(Emp24Feb,"SL")+COUNTIF(Emp24Mar,"SL")+COUNTIF(Emp24Apr,"SL")+COUNTIF(Emp24May,"SL")+COUNTIF(Emp24Jun,"SL")+COUNTIF(Emp24Jul,"SL")+COUNTIF(Emp24Aug,"SL")+COUNTIF(Emp24Sep,"SL")+COUNTIF(Emp24Oct,"SL")+COUNTIF(Emp24Nov,"SL")+COUNTIF(Emp24Dec,"SL")</f>
        <v>0</v>
      </c>
      <c r="J27" s="79">
        <f>COUNTIF(Emp24Jan,"AL")+COUNTIF(Emp24Feb,"AL")+COUNTIF(Emp24Mar,"AL")+COUNTIF(Emp24Apr,"AL")+COUNTIF(Emp24May,"AL")+COUNTIF(Emp24Jun,"AL")+COUNTIF(Emp24Jul,"AL")+COUNTIF(Emp24Aug,"AL")+COUNTIF(Emp24Sep,"AL")+COUNTIF(Emp24Oct,"AL")+COUNTIF(Emp24Nov,"AL")+COUNTIF(Emp24Dec,"AL")</f>
        <v>0</v>
      </c>
      <c r="K27" s="79">
        <f>COUNTIF(Emp24Jan,"H")+COUNTIF(Emp24Feb,"H")+COUNTIF(Emp24Mar,"H")+COUNTIF(Emp24Apr,"H")+COUNTIF(Emp24May,"H")+COUNTIF(Emp24Jun,"H")+COUNTIF(Emp24Jul,"H")+COUNTIF(Emp24Aug,"H")+COUNTIF(Emp24Sep,"H")+COUNTIF(Emp24Oct,"H")+COUNTIF(Emp24Nov,"H")+COUNTIF(Emp24Dec,"H")</f>
        <v>0</v>
      </c>
      <c r="L27" s="79">
        <f>COUNTIF(Emp24Jan,"NA")+COUNTIF(Emp24Feb,"NA")+COUNTIF(Emp24Mar,"NA")+COUNTIF(Emp24Apr,"NA")+COUNTIF(Emp24May,"NA")+COUNTIF(Emp24Jun,"NA")+COUNTIF(Emp24Jul,"NA")+COUNTIF(Emp24Aug,"NA")+COUNTIF(Emp24Sep,"NA")+COUNTIF(Emp24Oct,"NA")+COUNTIF(Emp24Nov,"NA")+COUNTIF(Emp24Dec,"NA")</f>
        <v>0</v>
      </c>
      <c r="M27" s="79">
        <f>COUNTIF(Emp24Jan,"SP")+COUNTIF(Emp24Feb,"SP")+COUNTIF(Emp24Mar,"SP")+COUNTIF(Emp24Apr,"SP")+COUNTIF(Emp24May,"SP")+COUNTIF(Emp24Jun,"SP")+COUNTIF(Emp24Jul,"SP")+COUNTIF(Emp24Aug,"SP")+COUNTIF(Emp24Sep,"SP")+COUNTIF(Emp24Oct,"SP")+COUNTIF(Emp24Nov,"SP")+COUNTIF(Emp24Dec,"SP")</f>
        <v>0</v>
      </c>
      <c r="N27" s="79">
        <f t="shared" ref="N27" si="12">SUM(E27:M27)</f>
        <v>0</v>
      </c>
    </row>
    <row r="28" spans="2:14" s="55" customFormat="1" ht="15" customHeight="1">
      <c r="B28" s="55">
        <v>25</v>
      </c>
      <c r="C28" s="178" t="str">
        <f>EmpSName25</f>
        <v>Grey</v>
      </c>
      <c r="D28" s="178" t="str">
        <f>EmpGName25</f>
        <v>Simon</v>
      </c>
      <c r="E28" s="80">
        <f>COUNTIF(Emp25Jan,"D")+COUNTIF(Emp25Feb,"D")+COUNTIF(Emp25Mar,"D")+COUNTIF(Emp25Apr,"D")+COUNTIF(Emp25May,"D")+COUNTIF(Emp25Jun,"D")+COUNTIF(Emp25Jul,"D")+COUNTIF(Emp25Aug,"D")+COUNTIF(Emp25Sep,"D")+COUNTIF(Emp25Oct,"D")+COUNTIF(Emp25Nov,"D")+COUNTIF(Emp25Dec,"D")</f>
        <v>0</v>
      </c>
      <c r="F28" s="80">
        <f>COUNTIF(Emp25Jan,"N")+COUNTIF(Emp25Feb,"N")+COUNTIF(Emp25Mar,"N")+COUNTIF(Emp25Apr,"N")+COUNTIF(Emp25May,"N")+COUNTIF(Emp25Jun,"N")+COUNTIF(Emp25Jul,"N")+COUNTIF(Emp25Aug,"N")+COUNTIF(Emp25Sep,"N")+COUNTIF(Emp25Oct,"N")+COUNTIF(Emp25Nov,"N")+COUNTIF(Emp25Dec,"N")</f>
        <v>0</v>
      </c>
      <c r="G28" s="80">
        <f>COUNTIF(Emp25Jan,"A")+COUNTIF(Emp25Feb,"A")+COUNTIF(Emp25Mar,"A")+COUNTIF(Emp25Apr,"A")+COUNTIF(Emp25May,"A")+COUNTIF(Emp25Jun,"A")+COUNTIF(Emp25Jul,"A")+COUNTIF(Emp25Aug,"A")+COUNTIF(Emp25Sep,"A")+COUNTIF(Emp25Oct,"A")+COUNTIF(Emp25Nov,"A")+COUNTIF(Emp25Dec,"A")</f>
        <v>0</v>
      </c>
      <c r="H28" s="80">
        <f>COUNTIF(Emp25Jan,"PO")+COUNTIF(Emp25Feb,"PO")+COUNTIF(Emp25Mar,"PO")+COUNTIF(Emp25Apr,"PO")+COUNTIF(Emp25May,"PO")+COUNTIF(Emp25Jun,"PO")+COUNTIF(Emp25Jul,"PO")+COUNTIF(Emp25Aug,"PO")+COUNTIF(Emp25Sep,"PO")+COUNTIF(Emp25Oct,"PO")+COUNTIF(Emp25Nov,"PO")+COUNTIF(Emp25Dec,"PO")</f>
        <v>0</v>
      </c>
      <c r="I28" s="78">
        <f>COUNTIF(Emp25Jan,"SL")+COUNTIF(Emp25Feb,"SL")+COUNTIF(Emp25Mar,"SL")+COUNTIF(Emp25Apr,"SL")+COUNTIF(Emp25May,"SL")+COUNTIF(Emp25Jun,"SL")+COUNTIF(Emp25Jul,"SL")+COUNTIF(Emp25Aug,"SL")+COUNTIF(Emp25Sep,"SL")+COUNTIF(Emp25Oct,"SL")+COUNTIF(Emp25Nov,"SL")+COUNTIF(Emp25Dec,"SL")</f>
        <v>0</v>
      </c>
      <c r="J28" s="78">
        <f>COUNTIF(Emp25Jan,"AL")+COUNTIF(Emp25Feb,"AL")+COUNTIF(Emp25Mar,"AL")+COUNTIF(Emp25Apr,"AL")+COUNTIF(Emp25May,"AL")+COUNTIF(Emp25Jun,"AL")+COUNTIF(Emp25Jul,"AL")+COUNTIF(Emp25Aug,"AL")+COUNTIF(Emp25Sep,"AL")+COUNTIF(Emp25Oct,"AL")+COUNTIF(Emp25Nov,"AL")+COUNTIF(Emp25Dec,"AL")</f>
        <v>0</v>
      </c>
      <c r="K28" s="78">
        <f>COUNTIF(Emp25Jan,"H")+COUNTIF(Emp25Feb,"H")+COUNTIF(Emp25Mar,"H")+COUNTIF(Emp25Apr,"H")+COUNTIF(Emp25May,"H")+COUNTIF(Emp25Jun,"H")+COUNTIF(Emp25Jul,"H")+COUNTIF(Emp25Aug,"H")+COUNTIF(Emp25Sep,"H")+COUNTIF(Emp25Oct,"H")+COUNTIF(Emp25Nov,"H")+COUNTIF(Emp25Dec,"H")</f>
        <v>0</v>
      </c>
      <c r="L28" s="80">
        <f>COUNTIF(Emp25Jan,"NA")+COUNTIF(Emp25Feb,"NA")+COUNTIF(Emp25Mar,"NA")+COUNTIF(Emp25Apr,"NA")+COUNTIF(Emp25May,"NA")+COUNTIF(Emp25Jun,"NA")+COUNTIF(Emp25Jul,"NA")+COUNTIF(Emp25Aug,"NA")+COUNTIF(Emp25Sep,"NA")+COUNTIF(Emp25Oct,"NA")+COUNTIF(Emp25Nov,"NA")+COUNTIF(Emp25Dec,"NA")</f>
        <v>0</v>
      </c>
      <c r="M28" s="78">
        <f>COUNTIF(Emp25Jan,"SP")+COUNTIF(Emp25Feb,"SP")+COUNTIF(Emp25Mar,"SP")+COUNTIF(Emp25Apr,"SP")+COUNTIF(Emp25May,"SP")+COUNTIF(Emp25Jun,"SP")+COUNTIF(Emp25Jul,"SP")+COUNTIF(Emp25Aug,"SP")+COUNTIF(Emp25Sep,"SP")+COUNTIF(Emp25Oct,"SP")+COUNTIF(Emp25Nov,"SP")+COUNTIF(Emp25Dec,"SP")</f>
        <v>0</v>
      </c>
      <c r="N28" s="80">
        <f t="shared" ref="N28" si="13">SUM(E28:M28)</f>
        <v>0</v>
      </c>
    </row>
    <row r="29" spans="2:14" s="55" customFormat="1" ht="15" customHeight="1">
      <c r="B29" s="55">
        <v>26</v>
      </c>
      <c r="C29" s="179" t="str">
        <f>EmpSName26</f>
        <v>Grey</v>
      </c>
      <c r="D29" s="179" t="str">
        <f>EmpGName26</f>
        <v>Ian</v>
      </c>
      <c r="E29" s="79">
        <f>COUNTIF(Emp26Jan,"D")+COUNTIF(Emp26Feb,"D")+COUNTIF(Emp26Mar,"D")+COUNTIF(Emp26Apr,"D")+COUNTIF(Emp26May,"D")+COUNTIF(Emp26Jun,"D")+COUNTIF(Emp26Jul,"D")+COUNTIF(Emp26Aug,"D")+COUNTIF(Emp26Sep,"D")+COUNTIF(Emp26Oct,"D")+COUNTIF(Emp26Nov,"D")+COUNTIF(Emp26Dec,"D")</f>
        <v>0</v>
      </c>
      <c r="F29" s="79">
        <f>COUNTIF(Emp26Jan,"N")+COUNTIF(Emp26Feb,"N")+COUNTIF(Emp26Mar,"N")+COUNTIF(Emp26Apr,"N")+COUNTIF(Emp26May,"N")+COUNTIF(Emp26Jun,"N")+COUNTIF(Emp26Jul,"N")+COUNTIF(Emp26Aug,"N")+COUNTIF(Emp26Sep,"N")+COUNTIF(Emp26Oct,"N")+COUNTIF(Emp26Nov,"N")+COUNTIF(Emp26Dec,"N")</f>
        <v>0</v>
      </c>
      <c r="G29" s="79">
        <f>COUNTIF(Emp26Jan,"A")+COUNTIF(Emp26Feb,"A")+COUNTIF(Emp26Mar,"A")+COUNTIF(Emp26Apr,"A")+COUNTIF(Emp26May,"A")+COUNTIF(Emp26Jun,"A")+COUNTIF(Emp26Jul,"A")+COUNTIF(Emp26Aug,"A")+COUNTIF(Emp26Sep,"A")+COUNTIF(Emp26Oct,"A")+COUNTIF(Emp26Nov,"A")+COUNTIF(Emp26Dec,"A")</f>
        <v>0</v>
      </c>
      <c r="H29" s="79">
        <f>COUNTIF(Emp26Jan,"PO")+COUNTIF(Emp26Feb,"PO")+COUNTIF(Emp26Mar,"PO")+COUNTIF(Emp26Apr,"PO")+COUNTIF(Emp26May,"PO")+COUNTIF(Emp26Jun,"PO")+COUNTIF(Emp26Jul,"PO")+COUNTIF(Emp26Aug,"PO")+COUNTIF(Emp26Sep,"PO")+COUNTIF(Emp26Oct,"PO")+COUNTIF(Emp26Nov,"PO")+COUNTIF(Emp26Dec,"PO")</f>
        <v>0</v>
      </c>
      <c r="I29" s="79">
        <f>COUNTIF(Emp26Jan,"SL")+COUNTIF(Emp26Feb,"SL")+COUNTIF(Emp26Mar,"SL")+COUNTIF(Emp26Apr,"SL")+COUNTIF(Emp26May,"SL")+COUNTIF(Emp26Jun,"SL")+COUNTIF(Emp26Jul,"SL")+COUNTIF(Emp26Aug,"SL")+COUNTIF(Emp26Sep,"SL")+COUNTIF(Emp26Oct,"SL")+COUNTIF(Emp26Nov,"SL")+COUNTIF(Emp26Dec,"SL")</f>
        <v>0</v>
      </c>
      <c r="J29" s="79">
        <f>COUNTIF(Emp26Jan,"AL")+COUNTIF(Emp26Feb,"AL")+COUNTIF(Emp26Mar,"AL")+COUNTIF(Emp26Apr,"AL")+COUNTIF(Emp26May,"AL")+COUNTIF(Emp26Jun,"AL")+COUNTIF(Emp26Jul,"AL")+COUNTIF(Emp26Aug,"AL")+COUNTIF(Emp26Sep,"AL")+COUNTIF(Emp26Oct,"AL")+COUNTIF(Emp26Nov,"AL")+COUNTIF(Emp26Dec,"AL")</f>
        <v>0</v>
      </c>
      <c r="K29" s="79">
        <f>COUNTIF(Emp26Jan,"H")+COUNTIF(Emp26Feb,"H")+COUNTIF(Emp26Mar,"H")+COUNTIF(Emp26Apr,"H")+COUNTIF(Emp26May,"H")+COUNTIF(Emp26Jun,"H")+COUNTIF(Emp26Jul,"H")+COUNTIF(Emp26Aug,"H")+COUNTIF(Emp26Sep,"H")+COUNTIF(Emp26Oct,"H")+COUNTIF(Emp26Nov,"H")+COUNTIF(Emp26Dec,"H")</f>
        <v>0</v>
      </c>
      <c r="L29" s="79">
        <f>COUNTIF(Emp26Jan,"NA")+COUNTIF(Emp26Feb,"NA")+COUNTIF(Emp26Mar,"NA")+COUNTIF(Emp26Apr,"NA")+COUNTIF(Emp26May,"NA")+COUNTIF(Emp26Jun,"NA")+COUNTIF(Emp26Jul,"NA")+COUNTIF(Emp26Aug,"NA")+COUNTIF(Emp26Sep,"NA")+COUNTIF(Emp26Oct,"NA")+COUNTIF(Emp26Nov,"NA")+COUNTIF(Emp26Dec,"NA")</f>
        <v>0</v>
      </c>
      <c r="M29" s="79">
        <f>COUNTIF(Emp26Jan,"SP")+COUNTIF(Emp26Feb,"SP")+COUNTIF(Emp26Mar,"SP")+COUNTIF(Emp26Apr,"SP")+COUNTIF(Emp26May,"SP")+COUNTIF(Emp26Jun,"SP")+COUNTIF(Emp26Jul,"SP")+COUNTIF(Emp26Aug,"SP")+COUNTIF(Emp26Sep,"SP")+COUNTIF(Emp26Oct,"SP")+COUNTIF(Emp26Nov,"SP")+COUNTIF(Emp26Dec,"SP")</f>
        <v>0</v>
      </c>
      <c r="N29" s="79">
        <f t="shared" ref="N29" si="14">SUM(E29:M29)</f>
        <v>0</v>
      </c>
    </row>
    <row r="30" spans="2:14" s="55" customFormat="1" ht="15" customHeight="1">
      <c r="B30" s="55">
        <v>27</v>
      </c>
      <c r="C30" s="178" t="str">
        <f>EmpSName27</f>
        <v>Grey</v>
      </c>
      <c r="D30" s="178" t="str">
        <f>EmpGName27</f>
        <v>David</v>
      </c>
      <c r="E30" s="80">
        <f>COUNTIF(Emp27Jan,"D")+COUNTIF(Emp27Feb,"D")+COUNTIF(Emp27Mar,"D")+COUNTIF(Emp27Apr,"D")+COUNTIF(Emp27May,"D")+COUNTIF(Emp27Jun,"D")+COUNTIF(Emp27Jul,"D")+COUNTIF(Emp27Aug,"D")+COUNTIF(Emp27Sep,"D")+COUNTIF(Emp27Oct,"D")+COUNTIF(Emp27Nov,"D")+COUNTIF(Emp27Dec,"D")</f>
        <v>0</v>
      </c>
      <c r="F30" s="80">
        <f>COUNTIF(Emp27Jan,"N")+COUNTIF(Emp27Feb,"N")+COUNTIF(Emp27Mar,"N")+COUNTIF(Emp27Apr,"N")+COUNTIF(Emp27May,"N")+COUNTIF(Emp27Jun,"N")+COUNTIF(Emp27Jul,"N")+COUNTIF(Emp27Aug,"N")+COUNTIF(Emp27Sep,"N")+COUNTIF(Emp27Oct,"N")+COUNTIF(Emp27Nov,"N")+COUNTIF(Emp27Dec,"N")</f>
        <v>0</v>
      </c>
      <c r="G30" s="80">
        <f>COUNTIF(Emp27Jan,"A")+COUNTIF(Emp27Feb,"A")+COUNTIF(Emp27Mar,"A")+COUNTIF(Emp27Apr,"A")+COUNTIF(Emp27May,"A")+COUNTIF(Emp27Jun,"A")+COUNTIF(Emp27Jul,"A")+COUNTIF(Emp27Aug,"A")+COUNTIF(Emp27Sep,"A")+COUNTIF(Emp27Oct,"A")+COUNTIF(Emp27Nov,"A")+COUNTIF(Emp27Dec,"A")</f>
        <v>0</v>
      </c>
      <c r="H30" s="80">
        <f>COUNTIF(Emp27Jan,"PO")+COUNTIF(Emp27Feb,"PO")+COUNTIF(Emp27Mar,"PO")+COUNTIF(Emp27Apr,"PO")+COUNTIF(Emp27May,"PO")+COUNTIF(Emp27Jun,"PO")+COUNTIF(Emp27Jul,"PO")+COUNTIF(Emp27Aug,"PO")+COUNTIF(Emp27Sep,"PO")+COUNTIF(Emp27Oct,"PO")+COUNTIF(Emp27Nov,"PO")+COUNTIF(Emp27Dec,"PO")</f>
        <v>0</v>
      </c>
      <c r="I30" s="78">
        <f>COUNTIF(Emp27Jan,"SL")+COUNTIF(Emp27Feb,"SL")+COUNTIF(Emp27Mar,"SL")+COUNTIF(Emp27Apr,"SL")+COUNTIF(Emp27May,"SL")+COUNTIF(Emp27Jun,"SL")+COUNTIF(Emp27Jul,"SL")+COUNTIF(Emp27Aug,"SL")+COUNTIF(Emp27Sep,"SL")+COUNTIF(Emp27Oct,"SL")+COUNTIF(Emp27Nov,"SL")+COUNTIF(Emp27Dec,"SL")</f>
        <v>0</v>
      </c>
      <c r="J30" s="78">
        <f>COUNTIF(Emp27Jan,"AL")+COUNTIF(Emp27Feb,"AL")+COUNTIF(Emp27Mar,"AL")+COUNTIF(Emp27Apr,"AL")+COUNTIF(Emp27May,"AL")+COUNTIF(Emp27Jun,"AL")+COUNTIF(Emp27Jul,"AL")+COUNTIF(Emp27Aug,"AL")+COUNTIF(Emp27Sep,"AL")+COUNTIF(Emp27Oct,"AL")+COUNTIF(Emp27Nov,"AL")+COUNTIF(Emp27Dec,"AL")</f>
        <v>0</v>
      </c>
      <c r="K30" s="78">
        <f>COUNTIF(Emp27Jan,"H")+COUNTIF(Emp27Feb,"H")+COUNTIF(Emp27Mar,"H")+COUNTIF(Emp27Apr,"H")+COUNTIF(Emp27May,"H")+COUNTIF(Emp27Jun,"H")+COUNTIF(Emp27Jul,"H")+COUNTIF(Emp27Aug,"H")+COUNTIF(Emp27Sep,"H")+COUNTIF(Emp27Oct,"H")+COUNTIF(Emp27Nov,"H")+COUNTIF(Emp27Dec,"H")</f>
        <v>0</v>
      </c>
      <c r="L30" s="80">
        <f>COUNTIF(Emp27Jan,"NA")+COUNTIF(Emp27Feb,"NA")+COUNTIF(Emp27Mar,"NA")+COUNTIF(Emp27Apr,"NA")+COUNTIF(Emp27May,"NA")+COUNTIF(Emp27Jun,"NA")+COUNTIF(Emp27Jul,"NA")+COUNTIF(Emp27Aug,"NA")+COUNTIF(Emp27Sep,"NA")+COUNTIF(Emp27Oct,"NA")+COUNTIF(Emp27Nov,"NA")+COUNTIF(Emp27Dec,"NA")</f>
        <v>0</v>
      </c>
      <c r="M30" s="78">
        <f>COUNTIF(Emp27Jan,"SP")+COUNTIF(Emp27Feb,"SP")+COUNTIF(Emp27Mar,"SP")+COUNTIF(Emp27Apr,"SP")+COUNTIF(Emp27May,"SP")+COUNTIF(Emp27Jun,"SP")+COUNTIF(Emp27Jul,"SP")+COUNTIF(Emp27Aug,"SP")+COUNTIF(Emp27Sep,"SP")+COUNTIF(Emp27Oct,"SP")+COUNTIF(Emp27Nov,"SP")+COUNTIF(Emp27Dec,"SP")</f>
        <v>0</v>
      </c>
      <c r="N30" s="80">
        <f t="shared" ref="N30" si="15">SUM(E30:M30)</f>
        <v>0</v>
      </c>
    </row>
    <row r="31" spans="2:14" s="55" customFormat="1" ht="15" customHeight="1">
      <c r="B31" s="55">
        <v>28</v>
      </c>
      <c r="C31" s="179" t="str">
        <f>EmpSName28</f>
        <v>Grey</v>
      </c>
      <c r="D31" s="179" t="str">
        <f>EmpGName28</f>
        <v>John</v>
      </c>
      <c r="E31" s="79">
        <f>COUNTIF(Emp28Jan,"D")+COUNTIF(Emp28Feb,"D")+COUNTIF(Emp28Mar,"D")+COUNTIF(Emp28Apr,"D")+COUNTIF(Emp28May,"D")+COUNTIF(Emp28Jun,"D")+COUNTIF(Emp28Jul,"D")+COUNTIF(Emp28Aug,"D")+COUNTIF(Emp28Sep,"D")+COUNTIF(Emp28Oct,"D")+COUNTIF(Emp28Nov,"D")+COUNTIF(Emp28Dec,"D")</f>
        <v>0</v>
      </c>
      <c r="F31" s="79">
        <f>COUNTIF(Emp28Jan,"N")+COUNTIF(Emp28Feb,"N")+COUNTIF(Emp28Mar,"N")+COUNTIF(Emp28Apr,"N")+COUNTIF(Emp28May,"N")+COUNTIF(Emp28Jun,"N")+COUNTIF(Emp28Jul,"N")+COUNTIF(Emp28Aug,"N")+COUNTIF(Emp28Sep,"N")+COUNTIF(Emp28Oct,"N")+COUNTIF(Emp28Nov,"N")+COUNTIF(Emp28Dec,"N")</f>
        <v>0</v>
      </c>
      <c r="G31" s="79">
        <f>COUNTIF(Emp28Jan,"A")+COUNTIF(Emp28Feb,"A")+COUNTIF(Emp28Mar,"A")+COUNTIF(Emp28Apr,"A")+COUNTIF(Emp28May,"A")+COUNTIF(Emp28Jun,"A")+COUNTIF(Emp28Jul,"A")+COUNTIF(Emp28Aug,"A")+COUNTIF(Emp28Sep,"A")+COUNTIF(Emp28Oct,"A")+COUNTIF(Emp28Nov,"A")+COUNTIF(Emp28Dec,"A")</f>
        <v>0</v>
      </c>
      <c r="H31" s="79">
        <f>COUNTIF(Emp28Jan,"PO")+COUNTIF(Emp28Feb,"PO")+COUNTIF(Emp28Mar,"PO")+COUNTIF(Emp28Apr,"PO")+COUNTIF(Emp28May,"PO")+COUNTIF(Emp28Jun,"PO")+COUNTIF(Emp28Jul,"PO")+COUNTIF(Emp28Aug,"PO")+COUNTIF(Emp28Sep,"PO")+COUNTIF(Emp28Oct,"PO")+COUNTIF(Emp28Nov,"PO")+COUNTIF(Emp28Dec,"PO")</f>
        <v>0</v>
      </c>
      <c r="I31" s="79">
        <f>COUNTIF(Emp28Jan,"SL")+COUNTIF(Emp28Feb,"SL")+COUNTIF(Emp28Mar,"SL")+COUNTIF(Emp28Apr,"SL")+COUNTIF(Emp28May,"SL")+COUNTIF(Emp28Jun,"SL")+COUNTIF(Emp28Jul,"SL")+COUNTIF(Emp28Aug,"SL")+COUNTIF(Emp28Sep,"SL")+COUNTIF(Emp28Oct,"SL")+COUNTIF(Emp28Nov,"SL")+COUNTIF(Emp28Dec,"SL")</f>
        <v>0</v>
      </c>
      <c r="J31" s="79">
        <f>COUNTIF(Emp28Jan,"AL")+COUNTIF(Emp28Feb,"AL")+COUNTIF(Emp28Mar,"AL")+COUNTIF(Emp28Apr,"AL")+COUNTIF(Emp28May,"AL")+COUNTIF(Emp28Jun,"AL")+COUNTIF(Emp28Jul,"AL")+COUNTIF(Emp28Aug,"AL")+COUNTIF(Emp28Sep,"AL")+COUNTIF(Emp28Oct,"AL")+COUNTIF(Emp28Nov,"AL")+COUNTIF(Emp28Dec,"AL")</f>
        <v>0</v>
      </c>
      <c r="K31" s="79">
        <f>COUNTIF(Emp28Jan,"H")+COUNTIF(Emp28Feb,"H")+COUNTIF(Emp28Mar,"H")+COUNTIF(Emp28Apr,"H")+COUNTIF(Emp28May,"H")+COUNTIF(Emp28Jun,"H")+COUNTIF(Emp28Jul,"H")+COUNTIF(Emp28Aug,"H")+COUNTIF(Emp28Sep,"H")+COUNTIF(Emp28Oct,"H")+COUNTIF(Emp28Nov,"H")+COUNTIF(Emp28Dec,"H")</f>
        <v>0</v>
      </c>
      <c r="L31" s="79">
        <f>COUNTIF(Emp28Jan,"NA")+COUNTIF(Emp28Feb,"NA")+COUNTIF(Emp28Mar,"NA")+COUNTIF(Emp28Apr,"NA")+COUNTIF(Emp28May,"NA")+COUNTIF(Emp28Jun,"NA")+COUNTIF(Emp28Jul,"NA")+COUNTIF(Emp28Aug,"NA")+COUNTIF(Emp28Sep,"NA")+COUNTIF(Emp28Oct,"NA")+COUNTIF(Emp28Nov,"NA")+COUNTIF(Emp28Dec,"NA")</f>
        <v>0</v>
      </c>
      <c r="M31" s="79">
        <f>COUNTIF(Emp28Jan,"SP")+COUNTIF(Emp28Feb,"SP")+COUNTIF(Emp28Mar,"SP")+COUNTIF(Emp28Apr,"SP")+COUNTIF(Emp28May,"SP")+COUNTIF(Emp28Jun,"SP")+COUNTIF(Emp28Jul,"SP")+COUNTIF(Emp28Aug,"SP")+COUNTIF(Emp28Sep,"SP")+COUNTIF(Emp28Oct,"SP")+COUNTIF(Emp28Nov,"SP")+COUNTIF(Emp28Dec,"SP")</f>
        <v>0</v>
      </c>
      <c r="N31" s="79">
        <f t="shared" ref="N31" si="16">SUM(E31:M31)</f>
        <v>0</v>
      </c>
    </row>
    <row r="32" spans="2:14" s="55" customFormat="1"/>
    <row r="33" spans="4:14" s="55" customFormat="1">
      <c r="D33" s="94" t="s">
        <v>50</v>
      </c>
      <c r="E33" s="93">
        <f>SUM(E4:E31)</f>
        <v>0</v>
      </c>
      <c r="F33" s="93">
        <f t="shared" ref="F33:N33" si="17">SUM(F4:F31)</f>
        <v>0</v>
      </c>
      <c r="G33" s="93">
        <f t="shared" si="17"/>
        <v>0</v>
      </c>
      <c r="H33" s="93">
        <f t="shared" si="17"/>
        <v>0</v>
      </c>
      <c r="I33" s="93">
        <f t="shared" si="17"/>
        <v>0</v>
      </c>
      <c r="J33" s="93">
        <f t="shared" si="17"/>
        <v>0</v>
      </c>
      <c r="K33" s="93">
        <f t="shared" si="17"/>
        <v>0</v>
      </c>
      <c r="L33" s="93">
        <f t="shared" si="17"/>
        <v>0</v>
      </c>
      <c r="M33" s="93">
        <f t="shared" si="17"/>
        <v>0</v>
      </c>
      <c r="N33" s="93">
        <f t="shared" si="17"/>
        <v>0</v>
      </c>
    </row>
    <row r="34" spans="4:14" s="55" customFormat="1"/>
    <row r="35" spans="4:14" s="55" customFormat="1"/>
    <row r="36" spans="4:14" s="55" customFormat="1"/>
    <row r="37" spans="4:14" s="55" customFormat="1"/>
    <row r="38" spans="4:14" s="55" customFormat="1"/>
    <row r="39" spans="4:14" s="55" customFormat="1"/>
    <row r="40" spans="4:14" s="55" customFormat="1"/>
    <row r="41" spans="4:14" s="55" customFormat="1"/>
  </sheetData>
  <sheetProtection sheet="1" objects="1" scenarios="1" selectLockedCells="1" selectUn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C3: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dropDown id="ddYearEnding" getItemCount="ddYEGetItemCount" getItemLabel="ddYEGetItemLabel" getItemID="ddYEGetItemID" label="Year Ending" onAction="ddYESetYearEnding"/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  <dropDown id="ddYears" getItemCount="ddYearsGetItemCount" getItemLabel="ddYearsGetItems" onAction="ddYearsAction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dropDown id="ddYearEnding" getItemCount="ddYEGetItemCount" getItemLabel="ddYEGetItemLabel" getItemID="ddYEGetItemID" label="Year Ending" onAction="ddYESetYearEnding" getSelectedItemID="ddYEGetSelectedItemID"/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483</vt:i4>
      </vt:variant>
    </vt:vector>
  </HeadingPairs>
  <TitlesOfParts>
    <vt:vector size="498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DD</vt:lpstr>
      <vt:lpstr>December_Heads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Emp13Summary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Emp14Summary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Emp15Summary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Emp16Summary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Emp17Summary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Emp18Summary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Emp19Summary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Emp20Summary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Emp21Summary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Emp22Summary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Emp23Summary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Emp24Summary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Emp25Summary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Emp26Summary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Emp27Summary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Emp28Summary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PublicHolidays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2023-07-14T03:07:46Z</dcterms:modified>
</cp:coreProperties>
</file>