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tumpers\PIRSA\Rosters17Dev\"/>
    </mc:Choice>
  </mc:AlternateContent>
  <bookViews>
    <workbookView showSheetTabs="0" xWindow="0" yWindow="120" windowWidth="12120" windowHeight="8490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Roster!$D$99:$AH$99,Roster!$D$114:$AF$114,Roster!$D$129:$AH$129,Roster!$D$144:$AG$144,Roster!$D$159:$AH$159,Roster!$D$174:$AG$174,Roster!$D$9:$AH$9,Roster!$D$24:$AH$24,Roster!$D$39:$AG$39,Roster!$D$54:$AH$54,Roster!$D$69:$AG$69,Roster!$D$84:$AH$84</definedName>
    <definedName name="AllEmps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BlockEmps">DATA!$C$8:$E$19</definedName>
    <definedName name="CurYear">Roster!$B$4</definedName>
    <definedName name="D">Roster!$D$99:$AH$110,Roster!$D$114:$AF$125,Roster!$D$129:$AH$140,Roster!$D$144:$AG$155,Roster!$D$159:$AH$170,Roster!$D$174:$AG$185,Roster!$D$9:$AH$20,Roster!$D$24:$AH$35,Roster!$D$39:$AG$50,Roster!$D$54:$AH$65,Roster!$D$69:$AG$80,Roster!$D$84:$AH$95</definedName>
    <definedName name="ee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Emp01Apr">Roster!$D$144:$AG$144</definedName>
    <definedName name="Emp01Aug">Roster!$D$24:$AH$24</definedName>
    <definedName name="Emp01Dec">Roster!$D$84:$AH$84</definedName>
    <definedName name="Emp01Feb">Roster!$D$114:$AF$114</definedName>
    <definedName name="Emp01Jan">Roster!$D$99:$AH$99</definedName>
    <definedName name="Emp01Jul">Roster!$D$9:$AH$9</definedName>
    <definedName name="Emp01Jun">Roster!$D$174:$AG$174</definedName>
    <definedName name="Emp01Mar">Roster!$D$129:$AH$129</definedName>
    <definedName name="Emp01May">Roster!$D$159:$AH$159</definedName>
    <definedName name="Emp01Nov">Roster!$D$69:$AG$69</definedName>
    <definedName name="Emp01Oct">Roster!$D$54:$AH$54</definedName>
    <definedName name="Emp01Sep">Roster!$D$39:$AG$39</definedName>
    <definedName name="Emp01Summary">Summary!$B$4:$C$4</definedName>
    <definedName name="Emp02Apr">Roster!$D$145:$AG$145</definedName>
    <definedName name="Emp02Aug">Roster!$D$25:$AH$25</definedName>
    <definedName name="Emp02Dec">Roster!$D$85:$AH$85</definedName>
    <definedName name="Emp02Feb">Roster!$D$115:$AF$115</definedName>
    <definedName name="Emp02Jan">Roster!$D$100:$AH$100</definedName>
    <definedName name="Emp02Jul">Roster!$D$10:$AH$10</definedName>
    <definedName name="Emp02Jun">Roster!$D$175:$AG$175</definedName>
    <definedName name="Emp02Mar">Roster!$D$130:$AH$130</definedName>
    <definedName name="Emp02May">Roster!$D$160:$AH$160</definedName>
    <definedName name="Emp02Nov">Roster!$D$70:$AG$70</definedName>
    <definedName name="Emp02Oct">Roster!$D$55:$AH$55</definedName>
    <definedName name="Emp02Sep">Roster!$D$40:$AG$40</definedName>
    <definedName name="Emp02Summary">Summary!$B$5:$C$5</definedName>
    <definedName name="Emp03Apr">Roster!$D$146:$AG$146</definedName>
    <definedName name="Emp03Aug">Roster!$D$26:$AH$26</definedName>
    <definedName name="Emp03Dec">Roster!$D$86:$AH$86</definedName>
    <definedName name="Emp03Feb">Roster!$D$116:$AF$116</definedName>
    <definedName name="Emp03Jan">Roster!$D$101:$AH$101</definedName>
    <definedName name="Emp03Jul">Roster!$D$11:$AH$11</definedName>
    <definedName name="Emp03Jun">Roster!$D$176:$AG$176</definedName>
    <definedName name="Emp03Mar">Roster!$D$131:$AH$131</definedName>
    <definedName name="Emp03May">Roster!$D$161:$AH$161</definedName>
    <definedName name="Emp03Nov">Roster!$D$71:$AG$71</definedName>
    <definedName name="Emp03Oct">Roster!$D$56:$AH$56</definedName>
    <definedName name="Emp03Sep">Roster!$D$41:$AG$41</definedName>
    <definedName name="Emp03Summary">Summary!$B$6:$C$6</definedName>
    <definedName name="Emp04Apr">Roster!$D$147:$AG$147</definedName>
    <definedName name="Emp04Aug">Roster!$D$27:$AH$27</definedName>
    <definedName name="Emp04Dec">Roster!$D$87:$AH$87</definedName>
    <definedName name="Emp04Feb">Roster!$D$117:$AF$117</definedName>
    <definedName name="Emp04Jan">Roster!$D$102:$AH$102</definedName>
    <definedName name="Emp04Jul">Roster!$D$12:$AH$12</definedName>
    <definedName name="Emp04Jun">Roster!$D$177:$AG$177</definedName>
    <definedName name="Emp04Mar">Roster!$D$132:$AH$132</definedName>
    <definedName name="Emp04May">Roster!$D$162:$AH$162</definedName>
    <definedName name="Emp04Nov">Roster!$D$72:$AG$72</definedName>
    <definedName name="Emp04Oct">Roster!$D$57:$AH$57</definedName>
    <definedName name="Emp04Sep">Roster!$D$42:$AG$42</definedName>
    <definedName name="Emp04Summary">Summary!$B$7:$C$7</definedName>
    <definedName name="Emp05Apr">Roster!$D$148:$AG$148</definedName>
    <definedName name="Emp05Aug">Roster!$D$28:$AH$28</definedName>
    <definedName name="Emp05Dec">Roster!$D$88:$AH$88</definedName>
    <definedName name="Emp05Feb">Roster!$D$118:$AF$118</definedName>
    <definedName name="Emp05Jan">Roster!$D$103:$AH$103</definedName>
    <definedName name="Emp05Jul">Roster!$D$13:$AH$13</definedName>
    <definedName name="Emp05Jun">Roster!$D$178:$AG$178</definedName>
    <definedName name="Emp05Mar">Roster!$D$133:$AH$133</definedName>
    <definedName name="Emp05May">Roster!$D$163:$AH$163</definedName>
    <definedName name="Emp05Nov">Roster!$D$73:$AG$73</definedName>
    <definedName name="Emp05Oct">Roster!$D$58:$AH$58</definedName>
    <definedName name="Emp05Sep">Roster!$D$43:$AG$43</definedName>
    <definedName name="Emp05Summary">Summary!$B$8:$C$8</definedName>
    <definedName name="Emp06Apr">Roster!$D$149:$AG$149</definedName>
    <definedName name="Emp06Aug">Roster!$D$29:$AH$29</definedName>
    <definedName name="Emp06Dec">Roster!$D$89:$AH$89</definedName>
    <definedName name="Emp06Feb">Roster!$D$119:$AF$119</definedName>
    <definedName name="Emp06Jan">Roster!$D$104:$AH$104</definedName>
    <definedName name="Emp06Jul">Roster!$D$14:$AH$14</definedName>
    <definedName name="Emp06Jun">Roster!$D$179:$AG$179</definedName>
    <definedName name="Emp06Mar">Roster!$D$134:$AH$134</definedName>
    <definedName name="Emp06May">Roster!$D$164:$AH$164</definedName>
    <definedName name="Emp06Nov">Roster!$D$74:$AG$74</definedName>
    <definedName name="Emp06Oct">Roster!$D$59:$AH$59</definedName>
    <definedName name="Emp06Sep">Roster!$D$44:$AG$44</definedName>
    <definedName name="Emp06Summary">Summary!$B$9:$C$9</definedName>
    <definedName name="Emp07Apr">Roster!$D$150:$AG$150</definedName>
    <definedName name="Emp07Aug">Roster!$D$30:$AH$30</definedName>
    <definedName name="Emp07Dec">Roster!$D$90:$AH$90</definedName>
    <definedName name="Emp07Feb">Roster!$D$120:$AF$120</definedName>
    <definedName name="Emp07Jan">Roster!$D$105:$AH$105</definedName>
    <definedName name="Emp07Jul">Roster!$D$15:$AH$15</definedName>
    <definedName name="Emp07Jun">Roster!$D$180:$AG$180</definedName>
    <definedName name="Emp07Mar">Roster!$D$135:$AH$135</definedName>
    <definedName name="Emp07May">Roster!$D$165:$AH$165</definedName>
    <definedName name="Emp07Nov">Roster!$D$75:$AG$75</definedName>
    <definedName name="Emp07Oct">Roster!$D$60:$AH$60</definedName>
    <definedName name="Emp07Sep">Roster!$D$45:$AG$45</definedName>
    <definedName name="Emp07Summary">Summary!$B$10:$C$10</definedName>
    <definedName name="Emp08Apr">Roster!$D$151:$AG$151</definedName>
    <definedName name="Emp08Aug">Roster!$D$31:$AH$31</definedName>
    <definedName name="Emp08Dec">Roster!$D$91:$AH$91</definedName>
    <definedName name="Emp08Feb">Roster!$D$121:$AF$121</definedName>
    <definedName name="Emp08Jan">Roster!$D$106:$AH$106</definedName>
    <definedName name="Emp08Jul">Roster!$D$16:$AH$16</definedName>
    <definedName name="Emp08Jun">Roster!$D$181:$AG$181</definedName>
    <definedName name="Emp08Mar">Roster!$D$136:$AH$136</definedName>
    <definedName name="Emp08May">Roster!$D$166:$AH$166</definedName>
    <definedName name="Emp08Nov">Roster!$D$76:$AG$76</definedName>
    <definedName name="Emp08Oct">Roster!$D$61:$AH$61</definedName>
    <definedName name="Emp08Sep">Roster!$D$46:$AG$46</definedName>
    <definedName name="Emp08Summary">Summary!$B$11:$C$11</definedName>
    <definedName name="Emp09Apr">Roster!$D$152:$AG$152</definedName>
    <definedName name="Emp09Aug">Roster!$D$32:$AH$32</definedName>
    <definedName name="Emp09Dec">Roster!$D$92:$AH$92</definedName>
    <definedName name="Emp09Feb">Roster!$D$122:$AF$122</definedName>
    <definedName name="Emp09Jan">Roster!$D$107:$AH$107</definedName>
    <definedName name="Emp09Jul">Roster!$D$17:$AH$17</definedName>
    <definedName name="Emp09Jun">Roster!$D$182:$AG$182</definedName>
    <definedName name="Emp09Mar">Roster!$D$137:$AH$137</definedName>
    <definedName name="Emp09May">Roster!$D$167:$AH$167</definedName>
    <definedName name="Emp09Nov">Roster!$D$77:$AG$77</definedName>
    <definedName name="Emp09Oct">Roster!$D$62:$AH$62</definedName>
    <definedName name="Emp09Sep">Roster!$D$47:$AG$47</definedName>
    <definedName name="Emp09Summary">Summary!$B$12:$C$12</definedName>
    <definedName name="Emp10Apr">Roster!$D$153:$AG$153</definedName>
    <definedName name="Emp10Aug">Roster!$D$33:$AH$33</definedName>
    <definedName name="Emp10Dec">Roster!$D$93:$AH$93</definedName>
    <definedName name="Emp10Feb">Roster!$D$123:$AF$123</definedName>
    <definedName name="Emp10Jan">Roster!$D$108:$AH$108</definedName>
    <definedName name="Emp10Jul">Roster!$D$18:$AH$18</definedName>
    <definedName name="Emp10Jun">Roster!$D$183:$AG$183</definedName>
    <definedName name="Emp10Mar">Roster!$D$138:$AH$138</definedName>
    <definedName name="Emp10May">Roster!$D$168:$AH$168</definedName>
    <definedName name="Emp10Nov">Roster!$D$78:$AG$78</definedName>
    <definedName name="Emp10Oct">Roster!$D$63:$AH$63</definedName>
    <definedName name="Emp10Sep">Roster!$D$48:$AG$48</definedName>
    <definedName name="Emp10Summary">Summary!$B$13:$C$13</definedName>
    <definedName name="Emp11Apr">Roster!$D$154:$AG$154</definedName>
    <definedName name="Emp11Aug">Roster!$D$34:$AH$34</definedName>
    <definedName name="Emp11Dec">Roster!$D$94:$AH$94</definedName>
    <definedName name="Emp11Feb">Roster!$D$124:$AF$124</definedName>
    <definedName name="Emp11Jan">Roster!$D$109:$AH$109</definedName>
    <definedName name="Emp11Jul">Roster!$D$19:$AH$19</definedName>
    <definedName name="Emp11Jun">Roster!$D$184:$AG$184</definedName>
    <definedName name="Emp11Mar">Roster!$D$139:$AH$139</definedName>
    <definedName name="Emp11May">Roster!$D$169:$AH$169</definedName>
    <definedName name="Emp11Nov">Roster!$D$79:$AG$79</definedName>
    <definedName name="Emp11Oct">Roster!$D$64:$AH$64</definedName>
    <definedName name="Emp11Sep">Roster!$D$49:$AG$49</definedName>
    <definedName name="Emp11Summary">Summary!$B$14:$C$14</definedName>
    <definedName name="Emp12Apr">Roster!$D$155:$AG$155</definedName>
    <definedName name="Emp12Aug">Roster!$D$35:$AH$35</definedName>
    <definedName name="Emp12Dec">Roster!$D$95:$AH$95</definedName>
    <definedName name="Emp12Feb">Roster!$D$125:$AF$125</definedName>
    <definedName name="Emp12Jan">Roster!$D$110:$AH$110</definedName>
    <definedName name="Emp12Jul">Roster!$D$20:$AH$20</definedName>
    <definedName name="Emp12Jun">Roster!$D$185:$AG$185</definedName>
    <definedName name="Emp12Mar">Roster!$D$140:$AH$140</definedName>
    <definedName name="Emp12May">Roster!$D$170:$AH$170</definedName>
    <definedName name="Emp12Nov">Roster!$D$80:$AG$80</definedName>
    <definedName name="Emp12Oct">Roster!$D$65:$AH$65</definedName>
    <definedName name="Emp12Sep">Roster!$D$50:$AG$50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Roster!$AF$113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Roster!$D$114:$AF$119</definedName>
    <definedName name="JanVal">Roster!$D$99:$AH$104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Roster!$B$7:$AH$186</definedName>
    <definedName name="Shifts">DATA!$I$8:$I$17</definedName>
    <definedName name="test">Roster!$D$99:$AH$99,Roster!$D$114:$AF$114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I18" i="4" l="1"/>
  <c r="AE7" i="3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L15" i="9"/>
  <c r="L14" i="9"/>
  <c r="L13" i="9"/>
  <c r="J15" i="9"/>
  <c r="J14" i="9"/>
  <c r="J13" i="9"/>
  <c r="I15" i="9"/>
  <c r="I14" i="9"/>
  <c r="I13" i="9"/>
  <c r="H15" i="9"/>
  <c r="H14" i="9"/>
  <c r="H13" i="9"/>
  <c r="G15" i="9"/>
  <c r="G14" i="9"/>
  <c r="G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95" i="2"/>
  <c r="C94" i="2"/>
  <c r="C93" i="2"/>
  <c r="C80" i="2"/>
  <c r="C79" i="2"/>
  <c r="C78" i="2"/>
  <c r="C65" i="2"/>
  <c r="C64" i="2"/>
  <c r="C63" i="2"/>
  <c r="C50" i="2"/>
  <c r="C49" i="2"/>
  <c r="C48" i="2"/>
  <c r="C35" i="2"/>
  <c r="C34" i="2"/>
  <c r="C33" i="2"/>
  <c r="C20" i="2"/>
  <c r="C19" i="2"/>
  <c r="C18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L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2" i="2"/>
  <c r="C90" i="2"/>
  <c r="C89" i="2"/>
  <c r="C88" i="2"/>
  <c r="C87" i="2"/>
  <c r="C86" i="2"/>
  <c r="C85" i="2"/>
  <c r="C84" i="2"/>
  <c r="C77" i="2"/>
  <c r="C76" i="2"/>
  <c r="C75" i="2"/>
  <c r="C74" i="2"/>
  <c r="C73" i="2"/>
  <c r="C72" i="2"/>
  <c r="C71" i="2"/>
  <c r="C70" i="2"/>
  <c r="C69" i="2"/>
  <c r="C62" i="2"/>
  <c r="C61" i="2"/>
  <c r="C60" i="2"/>
  <c r="C59" i="2"/>
  <c r="C58" i="2"/>
  <c r="C57" i="2"/>
  <c r="C56" i="2"/>
  <c r="C55" i="2"/>
  <c r="C54" i="2"/>
  <c r="C47" i="2"/>
  <c r="C46" i="2"/>
  <c r="C45" i="2"/>
  <c r="C44" i="2"/>
  <c r="C43" i="2"/>
  <c r="C42" i="2"/>
  <c r="C41" i="2"/>
  <c r="C40" i="2"/>
  <c r="C39" i="2"/>
  <c r="C32" i="2"/>
  <c r="C31" i="2"/>
  <c r="C30" i="2"/>
  <c r="C29" i="2"/>
  <c r="C28" i="2"/>
  <c r="C27" i="2"/>
  <c r="C26" i="2"/>
  <c r="C25" i="2"/>
  <c r="C24" i="2"/>
  <c r="C17" i="2"/>
  <c r="C16" i="2"/>
  <c r="C15" i="2"/>
  <c r="C13" i="2"/>
  <c r="C12" i="2"/>
  <c r="C11" i="2"/>
  <c r="C10" i="2"/>
  <c r="C9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82" i="2"/>
  <c r="C67" i="2"/>
  <c r="C52" i="2"/>
  <c r="C37" i="2"/>
  <c r="C22" i="2"/>
  <c r="C7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G12" i="9"/>
  <c r="H12" i="9"/>
  <c r="D11" i="9"/>
  <c r="E11" i="9"/>
  <c r="F11" i="9"/>
  <c r="G11" i="9"/>
  <c r="H11" i="9"/>
  <c r="D10" i="9"/>
  <c r="E10" i="9"/>
  <c r="F10" i="9"/>
  <c r="G10" i="9"/>
  <c r="H10" i="9"/>
  <c r="D9" i="9"/>
  <c r="E9" i="9"/>
  <c r="F9" i="9"/>
  <c r="G9" i="9"/>
  <c r="H9" i="9"/>
  <c r="D8" i="9"/>
  <c r="E8" i="9"/>
  <c r="F8" i="9"/>
  <c r="G8" i="9"/>
  <c r="H8" i="9"/>
  <c r="D7" i="9"/>
  <c r="E7" i="9"/>
  <c r="F7" i="9"/>
  <c r="G7" i="9"/>
  <c r="H7" i="9"/>
  <c r="D6" i="9"/>
  <c r="E6" i="9"/>
  <c r="F6" i="9"/>
  <c r="G6" i="9"/>
  <c r="H6" i="9"/>
  <c r="D5" i="9"/>
  <c r="E5" i="9"/>
  <c r="G5" i="9"/>
  <c r="H5" i="9"/>
  <c r="D4" i="9"/>
  <c r="E4" i="9"/>
  <c r="F4" i="9"/>
  <c r="G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F37" i="12"/>
  <c r="N37" i="12"/>
  <c r="R37" i="12"/>
  <c r="V37" i="12"/>
  <c r="AD37" i="12"/>
  <c r="C7" i="12"/>
  <c r="AA7" i="12"/>
  <c r="K10" i="12"/>
  <c r="D13" i="12"/>
  <c r="H13" i="12"/>
  <c r="L13" i="12"/>
  <c r="P13" i="12"/>
  <c r="T13" i="12"/>
  <c r="X13" i="12"/>
  <c r="AB13" i="12"/>
  <c r="AF13" i="12"/>
  <c r="C34" i="11"/>
  <c r="G34" i="11"/>
  <c r="K34" i="11"/>
  <c r="O34" i="11"/>
  <c r="S34" i="11"/>
  <c r="W34" i="11"/>
  <c r="AA34" i="11"/>
  <c r="AE34" i="11"/>
  <c r="D10" i="11"/>
  <c r="I10" i="11"/>
  <c r="O10" i="11"/>
  <c r="T10" i="11"/>
  <c r="Y10" i="11"/>
  <c r="AE10" i="11"/>
  <c r="Y22" i="10"/>
  <c r="E22" i="10"/>
  <c r="Y28" i="10"/>
  <c r="D4" i="10"/>
  <c r="D7" i="10"/>
  <c r="I7" i="10"/>
  <c r="N7" i="10"/>
  <c r="T7" i="10"/>
  <c r="Y7" i="10"/>
  <c r="AD7" i="10"/>
  <c r="C4" i="8"/>
  <c r="I4" i="8"/>
  <c r="N4" i="8"/>
  <c r="S4" i="8"/>
  <c r="Y4" i="8"/>
  <c r="AD4" i="8"/>
  <c r="O13" i="8"/>
  <c r="AD25" i="7"/>
  <c r="H25" i="7"/>
  <c r="F22" i="7"/>
  <c r="L22" i="7"/>
  <c r="Q22" i="7"/>
  <c r="V22" i="7"/>
  <c r="AB22" i="7"/>
  <c r="AC34" i="7"/>
  <c r="M34" i="7"/>
  <c r="AB34" i="7"/>
  <c r="L34" i="7"/>
  <c r="N25" i="6"/>
  <c r="F22" i="6"/>
  <c r="V22" i="6"/>
  <c r="AA10" i="6"/>
  <c r="W13" i="6"/>
  <c r="C37" i="12"/>
  <c r="G37" i="12"/>
  <c r="K37" i="12"/>
  <c r="O37" i="12"/>
  <c r="S37" i="12"/>
  <c r="W37" i="12"/>
  <c r="AA37" i="12"/>
  <c r="AE37" i="12"/>
  <c r="T7" i="12"/>
  <c r="P10" i="12"/>
  <c r="E13" i="12"/>
  <c r="I13" i="12"/>
  <c r="M13" i="12"/>
  <c r="Q13" i="12"/>
  <c r="U13" i="12"/>
  <c r="Y13" i="12"/>
  <c r="AC13" i="12"/>
  <c r="G31" i="11"/>
  <c r="W31" i="11"/>
  <c r="D34" i="11"/>
  <c r="H34" i="11"/>
  <c r="L34" i="11"/>
  <c r="P34" i="11"/>
  <c r="T34" i="11"/>
  <c r="X34" i="11"/>
  <c r="AB34" i="11"/>
  <c r="AF34" i="11"/>
  <c r="E10" i="11"/>
  <c r="K10" i="11"/>
  <c r="P10" i="11"/>
  <c r="U10" i="11"/>
  <c r="AA10" i="11"/>
  <c r="T19" i="11"/>
  <c r="J4" i="10"/>
  <c r="AF4" i="10"/>
  <c r="E7" i="10"/>
  <c r="J7" i="10"/>
  <c r="P7" i="10"/>
  <c r="U7" i="10"/>
  <c r="Z7" i="10"/>
  <c r="AF7" i="10"/>
  <c r="E4" i="8"/>
  <c r="J4" i="8"/>
  <c r="O4" i="8"/>
  <c r="U4" i="8"/>
  <c r="Z4" i="8"/>
  <c r="AE4" i="8"/>
  <c r="K13" i="8"/>
  <c r="E25" i="7"/>
  <c r="U25" i="7"/>
  <c r="AE22" i="7"/>
  <c r="AA22" i="7"/>
  <c r="W22" i="7"/>
  <c r="S22" i="7"/>
  <c r="O22" i="7"/>
  <c r="K22" i="7"/>
  <c r="G22" i="7"/>
  <c r="C22" i="7"/>
  <c r="J22" i="6"/>
  <c r="D37" i="12"/>
  <c r="H37" i="12"/>
  <c r="L37" i="12"/>
  <c r="P37" i="12"/>
  <c r="T37" i="12"/>
  <c r="X37" i="12"/>
  <c r="AB37" i="12"/>
  <c r="M7" i="12"/>
  <c r="P31" i="11"/>
  <c r="E34" i="11"/>
  <c r="I34" i="11"/>
  <c r="M34" i="11"/>
  <c r="Q34" i="11"/>
  <c r="U34" i="11"/>
  <c r="Y34" i="11"/>
  <c r="AC34" i="11"/>
  <c r="AD10" i="11"/>
  <c r="Z10" i="11"/>
  <c r="V10" i="11"/>
  <c r="R10" i="11"/>
  <c r="N10" i="11"/>
  <c r="J10" i="11"/>
  <c r="F10" i="11"/>
  <c r="F4" i="10"/>
  <c r="F7" i="10"/>
  <c r="L7" i="10"/>
  <c r="Q7" i="10"/>
  <c r="V7" i="10"/>
  <c r="AB7" i="10"/>
  <c r="J37" i="8"/>
  <c r="F4" i="8"/>
  <c r="K4" i="8"/>
  <c r="Q4" i="8"/>
  <c r="V4" i="8"/>
  <c r="AA4" i="8"/>
  <c r="U13" i="8"/>
  <c r="E13" i="8"/>
  <c r="O16" i="7"/>
  <c r="X13" i="6"/>
  <c r="S13" i="6"/>
  <c r="K13" i="6"/>
  <c r="S4" i="10"/>
  <c r="AE7" i="10"/>
  <c r="AA7" i="10"/>
  <c r="W7" i="10"/>
  <c r="S7" i="10"/>
  <c r="O7" i="10"/>
  <c r="K7" i="10"/>
  <c r="G7" i="10"/>
  <c r="C7" i="10"/>
  <c r="S37" i="8"/>
  <c r="C37" i="8"/>
  <c r="AF4" i="8"/>
  <c r="AB4" i="8"/>
  <c r="X4" i="8"/>
  <c r="T4" i="8"/>
  <c r="P4" i="8"/>
  <c r="L4" i="8"/>
  <c r="H4" i="8"/>
  <c r="D4" i="8"/>
  <c r="M25" i="6"/>
  <c r="AC25" i="6"/>
  <c r="O25" i="6"/>
  <c r="AE25" i="6"/>
  <c r="P25" i="6"/>
  <c r="AE22" i="6"/>
  <c r="AA22" i="6"/>
  <c r="W22" i="6"/>
  <c r="S22" i="6"/>
  <c r="O22" i="6"/>
  <c r="K22" i="6"/>
  <c r="G22" i="6"/>
  <c r="C22" i="6"/>
  <c r="AG22" i="6"/>
  <c r="AC22" i="6"/>
  <c r="Y22" i="6"/>
  <c r="U22" i="6"/>
  <c r="Q22" i="6"/>
  <c r="M22" i="6"/>
  <c r="I22" i="6"/>
  <c r="E22" i="6"/>
  <c r="AF22" i="6"/>
  <c r="AB22" i="6"/>
  <c r="X22" i="6"/>
  <c r="T22" i="6"/>
  <c r="P22" i="6"/>
  <c r="L22" i="6"/>
  <c r="H22" i="6"/>
  <c r="D22" i="6"/>
  <c r="L37" i="7"/>
  <c r="AC7" i="7"/>
  <c r="AE19" i="7"/>
  <c r="Y37" i="6"/>
  <c r="X19" i="7"/>
  <c r="R37" i="6"/>
  <c r="S34" i="5"/>
  <c r="N34" i="5"/>
  <c r="F34" i="5"/>
  <c r="D10" i="5"/>
  <c r="U13" i="5"/>
  <c r="E13" i="5"/>
  <c r="E37" i="4"/>
  <c r="M37" i="4"/>
  <c r="U37" i="4"/>
  <c r="AC37" i="4"/>
  <c r="P19" i="4"/>
  <c r="AD19" i="4"/>
  <c r="V19" i="4"/>
  <c r="AE37" i="5"/>
  <c r="O37" i="5"/>
  <c r="C13" i="5"/>
  <c r="X13" i="5"/>
  <c r="U31" i="4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U4" i="4"/>
  <c r="X7" i="4"/>
  <c r="W7" i="4"/>
  <c r="Y7" i="4"/>
  <c r="I37" i="5"/>
  <c r="AD37" i="5"/>
  <c r="E10" i="5"/>
  <c r="P13" i="5"/>
  <c r="N31" i="4"/>
  <c r="K31" i="4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H19" i="4"/>
  <c r="S25" i="3"/>
  <c r="E22" i="3"/>
  <c r="E28" i="3"/>
  <c r="J28" i="3"/>
  <c r="P28" i="3"/>
  <c r="U28" i="3"/>
  <c r="P31" i="3"/>
  <c r="Y4" i="3"/>
  <c r="U4" i="3"/>
  <c r="AC7" i="3"/>
  <c r="M7" i="3"/>
  <c r="AA31" i="3"/>
  <c r="K31" i="3"/>
  <c r="AF34" i="3"/>
  <c r="AE28" i="3"/>
  <c r="AA28" i="3"/>
  <c r="W28" i="3"/>
  <c r="S28" i="3"/>
  <c r="O28" i="3"/>
  <c r="K28" i="3"/>
  <c r="G28" i="3"/>
  <c r="C28" i="3"/>
  <c r="H31" i="3"/>
  <c r="AC31" i="3"/>
  <c r="S34" i="3"/>
  <c r="D28" i="3"/>
  <c r="I28" i="3"/>
  <c r="N28" i="3"/>
  <c r="T28" i="3"/>
  <c r="Y28" i="3"/>
  <c r="AD28" i="3"/>
  <c r="N31" i="3"/>
  <c r="U34" i="3"/>
  <c r="G19" i="3"/>
  <c r="W19" i="3"/>
  <c r="E4" i="12" l="1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<sst xmlns="http://schemas.openxmlformats.org/spreadsheetml/2006/main" count="349" uniqueCount="72">
  <si>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</si>
  <si>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</si>
  <si>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</si>
  <si>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</si>
  <si>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</si>
  <si>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</si>
  <si>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</si>
  <si>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</si>
  <si>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</si>
  <si>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</si>
  <si>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</si>
  <si>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</si>
  <si>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</si>
  <si>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</si>
  <si>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RO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</si>
  <si>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</si>
  <si>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</si>
  <si>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</si>
  <si>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</si>
  <si>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</si>
  <si>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</si>
  <si>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</si>
  <si>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</si>
  <si>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</si>
  <si>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</si>
  <si>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</si>
  <si>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</si>
  <si>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</si>
  <si>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</si>
  <si>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</si>
  <si>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RDO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</si>
  <si>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</si>
  <si>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</si>
  <si>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</si>
  <si>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</si>
  <si>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</si>
  <si>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</si>
  <si>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</si>
  <si>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</si>
  <si>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</si>
  <si>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</si>
  <si>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</si>
  <si>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</si>
  <si>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</si>
  <si>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</si>
  <si>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</si>
  <si>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</si>
  <si>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</si>
  <si>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</si>
  <si>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</si>
  <si>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</si>
  <si>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</si>
  <si>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</si>
  <si>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</si>
  <si>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</si>
  <si>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</si>
  <si>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</si>
  <si>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Billy</t>
  </si>
  <si>
    <t>Sorensen</t>
  </si>
  <si>
    <t>Troy</t>
  </si>
  <si>
    <t>Fielding</t>
  </si>
  <si>
    <t>Robin</t>
  </si>
  <si>
    <t>Flannery</t>
  </si>
  <si>
    <t>Flim Flam</t>
  </si>
  <si>
    <t>Hogan</t>
  </si>
  <si>
    <t>Paul</t>
  </si>
  <si>
    <t>Stretton</t>
  </si>
  <si>
    <t>John</t>
  </si>
  <si>
    <t>Rowe</t>
  </si>
  <si>
    <t>Margaret</t>
  </si>
  <si>
    <t>Stevens</t>
  </si>
  <si>
    <t>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</si>
</sst>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9" fillId="0" borderId="26" xfId="0" applyFont="1" applyBorder="1" applyAlignment="1" applyProtection="1">
      <alignment horizontal="center"/>
      <protection locked="0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0" fillId="0" borderId="27" xfId="0" applyBorder="1" applyProtection="1">
      <protection locked="0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</cellXfs>
  <cellStyles count="1">
    <cellStyle name="Normal" xfId="0" builtinId="0"/>
  </cellStyles>
  <dxfs count="6"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</xdr:row>
          <xdr:rowOff>47625</xdr:rowOff>
        </xdr:from>
        <xdr:to>
          <xdr:col>17</xdr:col>
          <xdr:colOff>180975</xdr:colOff>
          <xdr:row>4</xdr:row>
          <xdr:rowOff>257176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47625</xdr:rowOff>
        </xdr:from>
        <xdr:to>
          <xdr:col>26</xdr:col>
          <xdr:colOff>19050</xdr:colOff>
          <xdr:row>4</xdr:row>
          <xdr:rowOff>238126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47625</xdr:rowOff>
        </xdr:from>
        <xdr:to>
          <xdr:col>12</xdr:col>
          <xdr:colOff>114300</xdr:colOff>
          <xdr:row>4</xdr:row>
          <xdr:rowOff>238126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352425</xdr:rowOff>
        </xdr:from>
        <xdr:to>
          <xdr:col>7</xdr:col>
          <xdr:colOff>57150</xdr:colOff>
          <xdr:row>4</xdr:row>
          <xdr:rowOff>542926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352425</xdr:rowOff>
        </xdr:from>
        <xdr:to>
          <xdr:col>3</xdr:col>
          <xdr:colOff>66675</xdr:colOff>
          <xdr:row>4</xdr:row>
          <xdr:rowOff>552451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47625</xdr:rowOff>
        </xdr:from>
        <xdr:to>
          <xdr:col>7</xdr:col>
          <xdr:colOff>123825</xdr:colOff>
          <xdr:row>4</xdr:row>
          <xdr:rowOff>238126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352425</xdr:rowOff>
        </xdr:from>
        <xdr:to>
          <xdr:col>15</xdr:col>
          <xdr:colOff>85725</xdr:colOff>
          <xdr:row>4</xdr:row>
          <xdr:rowOff>542926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</xdr:row>
          <xdr:rowOff>352425</xdr:rowOff>
        </xdr:from>
        <xdr:to>
          <xdr:col>20</xdr:col>
          <xdr:colOff>190500</xdr:colOff>
          <xdr:row>4</xdr:row>
          <xdr:rowOff>542926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47625</xdr:rowOff>
        </xdr:from>
        <xdr:to>
          <xdr:col>2</xdr:col>
          <xdr:colOff>800100</xdr:colOff>
          <xdr:row>4</xdr:row>
          <xdr:rowOff>295276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4</xdr:row>
          <xdr:rowOff>47625</xdr:rowOff>
        </xdr:from>
        <xdr:to>
          <xdr:col>33</xdr:col>
          <xdr:colOff>180975</xdr:colOff>
          <xdr:row>4</xdr:row>
          <xdr:rowOff>228601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352425</xdr:rowOff>
        </xdr:from>
        <xdr:to>
          <xdr:col>26</xdr:col>
          <xdr:colOff>19050</xdr:colOff>
          <xdr:row>4</xdr:row>
          <xdr:rowOff>542926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4</xdr:row>
          <xdr:rowOff>352425</xdr:rowOff>
        </xdr:from>
        <xdr:to>
          <xdr:col>33</xdr:col>
          <xdr:colOff>161925</xdr:colOff>
          <xdr:row>4</xdr:row>
          <xdr:rowOff>542926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85"/>
  <sheetViews>
    <sheetView showGridLines="0" showRowColHeaders="0" tabSelected="1" zoomScale="145" zoomScaleNormal="145" workbookViewId="0">
      <pane ySplit="5" topLeftCell="A6" activePane="bottomLeft" state="frozen"/>
      <selection pane="bottomLeft" activeCell="K10" sqref="K10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4" s="2" customFormat="1" ht="12" customHeight="1">
      <c r="A1" s="64"/>
      <c r="J1" s="159" t="str">
        <f>Location &amp;  " -  Roster Sheets"</f>
        <v>Oodlawirra Quarantine Station -  Roster Sheets</v>
      </c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09"/>
      <c r="AF1" s="109"/>
      <c r="AG1" s="109"/>
      <c r="AH1" s="109"/>
    </row>
    <row r="2" spans="1:34" s="2" customFormat="1" ht="12" customHeight="1"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09"/>
      <c r="AF2" s="109"/>
      <c r="AG2" s="109"/>
      <c r="AH2" s="109"/>
    </row>
    <row r="3" spans="1:34" s="2" customFormat="1" ht="17.25" customHeight="1">
      <c r="B3" s="29"/>
      <c r="J3" s="157" t="str">
        <f>"Financial Year Commencing - 1st July, "&amp; CurYear-1</f>
        <v>Financial Year Commencing - 1st July, 2016</v>
      </c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09"/>
      <c r="AF3" s="109"/>
      <c r="AG3" s="109"/>
      <c r="AH3" s="109"/>
    </row>
    <row r="4" spans="1:34" s="30" customFormat="1" ht="12" customHeight="1">
      <c r="B4" s="80" t="s">
        <v>55</v>
      </c>
      <c r="C4" s="156"/>
      <c r="D4" s="156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</row>
    <row r="5" spans="1:34" s="31" customFormat="1" ht="53.25" customHeight="1"/>
    <row r="6" spans="1:34" s="75" customFormat="1" ht="12" customHeight="1"/>
    <row r="7" spans="1:34" s="2" customFormat="1">
      <c r="B7"/>
      <c r="C7" t="str">
        <f>CurYear-1&amp;":"</f>
        <v>2016:</v>
      </c>
      <c r="D7" s="5" t="str">
        <f t="shared" ref="D7:AH7" si="0">LEFT(TEXT(D8&amp;"-"&amp;$C8&amp;"-"&amp; CurYear-1,"ddd"),2)</f>
        <v>Fr</v>
      </c>
      <c r="E7" s="5" t="str">
        <f t="shared" si="0"/>
        <v>Sa</v>
      </c>
      <c r="F7" s="5" t="str">
        <f t="shared" si="0"/>
        <v>Su</v>
      </c>
      <c r="G7" s="5" t="str">
        <f t="shared" si="0"/>
        <v>Mo</v>
      </c>
      <c r="H7" s="5" t="str">
        <f t="shared" si="0"/>
        <v>Tu</v>
      </c>
      <c r="I7" s="5" t="str">
        <f t="shared" si="0"/>
        <v>We</v>
      </c>
      <c r="J7" s="5" t="str">
        <f t="shared" si="0"/>
        <v>Th</v>
      </c>
      <c r="K7" s="5" t="str">
        <f t="shared" si="0"/>
        <v>Fr</v>
      </c>
      <c r="L7" s="5" t="str">
        <f t="shared" si="0"/>
        <v>Sa</v>
      </c>
      <c r="M7" s="5" t="str">
        <f t="shared" si="0"/>
        <v>Su</v>
      </c>
      <c r="N7" s="5" t="str">
        <f t="shared" si="0"/>
        <v>Mo</v>
      </c>
      <c r="O7" s="5" t="str">
        <f t="shared" si="0"/>
        <v>Tu</v>
      </c>
      <c r="P7" s="5" t="str">
        <f t="shared" si="0"/>
        <v>We</v>
      </c>
      <c r="Q7" s="5" t="str">
        <f t="shared" si="0"/>
        <v>Th</v>
      </c>
      <c r="R7" s="5" t="str">
        <f t="shared" si="0"/>
        <v>Fr</v>
      </c>
      <c r="S7" s="5" t="str">
        <f t="shared" si="0"/>
        <v>Sa</v>
      </c>
      <c r="T7" s="5" t="str">
        <f t="shared" si="0"/>
        <v>Su</v>
      </c>
      <c r="U7" s="5" t="str">
        <f t="shared" si="0"/>
        <v>Mo</v>
      </c>
      <c r="V7" s="5" t="str">
        <f t="shared" si="0"/>
        <v>Tu</v>
      </c>
      <c r="W7" s="5" t="str">
        <f t="shared" si="0"/>
        <v>We</v>
      </c>
      <c r="X7" s="5" t="str">
        <f t="shared" si="0"/>
        <v>Th</v>
      </c>
      <c r="Y7" s="5" t="str">
        <f t="shared" si="0"/>
        <v>Fr</v>
      </c>
      <c r="Z7" s="5" t="str">
        <f t="shared" si="0"/>
        <v>Sa</v>
      </c>
      <c r="AA7" s="5" t="str">
        <f t="shared" si="0"/>
        <v>Su</v>
      </c>
      <c r="AB7" s="5" t="str">
        <f t="shared" si="0"/>
        <v>Mo</v>
      </c>
      <c r="AC7" s="5" t="str">
        <f t="shared" si="0"/>
        <v>Tu</v>
      </c>
      <c r="AD7" s="5" t="str">
        <f t="shared" si="0"/>
        <v>We</v>
      </c>
      <c r="AE7" s="5" t="str">
        <f t="shared" si="0"/>
        <v>Th</v>
      </c>
      <c r="AF7" s="5" t="str">
        <f t="shared" si="0"/>
        <v>Fr</v>
      </c>
      <c r="AG7" s="5" t="str">
        <f t="shared" si="0"/>
        <v>Sa</v>
      </c>
      <c r="AH7" s="5" t="str">
        <f t="shared" si="0"/>
        <v>Su</v>
      </c>
    </row>
    <row r="8" spans="1:34">
      <c r="B8" s="91"/>
      <c r="C8" s="87" t="s">
        <v>19</v>
      </c>
      <c r="D8" s="88">
        <v>1</v>
      </c>
      <c r="E8" s="88">
        <v>2</v>
      </c>
      <c r="F8" s="88">
        <v>3</v>
      </c>
      <c r="G8" s="88">
        <v>4</v>
      </c>
      <c r="H8" s="88">
        <v>5</v>
      </c>
      <c r="I8" s="88">
        <v>6</v>
      </c>
      <c r="J8" s="88">
        <v>7</v>
      </c>
      <c r="K8" s="88">
        <v>8</v>
      </c>
      <c r="L8" s="88">
        <v>9</v>
      </c>
      <c r="M8" s="88">
        <v>10</v>
      </c>
      <c r="N8" s="88">
        <v>11</v>
      </c>
      <c r="O8" s="88">
        <v>12</v>
      </c>
      <c r="P8" s="88">
        <v>13</v>
      </c>
      <c r="Q8" s="88">
        <v>14</v>
      </c>
      <c r="R8" s="88">
        <v>15</v>
      </c>
      <c r="S8" s="88">
        <v>16</v>
      </c>
      <c r="T8" s="88">
        <v>17</v>
      </c>
      <c r="U8" s="88">
        <v>18</v>
      </c>
      <c r="V8" s="88">
        <v>19</v>
      </c>
      <c r="W8" s="88">
        <v>20</v>
      </c>
      <c r="X8" s="88">
        <v>21</v>
      </c>
      <c r="Y8" s="88">
        <v>22</v>
      </c>
      <c r="Z8" s="88">
        <v>23</v>
      </c>
      <c r="AA8" s="88">
        <v>24</v>
      </c>
      <c r="AB8" s="88">
        <v>25</v>
      </c>
      <c r="AC8" s="88">
        <v>26</v>
      </c>
      <c r="AD8" s="88">
        <v>27</v>
      </c>
      <c r="AE8" s="88">
        <v>28</v>
      </c>
      <c r="AF8" s="88">
        <v>29</v>
      </c>
      <c r="AG8" s="88">
        <v>30</v>
      </c>
      <c r="AH8" s="88">
        <v>31</v>
      </c>
    </row>
    <row r="9" spans="1:34">
      <c r="B9" s="88">
        <v>1</v>
      </c>
      <c r="C9" s="92" t="str">
        <f>LEFT(EmpGName01)&amp;" " &amp; EmpSName01</f>
        <v>L Marampon</v>
      </c>
      <c r="D9" s="4" t="s">
        <v>14</v>
      </c>
      <c r="E9" s="4"/>
      <c r="F9" s="4"/>
      <c r="G9" s="4" t="s">
        <v>9</v>
      </c>
      <c r="H9" s="4" t="s">
        <v>9</v>
      </c>
      <c r="I9" s="4" t="s">
        <v>9</v>
      </c>
      <c r="J9" s="4" t="s">
        <v>9</v>
      </c>
      <c r="K9" s="4" t="s">
        <v>71</v>
      </c>
      <c r="L9" s="4"/>
      <c r="M9" s="4"/>
      <c r="N9" s="4" t="s">
        <v>41</v>
      </c>
      <c r="O9" s="4" t="s">
        <v>9</v>
      </c>
      <c r="P9" s="4" t="s">
        <v>9</v>
      </c>
      <c r="Q9" s="4" t="s">
        <v>9</v>
      </c>
      <c r="R9" s="4" t="s">
        <v>71</v>
      </c>
      <c r="S9" s="4"/>
      <c r="T9" s="4"/>
      <c r="U9" s="4" t="s">
        <v>9</v>
      </c>
      <c r="V9" s="4" t="s">
        <v>9</v>
      </c>
      <c r="W9" s="4" t="s">
        <v>9</v>
      </c>
      <c r="X9" s="4" t="s">
        <v>42</v>
      </c>
      <c r="Y9" s="4" t="s">
        <v>42</v>
      </c>
      <c r="Z9" s="4"/>
      <c r="AA9" s="4"/>
      <c r="AB9" s="4" t="s">
        <v>9</v>
      </c>
      <c r="AC9" s="4" t="s">
        <v>9</v>
      </c>
      <c r="AD9" s="4" t="s">
        <v>9</v>
      </c>
      <c r="AE9" s="4" t="s">
        <v>9</v>
      </c>
      <c r="AF9" s="4" t="s">
        <v>42</v>
      </c>
      <c r="AG9" s="4"/>
      <c r="AH9" s="4"/>
    </row>
    <row r="10" spans="1:34">
      <c r="B10" s="88">
        <v>2</v>
      </c>
      <c r="C10" s="93" t="str">
        <f>LEFT(EmpGName02)&amp;" " &amp;EmpSName02</f>
        <v>K Stone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</row>
    <row r="11" spans="1:34">
      <c r="B11" s="88">
        <v>3</v>
      </c>
      <c r="C11" s="92" t="str">
        <f>LEFT(EmpGName03)&amp;" " &amp;EmpSName03</f>
        <v>I Thelning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71</v>
      </c>
      <c r="AG11" s="4"/>
      <c r="AH11" s="4"/>
    </row>
    <row r="12" spans="1:34">
      <c r="B12" s="88">
        <v>4</v>
      </c>
      <c r="C12" s="93" t="str">
        <f>LEFT(EmpGName04)&amp;" " &amp;EmpSName04</f>
        <v>L King</v>
      </c>
      <c r="D12" s="3"/>
      <c r="E12" s="3"/>
      <c r="F12" s="3" t="s">
        <v>71</v>
      </c>
      <c r="G12" s="3" t="s">
        <v>71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 t="s">
        <v>71</v>
      </c>
      <c r="AG12" s="3"/>
      <c r="AH12" s="3"/>
    </row>
    <row r="13" spans="1:34">
      <c r="B13" s="88">
        <v>5</v>
      </c>
      <c r="C13" s="92" t="str">
        <f>LEFT(EmpGName05)&amp;" " &amp;EmpSName05</f>
        <v>D Castle</v>
      </c>
      <c r="D13" s="4"/>
      <c r="E13" s="4"/>
      <c r="F13" s="4" t="s">
        <v>71</v>
      </c>
      <c r="G13" s="4" t="s">
        <v>71</v>
      </c>
      <c r="H13" s="4"/>
      <c r="I13" s="4"/>
      <c r="J13" s="4"/>
      <c r="K13" s="4"/>
      <c r="L13" s="4"/>
      <c r="M13" s="4"/>
      <c r="N13" s="4"/>
      <c r="O13" s="4"/>
      <c r="P13" s="4"/>
      <c r="Q13" s="4" t="s">
        <v>71</v>
      </c>
      <c r="R13" s="4" t="s">
        <v>71</v>
      </c>
      <c r="S13" s="4" t="s">
        <v>71</v>
      </c>
      <c r="T13" s="4" t="s">
        <v>71</v>
      </c>
      <c r="U13" s="4"/>
      <c r="V13" s="4"/>
      <c r="W13" s="4"/>
      <c r="X13" s="4"/>
      <c r="Y13" s="4" t="s">
        <v>71</v>
      </c>
      <c r="Z13" s="4"/>
      <c r="AA13" s="4"/>
      <c r="AB13" s="4"/>
      <c r="AC13" s="4"/>
      <c r="AD13" s="4"/>
      <c r="AE13" s="4"/>
      <c r="AF13" s="4" t="s">
        <v>71</v>
      </c>
      <c r="AG13" s="4" t="s">
        <v>71</v>
      </c>
      <c r="AH13" s="4"/>
    </row>
    <row r="14" spans="1:34">
      <c r="B14" s="88">
        <v>6</v>
      </c>
      <c r="C14" s="93" t="s">
        <v>57</v>
      </c>
      <c r="D14" s="3"/>
      <c r="E14" s="3"/>
      <c r="F14" s="3"/>
      <c r="G14" s="3"/>
      <c r="H14" s="3"/>
      <c r="I14" s="3"/>
      <c r="J14" s="3"/>
      <c r="K14" s="3"/>
      <c r="L14" s="3" t="s">
        <v>71</v>
      </c>
      <c r="M14" s="3"/>
      <c r="N14" s="3"/>
      <c r="O14" s="3"/>
      <c r="P14" s="3"/>
      <c r="Q14" s="3" t="s">
        <v>71</v>
      </c>
      <c r="R14" s="3" t="s">
        <v>71</v>
      </c>
      <c r="S14" s="3" t="s">
        <v>71</v>
      </c>
      <c r="T14" s="3" t="s">
        <v>71</v>
      </c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 t="s">
        <v>71</v>
      </c>
      <c r="AG14" s="3" t="s">
        <v>71</v>
      </c>
      <c r="AH14" s="3"/>
    </row>
    <row r="15" spans="1:34">
      <c r="B15" s="88">
        <v>7</v>
      </c>
      <c r="C15" s="92" t="str">
        <f>LEFT(EmpGName07)&amp;" " &amp;EmpSName07</f>
        <v>R Fielding</v>
      </c>
      <c r="D15" s="4"/>
      <c r="E15" s="4"/>
      <c r="F15" s="4" t="s">
        <v>71</v>
      </c>
      <c r="G15" s="4" t="s">
        <v>71</v>
      </c>
      <c r="H15" s="4" t="s">
        <v>71</v>
      </c>
      <c r="I15" s="4"/>
      <c r="J15" s="4"/>
      <c r="K15" s="4"/>
      <c r="L15" s="4"/>
      <c r="M15" s="4"/>
      <c r="N15" s="4"/>
      <c r="O15" s="4"/>
      <c r="P15" s="4"/>
      <c r="Q15" s="4" t="s">
        <v>71</v>
      </c>
      <c r="R15" s="4" t="s">
        <v>71</v>
      </c>
      <c r="S15" s="4" t="s">
        <v>71</v>
      </c>
      <c r="T15" s="4" t="s">
        <v>71</v>
      </c>
      <c r="U15" s="4"/>
      <c r="V15" s="4"/>
      <c r="W15" s="4" t="s">
        <v>71</v>
      </c>
      <c r="X15" s="4" t="s">
        <v>71</v>
      </c>
      <c r="Y15" s="4"/>
      <c r="Z15" s="4"/>
      <c r="AA15" s="4"/>
      <c r="AB15" s="4"/>
      <c r="AC15" s="4"/>
      <c r="AD15" s="4"/>
      <c r="AE15" s="4"/>
      <c r="AF15" s="4" t="s">
        <v>71</v>
      </c>
      <c r="AG15" s="4" t="s">
        <v>71</v>
      </c>
      <c r="AH15" s="4"/>
    </row>
    <row r="16" spans="1:34">
      <c r="B16" s="88">
        <v>8</v>
      </c>
      <c r="C16" s="93" t="str">
        <f>LEFT(EmpGName08)&amp;" " &amp;EmpSName08</f>
        <v>F Flannery</v>
      </c>
      <c r="D16" s="3"/>
      <c r="E16" s="3"/>
      <c r="F16" s="3" t="s">
        <v>71</v>
      </c>
      <c r="G16" s="3" t="s">
        <v>71</v>
      </c>
      <c r="H16" s="3" t="s">
        <v>71</v>
      </c>
      <c r="I16" s="3"/>
      <c r="J16" s="3"/>
      <c r="K16" s="3"/>
      <c r="L16" s="3"/>
      <c r="M16" s="3"/>
      <c r="N16" s="3"/>
      <c r="O16" s="3"/>
      <c r="P16" s="3"/>
      <c r="Q16" s="3" t="s">
        <v>71</v>
      </c>
      <c r="R16" s="3" t="s">
        <v>71</v>
      </c>
      <c r="S16" s="3" t="s">
        <v>71</v>
      </c>
      <c r="T16" s="3" t="s">
        <v>71</v>
      </c>
      <c r="U16" s="3"/>
      <c r="V16" s="3"/>
      <c r="W16" s="3" t="s">
        <v>71</v>
      </c>
      <c r="X16" s="3" t="s">
        <v>71</v>
      </c>
      <c r="Y16" s="3"/>
      <c r="Z16" s="3"/>
      <c r="AA16" s="3"/>
      <c r="AB16" s="3"/>
      <c r="AC16" s="3" t="s">
        <v>71</v>
      </c>
      <c r="AD16" s="3" t="s">
        <v>71</v>
      </c>
      <c r="AE16" s="3"/>
      <c r="AF16" s="3" t="s">
        <v>71</v>
      </c>
      <c r="AG16" s="3" t="s">
        <v>71</v>
      </c>
      <c r="AH16" s="3"/>
    </row>
    <row r="17" spans="2:34">
      <c r="B17" s="88">
        <v>9</v>
      </c>
      <c r="C17" s="92" t="str">
        <f>LEFT(EmpGName09)&amp;" " &amp;EmpSName09</f>
        <v>P Hogan</v>
      </c>
      <c r="D17" s="4"/>
      <c r="E17" s="4"/>
      <c r="F17" s="4" t="s">
        <v>71</v>
      </c>
      <c r="G17" s="4" t="s">
        <v>71</v>
      </c>
      <c r="H17" s="4" t="s">
        <v>71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71</v>
      </c>
      <c r="AG17" s="4" t="s">
        <v>71</v>
      </c>
      <c r="AH17" s="4"/>
    </row>
    <row r="18" spans="2:34">
      <c r="B18" s="167">
        <v>10</v>
      </c>
      <c r="C18" s="93" t="str">
        <f>LEFT(EmpGName10)&amp;" " &amp;EmpSName10</f>
        <v>J Stretton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 t="s">
        <v>71</v>
      </c>
      <c r="AG18" s="3" t="s">
        <v>71</v>
      </c>
      <c r="AH18" s="3"/>
    </row>
    <row r="19" spans="2:34">
      <c r="B19" s="167">
        <v>11</v>
      </c>
      <c r="C19" s="92" t="str">
        <f>LEFT(EmpGName11)&amp;" " &amp;EmpSName11</f>
        <v>M Rowe</v>
      </c>
      <c r="D19" s="4"/>
      <c r="E19" s="4"/>
      <c r="F19" s="4"/>
      <c r="G19" s="4"/>
      <c r="H19" s="4"/>
      <c r="I19" s="4"/>
      <c r="J19" s="4"/>
      <c r="K19" s="4" t="s">
        <v>71</v>
      </c>
      <c r="L19" s="4" t="s">
        <v>71</v>
      </c>
      <c r="M19" s="4" t="s">
        <v>71</v>
      </c>
      <c r="N19" s="4" t="s">
        <v>71</v>
      </c>
      <c r="O19" s="4"/>
      <c r="P19" s="4"/>
      <c r="Q19" s="4"/>
      <c r="R19" s="4"/>
      <c r="S19" s="4"/>
      <c r="T19" s="4"/>
      <c r="U19" s="4" t="s">
        <v>71</v>
      </c>
      <c r="V19" s="4" t="s">
        <v>71</v>
      </c>
      <c r="W19" s="4" t="s">
        <v>71</v>
      </c>
      <c r="X19" s="4" t="s">
        <v>71</v>
      </c>
      <c r="Y19" s="4"/>
      <c r="Z19" s="4"/>
      <c r="AA19" s="4"/>
      <c r="AB19" s="4"/>
      <c r="AC19" s="4" t="s">
        <v>71</v>
      </c>
      <c r="AD19" s="4" t="s">
        <v>71</v>
      </c>
      <c r="AE19" s="4"/>
      <c r="AF19" s="4"/>
      <c r="AG19" s="4"/>
      <c r="AH19" s="4"/>
    </row>
    <row r="20" spans="2:34">
      <c r="B20" s="167">
        <v>12</v>
      </c>
      <c r="C20" s="93" t="str">
        <f>LEFT(EmpGName12)&amp;" " &amp;EmpSName12</f>
        <v>J Stevens</v>
      </c>
      <c r="D20" s="3"/>
      <c r="E20" s="3"/>
      <c r="F20" s="3"/>
      <c r="G20" s="3"/>
      <c r="H20" s="3"/>
      <c r="I20" s="3"/>
      <c r="J20" s="3"/>
      <c r="K20" s="3" t="s">
        <v>71</v>
      </c>
      <c r="L20" s="3" t="s">
        <v>71</v>
      </c>
      <c r="M20" s="3" t="s">
        <v>71</v>
      </c>
      <c r="N20" s="3" t="s">
        <v>71</v>
      </c>
      <c r="O20" s="3"/>
      <c r="P20" s="3"/>
      <c r="Q20" s="3"/>
      <c r="R20" s="3"/>
      <c r="S20" s="3"/>
      <c r="T20" s="3"/>
      <c r="U20" s="3" t="s">
        <v>71</v>
      </c>
      <c r="V20" s="3" t="s">
        <v>71</v>
      </c>
      <c r="W20" s="3" t="s">
        <v>71</v>
      </c>
      <c r="X20" s="3" t="s">
        <v>71</v>
      </c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2" spans="2:34" s="6" customFormat="1">
      <c r="B22"/>
      <c r="C22" t="str">
        <f>CurYear-1&amp;":"</f>
        <v>2016:</v>
      </c>
      <c r="D22" s="5" t="str">
        <f t="shared" ref="D22:AH22" si="1">LEFT(TEXT(D23&amp;"-"&amp;$C23&amp;"-"&amp; CurYear-1,"ddd"),2)</f>
        <v>Mo</v>
      </c>
      <c r="E22" s="5" t="str">
        <f t="shared" si="1"/>
        <v>Tu</v>
      </c>
      <c r="F22" s="5" t="str">
        <f t="shared" si="1"/>
        <v>We</v>
      </c>
      <c r="G22" s="5" t="str">
        <f t="shared" si="1"/>
        <v>Th</v>
      </c>
      <c r="H22" s="5" t="str">
        <f t="shared" si="1"/>
        <v>Fr</v>
      </c>
      <c r="I22" s="5" t="str">
        <f t="shared" si="1"/>
        <v>Sa</v>
      </c>
      <c r="J22" s="5" t="str">
        <f t="shared" si="1"/>
        <v>Su</v>
      </c>
      <c r="K22" s="5" t="str">
        <f t="shared" si="1"/>
        <v>Mo</v>
      </c>
      <c r="L22" s="5" t="str">
        <f t="shared" si="1"/>
        <v>Tu</v>
      </c>
      <c r="M22" s="5" t="str">
        <f t="shared" si="1"/>
        <v>We</v>
      </c>
      <c r="N22" s="5" t="str">
        <f t="shared" si="1"/>
        <v>Th</v>
      </c>
      <c r="O22" s="5" t="str">
        <f t="shared" si="1"/>
        <v>Fr</v>
      </c>
      <c r="P22" s="5" t="str">
        <f t="shared" si="1"/>
        <v>Sa</v>
      </c>
      <c r="Q22" s="5" t="str">
        <f t="shared" si="1"/>
        <v>Su</v>
      </c>
      <c r="R22" s="5" t="str">
        <f t="shared" si="1"/>
        <v>Mo</v>
      </c>
      <c r="S22" s="5" t="str">
        <f t="shared" si="1"/>
        <v>Tu</v>
      </c>
      <c r="T22" s="5" t="str">
        <f t="shared" si="1"/>
        <v>We</v>
      </c>
      <c r="U22" s="5" t="str">
        <f t="shared" si="1"/>
        <v>Th</v>
      </c>
      <c r="V22" s="5" t="str">
        <f t="shared" si="1"/>
        <v>Fr</v>
      </c>
      <c r="W22" s="5" t="str">
        <f t="shared" si="1"/>
        <v>Sa</v>
      </c>
      <c r="X22" s="5" t="str">
        <f t="shared" si="1"/>
        <v>Su</v>
      </c>
      <c r="Y22" s="5" t="str">
        <f t="shared" si="1"/>
        <v>Mo</v>
      </c>
      <c r="Z22" s="5" t="str">
        <f t="shared" si="1"/>
        <v>Tu</v>
      </c>
      <c r="AA22" s="5" t="str">
        <f t="shared" si="1"/>
        <v>We</v>
      </c>
      <c r="AB22" s="5" t="str">
        <f t="shared" si="1"/>
        <v>Th</v>
      </c>
      <c r="AC22" s="5" t="str">
        <f t="shared" si="1"/>
        <v>Fr</v>
      </c>
      <c r="AD22" s="5" t="str">
        <f t="shared" si="1"/>
        <v>Sa</v>
      </c>
      <c r="AE22" s="5" t="str">
        <f t="shared" si="1"/>
        <v>Su</v>
      </c>
      <c r="AF22" s="5" t="str">
        <f t="shared" si="1"/>
        <v>Mo</v>
      </c>
      <c r="AG22" s="5" t="str">
        <f t="shared" si="1"/>
        <v>Tu</v>
      </c>
      <c r="AH22" s="5" t="str">
        <f t="shared" si="1"/>
        <v>We</v>
      </c>
    </row>
    <row r="23" spans="2:34">
      <c r="B23" s="91"/>
      <c r="C23" s="87" t="s">
        <v>20</v>
      </c>
      <c r="D23" s="88">
        <v>1</v>
      </c>
      <c r="E23" s="88">
        <v>2</v>
      </c>
      <c r="F23" s="88">
        <v>3</v>
      </c>
      <c r="G23" s="88">
        <v>4</v>
      </c>
      <c r="H23" s="88">
        <v>5</v>
      </c>
      <c r="I23" s="88">
        <v>6</v>
      </c>
      <c r="J23" s="88">
        <v>7</v>
      </c>
      <c r="K23" s="88">
        <v>8</v>
      </c>
      <c r="L23" s="88">
        <v>9</v>
      </c>
      <c r="M23" s="88">
        <v>10</v>
      </c>
      <c r="N23" s="88">
        <v>11</v>
      </c>
      <c r="O23" s="88">
        <v>12</v>
      </c>
      <c r="P23" s="88">
        <v>13</v>
      </c>
      <c r="Q23" s="88">
        <v>14</v>
      </c>
      <c r="R23" s="88">
        <v>15</v>
      </c>
      <c r="S23" s="88">
        <v>16</v>
      </c>
      <c r="T23" s="88">
        <v>17</v>
      </c>
      <c r="U23" s="88">
        <v>18</v>
      </c>
      <c r="V23" s="88">
        <v>19</v>
      </c>
      <c r="W23" s="88">
        <v>20</v>
      </c>
      <c r="X23" s="88">
        <v>21</v>
      </c>
      <c r="Y23" s="88">
        <v>22</v>
      </c>
      <c r="Z23" s="88">
        <v>23</v>
      </c>
      <c r="AA23" s="88">
        <v>24</v>
      </c>
      <c r="AB23" s="88">
        <v>25</v>
      </c>
      <c r="AC23" s="88">
        <v>26</v>
      </c>
      <c r="AD23" s="88">
        <v>27</v>
      </c>
      <c r="AE23" s="88">
        <v>28</v>
      </c>
      <c r="AF23" s="88">
        <v>29</v>
      </c>
      <c r="AG23" s="88">
        <v>30</v>
      </c>
      <c r="AH23" s="88">
        <v>31</v>
      </c>
    </row>
    <row r="24" spans="2:34">
      <c r="B24" s="88">
        <v>1</v>
      </c>
      <c r="C24" s="92" t="str">
        <f>LEFT(EmpGName01)&amp;" " &amp; EmpSName01</f>
        <v>L Marampon</v>
      </c>
      <c r="D24" s="4" t="s">
        <v>42</v>
      </c>
      <c r="E24" s="4" t="s">
        <v>9</v>
      </c>
      <c r="F24" s="4" t="s">
        <v>9</v>
      </c>
      <c r="G24" s="4" t="s">
        <v>9</v>
      </c>
      <c r="H24" s="4" t="s">
        <v>42</v>
      </c>
      <c r="I24" s="4"/>
      <c r="J24" s="4"/>
      <c r="K24" s="4" t="s">
        <v>42</v>
      </c>
      <c r="L24" s="4" t="s">
        <v>42</v>
      </c>
      <c r="M24" s="4" t="s">
        <v>42</v>
      </c>
      <c r="N24" s="4" t="s">
        <v>9</v>
      </c>
      <c r="O24" s="4" t="s">
        <v>9</v>
      </c>
      <c r="P24" s="4"/>
      <c r="Q24" s="4"/>
      <c r="R24" s="4" t="s">
        <v>9</v>
      </c>
      <c r="S24" s="4" t="s">
        <v>9</v>
      </c>
      <c r="T24" s="4" t="s">
        <v>9</v>
      </c>
      <c r="U24" s="4" t="s">
        <v>9</v>
      </c>
      <c r="V24" s="4" t="s">
        <v>9</v>
      </c>
      <c r="W24" s="4"/>
      <c r="X24" s="4"/>
      <c r="Y24" s="4" t="s">
        <v>41</v>
      </c>
      <c r="Z24" s="4" t="s">
        <v>9</v>
      </c>
      <c r="AA24" s="4" t="s">
        <v>9</v>
      </c>
      <c r="AB24" s="4" t="s">
        <v>9</v>
      </c>
      <c r="AC24" s="4" t="s">
        <v>9</v>
      </c>
      <c r="AD24" s="4"/>
      <c r="AE24" s="4"/>
      <c r="AF24" s="4" t="s">
        <v>9</v>
      </c>
      <c r="AG24" s="4" t="s">
        <v>9</v>
      </c>
      <c r="AH24" s="4" t="s">
        <v>9</v>
      </c>
    </row>
    <row r="25" spans="2:34">
      <c r="B25" s="88">
        <v>2</v>
      </c>
      <c r="C25" s="93" t="str">
        <f>LEFT(EmpGName02)&amp;" " &amp;EmpSName02</f>
        <v>K Stone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6" spans="2:34">
      <c r="B26" s="88">
        <v>3</v>
      </c>
      <c r="C26" s="92" t="str">
        <f>LEFT(EmpGName03)&amp;" " &amp;EmpSName03</f>
        <v>I Thelning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</row>
    <row r="27" spans="2:34">
      <c r="B27" s="88">
        <v>4</v>
      </c>
      <c r="C27" s="93" t="str">
        <f>LEFT(EmpGName04)&amp;" " &amp;EmpSName04</f>
        <v>L King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</row>
    <row r="28" spans="2:34">
      <c r="B28" s="88">
        <v>5</v>
      </c>
      <c r="C28" s="92" t="str">
        <f>LEFT(EmpGName05)&amp;" " &amp;EmpSName05</f>
        <v>D Castle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</row>
    <row r="29" spans="2:34">
      <c r="B29" s="88">
        <v>6</v>
      </c>
      <c r="C29" s="93" t="str">
        <f>LEFT(EmpGName06)&amp;" " &amp;EmpSName06</f>
        <v>T Sorensen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</row>
    <row r="30" spans="2:34">
      <c r="B30" s="88">
        <v>7</v>
      </c>
      <c r="C30" s="92" t="str">
        <f>LEFT(EmpGName07)&amp;" " &amp;EmpSName07</f>
        <v>R Fielding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</row>
    <row r="31" spans="2:34">
      <c r="B31" s="88">
        <v>8</v>
      </c>
      <c r="C31" s="93" t="str">
        <f>LEFT(EmpGName08)&amp;" " &amp;EmpSName08</f>
        <v>F Flannery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</row>
    <row r="32" spans="2:34">
      <c r="B32" s="88">
        <v>9</v>
      </c>
      <c r="C32" s="92" t="str">
        <f>LEFT(EmpGName09)&amp;" " &amp;EmpSName09</f>
        <v>P Hogan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</row>
    <row r="33" spans="2:34">
      <c r="B33" s="167">
        <v>10</v>
      </c>
      <c r="C33" s="93" t="str">
        <f>LEFT(EmpGName10)&amp;" " &amp;EmpSName10</f>
        <v>J Stretton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</row>
    <row r="34" spans="2:34">
      <c r="B34" s="167">
        <v>11</v>
      </c>
      <c r="C34" s="92" t="str">
        <f>LEFT(EmpGName11)&amp;" " &amp;EmpSName11</f>
        <v>M Rowe</v>
      </c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</row>
    <row r="35" spans="2:34">
      <c r="B35" s="167">
        <v>12</v>
      </c>
      <c r="C35" s="93" t="str">
        <f>LEFT(EmpGName12)&amp;" " &amp;EmpSName12</f>
        <v>J Stevens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</row>
    <row r="37" spans="2:34" s="9" customFormat="1">
      <c r="B37"/>
      <c r="C37" t="str">
        <f>CurYear-1&amp;":"</f>
        <v>2016:</v>
      </c>
      <c r="D37" s="5" t="str">
        <f t="shared" ref="D37:AG37" si="2">LEFT(TEXT(D38&amp;"-"&amp;$C38&amp;"-"&amp; CurYear-1,"ddd"),2)</f>
        <v>Th</v>
      </c>
      <c r="E37" s="5" t="str">
        <f t="shared" si="2"/>
        <v>Fr</v>
      </c>
      <c r="F37" s="5" t="str">
        <f t="shared" si="2"/>
        <v>Sa</v>
      </c>
      <c r="G37" s="5" t="str">
        <f t="shared" si="2"/>
        <v>Su</v>
      </c>
      <c r="H37" s="5" t="str">
        <f t="shared" si="2"/>
        <v>Mo</v>
      </c>
      <c r="I37" s="5" t="str">
        <f t="shared" si="2"/>
        <v>Tu</v>
      </c>
      <c r="J37" s="5" t="str">
        <f t="shared" si="2"/>
        <v>We</v>
      </c>
      <c r="K37" s="5" t="str">
        <f t="shared" si="2"/>
        <v>Th</v>
      </c>
      <c r="L37" s="5" t="str">
        <f t="shared" si="2"/>
        <v>Fr</v>
      </c>
      <c r="M37" s="5" t="str">
        <f t="shared" si="2"/>
        <v>Sa</v>
      </c>
      <c r="N37" s="5" t="str">
        <f t="shared" si="2"/>
        <v>Su</v>
      </c>
      <c r="O37" s="5" t="str">
        <f t="shared" si="2"/>
        <v>Mo</v>
      </c>
      <c r="P37" s="5" t="str">
        <f t="shared" si="2"/>
        <v>Tu</v>
      </c>
      <c r="Q37" s="5" t="str">
        <f t="shared" si="2"/>
        <v>We</v>
      </c>
      <c r="R37" s="5" t="str">
        <f t="shared" si="2"/>
        <v>Th</v>
      </c>
      <c r="S37" s="5" t="str">
        <f t="shared" si="2"/>
        <v>Fr</v>
      </c>
      <c r="T37" s="5" t="str">
        <f t="shared" si="2"/>
        <v>Sa</v>
      </c>
      <c r="U37" s="5" t="str">
        <f t="shared" si="2"/>
        <v>Su</v>
      </c>
      <c r="V37" s="5" t="str">
        <f t="shared" si="2"/>
        <v>Mo</v>
      </c>
      <c r="W37" s="5" t="str">
        <f t="shared" si="2"/>
        <v>Tu</v>
      </c>
      <c r="X37" s="5" t="str">
        <f t="shared" si="2"/>
        <v>We</v>
      </c>
      <c r="Y37" s="5" t="str">
        <f t="shared" si="2"/>
        <v>Th</v>
      </c>
      <c r="Z37" s="5" t="str">
        <f t="shared" si="2"/>
        <v>Fr</v>
      </c>
      <c r="AA37" s="5" t="str">
        <f t="shared" si="2"/>
        <v>Sa</v>
      </c>
      <c r="AB37" s="5" t="str">
        <f t="shared" si="2"/>
        <v>Su</v>
      </c>
      <c r="AC37" s="5" t="str">
        <f t="shared" si="2"/>
        <v>Mo</v>
      </c>
      <c r="AD37" s="5" t="str">
        <f t="shared" si="2"/>
        <v>Tu</v>
      </c>
      <c r="AE37" s="5" t="str">
        <f t="shared" si="2"/>
        <v>We</v>
      </c>
      <c r="AF37" s="5" t="str">
        <f t="shared" si="2"/>
        <v>Th</v>
      </c>
      <c r="AG37" s="5" t="str">
        <f t="shared" si="2"/>
        <v>Fr</v>
      </c>
      <c r="AH37" s="5"/>
    </row>
    <row r="38" spans="2:34">
      <c r="B38" s="91"/>
      <c r="C38" s="87" t="s">
        <v>21</v>
      </c>
      <c r="D38" s="88">
        <v>1</v>
      </c>
      <c r="E38" s="88">
        <v>2</v>
      </c>
      <c r="F38" s="88">
        <v>3</v>
      </c>
      <c r="G38" s="88">
        <v>4</v>
      </c>
      <c r="H38" s="88">
        <v>5</v>
      </c>
      <c r="I38" s="88">
        <v>6</v>
      </c>
      <c r="J38" s="88">
        <v>7</v>
      </c>
      <c r="K38" s="88">
        <v>8</v>
      </c>
      <c r="L38" s="88">
        <v>9</v>
      </c>
      <c r="M38" s="88">
        <v>10</v>
      </c>
      <c r="N38" s="88">
        <v>11</v>
      </c>
      <c r="O38" s="88">
        <v>12</v>
      </c>
      <c r="P38" s="88">
        <v>13</v>
      </c>
      <c r="Q38" s="88">
        <v>14</v>
      </c>
      <c r="R38" s="88">
        <v>15</v>
      </c>
      <c r="S38" s="88">
        <v>16</v>
      </c>
      <c r="T38" s="88">
        <v>17</v>
      </c>
      <c r="U38" s="88">
        <v>18</v>
      </c>
      <c r="V38" s="88">
        <v>19</v>
      </c>
      <c r="W38" s="88">
        <v>20</v>
      </c>
      <c r="X38" s="88">
        <v>21</v>
      </c>
      <c r="Y38" s="88">
        <v>22</v>
      </c>
      <c r="Z38" s="88">
        <v>23</v>
      </c>
      <c r="AA38" s="88">
        <v>24</v>
      </c>
      <c r="AB38" s="88">
        <v>25</v>
      </c>
      <c r="AC38" s="88">
        <v>26</v>
      </c>
      <c r="AD38" s="88">
        <v>27</v>
      </c>
      <c r="AE38" s="88">
        <v>28</v>
      </c>
      <c r="AF38" s="88">
        <v>29</v>
      </c>
      <c r="AG38" s="88">
        <v>30</v>
      </c>
    </row>
    <row r="39" spans="2:34">
      <c r="B39" s="88">
        <v>1</v>
      </c>
      <c r="C39" s="92" t="str">
        <f>LEFT(EmpGName01)&amp;" " &amp; EmpSName01</f>
        <v>L Marampon</v>
      </c>
      <c r="D39" s="4" t="s">
        <v>9</v>
      </c>
      <c r="E39" s="4" t="s">
        <v>9</v>
      </c>
      <c r="F39" s="4" t="s">
        <v>9</v>
      </c>
      <c r="G39" s="4" t="s">
        <v>9</v>
      </c>
      <c r="H39" s="4" t="s">
        <v>14</v>
      </c>
      <c r="I39" s="4" t="s">
        <v>9</v>
      </c>
      <c r="J39" s="4"/>
      <c r="K39" s="4"/>
      <c r="L39" s="4" t="s">
        <v>10</v>
      </c>
      <c r="M39" s="4" t="s">
        <v>10</v>
      </c>
      <c r="N39" s="4" t="s">
        <v>10</v>
      </c>
      <c r="O39" s="4" t="s">
        <v>10</v>
      </c>
      <c r="P39" s="4" t="s">
        <v>9</v>
      </c>
      <c r="Q39" s="4"/>
      <c r="R39" s="4"/>
      <c r="S39" s="4" t="s">
        <v>9</v>
      </c>
      <c r="T39" s="4" t="s">
        <v>9</v>
      </c>
      <c r="U39" s="4" t="s">
        <v>9</v>
      </c>
      <c r="V39" s="4" t="s">
        <v>9</v>
      </c>
      <c r="W39" s="4" t="s">
        <v>9</v>
      </c>
      <c r="X39" s="4"/>
      <c r="Y39" s="4"/>
      <c r="Z39" s="4" t="s">
        <v>10</v>
      </c>
      <c r="AA39" s="4" t="s">
        <v>10</v>
      </c>
      <c r="AB39" s="4" t="s">
        <v>10</v>
      </c>
      <c r="AC39" s="4" t="s">
        <v>10</v>
      </c>
      <c r="AD39" s="4" t="s">
        <v>9</v>
      </c>
      <c r="AE39" s="4"/>
      <c r="AF39" s="4"/>
      <c r="AG39" s="4" t="s">
        <v>14</v>
      </c>
    </row>
    <row r="40" spans="2:34">
      <c r="B40" s="88">
        <v>2</v>
      </c>
      <c r="C40" s="93" t="str">
        <f>LEFT(EmpGName02)&amp;" " &amp;EmpSName02</f>
        <v>K Stone</v>
      </c>
      <c r="D40" s="3" t="s">
        <v>9</v>
      </c>
      <c r="E40" s="3"/>
      <c r="F40" s="3"/>
      <c r="G40" s="3" t="s">
        <v>10</v>
      </c>
      <c r="H40" s="3" t="s">
        <v>10</v>
      </c>
      <c r="I40" s="3" t="s">
        <v>10</v>
      </c>
      <c r="J40" s="3" t="s">
        <v>10</v>
      </c>
      <c r="K40" s="3" t="s">
        <v>10</v>
      </c>
      <c r="L40" s="3"/>
      <c r="M40" s="3"/>
      <c r="N40" s="3" t="s">
        <v>9</v>
      </c>
      <c r="O40" s="3" t="s">
        <v>9</v>
      </c>
      <c r="P40" s="3" t="s">
        <v>9</v>
      </c>
      <c r="Q40" s="3" t="s">
        <v>9</v>
      </c>
      <c r="R40" s="3" t="s">
        <v>9</v>
      </c>
      <c r="S40" s="3"/>
      <c r="T40" s="3"/>
      <c r="U40" s="3" t="s">
        <v>10</v>
      </c>
      <c r="V40" s="3" t="s">
        <v>10</v>
      </c>
      <c r="W40" s="3" t="s">
        <v>10</v>
      </c>
      <c r="X40" s="3" t="s">
        <v>10</v>
      </c>
      <c r="Y40" s="3" t="s">
        <v>14</v>
      </c>
      <c r="Z40" s="3"/>
      <c r="AA40" s="3"/>
      <c r="AB40" s="3" t="s">
        <v>9</v>
      </c>
      <c r="AC40" s="3" t="s">
        <v>9</v>
      </c>
      <c r="AD40" s="3" t="s">
        <v>9</v>
      </c>
      <c r="AE40" s="3" t="s">
        <v>9</v>
      </c>
      <c r="AF40" s="3" t="s">
        <v>9</v>
      </c>
      <c r="AG40" s="3"/>
    </row>
    <row r="41" spans="2:34">
      <c r="B41" s="88">
        <v>3</v>
      </c>
      <c r="C41" s="92" t="str">
        <f>LEFT(EmpGName03)&amp;" " &amp;EmpSName03</f>
        <v>I Thelning</v>
      </c>
      <c r="D41" s="4" t="s">
        <v>9</v>
      </c>
      <c r="E41" s="4" t="s">
        <v>10</v>
      </c>
      <c r="F41" s="4"/>
      <c r="G41" s="4"/>
      <c r="H41" s="4" t="s">
        <v>9</v>
      </c>
      <c r="I41" s="4" t="s">
        <v>53</v>
      </c>
      <c r="J41" s="4" t="s">
        <v>9</v>
      </c>
      <c r="K41" s="4" t="s">
        <v>9</v>
      </c>
      <c r="L41" s="4"/>
      <c r="M41" s="4"/>
      <c r="N41" s="4"/>
      <c r="O41" s="4"/>
      <c r="P41" s="4" t="s">
        <v>10</v>
      </c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2:34">
      <c r="B42" s="88">
        <v>4</v>
      </c>
      <c r="C42" s="93" t="str">
        <f>LEFT(EmpGName04)&amp;" " &amp;EmpSName04</f>
        <v>L King</v>
      </c>
      <c r="D42" s="3" t="s">
        <v>9</v>
      </c>
      <c r="E42" s="3"/>
      <c r="F42" s="3" t="s">
        <v>10</v>
      </c>
      <c r="G42" s="3"/>
      <c r="H42" s="3"/>
      <c r="I42" s="3" t="s">
        <v>9</v>
      </c>
      <c r="J42" s="3"/>
      <c r="K42" s="3"/>
      <c r="L42" s="3" t="s">
        <v>9</v>
      </c>
      <c r="M42" s="3" t="s">
        <v>9</v>
      </c>
      <c r="N42" s="3"/>
      <c r="O42" s="3"/>
      <c r="P42" s="3"/>
      <c r="Q42" s="3" t="s">
        <v>10</v>
      </c>
      <c r="R42" s="3" t="s">
        <v>10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4">
      <c r="B43" s="88">
        <v>5</v>
      </c>
      <c r="C43" s="92" t="str">
        <f>LEFT(EmpGName05)&amp;" " &amp;EmpSName05</f>
        <v>D Castle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2:34">
      <c r="B44" s="88">
        <v>6</v>
      </c>
      <c r="C44" s="93" t="str">
        <f>LEFT(EmpGName06)&amp;" " &amp;EmpSName06</f>
        <v>T Sorensen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4">
      <c r="B45" s="88">
        <v>7</v>
      </c>
      <c r="C45" s="92" t="str">
        <f>LEFT(EmpGName07)&amp;" " &amp;EmpSName07</f>
        <v>R Fielding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</row>
    <row r="46" spans="2:34">
      <c r="B46" s="88">
        <v>8</v>
      </c>
      <c r="C46" s="93" t="str">
        <f>LEFT(EmpGName08)&amp;" " &amp;EmpSName08</f>
        <v>F Flannery</v>
      </c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4">
      <c r="B47" s="88">
        <v>9</v>
      </c>
      <c r="C47" s="92" t="str">
        <f>LEFT(EmpGName09)&amp;" " &amp;EmpSName09</f>
        <v>P Hogan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2:34">
      <c r="B48" s="167">
        <v>10</v>
      </c>
      <c r="C48" s="93" t="str">
        <f>LEFT(EmpGName10)&amp;" " &amp;EmpSName10</f>
        <v>J Stretton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4" s="73" customFormat="1">
      <c r="B49" s="167">
        <v>11</v>
      </c>
      <c r="C49" s="92" t="str">
        <f>LEFT(EmpGName11)&amp;" " &amp;EmpSName11</f>
        <v>M Rowe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/>
    </row>
    <row r="50" spans="2:34">
      <c r="B50" s="167">
        <v>12</v>
      </c>
      <c r="C50" s="93" t="str">
        <f>LEFT(EmpGName12)&amp;" " &amp;EmpSName12</f>
        <v>J Stevens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2" spans="2:34">
      <c r="C52" t="str">
        <f>CurYear-1&amp;":"</f>
        <v>2016:</v>
      </c>
      <c r="D52" s="5" t="str">
        <f t="shared" ref="D52:AH52" si="3">LEFT(TEXT(D53&amp;"-"&amp;$C53&amp;"-"&amp; CurYear-1,"ddd"),2)</f>
        <v>Sa</v>
      </c>
      <c r="E52" s="5" t="str">
        <f t="shared" si="3"/>
        <v>Su</v>
      </c>
      <c r="F52" s="5" t="str">
        <f t="shared" si="3"/>
        <v>Mo</v>
      </c>
      <c r="G52" s="5" t="str">
        <f t="shared" si="3"/>
        <v>Tu</v>
      </c>
      <c r="H52" s="5" t="str">
        <f t="shared" si="3"/>
        <v>We</v>
      </c>
      <c r="I52" s="5" t="str">
        <f t="shared" si="3"/>
        <v>Th</v>
      </c>
      <c r="J52" s="5" t="str">
        <f t="shared" si="3"/>
        <v>Fr</v>
      </c>
      <c r="K52" s="5" t="str">
        <f t="shared" si="3"/>
        <v>Sa</v>
      </c>
      <c r="L52" s="5" t="str">
        <f t="shared" si="3"/>
        <v>Su</v>
      </c>
      <c r="M52" s="5" t="str">
        <f t="shared" si="3"/>
        <v>Mo</v>
      </c>
      <c r="N52" s="5" t="str">
        <f t="shared" si="3"/>
        <v>Tu</v>
      </c>
      <c r="O52" s="5" t="str">
        <f t="shared" si="3"/>
        <v>We</v>
      </c>
      <c r="P52" s="5" t="str">
        <f t="shared" si="3"/>
        <v>Th</v>
      </c>
      <c r="Q52" s="5" t="str">
        <f t="shared" si="3"/>
        <v>Fr</v>
      </c>
      <c r="R52" s="5" t="str">
        <f t="shared" si="3"/>
        <v>Sa</v>
      </c>
      <c r="S52" s="5" t="str">
        <f t="shared" si="3"/>
        <v>Su</v>
      </c>
      <c r="T52" s="5" t="str">
        <f t="shared" si="3"/>
        <v>Mo</v>
      </c>
      <c r="U52" s="5" t="str">
        <f t="shared" si="3"/>
        <v>Tu</v>
      </c>
      <c r="V52" s="5" t="str">
        <f t="shared" si="3"/>
        <v>We</v>
      </c>
      <c r="W52" s="5" t="str">
        <f t="shared" si="3"/>
        <v>Th</v>
      </c>
      <c r="X52" s="5" t="str">
        <f t="shared" si="3"/>
        <v>Fr</v>
      </c>
      <c r="Y52" s="5" t="str">
        <f t="shared" si="3"/>
        <v>Sa</v>
      </c>
      <c r="Z52" s="5" t="str">
        <f t="shared" si="3"/>
        <v>Su</v>
      </c>
      <c r="AA52" s="5" t="str">
        <f t="shared" si="3"/>
        <v>Mo</v>
      </c>
      <c r="AB52" s="5" t="str">
        <f t="shared" si="3"/>
        <v>Tu</v>
      </c>
      <c r="AC52" s="5" t="str">
        <f t="shared" si="3"/>
        <v>We</v>
      </c>
      <c r="AD52" s="5" t="str">
        <f t="shared" si="3"/>
        <v>Th</v>
      </c>
      <c r="AE52" s="5" t="str">
        <f t="shared" si="3"/>
        <v>Fr</v>
      </c>
      <c r="AF52" s="5" t="str">
        <f t="shared" si="3"/>
        <v>Sa</v>
      </c>
      <c r="AG52" s="5" t="str">
        <f t="shared" si="3"/>
        <v>Su</v>
      </c>
      <c r="AH52" s="5" t="str">
        <f t="shared" si="3"/>
        <v>Mo</v>
      </c>
    </row>
    <row r="53" spans="2:34">
      <c r="B53" s="91"/>
      <c r="C53" s="87" t="s">
        <v>22</v>
      </c>
      <c r="D53" s="88">
        <v>1</v>
      </c>
      <c r="E53" s="88">
        <v>2</v>
      </c>
      <c r="F53" s="88">
        <v>3</v>
      </c>
      <c r="G53" s="88">
        <v>4</v>
      </c>
      <c r="H53" s="88">
        <v>5</v>
      </c>
      <c r="I53" s="88">
        <v>6</v>
      </c>
      <c r="J53" s="88">
        <v>7</v>
      </c>
      <c r="K53" s="88">
        <v>8</v>
      </c>
      <c r="L53" s="88">
        <v>9</v>
      </c>
      <c r="M53" s="88">
        <v>10</v>
      </c>
      <c r="N53" s="88">
        <v>11</v>
      </c>
      <c r="O53" s="88">
        <v>12</v>
      </c>
      <c r="P53" s="88">
        <v>13</v>
      </c>
      <c r="Q53" s="88">
        <v>14</v>
      </c>
      <c r="R53" s="88">
        <v>15</v>
      </c>
      <c r="S53" s="88">
        <v>16</v>
      </c>
      <c r="T53" s="88">
        <v>17</v>
      </c>
      <c r="U53" s="88">
        <v>18</v>
      </c>
      <c r="V53" s="88">
        <v>19</v>
      </c>
      <c r="W53" s="88">
        <v>20</v>
      </c>
      <c r="X53" s="88">
        <v>21</v>
      </c>
      <c r="Y53" s="88">
        <v>22</v>
      </c>
      <c r="Z53" s="88">
        <v>23</v>
      </c>
      <c r="AA53" s="88">
        <v>24</v>
      </c>
      <c r="AB53" s="88">
        <v>25</v>
      </c>
      <c r="AC53" s="88">
        <v>26</v>
      </c>
      <c r="AD53" s="88">
        <v>27</v>
      </c>
      <c r="AE53" s="88">
        <v>28</v>
      </c>
      <c r="AF53" s="88">
        <v>29</v>
      </c>
      <c r="AG53" s="88">
        <v>30</v>
      </c>
      <c r="AH53" s="88">
        <v>31</v>
      </c>
    </row>
    <row r="54" spans="2:34">
      <c r="B54" s="88">
        <v>1</v>
      </c>
      <c r="C54" s="92" t="str">
        <f>LEFT(EmpGName01)&amp;" " &amp; EmpSName01</f>
        <v>L Marampon</v>
      </c>
      <c r="D54" s="4" t="s">
        <v>9</v>
      </c>
      <c r="E54" s="4" t="s">
        <v>9</v>
      </c>
      <c r="F54" s="4" t="s">
        <v>9</v>
      </c>
      <c r="G54" s="4" t="s">
        <v>9</v>
      </c>
      <c r="H54" s="4"/>
      <c r="I54" s="4"/>
      <c r="J54" s="4" t="s">
        <v>10</v>
      </c>
      <c r="K54" s="4" t="s">
        <v>10</v>
      </c>
      <c r="L54" s="4" t="s">
        <v>10</v>
      </c>
      <c r="M54" s="4" t="s">
        <v>10</v>
      </c>
      <c r="N54" s="4" t="s">
        <v>9</v>
      </c>
      <c r="O54" s="4"/>
      <c r="P54" s="4"/>
      <c r="Q54" s="4" t="s">
        <v>9</v>
      </c>
      <c r="R54" s="4" t="s">
        <v>9</v>
      </c>
      <c r="S54" s="4" t="s">
        <v>9</v>
      </c>
      <c r="T54" s="4" t="s">
        <v>9</v>
      </c>
      <c r="U54" s="4" t="s">
        <v>9</v>
      </c>
      <c r="V54" s="4"/>
      <c r="W54" s="4"/>
      <c r="X54" s="4" t="s">
        <v>14</v>
      </c>
      <c r="Y54" s="4" t="s">
        <v>10</v>
      </c>
      <c r="Z54" s="4" t="s">
        <v>10</v>
      </c>
      <c r="AA54" s="4" t="s">
        <v>10</v>
      </c>
      <c r="AB54" s="4" t="s">
        <v>9</v>
      </c>
      <c r="AC54" s="4"/>
      <c r="AD54" s="4"/>
      <c r="AE54" s="4" t="s">
        <v>9</v>
      </c>
      <c r="AF54" s="4" t="s">
        <v>9</v>
      </c>
      <c r="AG54" s="4" t="s">
        <v>9</v>
      </c>
      <c r="AH54" s="4" t="s">
        <v>9</v>
      </c>
    </row>
    <row r="55" spans="2:34">
      <c r="B55" s="88">
        <v>2</v>
      </c>
      <c r="C55" s="93" t="str">
        <f>LEFT(EmpGName02)&amp;" " &amp;EmpSName02</f>
        <v>K Stone</v>
      </c>
      <c r="D55" s="3"/>
      <c r="E55" s="3" t="s">
        <v>10</v>
      </c>
      <c r="F55" s="3" t="s">
        <v>10</v>
      </c>
      <c r="G55" s="3" t="s">
        <v>10</v>
      </c>
      <c r="H55" s="3" t="s">
        <v>10</v>
      </c>
      <c r="I55" s="3" t="s">
        <v>10</v>
      </c>
      <c r="J55" s="3"/>
      <c r="K55" s="3"/>
      <c r="L55" s="3" t="s">
        <v>9</v>
      </c>
      <c r="M55" s="3" t="s">
        <v>9</v>
      </c>
      <c r="N55" s="3" t="s">
        <v>9</v>
      </c>
      <c r="O55" s="3" t="s">
        <v>9</v>
      </c>
      <c r="P55" s="3" t="s">
        <v>9</v>
      </c>
      <c r="Q55" s="3"/>
      <c r="R55" s="3"/>
      <c r="S55" s="3" t="s">
        <v>14</v>
      </c>
      <c r="T55" s="3" t="s">
        <v>10</v>
      </c>
      <c r="U55" s="3" t="s">
        <v>10</v>
      </c>
      <c r="V55" s="3" t="s">
        <v>10</v>
      </c>
      <c r="W55" s="3" t="s">
        <v>10</v>
      </c>
      <c r="X55" s="3"/>
      <c r="Y55" s="3"/>
      <c r="Z55" s="3" t="s">
        <v>9</v>
      </c>
      <c r="AA55" s="3" t="s">
        <v>9</v>
      </c>
      <c r="AB55" s="3" t="s">
        <v>9</v>
      </c>
      <c r="AC55" s="3" t="s">
        <v>9</v>
      </c>
      <c r="AD55" s="3" t="s">
        <v>9</v>
      </c>
      <c r="AE55" s="3"/>
      <c r="AF55" s="3"/>
      <c r="AG55" s="3" t="s">
        <v>10</v>
      </c>
      <c r="AH55" s="3" t="s">
        <v>10</v>
      </c>
    </row>
    <row r="56" spans="2:34">
      <c r="B56" s="88">
        <v>3</v>
      </c>
      <c r="C56" s="92" t="str">
        <f>LEFT(EmpGName03)&amp;" " &amp;EmpSName03</f>
        <v>I Thelning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</row>
    <row r="57" spans="2:34">
      <c r="B57" s="88">
        <v>4</v>
      </c>
      <c r="C57" s="93" t="str">
        <f>LEFT(EmpGName04)&amp;" " &amp;EmpSName04</f>
        <v>L King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</row>
    <row r="58" spans="2:34">
      <c r="B58" s="88">
        <v>5</v>
      </c>
      <c r="C58" s="92" t="str">
        <f>LEFT(EmpGName05)&amp;" " &amp;EmpSName05</f>
        <v>D Castle</v>
      </c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</row>
    <row r="59" spans="2:34">
      <c r="B59" s="88">
        <v>6</v>
      </c>
      <c r="C59" s="93" t="str">
        <f>LEFT(EmpGName06)&amp;" " &amp;EmpSName06</f>
        <v>T Sorensen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</row>
    <row r="60" spans="2:34">
      <c r="B60" s="88">
        <v>7</v>
      </c>
      <c r="C60" s="92" t="str">
        <f>LEFT(EmpGName07)&amp;" " &amp;EmpSName07</f>
        <v>R Fielding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</row>
    <row r="61" spans="2:34">
      <c r="B61" s="88">
        <v>8</v>
      </c>
      <c r="C61" s="93" t="str">
        <f>LEFT(EmpGName08)&amp;" " &amp;EmpSName08</f>
        <v>F Flannery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2:34">
      <c r="B62" s="88">
        <v>9</v>
      </c>
      <c r="C62" s="92" t="str">
        <f>LEFT(EmpGName09)&amp;" " &amp;EmpSName09</f>
        <v>P Hogan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</row>
    <row r="63" spans="2:34">
      <c r="B63" s="167">
        <v>10</v>
      </c>
      <c r="C63" s="93" t="str">
        <f>LEFT(EmpGName10)&amp;" " &amp;EmpSName10</f>
        <v>J Stretton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spans="2:34" s="73" customFormat="1">
      <c r="B64" s="167">
        <v>11</v>
      </c>
      <c r="C64" s="92" t="str">
        <f>LEFT(EmpGName11)&amp;" " &amp;EmpSName11</f>
        <v>M Rowe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</row>
    <row r="65" spans="2:34" s="73" customFormat="1">
      <c r="B65" s="167">
        <v>12</v>
      </c>
      <c r="C65" s="93" t="str">
        <f>LEFT(EmpGName12)&amp;" " &amp;EmpSName12</f>
        <v>J Stevens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2:34" s="73" customFormat="1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2:34">
      <c r="C67" t="str">
        <f>CurYear-1&amp;":"</f>
        <v>2016:</v>
      </c>
      <c r="D67" s="5" t="str">
        <f t="shared" ref="D67:AG67" si="4">LEFT(TEXT(D68&amp;"-"&amp;$C68&amp;"-"&amp; CurYear-1,"ddd"),2)</f>
        <v>Tu</v>
      </c>
      <c r="E67" s="5" t="str">
        <f t="shared" si="4"/>
        <v>We</v>
      </c>
      <c r="F67" s="5" t="str">
        <f t="shared" si="4"/>
        <v>Th</v>
      </c>
      <c r="G67" s="5" t="str">
        <f t="shared" si="4"/>
        <v>Fr</v>
      </c>
      <c r="H67" s="5" t="str">
        <f t="shared" si="4"/>
        <v>Sa</v>
      </c>
      <c r="I67" s="5" t="str">
        <f t="shared" si="4"/>
        <v>Su</v>
      </c>
      <c r="J67" s="5" t="str">
        <f t="shared" si="4"/>
        <v>Mo</v>
      </c>
      <c r="K67" s="5" t="str">
        <f t="shared" si="4"/>
        <v>Tu</v>
      </c>
      <c r="L67" s="5" t="str">
        <f t="shared" si="4"/>
        <v>We</v>
      </c>
      <c r="M67" s="5" t="str">
        <f t="shared" si="4"/>
        <v>Th</v>
      </c>
      <c r="N67" s="5" t="str">
        <f t="shared" si="4"/>
        <v>Fr</v>
      </c>
      <c r="O67" s="5" t="str">
        <f t="shared" si="4"/>
        <v>Sa</v>
      </c>
      <c r="P67" s="5" t="str">
        <f t="shared" si="4"/>
        <v>Su</v>
      </c>
      <c r="Q67" s="5" t="str">
        <f t="shared" si="4"/>
        <v>Mo</v>
      </c>
      <c r="R67" s="5" t="str">
        <f t="shared" si="4"/>
        <v>Tu</v>
      </c>
      <c r="S67" s="5" t="str">
        <f t="shared" si="4"/>
        <v>We</v>
      </c>
      <c r="T67" s="5" t="str">
        <f t="shared" si="4"/>
        <v>Th</v>
      </c>
      <c r="U67" s="5" t="str">
        <f t="shared" si="4"/>
        <v>Fr</v>
      </c>
      <c r="V67" s="5" t="str">
        <f t="shared" si="4"/>
        <v>Sa</v>
      </c>
      <c r="W67" s="5" t="str">
        <f t="shared" si="4"/>
        <v>Su</v>
      </c>
      <c r="X67" s="5" t="str">
        <f t="shared" si="4"/>
        <v>Mo</v>
      </c>
      <c r="Y67" s="5" t="str">
        <f t="shared" si="4"/>
        <v>Tu</v>
      </c>
      <c r="Z67" s="5" t="str">
        <f t="shared" si="4"/>
        <v>We</v>
      </c>
      <c r="AA67" s="5" t="str">
        <f t="shared" si="4"/>
        <v>Th</v>
      </c>
      <c r="AB67" s="5" t="str">
        <f t="shared" si="4"/>
        <v>Fr</v>
      </c>
      <c r="AC67" s="5" t="str">
        <f t="shared" si="4"/>
        <v>Sa</v>
      </c>
      <c r="AD67" s="5" t="str">
        <f t="shared" si="4"/>
        <v>Su</v>
      </c>
      <c r="AE67" s="5" t="str">
        <f t="shared" si="4"/>
        <v>Mo</v>
      </c>
      <c r="AF67" s="5" t="str">
        <f t="shared" si="4"/>
        <v>Tu</v>
      </c>
      <c r="AG67" s="5" t="str">
        <f t="shared" si="4"/>
        <v>We</v>
      </c>
      <c r="AH67" s="5"/>
    </row>
    <row r="68" spans="2:34">
      <c r="B68" s="91"/>
      <c r="C68" s="87" t="s">
        <v>23</v>
      </c>
      <c r="D68" s="88">
        <v>1</v>
      </c>
      <c r="E68" s="88">
        <v>2</v>
      </c>
      <c r="F68" s="88">
        <v>3</v>
      </c>
      <c r="G68" s="88">
        <v>4</v>
      </c>
      <c r="H68" s="88">
        <v>5</v>
      </c>
      <c r="I68" s="88">
        <v>6</v>
      </c>
      <c r="J68" s="88">
        <v>7</v>
      </c>
      <c r="K68" s="88">
        <v>8</v>
      </c>
      <c r="L68" s="88">
        <v>9</v>
      </c>
      <c r="M68" s="88">
        <v>10</v>
      </c>
      <c r="N68" s="88">
        <v>11</v>
      </c>
      <c r="O68" s="88">
        <v>12</v>
      </c>
      <c r="P68" s="88">
        <v>13</v>
      </c>
      <c r="Q68" s="88">
        <v>14</v>
      </c>
      <c r="R68" s="88">
        <v>15</v>
      </c>
      <c r="S68" s="88">
        <v>16</v>
      </c>
      <c r="T68" s="88">
        <v>17</v>
      </c>
      <c r="U68" s="88">
        <v>18</v>
      </c>
      <c r="V68" s="88">
        <v>19</v>
      </c>
      <c r="W68" s="88">
        <v>20</v>
      </c>
      <c r="X68" s="88">
        <v>21</v>
      </c>
      <c r="Y68" s="88">
        <v>22</v>
      </c>
      <c r="Z68" s="88">
        <v>23</v>
      </c>
      <c r="AA68" s="88">
        <v>24</v>
      </c>
      <c r="AB68" s="88">
        <v>25</v>
      </c>
      <c r="AC68" s="88">
        <v>26</v>
      </c>
      <c r="AD68" s="88">
        <v>27</v>
      </c>
      <c r="AE68" s="88">
        <v>28</v>
      </c>
      <c r="AF68" s="88">
        <v>29</v>
      </c>
      <c r="AG68" s="88">
        <v>30</v>
      </c>
    </row>
    <row r="69" spans="2:34">
      <c r="B69" s="88">
        <v>1</v>
      </c>
      <c r="C69" s="92" t="str">
        <f>LEFT(EmpGName01)&amp;" " &amp; EmpSName01</f>
        <v>L Marampon</v>
      </c>
      <c r="D69" s="4" t="s">
        <v>9</v>
      </c>
      <c r="E69" s="4"/>
      <c r="F69" s="4"/>
      <c r="G69" s="4" t="s">
        <v>10</v>
      </c>
      <c r="H69" s="4" t="s">
        <v>10</v>
      </c>
      <c r="I69" s="4" t="s">
        <v>10</v>
      </c>
      <c r="J69" s="4" t="s">
        <v>10</v>
      </c>
      <c r="K69" s="4" t="s">
        <v>9</v>
      </c>
      <c r="L69" s="4"/>
      <c r="M69" s="4"/>
      <c r="N69" s="4" t="s">
        <v>14</v>
      </c>
      <c r="O69" s="4" t="s">
        <v>9</v>
      </c>
      <c r="P69" s="4" t="s">
        <v>9</v>
      </c>
      <c r="Q69" s="4" t="s">
        <v>9</v>
      </c>
      <c r="R69" s="4" t="s">
        <v>9</v>
      </c>
      <c r="S69" s="4"/>
      <c r="T69" s="4"/>
      <c r="U69" s="4" t="s">
        <v>10</v>
      </c>
      <c r="V69" s="4" t="s">
        <v>10</v>
      </c>
      <c r="W69" s="4" t="s">
        <v>10</v>
      </c>
      <c r="X69" s="4" t="s">
        <v>10</v>
      </c>
      <c r="Y69" s="4" t="s">
        <v>9</v>
      </c>
      <c r="Z69" s="4"/>
      <c r="AA69" s="4"/>
      <c r="AB69" s="4" t="s">
        <v>9</v>
      </c>
      <c r="AC69" s="4" t="s">
        <v>9</v>
      </c>
      <c r="AD69" s="4" t="s">
        <v>9</v>
      </c>
      <c r="AE69" s="4" t="s">
        <v>9</v>
      </c>
      <c r="AF69" s="4" t="s">
        <v>9</v>
      </c>
      <c r="AG69" s="4"/>
    </row>
    <row r="70" spans="2:34">
      <c r="B70" s="88">
        <v>2</v>
      </c>
      <c r="C70" s="93" t="str">
        <f>LEFT(EmpGName02)&amp;" " &amp;EmpSName02</f>
        <v>K Stone</v>
      </c>
      <c r="D70" s="3" t="s">
        <v>10</v>
      </c>
      <c r="E70" s="3" t="s">
        <v>10</v>
      </c>
      <c r="F70" s="3" t="s">
        <v>10</v>
      </c>
      <c r="G70" s="3"/>
      <c r="H70" s="3"/>
      <c r="I70" s="3" t="s">
        <v>9</v>
      </c>
      <c r="J70" s="3" t="s">
        <v>14</v>
      </c>
      <c r="K70" s="3" t="s">
        <v>9</v>
      </c>
      <c r="L70" s="3" t="s">
        <v>9</v>
      </c>
      <c r="M70" s="3" t="s">
        <v>9</v>
      </c>
      <c r="N70" s="3"/>
      <c r="O70" s="3"/>
      <c r="P70" s="3" t="s">
        <v>10</v>
      </c>
      <c r="Q70" s="3" t="s">
        <v>10</v>
      </c>
      <c r="R70" s="3" t="s">
        <v>10</v>
      </c>
      <c r="S70" s="3" t="s">
        <v>10</v>
      </c>
      <c r="T70" s="3" t="s">
        <v>10</v>
      </c>
      <c r="U70" s="3"/>
      <c r="V70" s="3"/>
      <c r="W70" s="3" t="s">
        <v>9</v>
      </c>
      <c r="X70" s="3" t="s">
        <v>9</v>
      </c>
      <c r="Y70" s="3" t="s">
        <v>9</v>
      </c>
      <c r="Z70" s="3" t="s">
        <v>9</v>
      </c>
      <c r="AA70" s="3" t="s">
        <v>9</v>
      </c>
      <c r="AB70" s="3"/>
      <c r="AC70" s="3"/>
      <c r="AD70" s="3" t="s">
        <v>10</v>
      </c>
      <c r="AE70" s="3" t="s">
        <v>10</v>
      </c>
      <c r="AF70" s="3" t="s">
        <v>14</v>
      </c>
      <c r="AG70" s="3" t="s">
        <v>10</v>
      </c>
    </row>
    <row r="71" spans="2:34">
      <c r="B71" s="88">
        <v>3</v>
      </c>
      <c r="C71" s="92" t="str">
        <f>LEFT(EmpGName03)&amp;" " &amp;EmpSName03</f>
        <v>I Thelning</v>
      </c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2:34">
      <c r="B72" s="88">
        <v>4</v>
      </c>
      <c r="C72" s="93" t="str">
        <f>LEFT(EmpGName04)&amp;" " &amp;EmpSName04</f>
        <v>L King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2:34">
      <c r="B73" s="88">
        <v>5</v>
      </c>
      <c r="C73" s="92" t="str">
        <f>LEFT(EmpGName05)&amp;" " &amp;EmpSName05</f>
        <v>D Castle</v>
      </c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2:34">
      <c r="B74" s="88">
        <v>6</v>
      </c>
      <c r="C74" s="93" t="str">
        <f>LEFT(EmpGName06)&amp;" " &amp;EmpSName06</f>
        <v>T Sorensen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spans="2:34">
      <c r="B75" s="88">
        <v>7</v>
      </c>
      <c r="C75" s="92" t="str">
        <f>LEFT(EmpGName07)&amp;" " &amp;EmpSName07</f>
        <v>R Fielding</v>
      </c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</row>
    <row r="76" spans="2:34">
      <c r="B76" s="88">
        <v>8</v>
      </c>
      <c r="C76" s="93" t="str">
        <f>LEFT(EmpGName08)&amp;" " &amp;EmpSName08</f>
        <v>F Flannery</v>
      </c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</row>
    <row r="77" spans="2:34">
      <c r="B77" s="88">
        <v>9</v>
      </c>
      <c r="C77" s="92" t="str">
        <f>LEFT(EmpGName09)&amp;" " &amp;EmpSName09</f>
        <v>P Hogan</v>
      </c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</row>
    <row r="78" spans="2:34">
      <c r="B78" s="167">
        <v>10</v>
      </c>
      <c r="C78" s="93" t="str">
        <f>LEFT(EmpGName10)&amp;" " &amp;EmpSName10</f>
        <v>J Stretton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</row>
    <row r="79" spans="2:34" s="73" customFormat="1">
      <c r="B79" s="167">
        <v>11</v>
      </c>
      <c r="C79" s="92" t="str">
        <f>LEFT(EmpGName11)&amp;" " &amp;EmpSName11</f>
        <v>M Rowe</v>
      </c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/>
    </row>
    <row r="80" spans="2:34" s="73" customFormat="1">
      <c r="B80" s="167">
        <v>12</v>
      </c>
      <c r="C80" s="93" t="str">
        <f>LEFT(EmpGName12)&amp;" " &amp;EmpSName12</f>
        <v>J Stevens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/>
    </row>
    <row r="81" spans="2:34" s="73" customFormat="1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2:34">
      <c r="C82" t="str">
        <f>CurYear-1&amp;":"</f>
        <v>2016:</v>
      </c>
      <c r="D82" s="5" t="str">
        <f t="shared" ref="D82:AH82" si="5">LEFT(TEXT(D83&amp;"-"&amp;$C83&amp;"-"&amp; CurYear-1,"ddd"),2)</f>
        <v>Th</v>
      </c>
      <c r="E82" s="5" t="str">
        <f t="shared" si="5"/>
        <v>Fr</v>
      </c>
      <c r="F82" s="5" t="str">
        <f t="shared" si="5"/>
        <v>Sa</v>
      </c>
      <c r="G82" s="5" t="str">
        <f t="shared" si="5"/>
        <v>Su</v>
      </c>
      <c r="H82" s="5" t="str">
        <f t="shared" si="5"/>
        <v>Mo</v>
      </c>
      <c r="I82" s="5" t="str">
        <f t="shared" si="5"/>
        <v>Tu</v>
      </c>
      <c r="J82" s="5" t="str">
        <f t="shared" si="5"/>
        <v>We</v>
      </c>
      <c r="K82" s="5" t="str">
        <f t="shared" si="5"/>
        <v>Th</v>
      </c>
      <c r="L82" s="5" t="str">
        <f t="shared" si="5"/>
        <v>Fr</v>
      </c>
      <c r="M82" s="5" t="str">
        <f t="shared" si="5"/>
        <v>Sa</v>
      </c>
      <c r="N82" s="5" t="str">
        <f t="shared" si="5"/>
        <v>Su</v>
      </c>
      <c r="O82" s="5" t="str">
        <f t="shared" si="5"/>
        <v>Mo</v>
      </c>
      <c r="P82" s="5" t="str">
        <f t="shared" si="5"/>
        <v>Tu</v>
      </c>
      <c r="Q82" s="5" t="str">
        <f t="shared" si="5"/>
        <v>We</v>
      </c>
      <c r="R82" s="5" t="str">
        <f t="shared" si="5"/>
        <v>Th</v>
      </c>
      <c r="S82" s="5" t="str">
        <f t="shared" si="5"/>
        <v>Fr</v>
      </c>
      <c r="T82" s="5" t="str">
        <f t="shared" si="5"/>
        <v>Sa</v>
      </c>
      <c r="U82" s="5" t="str">
        <f t="shared" si="5"/>
        <v>Su</v>
      </c>
      <c r="V82" s="5" t="str">
        <f t="shared" si="5"/>
        <v>Mo</v>
      </c>
      <c r="W82" s="5" t="str">
        <f t="shared" si="5"/>
        <v>Tu</v>
      </c>
      <c r="X82" s="5" t="str">
        <f t="shared" si="5"/>
        <v>We</v>
      </c>
      <c r="Y82" s="5" t="str">
        <f t="shared" si="5"/>
        <v>Th</v>
      </c>
      <c r="Z82" s="5" t="str">
        <f t="shared" si="5"/>
        <v>Fr</v>
      </c>
      <c r="AA82" s="5" t="str">
        <f t="shared" si="5"/>
        <v>Sa</v>
      </c>
      <c r="AB82" s="5" t="str">
        <f t="shared" si="5"/>
        <v>Su</v>
      </c>
      <c r="AC82" s="5" t="str">
        <f t="shared" si="5"/>
        <v>Mo</v>
      </c>
      <c r="AD82" s="5" t="str">
        <f t="shared" si="5"/>
        <v>Tu</v>
      </c>
      <c r="AE82" s="5" t="str">
        <f t="shared" si="5"/>
        <v>We</v>
      </c>
      <c r="AF82" s="5" t="str">
        <f t="shared" si="5"/>
        <v>Th</v>
      </c>
      <c r="AG82" s="5" t="str">
        <f t="shared" si="5"/>
        <v>Fr</v>
      </c>
      <c r="AH82" s="5" t="str">
        <f t="shared" si="5"/>
        <v>Sa</v>
      </c>
    </row>
    <row r="83" spans="2:34">
      <c r="B83" s="91"/>
      <c r="C83" s="87" t="s">
        <v>24</v>
      </c>
      <c r="D83" s="88">
        <v>1</v>
      </c>
      <c r="E83" s="88">
        <v>2</v>
      </c>
      <c r="F83" s="88">
        <v>3</v>
      </c>
      <c r="G83" s="88">
        <v>4</v>
      </c>
      <c r="H83" s="88">
        <v>5</v>
      </c>
      <c r="I83" s="88">
        <v>6</v>
      </c>
      <c r="J83" s="88">
        <v>7</v>
      </c>
      <c r="K83" s="88">
        <v>8</v>
      </c>
      <c r="L83" s="88">
        <v>9</v>
      </c>
      <c r="M83" s="88">
        <v>10</v>
      </c>
      <c r="N83" s="88">
        <v>11</v>
      </c>
      <c r="O83" s="88">
        <v>12</v>
      </c>
      <c r="P83" s="88">
        <v>13</v>
      </c>
      <c r="Q83" s="88">
        <v>14</v>
      </c>
      <c r="R83" s="88">
        <v>15</v>
      </c>
      <c r="S83" s="88">
        <v>16</v>
      </c>
      <c r="T83" s="88">
        <v>17</v>
      </c>
      <c r="U83" s="88">
        <v>18</v>
      </c>
      <c r="V83" s="88">
        <v>19</v>
      </c>
      <c r="W83" s="88">
        <v>20</v>
      </c>
      <c r="X83" s="88">
        <v>21</v>
      </c>
      <c r="Y83" s="88">
        <v>22</v>
      </c>
      <c r="Z83" s="88">
        <v>23</v>
      </c>
      <c r="AA83" s="88">
        <v>24</v>
      </c>
      <c r="AB83" s="88">
        <v>25</v>
      </c>
      <c r="AC83" s="88">
        <v>26</v>
      </c>
      <c r="AD83" s="88">
        <v>27</v>
      </c>
      <c r="AE83" s="88">
        <v>28</v>
      </c>
      <c r="AF83" s="88">
        <v>29</v>
      </c>
      <c r="AG83" s="88">
        <v>30</v>
      </c>
      <c r="AH83" s="88">
        <v>31</v>
      </c>
    </row>
    <row r="84" spans="2:34">
      <c r="B84" s="88">
        <v>1</v>
      </c>
      <c r="C84" s="92" t="str">
        <f>LEFT(EmpGName01)&amp;" " &amp; EmpSName01</f>
        <v>L Marampon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</row>
    <row r="85" spans="2:34">
      <c r="B85" s="88">
        <v>2</v>
      </c>
      <c r="C85" s="93" t="str">
        <f>LEFT(EmpGName02)&amp;" " &amp;EmpSName02</f>
        <v>K Stone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2:34">
      <c r="B86" s="88">
        <v>3</v>
      </c>
      <c r="C86" s="92" t="str">
        <f>LEFT(EmpGName03)&amp;" " &amp;EmpSName03</f>
        <v>I Thelning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</row>
    <row r="87" spans="2:34">
      <c r="B87" s="88">
        <v>4</v>
      </c>
      <c r="C87" s="93" t="str">
        <f>LEFT(EmpGName04)&amp;" " &amp;EmpSName04</f>
        <v>L King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2:34">
      <c r="B88" s="88">
        <v>5</v>
      </c>
      <c r="C88" s="92" t="str">
        <f>LEFT(EmpGName05)&amp;" " &amp;EmpSName05</f>
        <v>D Castle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</row>
    <row r="89" spans="2:34">
      <c r="B89" s="88">
        <v>6</v>
      </c>
      <c r="C89" s="93" t="str">
        <f>LEFT(EmpGName06)&amp;" " &amp;EmpSName06</f>
        <v>T Sorensen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2:34">
      <c r="B90" s="88">
        <v>7</v>
      </c>
      <c r="C90" s="92" t="str">
        <f>LEFT(EmpGName07)&amp;" " &amp;EmpSName07</f>
        <v>R Fielding</v>
      </c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</row>
    <row r="91" spans="2:34">
      <c r="B91" s="88">
        <v>8</v>
      </c>
      <c r="C91" s="9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2:34">
      <c r="B92" s="88">
        <v>9</v>
      </c>
      <c r="C92" s="92" t="str">
        <f>LEFT(EmpGName09)&amp;" " &amp;EmpSName09</f>
        <v>P Hogan</v>
      </c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</row>
    <row r="93" spans="2:34">
      <c r="B93" s="167">
        <v>10</v>
      </c>
      <c r="C93" s="93" t="str">
        <f>LEFT(EmpGName10)&amp;" " &amp;EmpSName10</f>
        <v>J Stretton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2:34" s="73" customFormat="1">
      <c r="B94" s="167">
        <v>11</v>
      </c>
      <c r="C94" s="92" t="str">
        <f>LEFT(EmpGName11)&amp;" " &amp;EmpSName11</f>
        <v>M Rowe</v>
      </c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</row>
    <row r="95" spans="2:34" s="73" customFormat="1">
      <c r="B95" s="167">
        <v>12</v>
      </c>
      <c r="C95" s="93" t="str">
        <f>LEFT(EmpGName12)&amp;" " &amp;EmpSName12</f>
        <v>J Stevens</v>
      </c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2:34" s="73" customFormat="1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2:34">
      <c r="C97" t="str">
        <f>CurYear&amp;":"</f>
        <v>2017:</v>
      </c>
      <c r="D97" s="5" t="str">
        <f>LEFT(TEXT(D98&amp;"-"&amp;$C$98&amp;"-"&amp;CurYear,"ddd"),2)</f>
        <v>Su</v>
      </c>
      <c r="E97" s="5" t="str">
        <f t="shared" ref="E97:AH97" si="6">LEFT(TEXT(E98&amp;"-"&amp;$C$98&amp;"-"&amp;CurYear,"ddd"),2)</f>
        <v>Mo</v>
      </c>
      <c r="F97" s="5" t="str">
        <f t="shared" si="6"/>
        <v>Tu</v>
      </c>
      <c r="G97" s="5" t="str">
        <f t="shared" si="6"/>
        <v>We</v>
      </c>
      <c r="H97" s="5" t="str">
        <f t="shared" si="6"/>
        <v>Th</v>
      </c>
      <c r="I97" s="5" t="str">
        <f t="shared" si="6"/>
        <v>Fr</v>
      </c>
      <c r="J97" s="5" t="str">
        <f t="shared" si="6"/>
        <v>Sa</v>
      </c>
      <c r="K97" s="5" t="str">
        <f t="shared" si="6"/>
        <v>Su</v>
      </c>
      <c r="L97" s="5" t="str">
        <f t="shared" si="6"/>
        <v>Mo</v>
      </c>
      <c r="M97" s="5" t="str">
        <f t="shared" si="6"/>
        <v>Tu</v>
      </c>
      <c r="N97" s="5" t="str">
        <f t="shared" si="6"/>
        <v>We</v>
      </c>
      <c r="O97" s="5" t="str">
        <f t="shared" si="6"/>
        <v>Th</v>
      </c>
      <c r="P97" s="5" t="str">
        <f t="shared" si="6"/>
        <v>Fr</v>
      </c>
      <c r="Q97" s="5" t="str">
        <f t="shared" si="6"/>
        <v>Sa</v>
      </c>
      <c r="R97" s="5" t="str">
        <f t="shared" si="6"/>
        <v>Su</v>
      </c>
      <c r="S97" s="5" t="str">
        <f t="shared" si="6"/>
        <v>Mo</v>
      </c>
      <c r="T97" s="5" t="str">
        <f t="shared" si="6"/>
        <v>Tu</v>
      </c>
      <c r="U97" s="5" t="str">
        <f t="shared" si="6"/>
        <v>We</v>
      </c>
      <c r="V97" s="5" t="str">
        <f t="shared" si="6"/>
        <v>Th</v>
      </c>
      <c r="W97" s="5" t="str">
        <f t="shared" si="6"/>
        <v>Fr</v>
      </c>
      <c r="X97" s="5" t="str">
        <f t="shared" si="6"/>
        <v>Sa</v>
      </c>
      <c r="Y97" s="5" t="str">
        <f t="shared" si="6"/>
        <v>Su</v>
      </c>
      <c r="Z97" s="5" t="str">
        <f t="shared" si="6"/>
        <v>Mo</v>
      </c>
      <c r="AA97" s="5" t="str">
        <f t="shared" si="6"/>
        <v>Tu</v>
      </c>
      <c r="AB97" s="5" t="str">
        <f t="shared" si="6"/>
        <v>We</v>
      </c>
      <c r="AC97" s="5" t="str">
        <f t="shared" si="6"/>
        <v>Th</v>
      </c>
      <c r="AD97" s="5" t="str">
        <f t="shared" si="6"/>
        <v>Fr</v>
      </c>
      <c r="AE97" s="5" t="str">
        <f t="shared" si="6"/>
        <v>Sa</v>
      </c>
      <c r="AF97" s="5" t="str">
        <f t="shared" si="6"/>
        <v>Su</v>
      </c>
      <c r="AG97" s="5" t="str">
        <f t="shared" si="6"/>
        <v>Mo</v>
      </c>
      <c r="AH97" s="5" t="str">
        <f t="shared" si="6"/>
        <v>Tu</v>
      </c>
    </row>
    <row r="98" spans="2:34">
      <c r="B98" s="89"/>
      <c r="C98" s="87" t="s">
        <v>8</v>
      </c>
      <c r="D98" s="88">
        <v>1</v>
      </c>
      <c r="E98" s="88">
        <v>2</v>
      </c>
      <c r="F98" s="88">
        <v>3</v>
      </c>
      <c r="G98" s="88">
        <v>4</v>
      </c>
      <c r="H98" s="88">
        <v>5</v>
      </c>
      <c r="I98" s="88">
        <v>6</v>
      </c>
      <c r="J98" s="88">
        <v>7</v>
      </c>
      <c r="K98" s="88">
        <v>8</v>
      </c>
      <c r="L98" s="88">
        <v>9</v>
      </c>
      <c r="M98" s="88">
        <v>10</v>
      </c>
      <c r="N98" s="88">
        <v>11</v>
      </c>
      <c r="O98" s="88">
        <v>12</v>
      </c>
      <c r="P98" s="88">
        <v>13</v>
      </c>
      <c r="Q98" s="88">
        <v>14</v>
      </c>
      <c r="R98" s="88">
        <v>15</v>
      </c>
      <c r="S98" s="88">
        <v>16</v>
      </c>
      <c r="T98" s="88">
        <v>17</v>
      </c>
      <c r="U98" s="88">
        <v>18</v>
      </c>
      <c r="V98" s="88">
        <v>19</v>
      </c>
      <c r="W98" s="88">
        <v>20</v>
      </c>
      <c r="X98" s="88">
        <v>21</v>
      </c>
      <c r="Y98" s="88">
        <v>22</v>
      </c>
      <c r="Z98" s="88">
        <v>23</v>
      </c>
      <c r="AA98" s="88">
        <v>24</v>
      </c>
      <c r="AB98" s="88">
        <v>25</v>
      </c>
      <c r="AC98" s="88">
        <v>26</v>
      </c>
      <c r="AD98" s="88">
        <v>27</v>
      </c>
      <c r="AE98" s="88">
        <v>28</v>
      </c>
      <c r="AF98" s="88">
        <v>29</v>
      </c>
      <c r="AG98" s="88">
        <v>30</v>
      </c>
      <c r="AH98" s="88">
        <v>31</v>
      </c>
    </row>
    <row r="99" spans="2:34">
      <c r="B99" s="86">
        <v>1</v>
      </c>
      <c r="C99" s="92" t="str">
        <f>LEFT(EmpGName01)&amp;" " &amp; EmpSName01</f>
        <v>L Marampon</v>
      </c>
      <c r="D99" s="85"/>
      <c r="E99" s="85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</row>
    <row r="100" spans="2:34">
      <c r="B100" s="86">
        <v>2</v>
      </c>
      <c r="C100" s="93" t="str">
        <f>LEFT(EmpGName02)&amp;" " &amp;EmpSName02</f>
        <v>K Stone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2:34">
      <c r="B101" s="86">
        <v>3</v>
      </c>
      <c r="C101" s="92" t="str">
        <f>LEFT(EmpGName03)&amp;" " &amp;EmpSName03</f>
        <v>I Thelning</v>
      </c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</row>
    <row r="102" spans="2:34">
      <c r="B102" s="86">
        <v>4</v>
      </c>
      <c r="C102" s="93" t="str">
        <f>LEFT(EmpGName04)&amp;" " &amp;EmpSName04</f>
        <v>L King</v>
      </c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2:34">
      <c r="B103" s="86">
        <v>5</v>
      </c>
      <c r="C103" s="92" t="str">
        <f>LEFT(EmpGName05)&amp;" " &amp;EmpSName05</f>
        <v>D Castle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</row>
    <row r="104" spans="2:34">
      <c r="B104" s="86">
        <v>6</v>
      </c>
      <c r="C104" s="93" t="str">
        <f>LEFT(EmpGName06)&amp;" " &amp;EmpSName06</f>
        <v>T Sorensen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2:34">
      <c r="B105" s="86">
        <v>7</v>
      </c>
      <c r="C105" s="92" t="str">
        <f>LEFT(EmpGName07)&amp;" " &amp;EmpSName07</f>
        <v>R Fielding</v>
      </c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</row>
    <row r="106" spans="2:34">
      <c r="B106" s="86">
        <v>8</v>
      </c>
      <c r="C106" s="93" t="str">
        <f>LEFT(EmpGName08)&amp;" " &amp;EmpSName08</f>
        <v>F Flannery</v>
      </c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2:34">
      <c r="B107" s="86">
        <v>9</v>
      </c>
      <c r="C107" s="92" t="str">
        <f>LEFT(EmpGName09)&amp;" " &amp;EmpSName09</f>
        <v>P Hogan</v>
      </c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</row>
    <row r="108" spans="2:34">
      <c r="B108" s="168">
        <v>10</v>
      </c>
      <c r="C108" s="94" t="str">
        <f>LEFT(EmpGName10)&amp;" " &amp;EmpSName10</f>
        <v>J Stretton</v>
      </c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1"/>
      <c r="AE108" s="71"/>
      <c r="AF108" s="71"/>
      <c r="AG108" s="71"/>
      <c r="AH108" s="71"/>
    </row>
    <row r="109" spans="2:34">
      <c r="B109" s="168">
        <v>11</v>
      </c>
      <c r="C109" s="92" t="str">
        <f>LEFT(EmpGName11)&amp;" " &amp;EmpSName11</f>
        <v>M Rowe</v>
      </c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</row>
    <row r="110" spans="2:34">
      <c r="B110" s="168">
        <v>12</v>
      </c>
      <c r="C110" s="94" t="str">
        <f>LEFT(EmpGName12)&amp;" " &amp;EmpSName12</f>
        <v>J Stevens</v>
      </c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</row>
    <row r="111" spans="2:34">
      <c r="B111" s="6"/>
      <c r="C111" s="7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72"/>
      <c r="AG111" s="8"/>
      <c r="AH111" s="8"/>
    </row>
    <row r="112" spans="2:34">
      <c r="C112" t="str">
        <f>CurYear&amp;":"</f>
        <v>2017:</v>
      </c>
      <c r="D112" s="5" t="str">
        <f>LEFT(TEXT(D113&amp;"-"&amp;$C$113&amp;"-"&amp;CurYear,"ddd"),2)</f>
        <v>We</v>
      </c>
      <c r="E112" s="5" t="str">
        <f t="shared" ref="E112:AF112" si="7">LEFT(TEXT(E113&amp;"-"&amp;$C$113&amp;"-"&amp;CurYear,"ddd"),2)</f>
        <v>Th</v>
      </c>
      <c r="F112" s="5" t="str">
        <f t="shared" si="7"/>
        <v>Fr</v>
      </c>
      <c r="G112" s="5" t="str">
        <f t="shared" si="7"/>
        <v>Sa</v>
      </c>
      <c r="H112" s="5" t="str">
        <f t="shared" si="7"/>
        <v>Su</v>
      </c>
      <c r="I112" s="5" t="str">
        <f t="shared" si="7"/>
        <v>Mo</v>
      </c>
      <c r="J112" s="5" t="str">
        <f t="shared" si="7"/>
        <v>Tu</v>
      </c>
      <c r="K112" s="5" t="str">
        <f t="shared" si="7"/>
        <v>We</v>
      </c>
      <c r="L112" s="5" t="str">
        <f t="shared" si="7"/>
        <v>Th</v>
      </c>
      <c r="M112" s="5" t="str">
        <f t="shared" si="7"/>
        <v>Fr</v>
      </c>
      <c r="N112" s="5" t="str">
        <f t="shared" si="7"/>
        <v>Sa</v>
      </c>
      <c r="O112" s="5" t="str">
        <f t="shared" si="7"/>
        <v>Su</v>
      </c>
      <c r="P112" s="5" t="str">
        <f t="shared" si="7"/>
        <v>Mo</v>
      </c>
      <c r="Q112" s="5" t="str">
        <f t="shared" si="7"/>
        <v>Tu</v>
      </c>
      <c r="R112" s="5" t="str">
        <f t="shared" si="7"/>
        <v>We</v>
      </c>
      <c r="S112" s="5" t="str">
        <f t="shared" si="7"/>
        <v>Th</v>
      </c>
      <c r="T112" s="5" t="str">
        <f t="shared" si="7"/>
        <v>Fr</v>
      </c>
      <c r="U112" s="5" t="str">
        <f t="shared" si="7"/>
        <v>Sa</v>
      </c>
      <c r="V112" s="5" t="str">
        <f t="shared" si="7"/>
        <v>Su</v>
      </c>
      <c r="W112" s="5" t="str">
        <f t="shared" si="7"/>
        <v>Mo</v>
      </c>
      <c r="X112" s="5" t="str">
        <f t="shared" si="7"/>
        <v>Tu</v>
      </c>
      <c r="Y112" s="5" t="str">
        <f t="shared" si="7"/>
        <v>We</v>
      </c>
      <c r="Z112" s="5" t="str">
        <f t="shared" si="7"/>
        <v>Th</v>
      </c>
      <c r="AA112" s="5" t="str">
        <f t="shared" si="7"/>
        <v>Fr</v>
      </c>
      <c r="AB112" s="5" t="str">
        <f t="shared" si="7"/>
        <v>Sa</v>
      </c>
      <c r="AC112" s="5" t="str">
        <f t="shared" si="7"/>
        <v>Su</v>
      </c>
      <c r="AD112" s="5" t="str">
        <f t="shared" si="7"/>
        <v>Mo</v>
      </c>
      <c r="AE112" s="5" t="str">
        <f t="shared" si="7"/>
        <v>Tu</v>
      </c>
      <c r="AF112" s="149" t="str">
        <f t="shared" si="7"/>
        <v>-F</v>
      </c>
    </row>
    <row r="113" spans="2:34">
      <c r="B113" s="89"/>
      <c r="C113" s="87" t="s">
        <v>13</v>
      </c>
      <c r="D113" s="88">
        <v>1</v>
      </c>
      <c r="E113" s="88">
        <v>2</v>
      </c>
      <c r="F113" s="88">
        <v>3</v>
      </c>
      <c r="G113" s="88">
        <v>4</v>
      </c>
      <c r="H113" s="88">
        <v>5</v>
      </c>
      <c r="I113" s="88">
        <v>6</v>
      </c>
      <c r="J113" s="88">
        <v>7</v>
      </c>
      <c r="K113" s="88">
        <v>8</v>
      </c>
      <c r="L113" s="88">
        <v>9</v>
      </c>
      <c r="M113" s="88">
        <v>10</v>
      </c>
      <c r="N113" s="88">
        <v>11</v>
      </c>
      <c r="O113" s="88">
        <v>12</v>
      </c>
      <c r="P113" s="88">
        <v>13</v>
      </c>
      <c r="Q113" s="88">
        <v>14</v>
      </c>
      <c r="R113" s="88">
        <v>15</v>
      </c>
      <c r="S113" s="88">
        <v>16</v>
      </c>
      <c r="T113" s="88">
        <v>17</v>
      </c>
      <c r="U113" s="88">
        <v>18</v>
      </c>
      <c r="V113" s="88">
        <v>19</v>
      </c>
      <c r="W113" s="88">
        <v>20</v>
      </c>
      <c r="X113" s="88">
        <v>21</v>
      </c>
      <c r="Y113" s="88">
        <v>22</v>
      </c>
      <c r="Z113" s="88">
        <v>23</v>
      </c>
      <c r="AA113" s="88">
        <v>24</v>
      </c>
      <c r="AB113" s="88">
        <v>25</v>
      </c>
      <c r="AC113" s="88">
        <v>26</v>
      </c>
      <c r="AD113" s="88">
        <v>27</v>
      </c>
      <c r="AE113" s="98">
        <v>28</v>
      </c>
      <c r="AF113" s="147"/>
      <c r="AG113" s="1"/>
      <c r="AH113" s="1"/>
    </row>
    <row r="114" spans="2:34">
      <c r="B114" s="86">
        <v>1</v>
      </c>
      <c r="C114" s="92" t="str">
        <f>LEFT(EmpGName01)&amp;" " &amp; EmpSName01</f>
        <v>L Marampon</v>
      </c>
      <c r="D114" s="4"/>
      <c r="E114" s="85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99"/>
      <c r="AF114" s="148"/>
      <c r="AG114" s="2"/>
      <c r="AH114" s="2"/>
    </row>
    <row r="115" spans="2:34">
      <c r="B115" s="86">
        <v>2</v>
      </c>
      <c r="C115" s="93" t="str">
        <f>LEFT(EmpGName02)&amp;" " &amp;EmpSName02</f>
        <v>K Stone</v>
      </c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100"/>
      <c r="AF115" s="148"/>
      <c r="AG115" s="2"/>
      <c r="AH115" s="2"/>
    </row>
    <row r="116" spans="2:34">
      <c r="B116" s="86">
        <v>3</v>
      </c>
      <c r="C116" s="92" t="str">
        <f>LEFT(EmpGName03)&amp;" " &amp;EmpSName03</f>
        <v>I Thelning</v>
      </c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99"/>
      <c r="AF116" s="148"/>
      <c r="AG116" s="2"/>
      <c r="AH116" s="2"/>
    </row>
    <row r="117" spans="2:34">
      <c r="B117" s="86">
        <v>4</v>
      </c>
      <c r="C117" s="93" t="str">
        <f>LEFT(EmpGName04)&amp;" " &amp;EmpSName04</f>
        <v>L King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100"/>
      <c r="AF117" s="148"/>
      <c r="AG117" s="2"/>
      <c r="AH117" s="2"/>
    </row>
    <row r="118" spans="2:34">
      <c r="B118" s="86">
        <v>5</v>
      </c>
      <c r="C118" s="92" t="str">
        <f>LEFT(EmpGName05)&amp;" " &amp;EmpSName05</f>
        <v>D Castle</v>
      </c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99"/>
      <c r="AF118" s="148"/>
      <c r="AG118" s="2"/>
      <c r="AH118" s="2"/>
    </row>
    <row r="119" spans="2:34">
      <c r="B119" s="86">
        <v>6</v>
      </c>
      <c r="C119" s="93" t="str">
        <f>LEFT(EmpGName06)&amp;" " &amp;EmpSName06</f>
        <v>T Sorensen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100"/>
      <c r="AF119" s="148"/>
      <c r="AG119" s="2"/>
      <c r="AH119" s="2"/>
    </row>
    <row r="120" spans="2:34">
      <c r="B120" s="86">
        <v>7</v>
      </c>
      <c r="C120" s="92" t="str">
        <f>LEFT(EmpGName07)&amp;" " &amp;EmpSName07</f>
        <v>R Fielding</v>
      </c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99"/>
      <c r="AF120" s="148"/>
      <c r="AG120" s="2"/>
      <c r="AH120" s="2"/>
    </row>
    <row r="121" spans="2:34">
      <c r="B121" s="86">
        <v>8</v>
      </c>
      <c r="C121" s="93" t="str">
        <f>LEFT(EmpGName08)&amp;" " &amp;EmpSName08</f>
        <v>F Flannery</v>
      </c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100"/>
      <c r="AF121" s="148"/>
      <c r="AG121" s="2"/>
      <c r="AH121" s="2"/>
    </row>
    <row r="122" spans="2:34">
      <c r="B122" s="86">
        <v>9</v>
      </c>
      <c r="C122" s="92" t="str">
        <f>LEFT(EmpGName09)&amp;" " &amp;EmpSName09</f>
        <v>P Hogan</v>
      </c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99"/>
      <c r="AF122" s="148"/>
      <c r="AG122" s="2"/>
      <c r="AH122" s="2"/>
    </row>
    <row r="123" spans="2:34">
      <c r="B123" s="168">
        <v>10</v>
      </c>
      <c r="C123" s="94" t="str">
        <f>LEFT(EmpGName10)&amp;" " &amp;EmpSName10</f>
        <v>J Stretton</v>
      </c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  <c r="AD123" s="71"/>
      <c r="AE123" s="101"/>
      <c r="AF123" s="148"/>
      <c r="AG123" s="2"/>
      <c r="AH123" s="2"/>
    </row>
    <row r="124" spans="2:34">
      <c r="B124" s="168">
        <v>11</v>
      </c>
      <c r="C124" s="92" t="str">
        <f>LEFT(EmpGName11)&amp;" " &amp;EmpSName11</f>
        <v>M Rowe</v>
      </c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99"/>
      <c r="AF124" s="148"/>
      <c r="AG124" s="2"/>
      <c r="AH124" s="2"/>
    </row>
    <row r="125" spans="2:34">
      <c r="B125" s="168">
        <v>12</v>
      </c>
      <c r="C125" s="94" t="str">
        <f>LEFT(EmpGName12)&amp;" " &amp;EmpSName12</f>
        <v>J Stevens</v>
      </c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1"/>
      <c r="AE125" s="101"/>
      <c r="AF125" s="148"/>
      <c r="AG125" s="2"/>
      <c r="AH125" s="2"/>
    </row>
    <row r="126" spans="2:34">
      <c r="B126" s="6"/>
      <c r="C126" s="7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7"/>
      <c r="AH126" s="7"/>
    </row>
    <row r="127" spans="2:34">
      <c r="C127" t="str">
        <f>CurYear&amp;":"</f>
        <v>2017:</v>
      </c>
      <c r="D127" s="5" t="str">
        <f>LEFT(TEXT(D128&amp;"-"&amp;$C$128&amp;"-"&amp;CurYear,"ddd"),2)</f>
        <v>We</v>
      </c>
      <c r="E127" s="5" t="str">
        <f t="shared" ref="E127:AH127" si="8">LEFT(TEXT(E128&amp;"-"&amp;$C$128&amp;"-"&amp;CurYear,"ddd"),2)</f>
        <v>Th</v>
      </c>
      <c r="F127" s="5" t="str">
        <f t="shared" si="8"/>
        <v>Fr</v>
      </c>
      <c r="G127" s="5" t="str">
        <f t="shared" si="8"/>
        <v>Sa</v>
      </c>
      <c r="H127" s="5" t="str">
        <f t="shared" si="8"/>
        <v>Su</v>
      </c>
      <c r="I127" s="5" t="str">
        <f t="shared" si="8"/>
        <v>Mo</v>
      </c>
      <c r="J127" s="5" t="str">
        <f t="shared" si="8"/>
        <v>Tu</v>
      </c>
      <c r="K127" s="5" t="str">
        <f t="shared" si="8"/>
        <v>We</v>
      </c>
      <c r="L127" s="5" t="str">
        <f t="shared" si="8"/>
        <v>Th</v>
      </c>
      <c r="M127" s="5" t="str">
        <f t="shared" si="8"/>
        <v>Fr</v>
      </c>
      <c r="N127" s="5" t="str">
        <f t="shared" si="8"/>
        <v>Sa</v>
      </c>
      <c r="O127" s="5" t="str">
        <f t="shared" si="8"/>
        <v>Su</v>
      </c>
      <c r="P127" s="5" t="str">
        <f t="shared" si="8"/>
        <v>Mo</v>
      </c>
      <c r="Q127" s="5" t="str">
        <f t="shared" si="8"/>
        <v>Tu</v>
      </c>
      <c r="R127" s="5" t="str">
        <f t="shared" si="8"/>
        <v>We</v>
      </c>
      <c r="S127" s="5" t="str">
        <f t="shared" si="8"/>
        <v>Th</v>
      </c>
      <c r="T127" s="5" t="str">
        <f t="shared" si="8"/>
        <v>Fr</v>
      </c>
      <c r="U127" s="5" t="str">
        <f t="shared" si="8"/>
        <v>Sa</v>
      </c>
      <c r="V127" s="5" t="str">
        <f t="shared" si="8"/>
        <v>Su</v>
      </c>
      <c r="W127" s="5" t="str">
        <f t="shared" si="8"/>
        <v>Mo</v>
      </c>
      <c r="X127" s="5" t="str">
        <f t="shared" si="8"/>
        <v>Tu</v>
      </c>
      <c r="Y127" s="5" t="str">
        <f t="shared" si="8"/>
        <v>We</v>
      </c>
      <c r="Z127" s="5" t="str">
        <f t="shared" si="8"/>
        <v>Th</v>
      </c>
      <c r="AA127" s="5" t="str">
        <f t="shared" si="8"/>
        <v>Fr</v>
      </c>
      <c r="AB127" s="5" t="str">
        <f t="shared" si="8"/>
        <v>Sa</v>
      </c>
      <c r="AC127" s="5" t="str">
        <f t="shared" si="8"/>
        <v>Su</v>
      </c>
      <c r="AD127" s="5" t="str">
        <f t="shared" si="8"/>
        <v>Mo</v>
      </c>
      <c r="AE127" s="5" t="str">
        <f t="shared" si="8"/>
        <v>Tu</v>
      </c>
      <c r="AF127" s="5" t="str">
        <f t="shared" si="8"/>
        <v>We</v>
      </c>
      <c r="AG127" s="5" t="str">
        <f t="shared" si="8"/>
        <v>Th</v>
      </c>
      <c r="AH127" s="5" t="str">
        <f t="shared" si="8"/>
        <v>Fr</v>
      </c>
    </row>
    <row r="128" spans="2:34">
      <c r="B128" s="91"/>
      <c r="C128" s="87" t="s">
        <v>15</v>
      </c>
      <c r="D128" s="88">
        <v>1</v>
      </c>
      <c r="E128" s="88">
        <v>2</v>
      </c>
      <c r="F128" s="88">
        <v>3</v>
      </c>
      <c r="G128" s="88">
        <v>4</v>
      </c>
      <c r="H128" s="88">
        <v>5</v>
      </c>
      <c r="I128" s="88">
        <v>6</v>
      </c>
      <c r="J128" s="88">
        <v>7</v>
      </c>
      <c r="K128" s="88">
        <v>8</v>
      </c>
      <c r="L128" s="88">
        <v>9</v>
      </c>
      <c r="M128" s="88">
        <v>10</v>
      </c>
      <c r="N128" s="88">
        <v>11</v>
      </c>
      <c r="O128" s="88">
        <v>12</v>
      </c>
      <c r="P128" s="88">
        <v>13</v>
      </c>
      <c r="Q128" s="88">
        <v>14</v>
      </c>
      <c r="R128" s="88">
        <v>15</v>
      </c>
      <c r="S128" s="88">
        <v>16</v>
      </c>
      <c r="T128" s="88">
        <v>17</v>
      </c>
      <c r="U128" s="88">
        <v>18</v>
      </c>
      <c r="V128" s="88">
        <v>19</v>
      </c>
      <c r="W128" s="88">
        <v>20</v>
      </c>
      <c r="X128" s="88">
        <v>21</v>
      </c>
      <c r="Y128" s="88">
        <v>22</v>
      </c>
      <c r="Z128" s="88">
        <v>23</v>
      </c>
      <c r="AA128" s="88">
        <v>24</v>
      </c>
      <c r="AB128" s="88">
        <v>25</v>
      </c>
      <c r="AC128" s="88">
        <v>26</v>
      </c>
      <c r="AD128" s="88">
        <v>27</v>
      </c>
      <c r="AE128" s="88">
        <v>28</v>
      </c>
      <c r="AF128" s="88">
        <v>29</v>
      </c>
      <c r="AG128" s="88">
        <v>30</v>
      </c>
      <c r="AH128" s="88">
        <v>31</v>
      </c>
    </row>
    <row r="129" spans="2:34">
      <c r="B129" s="86">
        <v>1</v>
      </c>
      <c r="C129" s="92" t="str">
        <f>LEFT(EmpGName01)&amp;" " &amp; EmpSName01</f>
        <v>L Marampon</v>
      </c>
      <c r="D129" s="4"/>
      <c r="E129" s="4"/>
      <c r="F129" s="85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</row>
    <row r="130" spans="2:34">
      <c r="B130" s="86">
        <v>2</v>
      </c>
      <c r="C130" s="93" t="str">
        <f>LEFT(EmpGName02)&amp;" " &amp;EmpSName02</f>
        <v>K Stone</v>
      </c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2:34">
      <c r="B131" s="86">
        <v>3</v>
      </c>
      <c r="C131" s="92" t="str">
        <f>LEFT(EmpGName03)&amp;" " &amp;EmpSName03</f>
        <v>I Thelning</v>
      </c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</row>
    <row r="132" spans="2:34">
      <c r="B132" s="86">
        <v>4</v>
      </c>
      <c r="C132" s="93" t="str">
        <f>LEFT(EmpGName04)&amp;" " &amp;EmpSName04</f>
        <v>L King</v>
      </c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2:34">
      <c r="B133" s="86">
        <v>5</v>
      </c>
      <c r="C133" s="92" t="str">
        <f>LEFT(EmpGName05)&amp;" " &amp;EmpSName05</f>
        <v>D Castle</v>
      </c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</row>
    <row r="134" spans="2:34">
      <c r="B134" s="86">
        <v>6</v>
      </c>
      <c r="C134" s="93" t="str">
        <f>LEFT(EmpGName06)&amp;" " &amp;EmpSName06</f>
        <v>T Sorensen</v>
      </c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2:34">
      <c r="B135" s="86">
        <v>7</v>
      </c>
      <c r="C135" s="92" t="str">
        <f>LEFT(EmpGName07)&amp;" " &amp;EmpSName07</f>
        <v>R Fielding</v>
      </c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</row>
    <row r="136" spans="2:34">
      <c r="B136" s="86">
        <v>8</v>
      </c>
      <c r="C136" s="93" t="str">
        <f>LEFT(EmpGName08)&amp;" " &amp;EmpSName08</f>
        <v>F Flannery</v>
      </c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2:34">
      <c r="B137" s="86">
        <v>9</v>
      </c>
      <c r="C137" s="92" t="str">
        <f>LEFT(EmpGName09)&amp;" " &amp;EmpSName09</f>
        <v>P Hogan</v>
      </c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</row>
    <row r="138" spans="2:34">
      <c r="B138" s="168">
        <v>10</v>
      </c>
      <c r="C138" s="94" t="str">
        <f>LEFT(EmpGName10)&amp;" " &amp;EmpSName10</f>
        <v>J Stretton</v>
      </c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</row>
    <row r="139" spans="2:34">
      <c r="B139" s="168">
        <v>11</v>
      </c>
      <c r="C139" s="92" t="str">
        <f>LEFT(EmpGName11)&amp;" " &amp;EmpSName11</f>
        <v>M Rowe</v>
      </c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</row>
    <row r="140" spans="2:34">
      <c r="B140" s="168">
        <v>12</v>
      </c>
      <c r="C140" s="94" t="str">
        <f>LEFT(EmpGName12)&amp;" " &amp;EmpSName12</f>
        <v>J Stevens</v>
      </c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</row>
    <row r="141" spans="2:34">
      <c r="B141" s="74"/>
      <c r="C141" s="75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</row>
    <row r="142" spans="2:34">
      <c r="C142" t="str">
        <f>CurYear&amp;":"</f>
        <v>2017:</v>
      </c>
      <c r="D142" s="5" t="str">
        <f>LEFT(TEXT(D143&amp;"-"&amp;$C143&amp;"-"&amp;$B$4,"ddd"),2)</f>
        <v>Sa</v>
      </c>
      <c r="E142" s="5" t="str">
        <f t="shared" ref="E142:AG142" si="9">LEFT(TEXT(E143&amp;"-"&amp;$C143&amp;"-"&amp;$B$4,"ddd"),2)</f>
        <v>Su</v>
      </c>
      <c r="F142" s="5" t="str">
        <f t="shared" si="9"/>
        <v>Mo</v>
      </c>
      <c r="G142" s="5" t="str">
        <f t="shared" si="9"/>
        <v>Tu</v>
      </c>
      <c r="H142" s="5" t="str">
        <f t="shared" si="9"/>
        <v>We</v>
      </c>
      <c r="I142" s="5" t="str">
        <f t="shared" si="9"/>
        <v>Th</v>
      </c>
      <c r="J142" s="5" t="str">
        <f t="shared" si="9"/>
        <v>Fr</v>
      </c>
      <c r="K142" s="5" t="str">
        <f t="shared" si="9"/>
        <v>Sa</v>
      </c>
      <c r="L142" s="5" t="str">
        <f t="shared" si="9"/>
        <v>Su</v>
      </c>
      <c r="M142" s="5" t="str">
        <f t="shared" si="9"/>
        <v>Mo</v>
      </c>
      <c r="N142" s="5" t="str">
        <f t="shared" si="9"/>
        <v>Tu</v>
      </c>
      <c r="O142" s="5" t="str">
        <f t="shared" si="9"/>
        <v>We</v>
      </c>
      <c r="P142" s="5" t="str">
        <f t="shared" si="9"/>
        <v>Th</v>
      </c>
      <c r="Q142" s="5" t="str">
        <f t="shared" si="9"/>
        <v>Fr</v>
      </c>
      <c r="R142" s="5" t="str">
        <f t="shared" si="9"/>
        <v>Sa</v>
      </c>
      <c r="S142" s="5" t="str">
        <f t="shared" si="9"/>
        <v>Su</v>
      </c>
      <c r="T142" s="5" t="str">
        <f t="shared" si="9"/>
        <v>Mo</v>
      </c>
      <c r="U142" s="5" t="str">
        <f t="shared" si="9"/>
        <v>Tu</v>
      </c>
      <c r="V142" s="5" t="str">
        <f t="shared" si="9"/>
        <v>We</v>
      </c>
      <c r="W142" s="5" t="str">
        <f t="shared" si="9"/>
        <v>Th</v>
      </c>
      <c r="X142" s="5" t="str">
        <f t="shared" si="9"/>
        <v>Fr</v>
      </c>
      <c r="Y142" s="5" t="str">
        <f t="shared" si="9"/>
        <v>Sa</v>
      </c>
      <c r="Z142" s="5" t="str">
        <f t="shared" si="9"/>
        <v>Su</v>
      </c>
      <c r="AA142" s="5" t="str">
        <f t="shared" si="9"/>
        <v>Mo</v>
      </c>
      <c r="AB142" s="5" t="str">
        <f t="shared" si="9"/>
        <v>Tu</v>
      </c>
      <c r="AC142" s="5" t="str">
        <f t="shared" si="9"/>
        <v>We</v>
      </c>
      <c r="AD142" s="5" t="str">
        <f t="shared" si="9"/>
        <v>Th</v>
      </c>
      <c r="AE142" s="5" t="str">
        <f t="shared" si="9"/>
        <v>Fr</v>
      </c>
      <c r="AF142" s="5" t="str">
        <f t="shared" si="9"/>
        <v>Sa</v>
      </c>
      <c r="AG142" s="5" t="str">
        <f t="shared" si="9"/>
        <v>Su</v>
      </c>
      <c r="AH142" s="1"/>
    </row>
    <row r="143" spans="2:34">
      <c r="B143" s="90"/>
      <c r="C143" s="87" t="s">
        <v>16</v>
      </c>
      <c r="D143" s="88">
        <v>1</v>
      </c>
      <c r="E143" s="88">
        <v>2</v>
      </c>
      <c r="F143" s="88">
        <v>3</v>
      </c>
      <c r="G143" s="88">
        <v>4</v>
      </c>
      <c r="H143" s="88">
        <v>5</v>
      </c>
      <c r="I143" s="88">
        <v>6</v>
      </c>
      <c r="J143" s="88">
        <v>7</v>
      </c>
      <c r="K143" s="88">
        <v>8</v>
      </c>
      <c r="L143" s="88">
        <v>9</v>
      </c>
      <c r="M143" s="88">
        <v>10</v>
      </c>
      <c r="N143" s="88">
        <v>11</v>
      </c>
      <c r="O143" s="88">
        <v>12</v>
      </c>
      <c r="P143" s="88">
        <v>13</v>
      </c>
      <c r="Q143" s="88">
        <v>14</v>
      </c>
      <c r="R143" s="88">
        <v>15</v>
      </c>
      <c r="S143" s="88">
        <v>16</v>
      </c>
      <c r="T143" s="88">
        <v>17</v>
      </c>
      <c r="U143" s="88">
        <v>18</v>
      </c>
      <c r="V143" s="88">
        <v>19</v>
      </c>
      <c r="W143" s="88">
        <v>20</v>
      </c>
      <c r="X143" s="88">
        <v>21</v>
      </c>
      <c r="Y143" s="88">
        <v>22</v>
      </c>
      <c r="Z143" s="88">
        <v>23</v>
      </c>
      <c r="AA143" s="88">
        <v>24</v>
      </c>
      <c r="AB143" s="88">
        <v>25</v>
      </c>
      <c r="AC143" s="88">
        <v>26</v>
      </c>
      <c r="AD143" s="88">
        <v>27</v>
      </c>
      <c r="AE143" s="88">
        <v>28</v>
      </c>
      <c r="AF143" s="88">
        <v>29</v>
      </c>
      <c r="AG143" s="88">
        <v>30</v>
      </c>
      <c r="AH143" s="95"/>
    </row>
    <row r="144" spans="2:34">
      <c r="B144" s="86">
        <v>1</v>
      </c>
      <c r="C144" s="92" t="str">
        <f>LEFT(EmpGName01)&amp;" " &amp; EmpSName01</f>
        <v>L Marampon</v>
      </c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8"/>
    </row>
    <row r="145" spans="2:34">
      <c r="B145" s="86">
        <v>2</v>
      </c>
      <c r="C145" s="93" t="str">
        <f>LEFT(EmpGName02)&amp;" " &amp;EmpSName02</f>
        <v>K Stone</v>
      </c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8"/>
    </row>
    <row r="146" spans="2:34">
      <c r="B146" s="86">
        <v>3</v>
      </c>
      <c r="C146" s="92" t="str">
        <f>LEFT(EmpGName03)&amp;" " &amp;EmpSName03</f>
        <v>I Thelning</v>
      </c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8"/>
    </row>
    <row r="147" spans="2:34">
      <c r="B147" s="86">
        <v>4</v>
      </c>
      <c r="C147" s="93" t="str">
        <f>LEFT(EmpGName04)&amp;" " &amp;EmpSName04</f>
        <v>L King</v>
      </c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8"/>
    </row>
    <row r="148" spans="2:34">
      <c r="B148" s="86">
        <v>5</v>
      </c>
      <c r="C148" s="92" t="str">
        <f>LEFT(EmpGName05)&amp;" " &amp;EmpSName05</f>
        <v>D Castle</v>
      </c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8"/>
    </row>
    <row r="149" spans="2:34">
      <c r="B149" s="86">
        <v>6</v>
      </c>
      <c r="C149" s="93" t="str">
        <f>LEFT(EmpGName06)&amp;" " &amp;EmpSName06</f>
        <v>T Sorensen</v>
      </c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8"/>
    </row>
    <row r="150" spans="2:34">
      <c r="B150" s="86">
        <v>7</v>
      </c>
      <c r="C150" s="92" t="str">
        <f>LEFT(EmpGName07)&amp;" " &amp;EmpSName07</f>
        <v>R Fielding</v>
      </c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8"/>
    </row>
    <row r="151" spans="2:34">
      <c r="B151" s="86">
        <v>8</v>
      </c>
      <c r="C151" s="93" t="str">
        <f>LEFT(EmpGName08)&amp;" " &amp;EmpSName08</f>
        <v>F Flannery</v>
      </c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8"/>
    </row>
    <row r="152" spans="2:34">
      <c r="B152" s="86">
        <v>9</v>
      </c>
      <c r="C152" s="92" t="str">
        <f>LEFT(EmpGName09)&amp;" " &amp;EmpSName09</f>
        <v>P Hogan</v>
      </c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8"/>
    </row>
    <row r="153" spans="2:34">
      <c r="B153" s="168">
        <v>10</v>
      </c>
      <c r="C153" s="93" t="str">
        <f>LEFT(EmpGName10)&amp;" " &amp;EmpSName10</f>
        <v>J Stretton</v>
      </c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77"/>
    </row>
    <row r="154" spans="2:34">
      <c r="B154" s="168">
        <v>11</v>
      </c>
      <c r="C154" s="92" t="str">
        <f>LEFT(EmpGName11)&amp;" " &amp;EmpSName11</f>
        <v>M Rowe</v>
      </c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77"/>
    </row>
    <row r="155" spans="2:34">
      <c r="B155" s="168">
        <v>12</v>
      </c>
      <c r="C155" s="93" t="str">
        <f>LEFT(EmpGName12)&amp;" " &amp;EmpSName12</f>
        <v>J Stevens</v>
      </c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77"/>
    </row>
    <row r="156" spans="2:34">
      <c r="AH156" s="2"/>
    </row>
    <row r="157" spans="2:34">
      <c r="C157" t="str">
        <f>CurYear&amp;":"</f>
        <v>2017:</v>
      </c>
      <c r="D157" s="5" t="str">
        <f>LEFT(TEXT(D158&amp;"-"&amp;$C158&amp;"-"&amp; CurYear,"ddd"),2)</f>
        <v>Mo</v>
      </c>
      <c r="E157" s="5" t="str">
        <f t="shared" ref="E157:AH157" si="10">LEFT(TEXT(E158&amp;"-"&amp;$C158&amp;"-"&amp; CurYear,"ddd"),2)</f>
        <v>Tu</v>
      </c>
      <c r="F157" s="5" t="str">
        <f t="shared" si="10"/>
        <v>We</v>
      </c>
      <c r="G157" s="5" t="str">
        <f t="shared" si="10"/>
        <v>Th</v>
      </c>
      <c r="H157" s="5" t="str">
        <f t="shared" si="10"/>
        <v>Fr</v>
      </c>
      <c r="I157" s="5" t="str">
        <f t="shared" si="10"/>
        <v>Sa</v>
      </c>
      <c r="J157" s="5" t="str">
        <f t="shared" si="10"/>
        <v>Su</v>
      </c>
      <c r="K157" s="5" t="str">
        <f t="shared" si="10"/>
        <v>Mo</v>
      </c>
      <c r="L157" s="5" t="str">
        <f t="shared" si="10"/>
        <v>Tu</v>
      </c>
      <c r="M157" s="5" t="str">
        <f t="shared" si="10"/>
        <v>We</v>
      </c>
      <c r="N157" s="5" t="str">
        <f t="shared" si="10"/>
        <v>Th</v>
      </c>
      <c r="O157" s="5" t="str">
        <f t="shared" si="10"/>
        <v>Fr</v>
      </c>
      <c r="P157" s="5" t="str">
        <f t="shared" si="10"/>
        <v>Sa</v>
      </c>
      <c r="Q157" s="5" t="str">
        <f t="shared" si="10"/>
        <v>Su</v>
      </c>
      <c r="R157" s="5" t="str">
        <f t="shared" si="10"/>
        <v>Mo</v>
      </c>
      <c r="S157" s="5" t="str">
        <f t="shared" si="10"/>
        <v>Tu</v>
      </c>
      <c r="T157" s="5" t="str">
        <f t="shared" si="10"/>
        <v>We</v>
      </c>
      <c r="U157" s="5" t="str">
        <f t="shared" si="10"/>
        <v>Th</v>
      </c>
      <c r="V157" s="5" t="str">
        <f t="shared" si="10"/>
        <v>Fr</v>
      </c>
      <c r="W157" s="5" t="str">
        <f t="shared" si="10"/>
        <v>Sa</v>
      </c>
      <c r="X157" s="5" t="str">
        <f t="shared" si="10"/>
        <v>Su</v>
      </c>
      <c r="Y157" s="5" t="str">
        <f t="shared" si="10"/>
        <v>Mo</v>
      </c>
      <c r="Z157" s="5" t="str">
        <f t="shared" si="10"/>
        <v>Tu</v>
      </c>
      <c r="AA157" s="5" t="str">
        <f t="shared" si="10"/>
        <v>We</v>
      </c>
      <c r="AB157" s="5" t="str">
        <f t="shared" si="10"/>
        <v>Th</v>
      </c>
      <c r="AC157" s="5" t="str">
        <f t="shared" si="10"/>
        <v>Fr</v>
      </c>
      <c r="AD157" s="5" t="str">
        <f t="shared" si="10"/>
        <v>Sa</v>
      </c>
      <c r="AE157" s="5" t="str">
        <f t="shared" si="10"/>
        <v>Su</v>
      </c>
      <c r="AF157" s="5" t="str">
        <f t="shared" si="10"/>
        <v>Mo</v>
      </c>
      <c r="AG157" s="5" t="str">
        <f t="shared" si="10"/>
        <v>Tu</v>
      </c>
      <c r="AH157" s="5" t="str">
        <f t="shared" si="10"/>
        <v>We</v>
      </c>
    </row>
    <row r="158" spans="2:34">
      <c r="B158" s="91"/>
      <c r="C158" s="87" t="s">
        <v>17</v>
      </c>
      <c r="D158" s="88">
        <v>1</v>
      </c>
      <c r="E158" s="88">
        <v>2</v>
      </c>
      <c r="F158" s="88">
        <v>3</v>
      </c>
      <c r="G158" s="88">
        <v>4</v>
      </c>
      <c r="H158" s="88">
        <v>5</v>
      </c>
      <c r="I158" s="88">
        <v>6</v>
      </c>
      <c r="J158" s="88">
        <v>7</v>
      </c>
      <c r="K158" s="88">
        <v>8</v>
      </c>
      <c r="L158" s="88">
        <v>9</v>
      </c>
      <c r="M158" s="88">
        <v>10</v>
      </c>
      <c r="N158" s="88">
        <v>11</v>
      </c>
      <c r="O158" s="88">
        <v>12</v>
      </c>
      <c r="P158" s="88">
        <v>13</v>
      </c>
      <c r="Q158" s="88">
        <v>14</v>
      </c>
      <c r="R158" s="88">
        <v>15</v>
      </c>
      <c r="S158" s="88">
        <v>16</v>
      </c>
      <c r="T158" s="88">
        <v>17</v>
      </c>
      <c r="U158" s="88">
        <v>18</v>
      </c>
      <c r="V158" s="88">
        <v>19</v>
      </c>
      <c r="W158" s="88">
        <v>20</v>
      </c>
      <c r="X158" s="88">
        <v>21</v>
      </c>
      <c r="Y158" s="88">
        <v>22</v>
      </c>
      <c r="Z158" s="88">
        <v>23</v>
      </c>
      <c r="AA158" s="88">
        <v>24</v>
      </c>
      <c r="AB158" s="88">
        <v>25</v>
      </c>
      <c r="AC158" s="88">
        <v>26</v>
      </c>
      <c r="AD158" s="88">
        <v>27</v>
      </c>
      <c r="AE158" s="88">
        <v>28</v>
      </c>
      <c r="AF158" s="88">
        <v>29</v>
      </c>
      <c r="AG158" s="88">
        <v>30</v>
      </c>
      <c r="AH158" s="88">
        <v>31</v>
      </c>
    </row>
    <row r="159" spans="2:34">
      <c r="B159" s="88">
        <v>1</v>
      </c>
      <c r="C159" s="92" t="str">
        <f>LEFT(EmpGName01)&amp;" " &amp; EmpSName01</f>
        <v>L Marampon</v>
      </c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</row>
    <row r="160" spans="2:34">
      <c r="B160" s="88">
        <v>2</v>
      </c>
      <c r="C160" s="93" t="str">
        <f>LEFT(EmpGName02)&amp;" " &amp;EmpSName02</f>
        <v>K Stone</v>
      </c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2:34">
      <c r="B161" s="88">
        <v>3</v>
      </c>
      <c r="C161" s="92" t="str">
        <f>LEFT(EmpGName03)&amp;" " &amp;EmpSName03</f>
        <v>I Thelning</v>
      </c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</row>
    <row r="162" spans="2:34">
      <c r="B162" s="88">
        <v>4</v>
      </c>
      <c r="C162" s="93" t="str">
        <f>LEFT(EmpGName04)&amp;" " &amp;EmpSName04</f>
        <v>L King</v>
      </c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2:34">
      <c r="B163" s="88">
        <v>5</v>
      </c>
      <c r="C163" s="92" t="str">
        <f>LEFT(EmpGName05)&amp;" " &amp;EmpSName05</f>
        <v>D Castle</v>
      </c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</row>
    <row r="164" spans="2:34">
      <c r="B164" s="88">
        <v>6</v>
      </c>
      <c r="C164" s="93" t="str">
        <f>LEFT(EmpGName06)&amp;" " &amp;EmpSName06</f>
        <v>T Sorensen</v>
      </c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2:34">
      <c r="B165" s="88">
        <v>7</v>
      </c>
      <c r="C165" s="92" t="str">
        <f>LEFT(EmpGName07)&amp;" " &amp;EmpSName07</f>
        <v>R Fielding</v>
      </c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</row>
    <row r="166" spans="2:34">
      <c r="B166" s="88">
        <v>8</v>
      </c>
      <c r="C166" s="93" t="str">
        <f>LEFT(EmpGName08)&amp;" " &amp;EmpSName08</f>
        <v>F Flannery</v>
      </c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2:34">
      <c r="B167" s="88">
        <v>9</v>
      </c>
      <c r="C167" s="92" t="str">
        <f>LEFT(EmpGName09)&amp;" " &amp;EmpSName09</f>
        <v>P Hogan</v>
      </c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</row>
    <row r="168" spans="2:34">
      <c r="B168" s="167">
        <v>10</v>
      </c>
      <c r="C168" s="93" t="str">
        <f>LEFT(EmpGName10)&amp;" " &amp;EmpSName10</f>
        <v>J Stretton</v>
      </c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2:34">
      <c r="B169" s="167">
        <v>11</v>
      </c>
      <c r="C169" s="92" t="str">
        <f>LEFT(EmpGName11)&amp;" " &amp;EmpSName11</f>
        <v>M Rowe</v>
      </c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2:34">
      <c r="B170" s="167">
        <v>12</v>
      </c>
      <c r="C170" s="93" t="str">
        <f>LEFT(EmpGName12)&amp;" " &amp;EmpSName12</f>
        <v>J Stevens</v>
      </c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2" spans="2:34">
      <c r="C172" t="str">
        <f>CurYear&amp;":"</f>
        <v>2017:</v>
      </c>
      <c r="D172" s="5" t="str">
        <f>LEFT(TEXT(D173&amp;"-"&amp;$C173&amp;"-"&amp;CurYear,"ddd"),2)</f>
        <v>Th</v>
      </c>
      <c r="E172" s="5" t="str">
        <f t="shared" ref="E172:AG172" si="11">LEFT(TEXT(E173&amp;"-"&amp;$C173&amp;"-"&amp;CurYear,"ddd"),2)</f>
        <v>Fr</v>
      </c>
      <c r="F172" s="5" t="str">
        <f t="shared" si="11"/>
        <v>Sa</v>
      </c>
      <c r="G172" s="5" t="str">
        <f t="shared" si="11"/>
        <v>Su</v>
      </c>
      <c r="H172" s="5" t="str">
        <f t="shared" si="11"/>
        <v>Mo</v>
      </c>
      <c r="I172" s="5" t="str">
        <f t="shared" si="11"/>
        <v>Tu</v>
      </c>
      <c r="J172" s="5" t="str">
        <f t="shared" si="11"/>
        <v>We</v>
      </c>
      <c r="K172" s="5" t="str">
        <f t="shared" si="11"/>
        <v>Th</v>
      </c>
      <c r="L172" s="5" t="str">
        <f t="shared" si="11"/>
        <v>Fr</v>
      </c>
      <c r="M172" s="5" t="str">
        <f t="shared" si="11"/>
        <v>Sa</v>
      </c>
      <c r="N172" s="5" t="str">
        <f t="shared" si="11"/>
        <v>Su</v>
      </c>
      <c r="O172" s="5" t="str">
        <f t="shared" si="11"/>
        <v>Mo</v>
      </c>
      <c r="P172" s="5" t="str">
        <f t="shared" si="11"/>
        <v>Tu</v>
      </c>
      <c r="Q172" s="5" t="str">
        <f t="shared" si="11"/>
        <v>We</v>
      </c>
      <c r="R172" s="5" t="str">
        <f t="shared" si="11"/>
        <v>Th</v>
      </c>
      <c r="S172" s="5" t="str">
        <f t="shared" si="11"/>
        <v>Fr</v>
      </c>
      <c r="T172" s="5" t="str">
        <f t="shared" si="11"/>
        <v>Sa</v>
      </c>
      <c r="U172" s="5" t="str">
        <f t="shared" si="11"/>
        <v>Su</v>
      </c>
      <c r="V172" s="5" t="str">
        <f t="shared" si="11"/>
        <v>Mo</v>
      </c>
      <c r="W172" s="5" t="str">
        <f t="shared" si="11"/>
        <v>Tu</v>
      </c>
      <c r="X172" s="5" t="str">
        <f t="shared" si="11"/>
        <v>We</v>
      </c>
      <c r="Y172" s="5" t="str">
        <f t="shared" si="11"/>
        <v>Th</v>
      </c>
      <c r="Z172" s="5" t="str">
        <f t="shared" si="11"/>
        <v>Fr</v>
      </c>
      <c r="AA172" s="5" t="str">
        <f t="shared" si="11"/>
        <v>Sa</v>
      </c>
      <c r="AB172" s="5" t="str">
        <f t="shared" si="11"/>
        <v>Su</v>
      </c>
      <c r="AC172" s="5" t="str">
        <f t="shared" si="11"/>
        <v>Mo</v>
      </c>
      <c r="AD172" s="5" t="str">
        <f t="shared" si="11"/>
        <v>Tu</v>
      </c>
      <c r="AE172" s="5" t="str">
        <f t="shared" si="11"/>
        <v>We</v>
      </c>
      <c r="AF172" s="5" t="str">
        <f t="shared" si="11"/>
        <v>Th</v>
      </c>
      <c r="AG172" s="5" t="str">
        <f t="shared" si="11"/>
        <v>Fr</v>
      </c>
      <c r="AH172" s="5"/>
    </row>
    <row r="173" spans="2:34">
      <c r="B173" s="91"/>
      <c r="C173" s="87" t="s">
        <v>18</v>
      </c>
      <c r="D173" s="88">
        <v>1</v>
      </c>
      <c r="E173" s="88">
        <v>2</v>
      </c>
      <c r="F173" s="88">
        <v>3</v>
      </c>
      <c r="G173" s="88">
        <v>4</v>
      </c>
      <c r="H173" s="88">
        <v>5</v>
      </c>
      <c r="I173" s="88">
        <v>6</v>
      </c>
      <c r="J173" s="88">
        <v>7</v>
      </c>
      <c r="K173" s="88">
        <v>8</v>
      </c>
      <c r="L173" s="88">
        <v>9</v>
      </c>
      <c r="M173" s="88">
        <v>10</v>
      </c>
      <c r="N173" s="88">
        <v>11</v>
      </c>
      <c r="O173" s="88">
        <v>12</v>
      </c>
      <c r="P173" s="88">
        <v>13</v>
      </c>
      <c r="Q173" s="88">
        <v>14</v>
      </c>
      <c r="R173" s="88">
        <v>15</v>
      </c>
      <c r="S173" s="88">
        <v>16</v>
      </c>
      <c r="T173" s="88">
        <v>17</v>
      </c>
      <c r="U173" s="88">
        <v>18</v>
      </c>
      <c r="V173" s="88">
        <v>19</v>
      </c>
      <c r="W173" s="88">
        <v>20</v>
      </c>
      <c r="X173" s="88">
        <v>21</v>
      </c>
      <c r="Y173" s="88">
        <v>22</v>
      </c>
      <c r="Z173" s="88">
        <v>23</v>
      </c>
      <c r="AA173" s="88">
        <v>24</v>
      </c>
      <c r="AB173" s="88">
        <v>25</v>
      </c>
      <c r="AC173" s="88">
        <v>26</v>
      </c>
      <c r="AD173" s="88">
        <v>27</v>
      </c>
      <c r="AE173" s="88">
        <v>28</v>
      </c>
      <c r="AF173" s="88">
        <v>29</v>
      </c>
      <c r="AG173" s="88">
        <v>30</v>
      </c>
      <c r="AH173" s="95"/>
    </row>
    <row r="174" spans="2:34">
      <c r="B174" s="88">
        <v>1</v>
      </c>
      <c r="C174" s="92" t="str">
        <f>LEFT(EmpGName01)&amp;" " &amp; EmpSName01</f>
        <v>L Marampon</v>
      </c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8"/>
    </row>
    <row r="175" spans="2:34">
      <c r="B175" s="88">
        <v>2</v>
      </c>
      <c r="C175" s="93" t="str">
        <f>LEFT(EmpGName02)&amp;" " &amp;EmpSName02</f>
        <v>K Stone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8"/>
    </row>
    <row r="176" spans="2:34">
      <c r="B176" s="88">
        <v>3</v>
      </c>
      <c r="C176" s="92" t="str">
        <f>LEFT(EmpGName03)&amp;" " &amp;EmpSName03</f>
        <v>I Thelning</v>
      </c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8"/>
    </row>
    <row r="177" spans="2:34">
      <c r="B177" s="88">
        <v>4</v>
      </c>
      <c r="C177" s="93" t="str">
        <f>LEFT(EmpGName04)&amp;" " &amp;EmpSName04</f>
        <v>L King</v>
      </c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8"/>
    </row>
    <row r="178" spans="2:34">
      <c r="B178" s="88">
        <v>5</v>
      </c>
      <c r="C178" s="92" t="str">
        <f>LEFT(EmpGName05)&amp;" " &amp;EmpSName05</f>
        <v>D Castle</v>
      </c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8"/>
    </row>
    <row r="179" spans="2:34">
      <c r="B179" s="88">
        <v>6</v>
      </c>
      <c r="C179" s="93" t="str">
        <f>LEFT(EmpGName06)&amp;" " &amp;EmpSName06</f>
        <v>T Sorensen</v>
      </c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8"/>
    </row>
    <row r="180" spans="2:34">
      <c r="B180" s="88">
        <v>7</v>
      </c>
      <c r="C180" s="92" t="str">
        <f>LEFT(EmpGName07)&amp;" " &amp;EmpSName07</f>
        <v>R Fielding</v>
      </c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8"/>
    </row>
    <row r="181" spans="2:34">
      <c r="B181" s="88">
        <v>8</v>
      </c>
      <c r="C181" s="93" t="str">
        <f>LEFT(EmpGName08)&amp;" " &amp;EmpSName08</f>
        <v>F Flannery</v>
      </c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8"/>
    </row>
    <row r="182" spans="2:34">
      <c r="B182" s="88">
        <v>9</v>
      </c>
      <c r="C182" s="92" t="str">
        <f>LEFT(EmpGName09)&amp;" " &amp;EmpSName09</f>
        <v>P Hogan</v>
      </c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8"/>
    </row>
    <row r="183" spans="2:34">
      <c r="B183" s="167">
        <v>10</v>
      </c>
      <c r="C183" s="93" t="str">
        <f>LEFT(EmpGName10)&amp;" " &amp;EmpSName10</f>
        <v>J Stretton</v>
      </c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77"/>
    </row>
    <row r="184" spans="2:34">
      <c r="B184" s="167">
        <v>11</v>
      </c>
      <c r="C184" s="92" t="str">
        <f>LEFT(EmpGName11)&amp;" " &amp;EmpSName11</f>
        <v>M Rowe</v>
      </c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77"/>
    </row>
    <row r="185" spans="2:34">
      <c r="B185" s="167">
        <v>12</v>
      </c>
      <c r="C185" s="93" t="str">
        <f>LEFT(EmpGName12)&amp;" " &amp;EmpSName12</f>
        <v>J Stevens</v>
      </c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77"/>
    </row>
  </sheetData>
  <sheetProtection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9:AH20 D24:AH35 D39:AG50 D54:AH65 D69:AG80 D84:AH95 D99:AH110 D114:AF125 D129:AH140 D144:AG155 D159:AH170 D174:AG185">
    <cfRule type="cellIs" dxfId="5" priority="2" operator="equal">
      <formula>"AL"</formula>
    </cfRule>
    <cfRule type="cellIs" dxfId="4" priority="3" operator="equal">
      <formula>"NA"</formula>
    </cfRule>
    <cfRule type="cellIs" dxfId="3" priority="4" operator="equal">
      <formula>"SL"</formula>
    </cfRule>
    <cfRule type="cellIs" dxfId="2" priority="6" operator="equal">
      <formula>"RO"</formula>
    </cfRule>
    <cfRule type="cellIs" dxfId="1" priority="7" operator="equal">
      <formula>"H"</formula>
    </cfRule>
  </conditionalFormatting>
  <conditionalFormatting sqref="D7:AH7 D22:AH22 D37:AG37 D52:AH52 D67:AG67 D82:AH82 D97:AH97 D112:AF112 D127:AH127 D142:AG142 D157:AH157 D172:AG172">
    <cfRule type="cellIs" dxfId="0" priority="1" stopIfTrue="1" operator="equal">
      <formula>"Tu"</formula>
    </cfRule>
  </conditionalFormatting>
  <dataValidations count="4">
    <dataValidation type="list" allowBlank="1" showInputMessage="1" showErrorMessage="1" sqref="AH144:AH155 AH174:AH185 AG114:AH126">
      <formula1>Shifts</formula1>
    </dataValidation>
    <dataValidation type="list" allowBlank="1" showInputMessage="1" showErrorMessage="1" errorTitle="Invalid Entry" error="Entry can be D,A,N,RO,SL,AL or blank only!" sqref="D141:AH141">
      <formula1>Shifts</formula1>
    </dataValidation>
    <dataValidation type="list" allowBlank="1" showDropDown="1" showInputMessage="1" showErrorMessage="1" sqref="D126:AF126 D111:AH111">
      <formula1>Shifts</formula1>
    </dataValidation>
    <dataValidation type="list" allowBlank="1" showDropDown="1" showInputMessage="1" showErrorMessage="1" errorTitle="Invalid Entry" error="Entry can be D,A,N,H,RO,SL,AL,NA or blank only!" sqref="D99:AH110 D114:AF125 D129:AH140 D144:AG155 D159:AH170 D174:AG185 D9:AH20 D24:AH35 D39:AG50 D54:AH65 D69:AG80 D84:AH95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autoLine="0" r:id="rId6">
            <anchor moveWithCells="1">
              <from>
                <xdr:col>21</xdr:col>
                <xdr:colOff>0</xdr:colOff>
                <xdr:row>4</xdr:row>
                <xdr:rowOff>352425</xdr:rowOff>
              </from>
              <to>
                <xdr:col>26</xdr:col>
                <xdr:colOff>19050</xdr:colOff>
                <xdr:row>4</xdr:row>
                <xdr:rowOff>542925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autoLine="0" r:id="rId8">
            <anchor moveWithCells="1">
              <from>
                <xdr:col>27</xdr:col>
                <xdr:colOff>19050</xdr:colOff>
                <xdr:row>4</xdr:row>
                <xdr:rowOff>47625</xdr:rowOff>
              </from>
              <to>
                <xdr:col>33</xdr:col>
                <xdr:colOff>180975</xdr:colOff>
                <xdr:row>4</xdr:row>
                <xdr:rowOff>228600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autoLine="0" r:id="rId10">
            <anchor moveWithCells="1">
              <from>
                <xdr:col>14</xdr:col>
                <xdr:colOff>200025</xdr:colOff>
                <xdr:row>4</xdr:row>
                <xdr:rowOff>47625</xdr:rowOff>
              </from>
              <to>
                <xdr:col>17</xdr:col>
                <xdr:colOff>180975</xdr:colOff>
                <xdr:row>4</xdr:row>
                <xdr:rowOff>257175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autoLine="0" r:id="rId12">
            <anchor moveWithCells="1">
              <from>
                <xdr:col>21</xdr:col>
                <xdr:colOff>0</xdr:colOff>
                <xdr:row>4</xdr:row>
                <xdr:rowOff>47625</xdr:rowOff>
              </from>
              <to>
                <xdr:col>26</xdr:col>
                <xdr:colOff>19050</xdr:colOff>
                <xdr:row>4</xdr:row>
                <xdr:rowOff>238125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autoLine="0" r:id="rId14">
            <anchor moveWithCells="1">
              <from>
                <xdr:col>9</xdr:col>
                <xdr:colOff>95250</xdr:colOff>
                <xdr:row>4</xdr:row>
                <xdr:rowOff>47625</xdr:rowOff>
              </from>
              <to>
                <xdr:col>12</xdr:col>
                <xdr:colOff>114300</xdr:colOff>
                <xdr:row>4</xdr:row>
                <xdr:rowOff>238125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autoLine="0" r:id="rId16">
            <anchor moveWithCells="1">
              <from>
                <xdr:col>4</xdr:col>
                <xdr:colOff>95250</xdr:colOff>
                <xdr:row>4</xdr:row>
                <xdr:rowOff>352425</xdr:rowOff>
              </from>
              <to>
                <xdr:col>7</xdr:col>
                <xdr:colOff>57150</xdr:colOff>
                <xdr:row>4</xdr:row>
                <xdr:rowOff>542925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28575</xdr:colOff>
                <xdr:row>4</xdr:row>
                <xdr:rowOff>352425</xdr:rowOff>
              </from>
              <to>
                <xdr:col>3</xdr:col>
                <xdr:colOff>66675</xdr:colOff>
                <xdr:row>4</xdr:row>
                <xdr:rowOff>552450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autoLine="0" r:id="rId20">
            <anchor moveWithCells="1">
              <from>
                <xdr:col>4</xdr:col>
                <xdr:colOff>95250</xdr:colOff>
                <xdr:row>4</xdr:row>
                <xdr:rowOff>47625</xdr:rowOff>
              </from>
              <to>
                <xdr:col>7</xdr:col>
                <xdr:colOff>123825</xdr:colOff>
                <xdr:row>4</xdr:row>
                <xdr:rowOff>238125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autoLine="0" r:id="rId22">
            <anchor moveWithCells="1">
              <from>
                <xdr:col>9</xdr:col>
                <xdr:colOff>95250</xdr:colOff>
                <xdr:row>4</xdr:row>
                <xdr:rowOff>352425</xdr:rowOff>
              </from>
              <to>
                <xdr:col>15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autoLine="0" r:id="rId24">
            <anchor moveWithCells="1">
              <from>
                <xdr:col>14</xdr:col>
                <xdr:colOff>200025</xdr:colOff>
                <xdr:row>4</xdr:row>
                <xdr:rowOff>352425</xdr:rowOff>
              </from>
              <to>
                <xdr:col>20</xdr:col>
                <xdr:colOff>190500</xdr:colOff>
                <xdr:row>4</xdr:row>
                <xdr:rowOff>542925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28575</xdr:colOff>
                <xdr:row>4</xdr:row>
                <xdr:rowOff>47625</xdr:rowOff>
              </from>
              <to>
                <xdr:col>2</xdr:col>
                <xdr:colOff>800100</xdr:colOff>
                <xdr:row>4</xdr:row>
                <xdr:rowOff>295275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autoLine="0" r:id="rId28">
            <anchor moveWithCells="1">
              <from>
                <xdr:col>27</xdr:col>
                <xdr:colOff>19050</xdr:colOff>
                <xdr:row>4</xdr:row>
                <xdr:rowOff>352425</xdr:rowOff>
              </from>
              <to>
                <xdr:col>33</xdr:col>
                <xdr:colOff>161925</xdr:colOff>
                <xdr:row>4</xdr:row>
                <xdr:rowOff>542925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I12" sqref="I12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3" t="s">
        <v>25</v>
      </c>
      <c r="D3" s="154" t="s">
        <v>56</v>
      </c>
    </row>
    <row r="5" spans="2:9" ht="13.5" thickBot="1"/>
    <row r="6" spans="2:9" ht="15.75" thickBot="1">
      <c r="B6" s="163" t="s">
        <v>0</v>
      </c>
      <c r="C6" s="164"/>
      <c r="D6" s="164"/>
      <c r="E6" s="165"/>
      <c r="G6" s="161" t="s">
        <v>7</v>
      </c>
      <c r="I6" s="161" t="s">
        <v>12</v>
      </c>
    </row>
    <row r="7" spans="2:9" ht="15.75" thickBot="1">
      <c r="B7" s="67"/>
      <c r="C7" s="68" t="s">
        <v>1</v>
      </c>
      <c r="D7" s="68" t="s">
        <v>2</v>
      </c>
      <c r="E7" s="68" t="s">
        <v>3</v>
      </c>
      <c r="G7" s="162"/>
      <c r="I7" s="162"/>
    </row>
    <row r="8" spans="2:9" ht="14.25">
      <c r="B8" s="50" t="s">
        <v>32</v>
      </c>
      <c r="C8" s="58" t="s">
        <v>4</v>
      </c>
      <c r="D8" s="58" t="s">
        <v>29</v>
      </c>
      <c r="E8" s="65" t="str">
        <f>LEFT(EmpGName01)&amp;" " &amp; LEFT(EmpSName01)</f>
        <v>L M</v>
      </c>
      <c r="G8" s="59">
        <v>2016</v>
      </c>
      <c r="I8" s="62" t="s">
        <v>10</v>
      </c>
    </row>
    <row r="9" spans="2:9" ht="14.25">
      <c r="B9" s="50" t="s">
        <v>33</v>
      </c>
      <c r="C9" s="58" t="s">
        <v>6</v>
      </c>
      <c r="D9" s="58" t="s">
        <v>27</v>
      </c>
      <c r="E9" s="65" t="str">
        <f>LEFT(EmpGName02)&amp;" " &amp; LEFT(EmpSName02)</f>
        <v>K S</v>
      </c>
      <c r="G9" s="60">
        <v>2017</v>
      </c>
      <c r="I9" s="63" t="s">
        <v>11</v>
      </c>
    </row>
    <row r="10" spans="2:9" ht="14.25">
      <c r="B10" s="50" t="s">
        <v>34</v>
      </c>
      <c r="C10" s="58" t="s">
        <v>5</v>
      </c>
      <c r="D10" s="58" t="s">
        <v>28</v>
      </c>
      <c r="E10" s="65" t="str">
        <f>LEFT(EmpGName03)&amp;" " &amp; LEFT(EmpSName03)</f>
        <v>I T</v>
      </c>
      <c r="G10" s="60">
        <v>2018</v>
      </c>
      <c r="I10" s="63" t="s">
        <v>9</v>
      </c>
    </row>
    <row r="11" spans="2:9" ht="14.25">
      <c r="B11" s="50" t="s">
        <v>35</v>
      </c>
      <c r="C11" s="58" t="s">
        <v>44</v>
      </c>
      <c r="D11" s="58" t="s">
        <v>43</v>
      </c>
      <c r="E11" s="65" t="str">
        <f>LEFT(EmpGName04)&amp;" " &amp; LEFT(EmpSName04)</f>
        <v>L K</v>
      </c>
      <c r="G11" s="60">
        <v>2019</v>
      </c>
      <c r="I11" s="63" t="s">
        <v>71</v>
      </c>
    </row>
    <row r="12" spans="2:9" ht="14.25">
      <c r="B12" s="50" t="s">
        <v>36</v>
      </c>
      <c r="C12" s="58" t="s">
        <v>46</v>
      </c>
      <c r="D12" s="58" t="s">
        <v>45</v>
      </c>
      <c r="E12" s="65" t="str">
        <f>LEFT(EmpGName05)&amp;" " &amp; LEFT(EmpSName05)</f>
        <v>D C</v>
      </c>
      <c r="G12" s="60">
        <v>2020</v>
      </c>
      <c r="I12" s="63" t="s">
        <v>41</v>
      </c>
    </row>
    <row r="13" spans="2:9" ht="14.25">
      <c r="B13" s="50" t="s">
        <v>37</v>
      </c>
      <c r="C13" s="58" t="s">
        <v>58</v>
      </c>
      <c r="D13" s="58" t="s">
        <v>59</v>
      </c>
      <c r="E13" s="65" t="str">
        <f>LEFT(EmpGName06)&amp;" " &amp; LEFT(EmpSName06)</f>
        <v>T S</v>
      </c>
      <c r="G13" s="60">
        <v>2021</v>
      </c>
      <c r="I13" s="63" t="s">
        <v>42</v>
      </c>
    </row>
    <row r="14" spans="2:9" ht="15" thickBot="1">
      <c r="B14" s="50" t="s">
        <v>38</v>
      </c>
      <c r="C14" s="58" t="s">
        <v>60</v>
      </c>
      <c r="D14" s="58" t="s">
        <v>61</v>
      </c>
      <c r="E14" s="65" t="str">
        <f>LEFT(EmpGName07)&amp;" " &amp; LEFT(EmpSName07)</f>
        <v>R F</v>
      </c>
      <c r="G14" s="61">
        <v>2022</v>
      </c>
      <c r="I14" s="66" t="s">
        <v>47</v>
      </c>
    </row>
    <row r="15" spans="2:9" ht="14.25">
      <c r="B15" s="50" t="s">
        <v>39</v>
      </c>
      <c r="C15" s="58" t="s">
        <v>62</v>
      </c>
      <c r="D15" s="58" t="s">
        <v>63</v>
      </c>
      <c r="E15" s="65" t="str">
        <f>LEFT(EmpGName08)&amp;" " &amp; LEFT(EmpSName08)</f>
        <v>F F</v>
      </c>
      <c r="I15" s="66" t="s">
        <v>48</v>
      </c>
    </row>
    <row r="16" spans="2:9" ht="14.25">
      <c r="B16" s="50" t="s">
        <v>40</v>
      </c>
      <c r="C16" s="58" t="s">
        <v>64</v>
      </c>
      <c r="D16" s="58" t="s">
        <v>65</v>
      </c>
      <c r="E16" s="65" t="str">
        <f>LEFT(EmpGName09)&amp;" " &amp; LEFT(EmpSName09)</f>
        <v>P H</v>
      </c>
      <c r="I16" s="66" t="s">
        <v>53</v>
      </c>
    </row>
    <row r="17" spans="2:9" ht="15" thickBot="1">
      <c r="B17" s="69" t="s">
        <v>49</v>
      </c>
      <c r="C17" s="58" t="s">
        <v>66</v>
      </c>
      <c r="D17" s="58" t="s">
        <v>67</v>
      </c>
      <c r="E17" s="65" t="str">
        <f>LEFT(EmpGName10)&amp;" " &amp; LEFT(EmpSName10)</f>
        <v>J S</v>
      </c>
      <c r="I17" s="155"/>
    </row>
    <row r="18" spans="2:9" ht="14.25">
      <c r="B18" s="69" t="s">
        <v>50</v>
      </c>
      <c r="C18" s="58" t="s">
        <v>68</v>
      </c>
      <c r="D18" s="58" t="s">
        <v>69</v>
      </c>
      <c r="E18" s="65" t="str">
        <f>LEFT(EmpGName11)&amp;" " &amp; LEFT(EmpSName11)</f>
        <v>M R</v>
      </c>
    </row>
    <row r="19" spans="2:9" ht="15" thickBot="1">
      <c r="B19" s="70" t="s">
        <v>51</v>
      </c>
      <c r="C19" s="96" t="s">
        <v>70</v>
      </c>
      <c r="D19" s="96" t="s">
        <v>67</v>
      </c>
      <c r="E19" s="97" t="str">
        <f>LEFT(EmpGName12)&amp;" " &amp; LEFT(EmpSName12)</f>
        <v>J S</v>
      </c>
    </row>
    <row r="25" spans="2:9">
      <c r="B25" s="20" t="s">
        <v>54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30" t="str">
        <f>Location</f>
        <v>Oodlawirra Quarantine Station</v>
      </c>
      <c r="J2" s="113"/>
      <c r="K2" s="113"/>
      <c r="L2" s="113"/>
      <c r="M2" s="113"/>
      <c r="N2" s="113"/>
      <c r="O2" s="113"/>
      <c r="P2" s="113"/>
      <c r="Q2" s="113"/>
      <c r="R2" s="130" t="str">
        <f xml:space="preserve"> "Financial Year Commencing 1st July, " &amp; CurYear -1</f>
        <v>Financial Year Commencing 1st July, 2016</v>
      </c>
      <c r="S2" s="34"/>
      <c r="T2" s="113"/>
      <c r="U2" s="113"/>
      <c r="V2" s="34"/>
      <c r="W2" s="113"/>
      <c r="X2" s="113"/>
      <c r="Y2" s="113"/>
      <c r="Z2" s="113"/>
      <c r="AA2" s="113"/>
      <c r="AB2" s="113"/>
      <c r="AC2" s="113"/>
      <c r="AD2" s="113"/>
      <c r="AE2" s="113"/>
      <c r="AF2" s="113"/>
    </row>
    <row r="3" spans="2:33" s="26" customFormat="1" ht="27" customHeight="1">
      <c r="B3" s="47"/>
      <c r="I3" s="131" t="s">
        <v>26</v>
      </c>
      <c r="R3" s="131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10" customFormat="1" ht="13.5" thickBot="1">
      <c r="B4" s="111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114" t="str">
        <f>Roster!C8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3" ht="14.25" thickTop="1" thickBot="1">
      <c r="B6" s="114">
        <f>CurYear-1</f>
        <v>2016</v>
      </c>
      <c r="C6" s="36" t="str">
        <f>Roster!D9</f>
        <v>RO</v>
      </c>
      <c r="D6" s="37">
        <f>Roster!E9</f>
        <v>0</v>
      </c>
      <c r="E6" s="37">
        <f>Roster!F9</f>
        <v>0</v>
      </c>
      <c r="F6" s="37" t="str">
        <f>Roster!G9</f>
        <v>D</v>
      </c>
      <c r="G6" s="37" t="str">
        <f>Roster!H9</f>
        <v>D</v>
      </c>
      <c r="H6" s="37" t="str">
        <f>Roster!I9</f>
        <v>D</v>
      </c>
      <c r="I6" s="37" t="str">
        <f>Roster!J9</f>
        <v>D</v>
      </c>
      <c r="J6" s="37" t="str">
        <f>Roster!K9</f>
        <v>PO</v>
      </c>
      <c r="K6" s="37">
        <f>Roster!L9</f>
        <v>0</v>
      </c>
      <c r="L6" s="37">
        <f>Roster!M9</f>
        <v>0</v>
      </c>
      <c r="M6" s="37" t="str">
        <f>Roster!N9</f>
        <v>SL</v>
      </c>
      <c r="N6" s="37" t="str">
        <f>Roster!O9</f>
        <v>D</v>
      </c>
      <c r="O6" s="37" t="str">
        <f>Roster!P9</f>
        <v>D</v>
      </c>
      <c r="P6" s="37" t="str">
        <f>Roster!Q9</f>
        <v>D</v>
      </c>
      <c r="Q6" s="37" t="str">
        <f>Roster!R9</f>
        <v>PO</v>
      </c>
      <c r="R6" s="37">
        <f>Roster!S9</f>
        <v>0</v>
      </c>
      <c r="S6" s="37">
        <f>Roster!T9</f>
        <v>0</v>
      </c>
      <c r="T6" s="37" t="str">
        <f>Roster!U9</f>
        <v>D</v>
      </c>
      <c r="U6" s="37" t="str">
        <f>Roster!V9</f>
        <v>D</v>
      </c>
      <c r="V6" s="37" t="str">
        <f>Roster!W9</f>
        <v>D</v>
      </c>
      <c r="W6" s="37" t="str">
        <f>Roster!X9</f>
        <v>AL</v>
      </c>
      <c r="X6" s="37" t="str">
        <f>Roster!Y9</f>
        <v>AL</v>
      </c>
      <c r="Y6" s="37">
        <f>Roster!Z9</f>
        <v>0</v>
      </c>
      <c r="Z6" s="37">
        <f>Roster!AA9</f>
        <v>0</v>
      </c>
      <c r="AA6" s="37" t="str">
        <f>Roster!AB9</f>
        <v>D</v>
      </c>
      <c r="AB6" s="37" t="str">
        <f>Roster!AC9</f>
        <v>D</v>
      </c>
      <c r="AC6" s="37" t="str">
        <f>Roster!AD9</f>
        <v>D</v>
      </c>
      <c r="AD6" s="37" t="str">
        <f>Roster!AE9</f>
        <v>D</v>
      </c>
      <c r="AE6" s="37" t="str">
        <f>Roster!AF9</f>
        <v>AL</v>
      </c>
      <c r="AF6" s="37">
        <f>Roster!AG9</f>
        <v>0</v>
      </c>
      <c r="AG6" s="38">
        <f>Roster!AH9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4" t="str">
        <f>Roster!C23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3" ht="14.25" thickTop="1" thickBot="1">
      <c r="B9" s="114">
        <f>CurYear-1</f>
        <v>2016</v>
      </c>
      <c r="C9" s="36" t="str">
        <f>Roster!D24</f>
        <v>AL</v>
      </c>
      <c r="D9" s="39" t="str">
        <f>Roster!E24</f>
        <v>D</v>
      </c>
      <c r="E9" s="37" t="str">
        <f>Roster!F24</f>
        <v>D</v>
      </c>
      <c r="F9" s="37" t="str">
        <f>Roster!G24</f>
        <v>D</v>
      </c>
      <c r="G9" s="37" t="str">
        <f>Roster!H24</f>
        <v>AL</v>
      </c>
      <c r="H9" s="37">
        <f>Roster!I24</f>
        <v>0</v>
      </c>
      <c r="I9" s="37">
        <f>Roster!J24</f>
        <v>0</v>
      </c>
      <c r="J9" s="37" t="str">
        <f>Roster!K24</f>
        <v>AL</v>
      </c>
      <c r="K9" s="37" t="str">
        <f>Roster!L24</f>
        <v>AL</v>
      </c>
      <c r="L9" s="37" t="str">
        <f>Roster!M24</f>
        <v>AL</v>
      </c>
      <c r="M9" s="37" t="str">
        <f>Roster!N24</f>
        <v>D</v>
      </c>
      <c r="N9" s="37" t="str">
        <f>Roster!O24</f>
        <v>D</v>
      </c>
      <c r="O9" s="37">
        <f>Roster!P24</f>
        <v>0</v>
      </c>
      <c r="P9" s="37">
        <f>Roster!Q24</f>
        <v>0</v>
      </c>
      <c r="Q9" s="37" t="str">
        <f>Roster!R24</f>
        <v>D</v>
      </c>
      <c r="R9" s="37" t="str">
        <f>Roster!S24</f>
        <v>D</v>
      </c>
      <c r="S9" s="37" t="str">
        <f>Roster!T24</f>
        <v>D</v>
      </c>
      <c r="T9" s="37" t="str">
        <f>Roster!U24</f>
        <v>D</v>
      </c>
      <c r="U9" s="37" t="str">
        <f>Roster!V24</f>
        <v>D</v>
      </c>
      <c r="V9" s="37">
        <f>Roster!W24</f>
        <v>0</v>
      </c>
      <c r="W9" s="37">
        <f>Roster!X24</f>
        <v>0</v>
      </c>
      <c r="X9" s="37" t="str">
        <f>Roster!Y24</f>
        <v>SL</v>
      </c>
      <c r="Y9" s="37" t="str">
        <f>Roster!Z24</f>
        <v>D</v>
      </c>
      <c r="Z9" s="37" t="str">
        <f>Roster!AA24</f>
        <v>D</v>
      </c>
      <c r="AA9" s="37" t="str">
        <f>Roster!AB24</f>
        <v>D</v>
      </c>
      <c r="AB9" s="37" t="str">
        <f>Roster!AC24</f>
        <v>D</v>
      </c>
      <c r="AC9" s="37">
        <f>Roster!AD24</f>
        <v>0</v>
      </c>
      <c r="AD9" s="43">
        <f>Roster!AE24</f>
        <v>0</v>
      </c>
      <c r="AE9" s="37" t="str">
        <f>Roster!AF24</f>
        <v>D</v>
      </c>
      <c r="AF9" s="39" t="str">
        <f>Roster!AG24</f>
        <v>D</v>
      </c>
      <c r="AG9" s="38" t="str">
        <f>Roster!AH24</f>
        <v>D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</row>
    <row r="11" spans="2:33" ht="14.25" thickTop="1" thickBot="1">
      <c r="B11" s="114" t="str">
        <f>Roster!C38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</row>
    <row r="12" spans="2:33" ht="14.25" thickTop="1" thickBot="1">
      <c r="B12" s="114">
        <f>CurYear-1</f>
        <v>2016</v>
      </c>
      <c r="C12" s="36" t="str">
        <f>Roster!D39</f>
        <v>D</v>
      </c>
      <c r="D12" s="37" t="str">
        <f>Roster!E39</f>
        <v>D</v>
      </c>
      <c r="E12" s="37" t="str">
        <f>Roster!F39</f>
        <v>D</v>
      </c>
      <c r="F12" s="37" t="str">
        <f>Roster!G39</f>
        <v>D</v>
      </c>
      <c r="G12" s="37" t="str">
        <f>Roster!H39</f>
        <v>RO</v>
      </c>
      <c r="H12" s="37" t="str">
        <f>Roster!I39</f>
        <v>D</v>
      </c>
      <c r="I12" s="37">
        <f>Roster!J39</f>
        <v>0</v>
      </c>
      <c r="J12" s="37">
        <f>Roster!K39</f>
        <v>0</v>
      </c>
      <c r="K12" s="37" t="str">
        <f>Roster!L39</f>
        <v>A</v>
      </c>
      <c r="L12" s="37" t="str">
        <f>Roster!M39</f>
        <v>A</v>
      </c>
      <c r="M12" s="37" t="str">
        <f>Roster!N39</f>
        <v>A</v>
      </c>
      <c r="N12" s="37" t="str">
        <f>Roster!O39</f>
        <v>A</v>
      </c>
      <c r="O12" s="37" t="str">
        <f>Roster!P39</f>
        <v>D</v>
      </c>
      <c r="P12" s="37">
        <f>Roster!Q39</f>
        <v>0</v>
      </c>
      <c r="Q12" s="37">
        <f>Roster!R39</f>
        <v>0</v>
      </c>
      <c r="R12" s="37" t="str">
        <f>Roster!S39</f>
        <v>D</v>
      </c>
      <c r="S12" s="37" t="str">
        <f>Roster!T39</f>
        <v>D</v>
      </c>
      <c r="T12" s="37" t="str">
        <f>Roster!U39</f>
        <v>D</v>
      </c>
      <c r="U12" s="37" t="str">
        <f>Roster!V39</f>
        <v>D</v>
      </c>
      <c r="V12" s="37" t="str">
        <f>Roster!W39</f>
        <v>D</v>
      </c>
      <c r="W12" s="37">
        <f>Roster!X39</f>
        <v>0</v>
      </c>
      <c r="X12" s="37">
        <f>Roster!Y39</f>
        <v>0</v>
      </c>
      <c r="Y12" s="37" t="str">
        <f>Roster!Z39</f>
        <v>A</v>
      </c>
      <c r="Z12" s="37" t="str">
        <f>Roster!AA39</f>
        <v>A</v>
      </c>
      <c r="AA12" s="37" t="str">
        <f>Roster!AB39</f>
        <v>A</v>
      </c>
      <c r="AB12" s="37" t="str">
        <f>Roster!AC39</f>
        <v>A</v>
      </c>
      <c r="AC12" s="37" t="str">
        <f>Roster!AD39</f>
        <v>D</v>
      </c>
      <c r="AD12" s="37">
        <f>Roster!AE39</f>
        <v>0</v>
      </c>
      <c r="AE12" s="37">
        <f>Roster!AF39</f>
        <v>0</v>
      </c>
      <c r="AF12" s="38" t="str">
        <f>Roster!AG39</f>
        <v>RO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4" t="str">
        <f>Roster!C53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3" ht="14.25" thickTop="1" thickBot="1">
      <c r="B15" s="114">
        <f>CurYear-1</f>
        <v>2016</v>
      </c>
      <c r="C15" s="36" t="str">
        <f>Roster!D54</f>
        <v>D</v>
      </c>
      <c r="D15" s="37" t="str">
        <f>Roster!E54</f>
        <v>D</v>
      </c>
      <c r="E15" s="37" t="str">
        <f>Roster!F54</f>
        <v>D</v>
      </c>
      <c r="F15" s="37" t="str">
        <f>Roster!G54</f>
        <v>D</v>
      </c>
      <c r="G15" s="37">
        <f>Roster!H54</f>
        <v>0</v>
      </c>
      <c r="H15" s="37">
        <f>Roster!I54</f>
        <v>0</v>
      </c>
      <c r="I15" s="37" t="str">
        <f>Roster!J54</f>
        <v>A</v>
      </c>
      <c r="J15" s="37" t="str">
        <f>Roster!K54</f>
        <v>A</v>
      </c>
      <c r="K15" s="37" t="str">
        <f>Roster!L54</f>
        <v>A</v>
      </c>
      <c r="L15" s="37" t="str">
        <f>Roster!M54</f>
        <v>A</v>
      </c>
      <c r="M15" s="37" t="str">
        <f>Roster!N54</f>
        <v>D</v>
      </c>
      <c r="N15" s="37">
        <f>Roster!O54</f>
        <v>0</v>
      </c>
      <c r="O15" s="37">
        <f>Roster!P54</f>
        <v>0</v>
      </c>
      <c r="P15" s="37" t="str">
        <f>Roster!Q54</f>
        <v>D</v>
      </c>
      <c r="Q15" s="37" t="str">
        <f>Roster!R54</f>
        <v>D</v>
      </c>
      <c r="R15" s="37" t="str">
        <f>Roster!S54</f>
        <v>D</v>
      </c>
      <c r="S15" s="37" t="str">
        <f>Roster!T54</f>
        <v>D</v>
      </c>
      <c r="T15" s="37" t="str">
        <f>Roster!U54</f>
        <v>D</v>
      </c>
      <c r="U15" s="37">
        <f>Roster!V54</f>
        <v>0</v>
      </c>
      <c r="V15" s="37">
        <f>Roster!W54</f>
        <v>0</v>
      </c>
      <c r="W15" s="37" t="str">
        <f>Roster!X54</f>
        <v>RO</v>
      </c>
      <c r="X15" s="37" t="str">
        <f>Roster!Y54</f>
        <v>A</v>
      </c>
      <c r="Y15" s="37" t="str">
        <f>Roster!Z54</f>
        <v>A</v>
      </c>
      <c r="Z15" s="37" t="str">
        <f>Roster!AA54</f>
        <v>A</v>
      </c>
      <c r="AA15" s="37" t="str">
        <f>Roster!AB54</f>
        <v>D</v>
      </c>
      <c r="AB15" s="37">
        <f>Roster!AC54</f>
        <v>0</v>
      </c>
      <c r="AC15" s="37">
        <f>Roster!AD54</f>
        <v>0</v>
      </c>
      <c r="AD15" s="37" t="str">
        <f>Roster!AE54</f>
        <v>D</v>
      </c>
      <c r="AE15" s="37" t="str">
        <f>Roster!AF54</f>
        <v>D</v>
      </c>
      <c r="AF15" s="37" t="str">
        <f>Roster!AG54</f>
        <v>D</v>
      </c>
      <c r="AG15" s="38" t="str">
        <f>Roster!AH54</f>
        <v>D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Roster!C68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</row>
    <row r="18" spans="2:33" ht="14.25" thickTop="1" thickBot="1">
      <c r="B18" s="114">
        <f>CurYear-1</f>
        <v>2016</v>
      </c>
      <c r="C18" s="36" t="str">
        <f>Roster!D69</f>
        <v>D</v>
      </c>
      <c r="D18" s="37">
        <f>Roster!E69</f>
        <v>0</v>
      </c>
      <c r="E18" s="37">
        <f>Roster!F69</f>
        <v>0</v>
      </c>
      <c r="F18" s="37" t="str">
        <f>Roster!G69</f>
        <v>A</v>
      </c>
      <c r="G18" s="37" t="str">
        <f>Roster!H69</f>
        <v>A</v>
      </c>
      <c r="H18" s="37" t="str">
        <f>Roster!I69</f>
        <v>A</v>
      </c>
      <c r="I18" s="37" t="str">
        <f>Roster!J69</f>
        <v>A</v>
      </c>
      <c r="J18" s="37" t="str">
        <f>Roster!K69</f>
        <v>D</v>
      </c>
      <c r="K18" s="37">
        <f>Roster!L69</f>
        <v>0</v>
      </c>
      <c r="L18" s="37">
        <f>Roster!M69</f>
        <v>0</v>
      </c>
      <c r="M18" s="37" t="str">
        <f>Roster!N69</f>
        <v>RO</v>
      </c>
      <c r="N18" s="37" t="str">
        <f>Roster!O69</f>
        <v>D</v>
      </c>
      <c r="O18" s="37" t="str">
        <f>Roster!P69</f>
        <v>D</v>
      </c>
      <c r="P18" s="37" t="str">
        <f>Roster!Q69</f>
        <v>D</v>
      </c>
      <c r="Q18" s="37" t="str">
        <f>Roster!R69</f>
        <v>D</v>
      </c>
      <c r="R18" s="37">
        <f>Roster!S69</f>
        <v>0</v>
      </c>
      <c r="S18" s="37">
        <f>Roster!T69</f>
        <v>0</v>
      </c>
      <c r="T18" s="37" t="str">
        <f>Roster!U69</f>
        <v>A</v>
      </c>
      <c r="U18" s="37" t="str">
        <f>Roster!V69</f>
        <v>A</v>
      </c>
      <c r="V18" s="37" t="str">
        <f>Roster!W69</f>
        <v>A</v>
      </c>
      <c r="W18" s="37" t="str">
        <f>Roster!X69</f>
        <v>A</v>
      </c>
      <c r="X18" s="37" t="str">
        <f>Roster!Y69</f>
        <v>D</v>
      </c>
      <c r="Y18" s="37">
        <f>Roster!Z69</f>
        <v>0</v>
      </c>
      <c r="Z18" s="37">
        <f>Roster!AA69</f>
        <v>0</v>
      </c>
      <c r="AA18" s="37" t="str">
        <f>Roster!AB69</f>
        <v>D</v>
      </c>
      <c r="AB18" s="37" t="str">
        <f>Roster!AC69</f>
        <v>D</v>
      </c>
      <c r="AC18" s="37" t="str">
        <f>Roster!AD69</f>
        <v>D</v>
      </c>
      <c r="AD18" s="37" t="str">
        <f>Roster!AE69</f>
        <v>D</v>
      </c>
      <c r="AE18" s="37" t="str">
        <f>Roster!AF69</f>
        <v>D</v>
      </c>
      <c r="AF18" s="38">
        <f>Roster!AG69</f>
        <v>0</v>
      </c>
      <c r="AG18" s="125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Roster!C83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Roster!D84</f>
        <v>0</v>
      </c>
      <c r="D21" s="37">
        <f>Roster!E84</f>
        <v>0</v>
      </c>
      <c r="E21" s="37">
        <f>Roster!F84</f>
        <v>0</v>
      </c>
      <c r="F21" s="37">
        <f>Roster!G84</f>
        <v>0</v>
      </c>
      <c r="G21" s="37">
        <f>Roster!H84</f>
        <v>0</v>
      </c>
      <c r="H21" s="37">
        <f>Roster!I84</f>
        <v>0</v>
      </c>
      <c r="I21" s="37">
        <f>Roster!J84</f>
        <v>0</v>
      </c>
      <c r="J21" s="37">
        <f>Roster!K84</f>
        <v>0</v>
      </c>
      <c r="K21" s="37">
        <f>Roster!L84</f>
        <v>0</v>
      </c>
      <c r="L21" s="37">
        <f>Roster!M84</f>
        <v>0</v>
      </c>
      <c r="M21" s="37">
        <f>Roster!N84</f>
        <v>0</v>
      </c>
      <c r="N21" s="37">
        <f>Roster!O84</f>
        <v>0</v>
      </c>
      <c r="O21" s="37">
        <f>Roster!P84</f>
        <v>0</v>
      </c>
      <c r="P21" s="37">
        <f>Roster!Q84</f>
        <v>0</v>
      </c>
      <c r="Q21" s="37">
        <f>Roster!R84</f>
        <v>0</v>
      </c>
      <c r="R21" s="37">
        <f>Roster!S84</f>
        <v>0</v>
      </c>
      <c r="S21" s="37">
        <f>Roster!T84</f>
        <v>0</v>
      </c>
      <c r="T21" s="37">
        <f>Roster!U84</f>
        <v>0</v>
      </c>
      <c r="U21" s="37">
        <f>Roster!V84</f>
        <v>0</v>
      </c>
      <c r="V21" s="37">
        <f>Roster!W84</f>
        <v>0</v>
      </c>
      <c r="W21" s="37">
        <f>Roster!X84</f>
        <v>0</v>
      </c>
      <c r="X21" s="37">
        <f>Roster!Y84</f>
        <v>0</v>
      </c>
      <c r="Y21" s="37">
        <f>Roster!Z84</f>
        <v>0</v>
      </c>
      <c r="Z21" s="37">
        <f>Roster!AA84</f>
        <v>0</v>
      </c>
      <c r="AA21" s="37">
        <f>Roster!AB84</f>
        <v>0</v>
      </c>
      <c r="AB21" s="37">
        <f>Roster!AC84</f>
        <v>0</v>
      </c>
      <c r="AC21" s="37">
        <f>Roster!AD84</f>
        <v>0</v>
      </c>
      <c r="AD21" s="37">
        <f>Roster!AE84</f>
        <v>0</v>
      </c>
      <c r="AE21" s="37">
        <f>Roster!AF84</f>
        <v>0</v>
      </c>
      <c r="AF21" s="37">
        <f>Roster!AG84</f>
        <v>0</v>
      </c>
      <c r="AG21" s="38">
        <f>Roster!AH84</f>
        <v>0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Roster!$C$98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36">
        <f>Roster!D$99</f>
        <v>0</v>
      </c>
      <c r="D24" s="37">
        <f>Roster!E$99</f>
        <v>0</v>
      </c>
      <c r="E24" s="37">
        <f>Roster!F$99</f>
        <v>0</v>
      </c>
      <c r="F24" s="37">
        <f>Roster!G$99</f>
        <v>0</v>
      </c>
      <c r="G24" s="37">
        <f>Roster!H$99</f>
        <v>0</v>
      </c>
      <c r="H24" s="37">
        <f>Roster!I99</f>
        <v>0</v>
      </c>
      <c r="I24" s="37">
        <f>Roster!J99</f>
        <v>0</v>
      </c>
      <c r="J24" s="37">
        <f>Roster!K99</f>
        <v>0</v>
      </c>
      <c r="K24" s="37">
        <f>Roster!L99</f>
        <v>0</v>
      </c>
      <c r="L24" s="37">
        <f>Roster!M99</f>
        <v>0</v>
      </c>
      <c r="M24" s="37">
        <f>Roster!N99</f>
        <v>0</v>
      </c>
      <c r="N24" s="37">
        <f>Roster!O99</f>
        <v>0</v>
      </c>
      <c r="O24" s="37">
        <f>Roster!P99</f>
        <v>0</v>
      </c>
      <c r="P24" s="37">
        <f>Roster!Q99</f>
        <v>0</v>
      </c>
      <c r="Q24" s="37">
        <f>Roster!R99</f>
        <v>0</v>
      </c>
      <c r="R24" s="37">
        <f>Roster!S99</f>
        <v>0</v>
      </c>
      <c r="S24" s="37">
        <f>Roster!T99</f>
        <v>0</v>
      </c>
      <c r="T24" s="37">
        <f>Roster!U99</f>
        <v>0</v>
      </c>
      <c r="U24" s="37">
        <f>Roster!V99</f>
        <v>0</v>
      </c>
      <c r="V24" s="37">
        <f>Roster!W99</f>
        <v>0</v>
      </c>
      <c r="W24" s="37">
        <f>Roster!X99</f>
        <v>0</v>
      </c>
      <c r="X24" s="37">
        <f>Roster!Y99</f>
        <v>0</v>
      </c>
      <c r="Y24" s="37">
        <f>Roster!Z99</f>
        <v>0</v>
      </c>
      <c r="Z24" s="37">
        <f>Roster!AA99</f>
        <v>0</v>
      </c>
      <c r="AA24" s="37">
        <f>Roster!AB99</f>
        <v>0</v>
      </c>
      <c r="AB24" s="37">
        <f>Roster!AC99</f>
        <v>0</v>
      </c>
      <c r="AC24" s="37">
        <f>Roster!AD99</f>
        <v>0</v>
      </c>
      <c r="AD24" s="37">
        <f>Roster!AE99</f>
        <v>0</v>
      </c>
      <c r="AE24" s="37">
        <f>Roster!AF99</f>
        <v>0</v>
      </c>
      <c r="AF24" s="37">
        <f>Roster!AG99</f>
        <v>0</v>
      </c>
      <c r="AG24" s="38">
        <f>Roster!AH99</f>
        <v>0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32" t="str">
        <f t="shared" si="7"/>
        <v>Th</v>
      </c>
      <c r="E25" s="132" t="str">
        <f t="shared" si="7"/>
        <v>Fr</v>
      </c>
      <c r="F25" s="132" t="str">
        <f t="shared" si="7"/>
        <v>Sa</v>
      </c>
      <c r="G25" s="132" t="str">
        <f t="shared" si="7"/>
        <v>Su</v>
      </c>
      <c r="H25" s="132" t="str">
        <f t="shared" si="7"/>
        <v>Mo</v>
      </c>
      <c r="I25" s="132" t="str">
        <f t="shared" si="7"/>
        <v>Tu</v>
      </c>
      <c r="J25" s="132" t="str">
        <f t="shared" si="7"/>
        <v>We</v>
      </c>
      <c r="K25" s="132" t="str">
        <f t="shared" si="7"/>
        <v>Th</v>
      </c>
      <c r="L25" s="132" t="str">
        <f t="shared" si="7"/>
        <v>Fr</v>
      </c>
      <c r="M25" s="132" t="str">
        <f t="shared" si="7"/>
        <v>Sa</v>
      </c>
      <c r="N25" s="132" t="str">
        <f t="shared" si="7"/>
        <v>Su</v>
      </c>
      <c r="O25" s="132" t="str">
        <f t="shared" si="7"/>
        <v>Mo</v>
      </c>
      <c r="P25" s="132" t="str">
        <f t="shared" si="7"/>
        <v>Tu</v>
      </c>
      <c r="Q25" s="132" t="str">
        <f t="shared" si="7"/>
        <v>We</v>
      </c>
      <c r="R25" s="132" t="str">
        <f t="shared" si="7"/>
        <v>Th</v>
      </c>
      <c r="S25" s="132" t="str">
        <f t="shared" si="7"/>
        <v>Fr</v>
      </c>
      <c r="T25" s="132" t="str">
        <f t="shared" si="7"/>
        <v>Sa</v>
      </c>
      <c r="U25" s="132" t="str">
        <f t="shared" si="7"/>
        <v>Su</v>
      </c>
      <c r="V25" s="132" t="str">
        <f t="shared" si="7"/>
        <v>Mo</v>
      </c>
      <c r="W25" s="132" t="str">
        <f t="shared" si="7"/>
        <v>Tu</v>
      </c>
      <c r="X25" s="132" t="str">
        <f t="shared" si="7"/>
        <v>We</v>
      </c>
      <c r="Y25" s="132" t="str">
        <f t="shared" si="7"/>
        <v>Th</v>
      </c>
      <c r="Z25" s="132" t="str">
        <f t="shared" si="7"/>
        <v>Fr</v>
      </c>
      <c r="AA25" s="132" t="str">
        <f t="shared" si="7"/>
        <v>Sa</v>
      </c>
      <c r="AB25" s="132" t="str">
        <f t="shared" si="7"/>
        <v>Su</v>
      </c>
      <c r="AC25" s="132" t="str">
        <f t="shared" si="7"/>
        <v>Mo</v>
      </c>
      <c r="AD25" s="132" t="str">
        <f t="shared" si="7"/>
        <v>Tu</v>
      </c>
      <c r="AE25" s="151" t="str">
        <f t="shared" si="7"/>
        <v>29</v>
      </c>
      <c r="AF25" s="127"/>
      <c r="AG25" s="127"/>
    </row>
    <row r="26" spans="2:33" ht="14.25" thickTop="1" thickBot="1">
      <c r="B26" s="114" t="str">
        <f>Roster!$C$113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</row>
    <row r="27" spans="2:33" ht="14.25" thickTop="1" thickBot="1">
      <c r="B27" s="114" t="str">
        <f>CurYear</f>
        <v>2017</v>
      </c>
      <c r="C27" s="36">
        <f>Roster!$D$114</f>
        <v>0</v>
      </c>
      <c r="D27" s="37">
        <f>Roster!E114</f>
        <v>0</v>
      </c>
      <c r="E27" s="37">
        <f>Roster!F114</f>
        <v>0</v>
      </c>
      <c r="F27" s="37">
        <f>Roster!G114</f>
        <v>0</v>
      </c>
      <c r="G27" s="37">
        <f>Roster!H114</f>
        <v>0</v>
      </c>
      <c r="H27" s="37">
        <f>Roster!I114</f>
        <v>0</v>
      </c>
      <c r="I27" s="37">
        <f>Roster!J114</f>
        <v>0</v>
      </c>
      <c r="J27" s="37">
        <f>Roster!K114</f>
        <v>0</v>
      </c>
      <c r="K27" s="37">
        <f>Roster!L114</f>
        <v>0</v>
      </c>
      <c r="L27" s="37">
        <f>Roster!M114</f>
        <v>0</v>
      </c>
      <c r="M27" s="37">
        <f>Roster!N114</f>
        <v>0</v>
      </c>
      <c r="N27" s="37">
        <f>Roster!O114</f>
        <v>0</v>
      </c>
      <c r="O27" s="37">
        <f>Roster!P114</f>
        <v>0</v>
      </c>
      <c r="P27" s="37">
        <f>Roster!Q114</f>
        <v>0</v>
      </c>
      <c r="Q27" s="37">
        <f>Roster!R114</f>
        <v>0</v>
      </c>
      <c r="R27" s="37">
        <f>Roster!S114</f>
        <v>0</v>
      </c>
      <c r="S27" s="37">
        <f>Roster!T114</f>
        <v>0</v>
      </c>
      <c r="T27" s="37">
        <f>Roster!U114</f>
        <v>0</v>
      </c>
      <c r="U27" s="37">
        <f>Roster!V114</f>
        <v>0</v>
      </c>
      <c r="V27" s="37">
        <f>Roster!W114</f>
        <v>0</v>
      </c>
      <c r="W27" s="37">
        <f>Roster!X114</f>
        <v>0</v>
      </c>
      <c r="X27" s="37">
        <f>Roster!Y114</f>
        <v>0</v>
      </c>
      <c r="Y27" s="37">
        <f>Roster!Z114</f>
        <v>0</v>
      </c>
      <c r="Z27" s="37">
        <f>Roster!AA114</f>
        <v>0</v>
      </c>
      <c r="AA27" s="37">
        <f>Roster!AB114</f>
        <v>0</v>
      </c>
      <c r="AB27" s="37">
        <f>Roster!AC114</f>
        <v>0</v>
      </c>
      <c r="AC27" s="37">
        <f>Roster!AD114</f>
        <v>0</v>
      </c>
      <c r="AD27" s="43">
        <f>Roster!AE114</f>
        <v>0</v>
      </c>
      <c r="AE27" s="134">
        <f>Roster!AF114</f>
        <v>0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4" t="str">
        <f>Roster!$C$128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Roster!D129</f>
        <v>0</v>
      </c>
      <c r="D30" s="37">
        <f>Roster!E129</f>
        <v>0</v>
      </c>
      <c r="E30" s="37">
        <f>Roster!F129</f>
        <v>0</v>
      </c>
      <c r="F30" s="37">
        <f>Roster!G129</f>
        <v>0</v>
      </c>
      <c r="G30" s="37">
        <f>Roster!H129</f>
        <v>0</v>
      </c>
      <c r="H30" s="37">
        <f>Roster!I129</f>
        <v>0</v>
      </c>
      <c r="I30" s="37">
        <f>Roster!J129</f>
        <v>0</v>
      </c>
      <c r="J30" s="37">
        <f>Roster!K129</f>
        <v>0</v>
      </c>
      <c r="K30" s="37">
        <f>Roster!L129</f>
        <v>0</v>
      </c>
      <c r="L30" s="37">
        <f>Roster!M129</f>
        <v>0</v>
      </c>
      <c r="M30" s="37">
        <f>Roster!N129</f>
        <v>0</v>
      </c>
      <c r="N30" s="37">
        <f>Roster!O129</f>
        <v>0</v>
      </c>
      <c r="O30" s="37">
        <f>Roster!P129</f>
        <v>0</v>
      </c>
      <c r="P30" s="37">
        <f>Roster!Q129</f>
        <v>0</v>
      </c>
      <c r="Q30" s="37">
        <f>Roster!R129</f>
        <v>0</v>
      </c>
      <c r="R30" s="37">
        <f>Roster!S129</f>
        <v>0</v>
      </c>
      <c r="S30" s="37">
        <f>Roster!T129</f>
        <v>0</v>
      </c>
      <c r="T30" s="37">
        <f>Roster!U129</f>
        <v>0</v>
      </c>
      <c r="U30" s="37">
        <f>Roster!V129</f>
        <v>0</v>
      </c>
      <c r="V30" s="37">
        <f>Roster!W129</f>
        <v>0</v>
      </c>
      <c r="W30" s="37">
        <f>Roster!X129</f>
        <v>0</v>
      </c>
      <c r="X30" s="37">
        <f>Roster!Y129</f>
        <v>0</v>
      </c>
      <c r="Y30" s="37">
        <f>Roster!Z129</f>
        <v>0</v>
      </c>
      <c r="Z30" s="37">
        <f>Roster!AA129</f>
        <v>0</v>
      </c>
      <c r="AA30" s="37">
        <f>Roster!AB129</f>
        <v>0</v>
      </c>
      <c r="AB30" s="37">
        <f>Roster!AC129</f>
        <v>0</v>
      </c>
      <c r="AC30" s="37">
        <f>Roster!AD129</f>
        <v>0</v>
      </c>
      <c r="AD30" s="37">
        <f>Roster!AE129</f>
        <v>0</v>
      </c>
      <c r="AE30" s="37">
        <f>Roster!AF129</f>
        <v>0</v>
      </c>
      <c r="AF30" s="37">
        <f>Roster!AG129</f>
        <v>0</v>
      </c>
      <c r="AG30" s="38">
        <f>Roster!AH129</f>
        <v>0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Roster!$C$143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</row>
    <row r="33" spans="2:33" ht="14.25" thickTop="1" thickBot="1">
      <c r="B33" s="114" t="str">
        <f>CurYear</f>
        <v>2017</v>
      </c>
      <c r="C33" s="36">
        <f>Roster!D144</f>
        <v>0</v>
      </c>
      <c r="D33" s="37">
        <f>Roster!E144</f>
        <v>0</v>
      </c>
      <c r="E33" s="37">
        <f>Roster!F144</f>
        <v>0</v>
      </c>
      <c r="F33" s="37">
        <f>Roster!G144</f>
        <v>0</v>
      </c>
      <c r="G33" s="37">
        <f>Roster!H144</f>
        <v>0</v>
      </c>
      <c r="H33" s="37">
        <f>Roster!I144</f>
        <v>0</v>
      </c>
      <c r="I33" s="37">
        <f>Roster!J144</f>
        <v>0</v>
      </c>
      <c r="J33" s="37">
        <f>Roster!K144</f>
        <v>0</v>
      </c>
      <c r="K33" s="37">
        <f>Roster!L144</f>
        <v>0</v>
      </c>
      <c r="L33" s="37">
        <f>Roster!M144</f>
        <v>0</v>
      </c>
      <c r="M33" s="37">
        <f>Roster!N144</f>
        <v>0</v>
      </c>
      <c r="N33" s="37">
        <f>Roster!O144</f>
        <v>0</v>
      </c>
      <c r="O33" s="37">
        <f>Roster!P144</f>
        <v>0</v>
      </c>
      <c r="P33" s="37">
        <f>Roster!Q144</f>
        <v>0</v>
      </c>
      <c r="Q33" s="37">
        <f>Roster!R144</f>
        <v>0</v>
      </c>
      <c r="R33" s="37">
        <f>Roster!S144</f>
        <v>0</v>
      </c>
      <c r="S33" s="37">
        <f>Roster!T144</f>
        <v>0</v>
      </c>
      <c r="T33" s="37">
        <f>Roster!U144</f>
        <v>0</v>
      </c>
      <c r="U33" s="37">
        <f>Roster!V144</f>
        <v>0</v>
      </c>
      <c r="V33" s="37">
        <f>Roster!W144</f>
        <v>0</v>
      </c>
      <c r="W33" s="37">
        <f>Roster!X144</f>
        <v>0</v>
      </c>
      <c r="X33" s="37">
        <f>Roster!Y144</f>
        <v>0</v>
      </c>
      <c r="Y33" s="37">
        <f>Roster!Z144</f>
        <v>0</v>
      </c>
      <c r="Z33" s="37">
        <f>Roster!AA144</f>
        <v>0</v>
      </c>
      <c r="AA33" s="37">
        <f>Roster!AB144</f>
        <v>0</v>
      </c>
      <c r="AB33" s="37">
        <f>Roster!AC144</f>
        <v>0</v>
      </c>
      <c r="AC33" s="37">
        <f>Roster!AD144</f>
        <v>0</v>
      </c>
      <c r="AD33" s="37">
        <f>Roster!AE144</f>
        <v>0</v>
      </c>
      <c r="AE33" s="37">
        <f>Roster!AF144</f>
        <v>0</v>
      </c>
      <c r="AF33" s="38">
        <f>Roster!AG144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4" t="str">
        <f>Roster!$C$158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Roster!D159</f>
        <v>0</v>
      </c>
      <c r="D36" s="37">
        <f>Roster!E159</f>
        <v>0</v>
      </c>
      <c r="E36" s="37">
        <f>Roster!F159</f>
        <v>0</v>
      </c>
      <c r="F36" s="37">
        <f>Roster!G159</f>
        <v>0</v>
      </c>
      <c r="G36" s="37">
        <f>Roster!H159</f>
        <v>0</v>
      </c>
      <c r="H36" s="37">
        <f>Roster!I159</f>
        <v>0</v>
      </c>
      <c r="I36" s="37">
        <f>Roster!J159</f>
        <v>0</v>
      </c>
      <c r="J36" s="37">
        <f>Roster!K159</f>
        <v>0</v>
      </c>
      <c r="K36" s="37">
        <f>Roster!L159</f>
        <v>0</v>
      </c>
      <c r="L36" s="37">
        <f>Roster!M159</f>
        <v>0</v>
      </c>
      <c r="M36" s="37">
        <f>Roster!N159</f>
        <v>0</v>
      </c>
      <c r="N36" s="37">
        <f>Roster!O159</f>
        <v>0</v>
      </c>
      <c r="O36" s="37">
        <f>Roster!P159</f>
        <v>0</v>
      </c>
      <c r="P36" s="37">
        <f>Roster!Q159</f>
        <v>0</v>
      </c>
      <c r="Q36" s="37">
        <f>Roster!R159</f>
        <v>0</v>
      </c>
      <c r="R36" s="37">
        <f>Roster!S159</f>
        <v>0</v>
      </c>
      <c r="S36" s="37">
        <f>Roster!T159</f>
        <v>0</v>
      </c>
      <c r="T36" s="37">
        <f>Roster!U159</f>
        <v>0</v>
      </c>
      <c r="U36" s="37">
        <f>Roster!V159</f>
        <v>0</v>
      </c>
      <c r="V36" s="37">
        <f>Roster!W159</f>
        <v>0</v>
      </c>
      <c r="W36" s="37">
        <f>Roster!X159</f>
        <v>0</v>
      </c>
      <c r="X36" s="37">
        <f>Roster!Y159</f>
        <v>0</v>
      </c>
      <c r="Y36" s="37">
        <f>Roster!Z159</f>
        <v>0</v>
      </c>
      <c r="Z36" s="37">
        <f>Roster!AA159</f>
        <v>0</v>
      </c>
      <c r="AA36" s="37">
        <f>Roster!AB159</f>
        <v>0</v>
      </c>
      <c r="AB36" s="37">
        <f>Roster!AC159</f>
        <v>0</v>
      </c>
      <c r="AC36" s="37">
        <f>Roster!AD159</f>
        <v>0</v>
      </c>
      <c r="AD36" s="37">
        <f>Roster!AE159</f>
        <v>0</v>
      </c>
      <c r="AE36" s="37">
        <f>Roster!AF159</f>
        <v>0</v>
      </c>
      <c r="AF36" s="37">
        <f>Roster!AG159</f>
        <v>0</v>
      </c>
      <c r="AG36" s="38">
        <f>Roster!AH159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Roster!C173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</row>
    <row r="39" spans="2:33" ht="14.25" thickTop="1" thickBot="1">
      <c r="B39" s="114" t="str">
        <f>CurYear</f>
        <v>2017</v>
      </c>
      <c r="C39" s="36">
        <f>Roster!D174</f>
        <v>0</v>
      </c>
      <c r="D39" s="37">
        <f>Roster!E174</f>
        <v>0</v>
      </c>
      <c r="E39" s="37">
        <f>Roster!F174</f>
        <v>0</v>
      </c>
      <c r="F39" s="37">
        <f>Roster!G174</f>
        <v>0</v>
      </c>
      <c r="G39" s="37">
        <f>Roster!H174</f>
        <v>0</v>
      </c>
      <c r="H39" s="37">
        <f>Roster!I174</f>
        <v>0</v>
      </c>
      <c r="I39" s="37">
        <f>Roster!J174</f>
        <v>0</v>
      </c>
      <c r="J39" s="37">
        <f>Roster!K174</f>
        <v>0</v>
      </c>
      <c r="K39" s="37">
        <f>Roster!L174</f>
        <v>0</v>
      </c>
      <c r="L39" s="37">
        <f>Roster!M174</f>
        <v>0</v>
      </c>
      <c r="M39" s="37">
        <f>Roster!N174</f>
        <v>0</v>
      </c>
      <c r="N39" s="37">
        <f>Roster!O174</f>
        <v>0</v>
      </c>
      <c r="O39" s="37">
        <f>Roster!P174</f>
        <v>0</v>
      </c>
      <c r="P39" s="37">
        <f>Roster!Q174</f>
        <v>0</v>
      </c>
      <c r="Q39" s="37">
        <f>Roster!R174</f>
        <v>0</v>
      </c>
      <c r="R39" s="37">
        <f>Roster!S174</f>
        <v>0</v>
      </c>
      <c r="S39" s="37">
        <f>Roster!T174</f>
        <v>0</v>
      </c>
      <c r="T39" s="37">
        <f>Roster!U174</f>
        <v>0</v>
      </c>
      <c r="U39" s="37">
        <f>Roster!V174</f>
        <v>0</v>
      </c>
      <c r="V39" s="37">
        <f>Roster!W174</f>
        <v>0</v>
      </c>
      <c r="W39" s="37">
        <f>Roster!X174</f>
        <v>0</v>
      </c>
      <c r="X39" s="37">
        <f>Roster!Y174</f>
        <v>0</v>
      </c>
      <c r="Y39" s="37">
        <f>Roster!Z174</f>
        <v>0</v>
      </c>
      <c r="Z39" s="37">
        <f>Roster!AA174</f>
        <v>0</v>
      </c>
      <c r="AA39" s="37">
        <f>Roster!AB174</f>
        <v>0</v>
      </c>
      <c r="AB39" s="37">
        <f>Roster!AC174</f>
        <v>0</v>
      </c>
      <c r="AC39" s="37">
        <f>Roster!AD174</f>
        <v>0</v>
      </c>
      <c r="AD39" s="37">
        <f>Roster!AE174</f>
        <v>0</v>
      </c>
      <c r="AE39" s="37">
        <f>Roster!AF174</f>
        <v>0</v>
      </c>
      <c r="AF39" s="38">
        <f>Roster!AG174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8" customFormat="1" ht="18">
      <c r="B1" s="137"/>
    </row>
    <row r="2" spans="2:35" s="138" customFormat="1" ht="24.75" customHeight="1">
      <c r="B2" s="137"/>
      <c r="I2" s="142" t="str">
        <f>Location</f>
        <v>Oodlawirra Quarantine Station</v>
      </c>
      <c r="J2" s="140"/>
      <c r="K2" s="140"/>
      <c r="L2" s="140"/>
      <c r="M2" s="140"/>
      <c r="N2" s="140"/>
      <c r="O2" s="140"/>
      <c r="P2" s="140"/>
      <c r="Q2" s="140"/>
      <c r="R2" s="142" t="str">
        <f xml:space="preserve"> "Financial Year Commencing 1st July, " &amp; CurYear -1</f>
        <v>Financial Year Commencing 1st July, 2016</v>
      </c>
      <c r="S2" s="139"/>
      <c r="T2" s="140"/>
      <c r="U2" s="140"/>
      <c r="V2" s="139"/>
      <c r="W2" s="140"/>
      <c r="X2" s="140"/>
      <c r="Y2" s="140"/>
      <c r="Z2" s="140"/>
      <c r="AA2" s="140"/>
      <c r="AB2" s="140"/>
      <c r="AC2" s="140"/>
      <c r="AD2" s="140"/>
      <c r="AE2" s="140"/>
      <c r="AF2" s="140"/>
    </row>
    <row r="3" spans="2:35" s="138" customFormat="1" ht="27" customHeight="1">
      <c r="B3" s="137"/>
      <c r="I3" s="143" t="s">
        <v>26</v>
      </c>
      <c r="R3" s="143" t="str">
        <f>EmpGName02 &amp;" " &amp; EmpSName02</f>
        <v>Kevin Stone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5" s="44" customFormat="1" ht="13.5" thickBot="1">
      <c r="B4" s="111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1" t="str">
        <f t="shared" si="0"/>
        <v>Su</v>
      </c>
    </row>
    <row r="5" spans="2:35" ht="14.25" thickTop="1" thickBot="1">
      <c r="B5" s="114" t="str">
        <f>Roster!C8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5" ht="14.25" thickTop="1" thickBot="1">
      <c r="B6" s="114">
        <f>CurYear-1</f>
        <v>2016</v>
      </c>
      <c r="C6" s="36">
        <f>Roster!D10</f>
        <v>0</v>
      </c>
      <c r="D6" s="37">
        <f>Roster!E10</f>
        <v>0</v>
      </c>
      <c r="E6" s="37">
        <f>Roster!F10</f>
        <v>0</v>
      </c>
      <c r="F6" s="37">
        <f>Roster!G10</f>
        <v>0</v>
      </c>
      <c r="G6" s="37">
        <f>Roster!H10</f>
        <v>0</v>
      </c>
      <c r="H6" s="37">
        <f>Roster!I10</f>
        <v>0</v>
      </c>
      <c r="I6" s="37">
        <f>Roster!J10</f>
        <v>0</v>
      </c>
      <c r="J6" s="37">
        <f>Roster!K10</f>
        <v>0</v>
      </c>
      <c r="K6" s="37">
        <f>Roster!L10</f>
        <v>0</v>
      </c>
      <c r="L6" s="37">
        <f>Roster!M10</f>
        <v>0</v>
      </c>
      <c r="M6" s="37">
        <f>Roster!N10</f>
        <v>0</v>
      </c>
      <c r="N6" s="37">
        <f>Roster!O10</f>
        <v>0</v>
      </c>
      <c r="O6" s="37">
        <f>Roster!P10</f>
        <v>0</v>
      </c>
      <c r="P6" s="37">
        <f>Roster!Q10</f>
        <v>0</v>
      </c>
      <c r="Q6" s="37">
        <f>Roster!R10</f>
        <v>0</v>
      </c>
      <c r="R6" s="37">
        <f>Roster!S10</f>
        <v>0</v>
      </c>
      <c r="S6" s="37">
        <f>Roster!T10</f>
        <v>0</v>
      </c>
      <c r="T6" s="37">
        <f>Roster!U10</f>
        <v>0</v>
      </c>
      <c r="U6" s="37">
        <f>Roster!V10</f>
        <v>0</v>
      </c>
      <c r="V6" s="37">
        <f>Roster!W10</f>
        <v>0</v>
      </c>
      <c r="W6" s="37">
        <f>Roster!X10</f>
        <v>0</v>
      </c>
      <c r="X6" s="37">
        <f>Roster!Y10</f>
        <v>0</v>
      </c>
      <c r="Y6" s="37">
        <f>Roster!Z10</f>
        <v>0</v>
      </c>
      <c r="Z6" s="37">
        <f>Roster!AA10</f>
        <v>0</v>
      </c>
      <c r="AA6" s="37">
        <f>Roster!AB10</f>
        <v>0</v>
      </c>
      <c r="AB6" s="37">
        <f>Roster!AC10</f>
        <v>0</v>
      </c>
      <c r="AC6" s="37">
        <f>Roster!AD10</f>
        <v>0</v>
      </c>
      <c r="AD6" s="37">
        <f>Roster!AE10</f>
        <v>0</v>
      </c>
      <c r="AE6" s="37">
        <f>Roster!AF10</f>
        <v>0</v>
      </c>
      <c r="AF6" s="37">
        <f>Roster!AG10</f>
        <v>0</v>
      </c>
      <c r="AG6" s="38">
        <f>Roster!AH10</f>
        <v>0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8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4" t="str">
        <f>Roster!C23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5" ht="14.25" thickTop="1" thickBot="1">
      <c r="B9" s="114">
        <f>CurYear-1</f>
        <v>2016</v>
      </c>
      <c r="C9" s="36">
        <f>Roster!D25</f>
        <v>0</v>
      </c>
      <c r="D9" s="39">
        <f>Roster!E25</f>
        <v>0</v>
      </c>
      <c r="E9" s="37">
        <f>Roster!F25</f>
        <v>0</v>
      </c>
      <c r="F9" s="37">
        <f>Roster!G25</f>
        <v>0</v>
      </c>
      <c r="G9" s="37">
        <f>Roster!H25</f>
        <v>0</v>
      </c>
      <c r="H9" s="37">
        <f>Roster!I25</f>
        <v>0</v>
      </c>
      <c r="I9" s="37">
        <f>Roster!J25</f>
        <v>0</v>
      </c>
      <c r="J9" s="37">
        <f>Roster!K25</f>
        <v>0</v>
      </c>
      <c r="K9" s="37">
        <f>Roster!L25</f>
        <v>0</v>
      </c>
      <c r="L9" s="37">
        <f>Roster!M25</f>
        <v>0</v>
      </c>
      <c r="M9" s="37">
        <f>Roster!N25</f>
        <v>0</v>
      </c>
      <c r="N9" s="37">
        <f>Roster!O25</f>
        <v>0</v>
      </c>
      <c r="O9" s="37">
        <f>Roster!P25</f>
        <v>0</v>
      </c>
      <c r="P9" s="37">
        <f>Roster!Q25</f>
        <v>0</v>
      </c>
      <c r="Q9" s="37">
        <f>Roster!R25</f>
        <v>0</v>
      </c>
      <c r="R9" s="37">
        <f>Roster!S25</f>
        <v>0</v>
      </c>
      <c r="S9" s="37">
        <f>Roster!T25</f>
        <v>0</v>
      </c>
      <c r="T9" s="37">
        <f>Roster!U25</f>
        <v>0</v>
      </c>
      <c r="U9" s="37">
        <f>Roster!V25</f>
        <v>0</v>
      </c>
      <c r="V9" s="37">
        <f>Roster!W25</f>
        <v>0</v>
      </c>
      <c r="W9" s="37">
        <f>Roster!X25</f>
        <v>0</v>
      </c>
      <c r="X9" s="37">
        <f>Roster!Y25</f>
        <v>0</v>
      </c>
      <c r="Y9" s="37">
        <f>Roster!Z25</f>
        <v>0</v>
      </c>
      <c r="Z9" s="37">
        <f>Roster!AA25</f>
        <v>0</v>
      </c>
      <c r="AA9" s="37">
        <f>Roster!AB25</f>
        <v>0</v>
      </c>
      <c r="AB9" s="37">
        <f>Roster!AC25</f>
        <v>0</v>
      </c>
      <c r="AC9" s="37">
        <f>Roster!AD25</f>
        <v>0</v>
      </c>
      <c r="AD9" s="43">
        <f>Roster!AE25</f>
        <v>0</v>
      </c>
      <c r="AE9" s="37">
        <f>Roster!AF25</f>
        <v>0</v>
      </c>
      <c r="AF9" s="39">
        <f>Roster!AG25</f>
        <v>0</v>
      </c>
      <c r="AG9" s="38">
        <f>Roster!AH25</f>
        <v>0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  <c r="AI10" s="112"/>
    </row>
    <row r="11" spans="2:35" ht="14.25" thickTop="1" thickBot="1">
      <c r="B11" s="114" t="str">
        <f>Roster!C38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  <c r="AG11" s="20"/>
    </row>
    <row r="12" spans="2:35" ht="14.25" thickTop="1" thickBot="1">
      <c r="B12" s="114">
        <f>CurYear-1</f>
        <v>2016</v>
      </c>
      <c r="C12" s="36" t="str">
        <f>Roster!D40</f>
        <v>D</v>
      </c>
      <c r="D12" s="37">
        <f>Roster!E40</f>
        <v>0</v>
      </c>
      <c r="E12" s="37">
        <f>Roster!F40</f>
        <v>0</v>
      </c>
      <c r="F12" s="37" t="str">
        <f>Roster!G40</f>
        <v>A</v>
      </c>
      <c r="G12" s="37" t="str">
        <f>Roster!H40</f>
        <v>A</v>
      </c>
      <c r="H12" s="37" t="str">
        <f>Roster!I40</f>
        <v>A</v>
      </c>
      <c r="I12" s="37" t="str">
        <f>Roster!J40</f>
        <v>A</v>
      </c>
      <c r="J12" s="37" t="str">
        <f>Roster!K40</f>
        <v>A</v>
      </c>
      <c r="K12" s="37">
        <f>Roster!L40</f>
        <v>0</v>
      </c>
      <c r="L12" s="37">
        <f>Roster!M40</f>
        <v>0</v>
      </c>
      <c r="M12" s="37" t="str">
        <f>Roster!N40</f>
        <v>D</v>
      </c>
      <c r="N12" s="37" t="str">
        <f>Roster!O40</f>
        <v>D</v>
      </c>
      <c r="O12" s="37" t="str">
        <f>Roster!P40</f>
        <v>D</v>
      </c>
      <c r="P12" s="37" t="str">
        <f>Roster!Q40</f>
        <v>D</v>
      </c>
      <c r="Q12" s="37" t="str">
        <f>Roster!R40</f>
        <v>D</v>
      </c>
      <c r="R12" s="37">
        <f>Roster!S40</f>
        <v>0</v>
      </c>
      <c r="S12" s="37">
        <f>Roster!T40</f>
        <v>0</v>
      </c>
      <c r="T12" s="37" t="str">
        <f>Roster!U40</f>
        <v>A</v>
      </c>
      <c r="U12" s="37" t="str">
        <f>Roster!V40</f>
        <v>A</v>
      </c>
      <c r="V12" s="37" t="str">
        <f>Roster!W40</f>
        <v>A</v>
      </c>
      <c r="W12" s="37" t="str">
        <f>Roster!X40</f>
        <v>A</v>
      </c>
      <c r="X12" s="37" t="str">
        <f>Roster!Y40</f>
        <v>RO</v>
      </c>
      <c r="Y12" s="37">
        <f>Roster!Z40</f>
        <v>0</v>
      </c>
      <c r="Z12" s="37">
        <f>Roster!AA40</f>
        <v>0</v>
      </c>
      <c r="AA12" s="37" t="str">
        <f>Roster!AB40</f>
        <v>D</v>
      </c>
      <c r="AB12" s="37" t="str">
        <f>Roster!AC40</f>
        <v>D</v>
      </c>
      <c r="AC12" s="37" t="str">
        <f>Roster!AD40</f>
        <v>D</v>
      </c>
      <c r="AD12" s="37" t="str">
        <f>Roster!AE40</f>
        <v>D</v>
      </c>
      <c r="AE12" s="37" t="str">
        <f>Roster!AF40</f>
        <v>D</v>
      </c>
      <c r="AF12" s="38">
        <f>Roster!AG40</f>
        <v>0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4" t="str">
        <f>Roster!C53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5" ht="14.25" thickTop="1" thickBot="1">
      <c r="B15" s="114">
        <f>CurYear-1</f>
        <v>2016</v>
      </c>
      <c r="C15" s="36">
        <f>Roster!D55</f>
        <v>0</v>
      </c>
      <c r="D15" s="37" t="str">
        <f>Roster!E55</f>
        <v>A</v>
      </c>
      <c r="E15" s="37" t="str">
        <f>Roster!F55</f>
        <v>A</v>
      </c>
      <c r="F15" s="37" t="str">
        <f>Roster!G55</f>
        <v>A</v>
      </c>
      <c r="G15" s="37" t="str">
        <f>Roster!H55</f>
        <v>A</v>
      </c>
      <c r="H15" s="37" t="str">
        <f>Roster!I55</f>
        <v>A</v>
      </c>
      <c r="I15" s="37">
        <f>Roster!J55</f>
        <v>0</v>
      </c>
      <c r="J15" s="37">
        <f>Roster!K55</f>
        <v>0</v>
      </c>
      <c r="K15" s="37" t="str">
        <f>Roster!L55</f>
        <v>D</v>
      </c>
      <c r="L15" s="37" t="str">
        <f>Roster!M55</f>
        <v>D</v>
      </c>
      <c r="M15" s="37" t="str">
        <f>Roster!N55</f>
        <v>D</v>
      </c>
      <c r="N15" s="37" t="str">
        <f>Roster!O55</f>
        <v>D</v>
      </c>
      <c r="O15" s="37" t="str">
        <f>Roster!P55</f>
        <v>D</v>
      </c>
      <c r="P15" s="37">
        <f>Roster!Q55</f>
        <v>0</v>
      </c>
      <c r="Q15" s="37">
        <f>Roster!R55</f>
        <v>0</v>
      </c>
      <c r="R15" s="37" t="str">
        <f>Roster!S55</f>
        <v>RO</v>
      </c>
      <c r="S15" s="37" t="str">
        <f>Roster!T55</f>
        <v>A</v>
      </c>
      <c r="T15" s="37" t="str">
        <f>Roster!U55</f>
        <v>A</v>
      </c>
      <c r="U15" s="37" t="str">
        <f>Roster!V55</f>
        <v>A</v>
      </c>
      <c r="V15" s="37" t="str">
        <f>Roster!W55</f>
        <v>A</v>
      </c>
      <c r="W15" s="37">
        <f>Roster!X55</f>
        <v>0</v>
      </c>
      <c r="X15" s="37">
        <f>Roster!Y55</f>
        <v>0</v>
      </c>
      <c r="Y15" s="37" t="str">
        <f>Roster!Z55</f>
        <v>D</v>
      </c>
      <c r="Z15" s="37" t="str">
        <f>Roster!AA55</f>
        <v>D</v>
      </c>
      <c r="AA15" s="37" t="str">
        <f>Roster!AB55</f>
        <v>D</v>
      </c>
      <c r="AB15" s="37" t="str">
        <f>Roster!AC55</f>
        <v>D</v>
      </c>
      <c r="AC15" s="37" t="str">
        <f>Roster!AD55</f>
        <v>D</v>
      </c>
      <c r="AD15" s="37">
        <f>Roster!AE55</f>
        <v>0</v>
      </c>
      <c r="AE15" s="37">
        <f>Roster!AF55</f>
        <v>0</v>
      </c>
      <c r="AF15" s="37" t="str">
        <f>Roster!AG55</f>
        <v>A</v>
      </c>
      <c r="AG15" s="38" t="str">
        <f>Roster!AH55</f>
        <v>A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Roster!C68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  <c r="AG17" s="20"/>
    </row>
    <row r="18" spans="2:33" ht="14.25" thickTop="1" thickBot="1">
      <c r="B18" s="114">
        <f>CurYear-1</f>
        <v>2016</v>
      </c>
      <c r="C18" s="36" t="str">
        <f>Roster!D70</f>
        <v>A</v>
      </c>
      <c r="D18" s="37" t="str">
        <f>Roster!E70</f>
        <v>A</v>
      </c>
      <c r="E18" s="37" t="str">
        <f>Roster!F70</f>
        <v>A</v>
      </c>
      <c r="F18" s="37">
        <f>Roster!G70</f>
        <v>0</v>
      </c>
      <c r="G18" s="37">
        <f>Roster!H70</f>
        <v>0</v>
      </c>
      <c r="H18" s="37" t="str">
        <f>Roster!I70</f>
        <v>D</v>
      </c>
      <c r="I18" s="37" t="str">
        <f>Roster!J70</f>
        <v>RO</v>
      </c>
      <c r="J18" s="37" t="str">
        <f>Roster!K70</f>
        <v>D</v>
      </c>
      <c r="K18" s="37" t="str">
        <f>Roster!L70</f>
        <v>D</v>
      </c>
      <c r="L18" s="37" t="str">
        <f>Roster!M70</f>
        <v>D</v>
      </c>
      <c r="M18" s="37">
        <f>Roster!N70</f>
        <v>0</v>
      </c>
      <c r="N18" s="37">
        <f>Roster!O70</f>
        <v>0</v>
      </c>
      <c r="O18" s="37" t="str">
        <f>Roster!P70</f>
        <v>A</v>
      </c>
      <c r="P18" s="37" t="str">
        <f>Roster!Q70</f>
        <v>A</v>
      </c>
      <c r="Q18" s="37" t="str">
        <f>Roster!R70</f>
        <v>A</v>
      </c>
      <c r="R18" s="37" t="str">
        <f>Roster!S70</f>
        <v>A</v>
      </c>
      <c r="S18" s="37" t="str">
        <f>Roster!T70</f>
        <v>A</v>
      </c>
      <c r="T18" s="37">
        <f>Roster!U70</f>
        <v>0</v>
      </c>
      <c r="U18" s="37">
        <f>Roster!V70</f>
        <v>0</v>
      </c>
      <c r="V18" s="37" t="str">
        <f>Roster!W70</f>
        <v>D</v>
      </c>
      <c r="W18" s="37" t="str">
        <f>Roster!X70</f>
        <v>D</v>
      </c>
      <c r="X18" s="37" t="str">
        <f>Roster!Y70</f>
        <v>D</v>
      </c>
      <c r="Y18" s="37" t="str">
        <f>Roster!Z70</f>
        <v>D</v>
      </c>
      <c r="Z18" s="37" t="str">
        <f>Roster!AA70</f>
        <v>D</v>
      </c>
      <c r="AA18" s="37">
        <f>Roster!AB70</f>
        <v>0</v>
      </c>
      <c r="AB18" s="37">
        <f>Roster!AC70</f>
        <v>0</v>
      </c>
      <c r="AC18" s="37" t="str">
        <f>Roster!AD70</f>
        <v>A</v>
      </c>
      <c r="AD18" s="37" t="str">
        <f>Roster!AE70</f>
        <v>A</v>
      </c>
      <c r="AE18" s="37" t="str">
        <f>Roster!AF70</f>
        <v>RO</v>
      </c>
      <c r="AF18" s="38" t="str">
        <f>Roster!AG70</f>
        <v>A</v>
      </c>
      <c r="AG18" s="125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Roster!C83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Roster!D85</f>
        <v>0</v>
      </c>
      <c r="D21" s="37">
        <f>Roster!E85</f>
        <v>0</v>
      </c>
      <c r="E21" s="37">
        <f>Roster!F85</f>
        <v>0</v>
      </c>
      <c r="F21" s="37">
        <f>Roster!G85</f>
        <v>0</v>
      </c>
      <c r="G21" s="37">
        <f>Roster!H85</f>
        <v>0</v>
      </c>
      <c r="H21" s="37">
        <f>Roster!I85</f>
        <v>0</v>
      </c>
      <c r="I21" s="37">
        <f>Roster!J85</f>
        <v>0</v>
      </c>
      <c r="J21" s="37">
        <f>Roster!K85</f>
        <v>0</v>
      </c>
      <c r="K21" s="37">
        <f>Roster!L85</f>
        <v>0</v>
      </c>
      <c r="L21" s="37">
        <f>Roster!M85</f>
        <v>0</v>
      </c>
      <c r="M21" s="37">
        <f>Roster!N85</f>
        <v>0</v>
      </c>
      <c r="N21" s="37">
        <f>Roster!O85</f>
        <v>0</v>
      </c>
      <c r="O21" s="37">
        <f>Roster!P85</f>
        <v>0</v>
      </c>
      <c r="P21" s="37">
        <f>Roster!Q85</f>
        <v>0</v>
      </c>
      <c r="Q21" s="37">
        <f>Roster!R85</f>
        <v>0</v>
      </c>
      <c r="R21" s="37">
        <f>Roster!S85</f>
        <v>0</v>
      </c>
      <c r="S21" s="37">
        <f>Roster!T85</f>
        <v>0</v>
      </c>
      <c r="T21" s="37">
        <f>Roster!U85</f>
        <v>0</v>
      </c>
      <c r="U21" s="37">
        <f>Roster!V85</f>
        <v>0</v>
      </c>
      <c r="V21" s="37">
        <f>Roster!W85</f>
        <v>0</v>
      </c>
      <c r="W21" s="37">
        <f>Roster!X85</f>
        <v>0</v>
      </c>
      <c r="X21" s="37">
        <f>Roster!Y85</f>
        <v>0</v>
      </c>
      <c r="Y21" s="37">
        <f>Roster!Z85</f>
        <v>0</v>
      </c>
      <c r="Z21" s="37">
        <f>Roster!AA85</f>
        <v>0</v>
      </c>
      <c r="AA21" s="37">
        <f>Roster!AB85</f>
        <v>0</v>
      </c>
      <c r="AB21" s="37">
        <f>Roster!AC85</f>
        <v>0</v>
      </c>
      <c r="AC21" s="37">
        <f>Roster!AD85</f>
        <v>0</v>
      </c>
      <c r="AD21" s="37">
        <f>Roster!AE85</f>
        <v>0</v>
      </c>
      <c r="AE21" s="37">
        <f>Roster!AF85</f>
        <v>0</v>
      </c>
      <c r="AF21" s="37">
        <f>Roster!AG85</f>
        <v>0</v>
      </c>
      <c r="AG21" s="38">
        <f>Roster!AH85</f>
        <v>0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Roster!$C$98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48">
        <f>Roster!D100</f>
        <v>0</v>
      </c>
      <c r="D24" s="49">
        <f>Roster!E100</f>
        <v>0</v>
      </c>
      <c r="E24" s="40">
        <f>Roster!F100</f>
        <v>0</v>
      </c>
      <c r="F24" s="40">
        <f>Roster!G100</f>
        <v>0</v>
      </c>
      <c r="G24" s="40">
        <f>Roster!H100</f>
        <v>0</v>
      </c>
      <c r="H24" s="40">
        <f>Roster!I100</f>
        <v>0</v>
      </c>
      <c r="I24" s="40">
        <f>Roster!J100</f>
        <v>0</v>
      </c>
      <c r="J24" s="40">
        <f>Roster!K100</f>
        <v>0</v>
      </c>
      <c r="K24" s="40">
        <f>Roster!L100</f>
        <v>0</v>
      </c>
      <c r="L24" s="40">
        <f>Roster!M100</f>
        <v>0</v>
      </c>
      <c r="M24" s="40">
        <f>Roster!N100</f>
        <v>0</v>
      </c>
      <c r="N24" s="40">
        <f>Roster!O100</f>
        <v>0</v>
      </c>
      <c r="O24" s="40">
        <f>Roster!P100</f>
        <v>0</v>
      </c>
      <c r="P24" s="40">
        <f>Roster!Q100</f>
        <v>0</v>
      </c>
      <c r="Q24" s="40">
        <f>Roster!R100</f>
        <v>0</v>
      </c>
      <c r="R24" s="40">
        <f>Roster!S100</f>
        <v>0</v>
      </c>
      <c r="S24" s="40">
        <f>Roster!T100</f>
        <v>0</v>
      </c>
      <c r="T24" s="40">
        <f>Roster!U100</f>
        <v>0</v>
      </c>
      <c r="U24" s="40">
        <f>Roster!V100</f>
        <v>0</v>
      </c>
      <c r="V24" s="40">
        <f>Roster!W100</f>
        <v>0</v>
      </c>
      <c r="W24" s="40">
        <f>Roster!X100</f>
        <v>0</v>
      </c>
      <c r="X24" s="40">
        <f>Roster!Y100</f>
        <v>0</v>
      </c>
      <c r="Y24" s="40">
        <f>Roster!Z100</f>
        <v>0</v>
      </c>
      <c r="Z24" s="40">
        <f>Roster!AA100</f>
        <v>0</v>
      </c>
      <c r="AA24" s="40">
        <f>Roster!AB100</f>
        <v>0</v>
      </c>
      <c r="AB24" s="40">
        <f>Roster!AC100</f>
        <v>0</v>
      </c>
      <c r="AC24" s="40">
        <f>Roster!AD100</f>
        <v>0</v>
      </c>
      <c r="AD24" s="40">
        <f>Roster!AE100</f>
        <v>0</v>
      </c>
      <c r="AE24" s="40">
        <f>Roster!AF100</f>
        <v>0</v>
      </c>
      <c r="AF24" s="40">
        <f>Roster!AG100</f>
        <v>0</v>
      </c>
      <c r="AG24" s="41">
        <f>Roster!AH100</f>
        <v>0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126"/>
      <c r="AG25" s="127"/>
    </row>
    <row r="26" spans="2:33" ht="14.25" thickTop="1" thickBot="1">
      <c r="B26" s="114" t="str">
        <f>Roster!$C$113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  <c r="AG26" s="20"/>
    </row>
    <row r="27" spans="2:33" ht="14.25" thickTop="1" thickBot="1">
      <c r="B27" s="114" t="str">
        <f>CurYear</f>
        <v>2017</v>
      </c>
      <c r="C27" s="36">
        <f>Roster!D115</f>
        <v>0</v>
      </c>
      <c r="D27" s="37">
        <f>Roster!E115</f>
        <v>0</v>
      </c>
      <c r="E27" s="37">
        <f>Roster!F115</f>
        <v>0</v>
      </c>
      <c r="F27" s="37">
        <f>Roster!G115</f>
        <v>0</v>
      </c>
      <c r="G27" s="37">
        <f>Roster!H115</f>
        <v>0</v>
      </c>
      <c r="H27" s="37">
        <f>Roster!I115</f>
        <v>0</v>
      </c>
      <c r="I27" s="37">
        <f>Roster!J115</f>
        <v>0</v>
      </c>
      <c r="J27" s="37">
        <f>Roster!K115</f>
        <v>0</v>
      </c>
      <c r="K27" s="37">
        <f>Roster!L115</f>
        <v>0</v>
      </c>
      <c r="L27" s="37">
        <f>Roster!M115</f>
        <v>0</v>
      </c>
      <c r="M27" s="37">
        <f>Roster!N115</f>
        <v>0</v>
      </c>
      <c r="N27" s="37">
        <f>Roster!O115</f>
        <v>0</v>
      </c>
      <c r="O27" s="37">
        <f>Roster!P115</f>
        <v>0</v>
      </c>
      <c r="P27" s="37">
        <f>Roster!Q115</f>
        <v>0</v>
      </c>
      <c r="Q27" s="37">
        <f>Roster!R115</f>
        <v>0</v>
      </c>
      <c r="R27" s="37">
        <f>Roster!S115</f>
        <v>0</v>
      </c>
      <c r="S27" s="37">
        <f>Roster!T115</f>
        <v>0</v>
      </c>
      <c r="T27" s="37">
        <f>Roster!U115</f>
        <v>0</v>
      </c>
      <c r="U27" s="37">
        <f>Roster!V115</f>
        <v>0</v>
      </c>
      <c r="V27" s="37">
        <f>Roster!W115</f>
        <v>0</v>
      </c>
      <c r="W27" s="37">
        <f>Roster!X115</f>
        <v>0</v>
      </c>
      <c r="X27" s="37">
        <f>Roster!Y115</f>
        <v>0</v>
      </c>
      <c r="Y27" s="37">
        <f>Roster!Z115</f>
        <v>0</v>
      </c>
      <c r="Z27" s="37">
        <f>Roster!AA115</f>
        <v>0</v>
      </c>
      <c r="AA27" s="37">
        <f>Roster!AB115</f>
        <v>0</v>
      </c>
      <c r="AB27" s="37">
        <f>Roster!AC115</f>
        <v>0</v>
      </c>
      <c r="AC27" s="37">
        <f>Roster!AD115</f>
        <v>0</v>
      </c>
      <c r="AD27" s="43">
        <f>Roster!AE115</f>
        <v>0</v>
      </c>
      <c r="AE27" s="134">
        <f>Roster!AF115</f>
        <v>0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4" t="str">
        <f>Roster!$C$128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Roster!D130</f>
        <v>0</v>
      </c>
      <c r="D30" s="37">
        <f>Roster!E130</f>
        <v>0</v>
      </c>
      <c r="E30" s="37">
        <f>Roster!F130</f>
        <v>0</v>
      </c>
      <c r="F30" s="37">
        <f>Roster!G130</f>
        <v>0</v>
      </c>
      <c r="G30" s="37">
        <f>Roster!H130</f>
        <v>0</v>
      </c>
      <c r="H30" s="37">
        <f>Roster!I130</f>
        <v>0</v>
      </c>
      <c r="I30" s="37">
        <f>Roster!J130</f>
        <v>0</v>
      </c>
      <c r="J30" s="37">
        <f>Roster!K130</f>
        <v>0</v>
      </c>
      <c r="K30" s="37">
        <f>Roster!L130</f>
        <v>0</v>
      </c>
      <c r="L30" s="37">
        <f>Roster!M130</f>
        <v>0</v>
      </c>
      <c r="M30" s="37">
        <f>Roster!N130</f>
        <v>0</v>
      </c>
      <c r="N30" s="37">
        <f>Roster!O130</f>
        <v>0</v>
      </c>
      <c r="O30" s="37">
        <f>Roster!P130</f>
        <v>0</v>
      </c>
      <c r="P30" s="37">
        <f>Roster!Q130</f>
        <v>0</v>
      </c>
      <c r="Q30" s="37">
        <f>Roster!R130</f>
        <v>0</v>
      </c>
      <c r="R30" s="37">
        <f>Roster!S130</f>
        <v>0</v>
      </c>
      <c r="S30" s="37">
        <f>Roster!T130</f>
        <v>0</v>
      </c>
      <c r="T30" s="37">
        <f>Roster!U130</f>
        <v>0</v>
      </c>
      <c r="U30" s="37">
        <f>Roster!V130</f>
        <v>0</v>
      </c>
      <c r="V30" s="37">
        <f>Roster!W130</f>
        <v>0</v>
      </c>
      <c r="W30" s="37">
        <f>Roster!X130</f>
        <v>0</v>
      </c>
      <c r="X30" s="37">
        <f>Roster!Y130</f>
        <v>0</v>
      </c>
      <c r="Y30" s="37">
        <f>Roster!Z130</f>
        <v>0</v>
      </c>
      <c r="Z30" s="37">
        <f>Roster!AA130</f>
        <v>0</v>
      </c>
      <c r="AA30" s="37">
        <f>Roster!AB130</f>
        <v>0</v>
      </c>
      <c r="AB30" s="37">
        <f>Roster!AC130</f>
        <v>0</v>
      </c>
      <c r="AC30" s="37">
        <f>Roster!AD130</f>
        <v>0</v>
      </c>
      <c r="AD30" s="37">
        <f>Roster!AE130</f>
        <v>0</v>
      </c>
      <c r="AE30" s="37">
        <f>Roster!AF130</f>
        <v>0</v>
      </c>
      <c r="AF30" s="37">
        <f>Roster!AG130</f>
        <v>0</v>
      </c>
      <c r="AG30" s="38">
        <f>Roster!AH130</f>
        <v>0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Roster!$C$143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  <c r="AG32" s="20"/>
    </row>
    <row r="33" spans="2:33" ht="14.25" thickTop="1" thickBot="1">
      <c r="B33" s="114" t="str">
        <f>CurYear</f>
        <v>2017</v>
      </c>
      <c r="C33" s="36">
        <f>Roster!D145</f>
        <v>0</v>
      </c>
      <c r="D33" s="37">
        <f>Roster!E145</f>
        <v>0</v>
      </c>
      <c r="E33" s="37">
        <f>Roster!F145</f>
        <v>0</v>
      </c>
      <c r="F33" s="37">
        <f>Roster!G145</f>
        <v>0</v>
      </c>
      <c r="G33" s="37">
        <f>Roster!H145</f>
        <v>0</v>
      </c>
      <c r="H33" s="37">
        <f>Roster!I145</f>
        <v>0</v>
      </c>
      <c r="I33" s="37">
        <f>Roster!J145</f>
        <v>0</v>
      </c>
      <c r="J33" s="37">
        <f>Roster!K145</f>
        <v>0</v>
      </c>
      <c r="K33" s="37">
        <f>Roster!L145</f>
        <v>0</v>
      </c>
      <c r="L33" s="37">
        <f>Roster!M145</f>
        <v>0</v>
      </c>
      <c r="M33" s="37">
        <f>Roster!N145</f>
        <v>0</v>
      </c>
      <c r="N33" s="37">
        <f>Roster!O145</f>
        <v>0</v>
      </c>
      <c r="O33" s="37">
        <f>Roster!P145</f>
        <v>0</v>
      </c>
      <c r="P33" s="37">
        <f>Roster!Q145</f>
        <v>0</v>
      </c>
      <c r="Q33" s="37">
        <f>Roster!R145</f>
        <v>0</v>
      </c>
      <c r="R33" s="37">
        <f>Roster!S145</f>
        <v>0</v>
      </c>
      <c r="S33" s="37">
        <f>Roster!T145</f>
        <v>0</v>
      </c>
      <c r="T33" s="37">
        <f>Roster!U145</f>
        <v>0</v>
      </c>
      <c r="U33" s="37">
        <f>Roster!V145</f>
        <v>0</v>
      </c>
      <c r="V33" s="37">
        <f>Roster!W145</f>
        <v>0</v>
      </c>
      <c r="W33" s="37">
        <f>Roster!X145</f>
        <v>0</v>
      </c>
      <c r="X33" s="37">
        <f>Roster!Y145</f>
        <v>0</v>
      </c>
      <c r="Y33" s="37">
        <f>Roster!Z145</f>
        <v>0</v>
      </c>
      <c r="Z33" s="37">
        <f>Roster!AA145</f>
        <v>0</v>
      </c>
      <c r="AA33" s="37">
        <f>Roster!AB145</f>
        <v>0</v>
      </c>
      <c r="AB33" s="37">
        <f>Roster!AC145</f>
        <v>0</v>
      </c>
      <c r="AC33" s="37">
        <f>Roster!AD145</f>
        <v>0</v>
      </c>
      <c r="AD33" s="37">
        <f>Roster!AE145</f>
        <v>0</v>
      </c>
      <c r="AE33" s="37">
        <f>Roster!AF145</f>
        <v>0</v>
      </c>
      <c r="AF33" s="38">
        <f>Roster!AG145</f>
        <v>0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4" t="str">
        <f>Roster!$C$158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Roster!D160</f>
        <v>0</v>
      </c>
      <c r="D36" s="37">
        <f>Roster!E160</f>
        <v>0</v>
      </c>
      <c r="E36" s="37">
        <f>Roster!F160</f>
        <v>0</v>
      </c>
      <c r="F36" s="37">
        <f>Roster!G160</f>
        <v>0</v>
      </c>
      <c r="G36" s="37">
        <f>Roster!H160</f>
        <v>0</v>
      </c>
      <c r="H36" s="37">
        <f>Roster!I160</f>
        <v>0</v>
      </c>
      <c r="I36" s="37">
        <f>Roster!J160</f>
        <v>0</v>
      </c>
      <c r="J36" s="37">
        <f>Roster!K160</f>
        <v>0</v>
      </c>
      <c r="K36" s="37">
        <f>Roster!L160</f>
        <v>0</v>
      </c>
      <c r="L36" s="37">
        <f>Roster!M160</f>
        <v>0</v>
      </c>
      <c r="M36" s="37">
        <f>Roster!N160</f>
        <v>0</v>
      </c>
      <c r="N36" s="37">
        <f>Roster!O160</f>
        <v>0</v>
      </c>
      <c r="O36" s="37">
        <f>Roster!P160</f>
        <v>0</v>
      </c>
      <c r="P36" s="37">
        <f>Roster!Q160</f>
        <v>0</v>
      </c>
      <c r="Q36" s="37">
        <f>Roster!R160</f>
        <v>0</v>
      </c>
      <c r="R36" s="37">
        <f>Roster!S160</f>
        <v>0</v>
      </c>
      <c r="S36" s="37">
        <f>Roster!T160</f>
        <v>0</v>
      </c>
      <c r="T36" s="37">
        <f>Roster!U160</f>
        <v>0</v>
      </c>
      <c r="U36" s="37">
        <f>Roster!V160</f>
        <v>0</v>
      </c>
      <c r="V36" s="37">
        <f>Roster!W160</f>
        <v>0</v>
      </c>
      <c r="W36" s="37">
        <f>Roster!X160</f>
        <v>0</v>
      </c>
      <c r="X36" s="37">
        <f>Roster!Y160</f>
        <v>0</v>
      </c>
      <c r="Y36" s="37">
        <f>Roster!Z160</f>
        <v>0</v>
      </c>
      <c r="Z36" s="37">
        <f>Roster!AA160</f>
        <v>0</v>
      </c>
      <c r="AA36" s="37">
        <f>Roster!AB160</f>
        <v>0</v>
      </c>
      <c r="AB36" s="37">
        <f>Roster!AC160</f>
        <v>0</v>
      </c>
      <c r="AC36" s="37">
        <f>Roster!AD160</f>
        <v>0</v>
      </c>
      <c r="AD36" s="37">
        <f>Roster!AE160</f>
        <v>0</v>
      </c>
      <c r="AE36" s="37">
        <f>Roster!AF160</f>
        <v>0</v>
      </c>
      <c r="AF36" s="37">
        <f>Roster!AG160</f>
        <v>0</v>
      </c>
      <c r="AG36" s="38">
        <f>Roster!AH160</f>
        <v>0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Roster!C173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  <c r="AG38" s="20"/>
    </row>
    <row r="39" spans="2:33" ht="14.25" thickTop="1" thickBot="1">
      <c r="B39" s="114" t="str">
        <f>CurYear</f>
        <v>2017</v>
      </c>
      <c r="C39" s="36">
        <f>Roster!D175</f>
        <v>0</v>
      </c>
      <c r="D39" s="37">
        <f>Roster!E175</f>
        <v>0</v>
      </c>
      <c r="E39" s="37">
        <f>Roster!F175</f>
        <v>0</v>
      </c>
      <c r="F39" s="37">
        <f>Roster!G175</f>
        <v>0</v>
      </c>
      <c r="G39" s="37">
        <f>Roster!H175</f>
        <v>0</v>
      </c>
      <c r="H39" s="37">
        <f>Roster!I175</f>
        <v>0</v>
      </c>
      <c r="I39" s="37">
        <f>Roster!J175</f>
        <v>0</v>
      </c>
      <c r="J39" s="37">
        <f>Roster!K175</f>
        <v>0</v>
      </c>
      <c r="K39" s="37">
        <f>Roster!L175</f>
        <v>0</v>
      </c>
      <c r="L39" s="37">
        <f>Roster!M175</f>
        <v>0</v>
      </c>
      <c r="M39" s="37">
        <f>Roster!N175</f>
        <v>0</v>
      </c>
      <c r="N39" s="37">
        <f>Roster!O175</f>
        <v>0</v>
      </c>
      <c r="O39" s="37">
        <f>Roster!P175</f>
        <v>0</v>
      </c>
      <c r="P39" s="37">
        <f>Roster!Q175</f>
        <v>0</v>
      </c>
      <c r="Q39" s="37">
        <f>Roster!R175</f>
        <v>0</v>
      </c>
      <c r="R39" s="37">
        <f>Roster!S175</f>
        <v>0</v>
      </c>
      <c r="S39" s="37">
        <f>Roster!T175</f>
        <v>0</v>
      </c>
      <c r="T39" s="37">
        <f>Roster!U175</f>
        <v>0</v>
      </c>
      <c r="U39" s="37">
        <f>Roster!V175</f>
        <v>0</v>
      </c>
      <c r="V39" s="37">
        <f>Roster!W175</f>
        <v>0</v>
      </c>
      <c r="W39" s="37">
        <f>Roster!X175</f>
        <v>0</v>
      </c>
      <c r="X39" s="37">
        <f>Roster!Y175</f>
        <v>0</v>
      </c>
      <c r="Y39" s="37">
        <f>Roster!Z175</f>
        <v>0</v>
      </c>
      <c r="Z39" s="37">
        <f>Roster!AA175</f>
        <v>0</v>
      </c>
      <c r="AA39" s="37">
        <f>Roster!AB175</f>
        <v>0</v>
      </c>
      <c r="AB39" s="37">
        <f>Roster!AC175</f>
        <v>0</v>
      </c>
      <c r="AC39" s="37">
        <f>Roster!AD175</f>
        <v>0</v>
      </c>
      <c r="AD39" s="37">
        <f>Roster!AE175</f>
        <v>0</v>
      </c>
      <c r="AE39" s="37">
        <f>Roster!AF175</f>
        <v>0</v>
      </c>
      <c r="AF39" s="38">
        <f>Roster!AG175</f>
        <v>0</v>
      </c>
      <c r="AG39" s="20"/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136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EmpGName03 &amp;" " &amp; EmpSName03</f>
        <v>Ian Thelning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Roster!D11</f>
        <v>0</v>
      </c>
      <c r="D6" s="37">
        <f>Roster!E11</f>
        <v>0</v>
      </c>
      <c r="E6" s="37">
        <f>Roster!F11</f>
        <v>0</v>
      </c>
      <c r="F6" s="37">
        <f>Roster!G11</f>
        <v>0</v>
      </c>
      <c r="G6" s="37">
        <f>Roster!H11</f>
        <v>0</v>
      </c>
      <c r="H6" s="37">
        <f>Roster!I11</f>
        <v>0</v>
      </c>
      <c r="I6" s="37">
        <f>Roster!J11</f>
        <v>0</v>
      </c>
      <c r="J6" s="37">
        <f>Roster!K11</f>
        <v>0</v>
      </c>
      <c r="K6" s="37">
        <f>Roster!L11</f>
        <v>0</v>
      </c>
      <c r="L6" s="37">
        <f>Roster!M11</f>
        <v>0</v>
      </c>
      <c r="M6" s="37">
        <f>Roster!N11</f>
        <v>0</v>
      </c>
      <c r="N6" s="37">
        <f>Roster!O11</f>
        <v>0</v>
      </c>
      <c r="O6" s="37">
        <f>Roster!P11</f>
        <v>0</v>
      </c>
      <c r="P6" s="37">
        <f>Roster!Q11</f>
        <v>0</v>
      </c>
      <c r="Q6" s="37">
        <f>Roster!R11</f>
        <v>0</v>
      </c>
      <c r="R6" s="37">
        <f>Roster!S11</f>
        <v>0</v>
      </c>
      <c r="S6" s="37">
        <f>Roster!T11</f>
        <v>0</v>
      </c>
      <c r="T6" s="37">
        <f>Roster!U11</f>
        <v>0</v>
      </c>
      <c r="U6" s="37">
        <f>Roster!V11</f>
        <v>0</v>
      </c>
      <c r="V6" s="37">
        <f>Roster!W11</f>
        <v>0</v>
      </c>
      <c r="W6" s="37">
        <f>Roster!X11</f>
        <v>0</v>
      </c>
      <c r="X6" s="37">
        <f>Roster!Y11</f>
        <v>0</v>
      </c>
      <c r="Y6" s="37">
        <f>Roster!Z11</f>
        <v>0</v>
      </c>
      <c r="Z6" s="37">
        <f>Roster!AA11</f>
        <v>0</v>
      </c>
      <c r="AA6" s="37">
        <f>Roster!AB11</f>
        <v>0</v>
      </c>
      <c r="AB6" s="37">
        <f>Roster!AC11</f>
        <v>0</v>
      </c>
      <c r="AC6" s="37">
        <f>Roster!AD11</f>
        <v>0</v>
      </c>
      <c r="AD6" s="37">
        <f>Roster!AE11</f>
        <v>0</v>
      </c>
      <c r="AE6" s="37" t="str">
        <f>Roster!AF11</f>
        <v>PO</v>
      </c>
      <c r="AF6" s="37">
        <f>Roster!AG11</f>
        <v>0</v>
      </c>
      <c r="AG6" s="38">
        <f>Roster!AH11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Roster!D26</f>
        <v>0</v>
      </c>
      <c r="D9" s="39">
        <f>Roster!E26</f>
        <v>0</v>
      </c>
      <c r="E9" s="37">
        <f>Roster!F26</f>
        <v>0</v>
      </c>
      <c r="F9" s="37">
        <f>Roster!G26</f>
        <v>0</v>
      </c>
      <c r="G9" s="37">
        <f>Roster!H26</f>
        <v>0</v>
      </c>
      <c r="H9" s="37">
        <f>Roster!I26</f>
        <v>0</v>
      </c>
      <c r="I9" s="37">
        <f>Roster!J26</f>
        <v>0</v>
      </c>
      <c r="J9" s="37">
        <f>Roster!K26</f>
        <v>0</v>
      </c>
      <c r="K9" s="37">
        <f>Roster!L26</f>
        <v>0</v>
      </c>
      <c r="L9" s="37">
        <f>Roster!M26</f>
        <v>0</v>
      </c>
      <c r="M9" s="37">
        <f>Roster!N26</f>
        <v>0</v>
      </c>
      <c r="N9" s="37">
        <f>Roster!O26</f>
        <v>0</v>
      </c>
      <c r="O9" s="37">
        <f>Roster!P26</f>
        <v>0</v>
      </c>
      <c r="P9" s="37">
        <f>Roster!Q26</f>
        <v>0</v>
      </c>
      <c r="Q9" s="37">
        <f>Roster!R26</f>
        <v>0</v>
      </c>
      <c r="R9" s="37">
        <f>Roster!S26</f>
        <v>0</v>
      </c>
      <c r="S9" s="37">
        <f>Roster!T26</f>
        <v>0</v>
      </c>
      <c r="T9" s="37">
        <f>Roster!U26</f>
        <v>0</v>
      </c>
      <c r="U9" s="37">
        <f>Roster!V26</f>
        <v>0</v>
      </c>
      <c r="V9" s="37">
        <f>Roster!W26</f>
        <v>0</v>
      </c>
      <c r="W9" s="37">
        <f>Roster!X26</f>
        <v>0</v>
      </c>
      <c r="X9" s="37">
        <f>Roster!Y26</f>
        <v>0</v>
      </c>
      <c r="Y9" s="37">
        <f>Roster!Z26</f>
        <v>0</v>
      </c>
      <c r="Z9" s="37">
        <f>Roster!AA26</f>
        <v>0</v>
      </c>
      <c r="AA9" s="37">
        <f>Roster!AB26</f>
        <v>0</v>
      </c>
      <c r="AB9" s="37">
        <f>Roster!AC26</f>
        <v>0</v>
      </c>
      <c r="AC9" s="37">
        <f>Roster!AD26</f>
        <v>0</v>
      </c>
      <c r="AD9" s="37">
        <f>Roster!AE26</f>
        <v>0</v>
      </c>
      <c r="AE9" s="37">
        <f>Roster!AF26</f>
        <v>0</v>
      </c>
      <c r="AF9" s="37">
        <f>Roster!AG26</f>
        <v>0</v>
      </c>
      <c r="AG9" s="38">
        <f>Roster!AH26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Roster!D41</f>
        <v>D</v>
      </c>
      <c r="D12" s="37" t="str">
        <f>Roster!E41</f>
        <v>A</v>
      </c>
      <c r="E12" s="37">
        <f>Roster!F41</f>
        <v>0</v>
      </c>
      <c r="F12" s="37">
        <f>Roster!G41</f>
        <v>0</v>
      </c>
      <c r="G12" s="37" t="str">
        <f>Roster!H41</f>
        <v>D</v>
      </c>
      <c r="H12" s="37" t="str">
        <f>Roster!I41</f>
        <v>NA</v>
      </c>
      <c r="I12" s="37" t="str">
        <f>Roster!J41</f>
        <v>D</v>
      </c>
      <c r="J12" s="37" t="str">
        <f>Roster!K41</f>
        <v>D</v>
      </c>
      <c r="K12" s="37">
        <f>Roster!L41</f>
        <v>0</v>
      </c>
      <c r="L12" s="37">
        <f>Roster!M41</f>
        <v>0</v>
      </c>
      <c r="M12" s="37">
        <f>Roster!N41</f>
        <v>0</v>
      </c>
      <c r="N12" s="37">
        <f>Roster!O41</f>
        <v>0</v>
      </c>
      <c r="O12" s="37" t="str">
        <f>Roster!P41</f>
        <v>A</v>
      </c>
      <c r="P12" s="37">
        <f>Roster!Q41</f>
        <v>0</v>
      </c>
      <c r="Q12" s="37">
        <f>Roster!R41</f>
        <v>0</v>
      </c>
      <c r="R12" s="37">
        <f>Roster!S41</f>
        <v>0</v>
      </c>
      <c r="S12" s="37">
        <f>Roster!T41</f>
        <v>0</v>
      </c>
      <c r="T12" s="37">
        <f>Roster!U41</f>
        <v>0</v>
      </c>
      <c r="U12" s="37">
        <f>Roster!V41</f>
        <v>0</v>
      </c>
      <c r="V12" s="37">
        <f>Roster!W41</f>
        <v>0</v>
      </c>
      <c r="W12" s="37">
        <f>Roster!X41</f>
        <v>0</v>
      </c>
      <c r="X12" s="37">
        <f>Roster!Y41</f>
        <v>0</v>
      </c>
      <c r="Y12" s="37">
        <f>Roster!Z41</f>
        <v>0</v>
      </c>
      <c r="Z12" s="37">
        <f>Roster!AA41</f>
        <v>0</v>
      </c>
      <c r="AA12" s="37">
        <f>Roster!AB41</f>
        <v>0</v>
      </c>
      <c r="AB12" s="37">
        <f>Roster!AC41</f>
        <v>0</v>
      </c>
      <c r="AC12" s="37">
        <f>Roster!AD41</f>
        <v>0</v>
      </c>
      <c r="AD12" s="37">
        <f>Roster!AE41</f>
        <v>0</v>
      </c>
      <c r="AE12" s="37">
        <f>Roster!AF41</f>
        <v>0</v>
      </c>
      <c r="AF12" s="38">
        <f>Roster!AG41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Roster!D56</f>
        <v>0</v>
      </c>
      <c r="D15" s="37">
        <f>Roster!E56</f>
        <v>0</v>
      </c>
      <c r="E15" s="37">
        <f>Roster!F56</f>
        <v>0</v>
      </c>
      <c r="F15" s="37">
        <f>Roster!G56</f>
        <v>0</v>
      </c>
      <c r="G15" s="37">
        <f>Roster!H56</f>
        <v>0</v>
      </c>
      <c r="H15" s="37">
        <f>Roster!I56</f>
        <v>0</v>
      </c>
      <c r="I15" s="37">
        <f>Roster!J56</f>
        <v>0</v>
      </c>
      <c r="J15" s="37">
        <f>Roster!K56</f>
        <v>0</v>
      </c>
      <c r="K15" s="37">
        <f>Roster!L56</f>
        <v>0</v>
      </c>
      <c r="L15" s="37">
        <f>Roster!M56</f>
        <v>0</v>
      </c>
      <c r="M15" s="37">
        <f>Roster!N56</f>
        <v>0</v>
      </c>
      <c r="N15" s="37">
        <f>Roster!O56</f>
        <v>0</v>
      </c>
      <c r="O15" s="37">
        <f>Roster!P56</f>
        <v>0</v>
      </c>
      <c r="P15" s="37">
        <f>Roster!Q56</f>
        <v>0</v>
      </c>
      <c r="Q15" s="37">
        <f>Roster!R56</f>
        <v>0</v>
      </c>
      <c r="R15" s="37">
        <f>Roster!S56</f>
        <v>0</v>
      </c>
      <c r="S15" s="37">
        <f>Roster!T56</f>
        <v>0</v>
      </c>
      <c r="T15" s="37">
        <f>Roster!U56</f>
        <v>0</v>
      </c>
      <c r="U15" s="37">
        <f>Roster!V56</f>
        <v>0</v>
      </c>
      <c r="V15" s="37">
        <f>Roster!W56</f>
        <v>0</v>
      </c>
      <c r="W15" s="37">
        <f>Roster!X56</f>
        <v>0</v>
      </c>
      <c r="X15" s="37">
        <f>Roster!Y56</f>
        <v>0</v>
      </c>
      <c r="Y15" s="37">
        <f>Roster!Z56</f>
        <v>0</v>
      </c>
      <c r="Z15" s="37">
        <f>Roster!AA56</f>
        <v>0</v>
      </c>
      <c r="AA15" s="37">
        <f>Roster!AB56</f>
        <v>0</v>
      </c>
      <c r="AB15" s="37">
        <f>Roster!AC56</f>
        <v>0</v>
      </c>
      <c r="AC15" s="37">
        <f>Roster!AD56</f>
        <v>0</v>
      </c>
      <c r="AD15" s="37">
        <f>Roster!AE56</f>
        <v>0</v>
      </c>
      <c r="AE15" s="37">
        <f>Roster!AF56</f>
        <v>0</v>
      </c>
      <c r="AF15" s="37">
        <f>Roster!AG56</f>
        <v>0</v>
      </c>
      <c r="AG15" s="38">
        <f>Roster!AH56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Roster!D71</f>
        <v>0</v>
      </c>
      <c r="D18" s="37">
        <f>Roster!E71</f>
        <v>0</v>
      </c>
      <c r="E18" s="37">
        <f>Roster!F71</f>
        <v>0</v>
      </c>
      <c r="F18" s="37">
        <f>Roster!G71</f>
        <v>0</v>
      </c>
      <c r="G18" s="37">
        <f>Roster!H71</f>
        <v>0</v>
      </c>
      <c r="H18" s="37">
        <f>Roster!I71</f>
        <v>0</v>
      </c>
      <c r="I18" s="37">
        <f>Roster!J71</f>
        <v>0</v>
      </c>
      <c r="J18" s="37">
        <f>Roster!K71</f>
        <v>0</v>
      </c>
      <c r="K18" s="37">
        <f>Roster!L71</f>
        <v>0</v>
      </c>
      <c r="L18" s="37">
        <f>Roster!M71</f>
        <v>0</v>
      </c>
      <c r="M18" s="37">
        <f>Roster!N71</f>
        <v>0</v>
      </c>
      <c r="N18" s="37">
        <f>Roster!O71</f>
        <v>0</v>
      </c>
      <c r="O18" s="37">
        <f>Roster!P71</f>
        <v>0</v>
      </c>
      <c r="P18" s="37">
        <f>Roster!Q71</f>
        <v>0</v>
      </c>
      <c r="Q18" s="37">
        <f>Roster!R71</f>
        <v>0</v>
      </c>
      <c r="R18" s="37">
        <f>Roster!S71</f>
        <v>0</v>
      </c>
      <c r="S18" s="37">
        <f>Roster!T71</f>
        <v>0</v>
      </c>
      <c r="T18" s="37">
        <f>Roster!U71</f>
        <v>0</v>
      </c>
      <c r="U18" s="37">
        <f>Roster!V71</f>
        <v>0</v>
      </c>
      <c r="V18" s="37">
        <f>Roster!W71</f>
        <v>0</v>
      </c>
      <c r="W18" s="37">
        <f>Roster!X71</f>
        <v>0</v>
      </c>
      <c r="X18" s="37">
        <f>Roster!Y71</f>
        <v>0</v>
      </c>
      <c r="Y18" s="37">
        <f>Roster!Z71</f>
        <v>0</v>
      </c>
      <c r="Z18" s="37">
        <f>Roster!AA71</f>
        <v>0</v>
      </c>
      <c r="AA18" s="37">
        <f>Roster!AB71</f>
        <v>0</v>
      </c>
      <c r="AB18" s="37">
        <f>Roster!AC71</f>
        <v>0</v>
      </c>
      <c r="AC18" s="37">
        <f>Roster!AD71</f>
        <v>0</v>
      </c>
      <c r="AD18" s="37">
        <f>Roster!AE71</f>
        <v>0</v>
      </c>
      <c r="AE18" s="37">
        <f>Roster!AF71</f>
        <v>0</v>
      </c>
      <c r="AF18" s="38">
        <f>Roster!AG71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Roster!D86</f>
        <v>0</v>
      </c>
      <c r="D21" s="37">
        <f>Roster!E86</f>
        <v>0</v>
      </c>
      <c r="E21" s="37">
        <f>Roster!F86</f>
        <v>0</v>
      </c>
      <c r="F21" s="37">
        <f>Roster!G86</f>
        <v>0</v>
      </c>
      <c r="G21" s="37">
        <f>Roster!H86</f>
        <v>0</v>
      </c>
      <c r="H21" s="37">
        <f>Roster!I86</f>
        <v>0</v>
      </c>
      <c r="I21" s="37">
        <f>Roster!J86</f>
        <v>0</v>
      </c>
      <c r="J21" s="37">
        <f>Roster!K86</f>
        <v>0</v>
      </c>
      <c r="K21" s="37">
        <f>Roster!L86</f>
        <v>0</v>
      </c>
      <c r="L21" s="37">
        <f>Roster!M86</f>
        <v>0</v>
      </c>
      <c r="M21" s="37">
        <f>Roster!N86</f>
        <v>0</v>
      </c>
      <c r="N21" s="37">
        <f>Roster!O86</f>
        <v>0</v>
      </c>
      <c r="O21" s="37">
        <f>Roster!P86</f>
        <v>0</v>
      </c>
      <c r="P21" s="37">
        <f>Roster!Q86</f>
        <v>0</v>
      </c>
      <c r="Q21" s="37">
        <f>Roster!R86</f>
        <v>0</v>
      </c>
      <c r="R21" s="37">
        <f>Roster!S86</f>
        <v>0</v>
      </c>
      <c r="S21" s="37">
        <f>Roster!T86</f>
        <v>0</v>
      </c>
      <c r="T21" s="37">
        <f>Roster!U86</f>
        <v>0</v>
      </c>
      <c r="U21" s="37">
        <f>Roster!V86</f>
        <v>0</v>
      </c>
      <c r="V21" s="37">
        <f>Roster!W86</f>
        <v>0</v>
      </c>
      <c r="W21" s="37">
        <f>Roster!X86</f>
        <v>0</v>
      </c>
      <c r="X21" s="37">
        <f>Roster!Y86</f>
        <v>0</v>
      </c>
      <c r="Y21" s="37">
        <f>Roster!Z86</f>
        <v>0</v>
      </c>
      <c r="Z21" s="37">
        <f>Roster!AA86</f>
        <v>0</v>
      </c>
      <c r="AA21" s="37">
        <f>Roster!AB86</f>
        <v>0</v>
      </c>
      <c r="AB21" s="37">
        <f>Roster!AC86</f>
        <v>0</v>
      </c>
      <c r="AC21" s="37">
        <f>Roster!AD86</f>
        <v>0</v>
      </c>
      <c r="AD21" s="37">
        <f>Roster!AE86</f>
        <v>0</v>
      </c>
      <c r="AE21" s="37">
        <f>Roster!AF86</f>
        <v>0</v>
      </c>
      <c r="AF21" s="37">
        <f>Roster!AG86</f>
        <v>0</v>
      </c>
      <c r="AG21" s="38">
        <f>Roster!AH86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Roster!D101</f>
        <v>0</v>
      </c>
      <c r="D24" s="49">
        <f>Roster!E101</f>
        <v>0</v>
      </c>
      <c r="E24" s="40">
        <f>Roster!F101</f>
        <v>0</v>
      </c>
      <c r="F24" s="40">
        <f>Roster!G101</f>
        <v>0</v>
      </c>
      <c r="G24" s="40">
        <f>Roster!H101</f>
        <v>0</v>
      </c>
      <c r="H24" s="40">
        <f>Roster!I101</f>
        <v>0</v>
      </c>
      <c r="I24" s="40">
        <f>Roster!J101</f>
        <v>0</v>
      </c>
      <c r="J24" s="40">
        <f>Roster!K101</f>
        <v>0</v>
      </c>
      <c r="K24" s="40">
        <f>Roster!L101</f>
        <v>0</v>
      </c>
      <c r="L24" s="40">
        <f>Roster!M101</f>
        <v>0</v>
      </c>
      <c r="M24" s="40">
        <f>Roster!N101</f>
        <v>0</v>
      </c>
      <c r="N24" s="40">
        <f>Roster!O101</f>
        <v>0</v>
      </c>
      <c r="O24" s="40">
        <f>Roster!P101</f>
        <v>0</v>
      </c>
      <c r="P24" s="40">
        <f>Roster!Q101</f>
        <v>0</v>
      </c>
      <c r="Q24" s="40">
        <f>Roster!R101</f>
        <v>0</v>
      </c>
      <c r="R24" s="40">
        <f>Roster!S101</f>
        <v>0</v>
      </c>
      <c r="S24" s="40">
        <f>Roster!T101</f>
        <v>0</v>
      </c>
      <c r="T24" s="40">
        <f>Roster!U101</f>
        <v>0</v>
      </c>
      <c r="U24" s="40">
        <f>Roster!V101</f>
        <v>0</v>
      </c>
      <c r="V24" s="40">
        <f>Roster!W101</f>
        <v>0</v>
      </c>
      <c r="W24" s="40">
        <f>Roster!X101</f>
        <v>0</v>
      </c>
      <c r="X24" s="40">
        <f>Roster!Y101</f>
        <v>0</v>
      </c>
      <c r="Y24" s="40">
        <f>Roster!Z101</f>
        <v>0</v>
      </c>
      <c r="Z24" s="40">
        <f>Roster!AA101</f>
        <v>0</v>
      </c>
      <c r="AA24" s="40">
        <f>Roster!AB101</f>
        <v>0</v>
      </c>
      <c r="AB24" s="40">
        <f>Roster!AC101</f>
        <v>0</v>
      </c>
      <c r="AC24" s="40">
        <f>Roster!AD101</f>
        <v>0</v>
      </c>
      <c r="AD24" s="40">
        <f>Roster!AE101</f>
        <v>0</v>
      </c>
      <c r="AE24" s="40">
        <f>Roster!AF101</f>
        <v>0</v>
      </c>
      <c r="AF24" s="40">
        <f>Roster!AG101</f>
        <v>0</v>
      </c>
      <c r="AG24" s="41">
        <f>Roster!AH101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Roster!D116</f>
        <v>0</v>
      </c>
      <c r="D27" s="37">
        <f>Roster!E116</f>
        <v>0</v>
      </c>
      <c r="E27" s="37">
        <f>Roster!F116</f>
        <v>0</v>
      </c>
      <c r="F27" s="37">
        <f>Roster!G116</f>
        <v>0</v>
      </c>
      <c r="G27" s="37">
        <f>Roster!H116</f>
        <v>0</v>
      </c>
      <c r="H27" s="37">
        <f>Roster!I116</f>
        <v>0</v>
      </c>
      <c r="I27" s="37">
        <f>Roster!J116</f>
        <v>0</v>
      </c>
      <c r="J27" s="37">
        <f>Roster!K116</f>
        <v>0</v>
      </c>
      <c r="K27" s="37">
        <f>Roster!L116</f>
        <v>0</v>
      </c>
      <c r="L27" s="37">
        <f>Roster!M116</f>
        <v>0</v>
      </c>
      <c r="M27" s="37">
        <f>Roster!N116</f>
        <v>0</v>
      </c>
      <c r="N27" s="37">
        <f>Roster!O116</f>
        <v>0</v>
      </c>
      <c r="O27" s="37">
        <f>Roster!P116</f>
        <v>0</v>
      </c>
      <c r="P27" s="37">
        <f>Roster!Q116</f>
        <v>0</v>
      </c>
      <c r="Q27" s="37">
        <f>Roster!R116</f>
        <v>0</v>
      </c>
      <c r="R27" s="37">
        <f>Roster!S116</f>
        <v>0</v>
      </c>
      <c r="S27" s="37">
        <f>Roster!T116</f>
        <v>0</v>
      </c>
      <c r="T27" s="37">
        <f>Roster!U116</f>
        <v>0</v>
      </c>
      <c r="U27" s="37">
        <f>Roster!V116</f>
        <v>0</v>
      </c>
      <c r="V27" s="37">
        <f>Roster!W116</f>
        <v>0</v>
      </c>
      <c r="W27" s="37">
        <f>Roster!X116</f>
        <v>0</v>
      </c>
      <c r="X27" s="37">
        <f>Roster!Y116</f>
        <v>0</v>
      </c>
      <c r="Y27" s="37">
        <f>Roster!Z116</f>
        <v>0</v>
      </c>
      <c r="Z27" s="37">
        <f>Roster!AA116</f>
        <v>0</v>
      </c>
      <c r="AA27" s="37">
        <f>Roster!AB116</f>
        <v>0</v>
      </c>
      <c r="AB27" s="37">
        <f>Roster!AC116</f>
        <v>0</v>
      </c>
      <c r="AC27" s="37">
        <f>Roster!AD116</f>
        <v>0</v>
      </c>
      <c r="AD27" s="43">
        <f>Roster!AE116</f>
        <v>0</v>
      </c>
      <c r="AE27" s="134">
        <f>Roster!AF116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Roster!D131</f>
        <v>0</v>
      </c>
      <c r="D30" s="37">
        <f>Roster!E131</f>
        <v>0</v>
      </c>
      <c r="E30" s="37">
        <f>Roster!F131</f>
        <v>0</v>
      </c>
      <c r="F30" s="37">
        <f>Roster!G131</f>
        <v>0</v>
      </c>
      <c r="G30" s="37">
        <f>Roster!H131</f>
        <v>0</v>
      </c>
      <c r="H30" s="37">
        <f>Roster!I131</f>
        <v>0</v>
      </c>
      <c r="I30" s="37">
        <f>Roster!J131</f>
        <v>0</v>
      </c>
      <c r="J30" s="37">
        <f>Roster!K131</f>
        <v>0</v>
      </c>
      <c r="K30" s="37">
        <f>Roster!L131</f>
        <v>0</v>
      </c>
      <c r="L30" s="37">
        <f>Roster!M131</f>
        <v>0</v>
      </c>
      <c r="M30" s="37">
        <f>Roster!N131</f>
        <v>0</v>
      </c>
      <c r="N30" s="37">
        <f>Roster!O131</f>
        <v>0</v>
      </c>
      <c r="O30" s="37">
        <f>Roster!P131</f>
        <v>0</v>
      </c>
      <c r="P30" s="37">
        <f>Roster!Q131</f>
        <v>0</v>
      </c>
      <c r="Q30" s="37">
        <f>Roster!R131</f>
        <v>0</v>
      </c>
      <c r="R30" s="37">
        <f>Roster!S131</f>
        <v>0</v>
      </c>
      <c r="S30" s="37">
        <f>Roster!T131</f>
        <v>0</v>
      </c>
      <c r="T30" s="37">
        <f>Roster!U131</f>
        <v>0</v>
      </c>
      <c r="U30" s="37">
        <f>Roster!V131</f>
        <v>0</v>
      </c>
      <c r="V30" s="37">
        <f>Roster!W131</f>
        <v>0</v>
      </c>
      <c r="W30" s="37">
        <f>Roster!X131</f>
        <v>0</v>
      </c>
      <c r="X30" s="37">
        <f>Roster!Y131</f>
        <v>0</v>
      </c>
      <c r="Y30" s="37">
        <f>Roster!Z131</f>
        <v>0</v>
      </c>
      <c r="Z30" s="37">
        <f>Roster!AA131</f>
        <v>0</v>
      </c>
      <c r="AA30" s="37">
        <f>Roster!AB131</f>
        <v>0</v>
      </c>
      <c r="AB30" s="37">
        <f>Roster!AC131</f>
        <v>0</v>
      </c>
      <c r="AC30" s="37">
        <f>Roster!AD131</f>
        <v>0</v>
      </c>
      <c r="AD30" s="37">
        <f>Roster!AE131</f>
        <v>0</v>
      </c>
      <c r="AE30" s="37">
        <f>Roster!AF131</f>
        <v>0</v>
      </c>
      <c r="AF30" s="37">
        <f>Roster!AG131</f>
        <v>0</v>
      </c>
      <c r="AG30" s="41">
        <f>Roster!AH131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Roster!D146</f>
        <v>0</v>
      </c>
      <c r="D33" s="37">
        <f>Roster!E146</f>
        <v>0</v>
      </c>
      <c r="E33" s="37">
        <f>Roster!F146</f>
        <v>0</v>
      </c>
      <c r="F33" s="37">
        <f>Roster!G146</f>
        <v>0</v>
      </c>
      <c r="G33" s="37">
        <f>Roster!H146</f>
        <v>0</v>
      </c>
      <c r="H33" s="37">
        <f>Roster!I146</f>
        <v>0</v>
      </c>
      <c r="I33" s="37">
        <f>Roster!J146</f>
        <v>0</v>
      </c>
      <c r="J33" s="37">
        <f>Roster!K146</f>
        <v>0</v>
      </c>
      <c r="K33" s="37">
        <f>Roster!L146</f>
        <v>0</v>
      </c>
      <c r="L33" s="37">
        <f>Roster!M146</f>
        <v>0</v>
      </c>
      <c r="M33" s="37">
        <f>Roster!N146</f>
        <v>0</v>
      </c>
      <c r="N33" s="37">
        <f>Roster!O146</f>
        <v>0</v>
      </c>
      <c r="O33" s="37">
        <f>Roster!P146</f>
        <v>0</v>
      </c>
      <c r="P33" s="37">
        <f>Roster!Q146</f>
        <v>0</v>
      </c>
      <c r="Q33" s="37">
        <f>Roster!R146</f>
        <v>0</v>
      </c>
      <c r="R33" s="37">
        <f>Roster!S146</f>
        <v>0</v>
      </c>
      <c r="S33" s="37">
        <f>Roster!T146</f>
        <v>0</v>
      </c>
      <c r="T33" s="37">
        <f>Roster!U146</f>
        <v>0</v>
      </c>
      <c r="U33" s="37">
        <f>Roster!V146</f>
        <v>0</v>
      </c>
      <c r="V33" s="37">
        <f>Roster!W146</f>
        <v>0</v>
      </c>
      <c r="W33" s="37">
        <f>Roster!X146</f>
        <v>0</v>
      </c>
      <c r="X33" s="37">
        <f>Roster!Y146</f>
        <v>0</v>
      </c>
      <c r="Y33" s="37">
        <f>Roster!Z146</f>
        <v>0</v>
      </c>
      <c r="Z33" s="37">
        <f>Roster!AA146</f>
        <v>0</v>
      </c>
      <c r="AA33" s="37">
        <f>Roster!AB146</f>
        <v>0</v>
      </c>
      <c r="AB33" s="37">
        <f>Roster!AC146</f>
        <v>0</v>
      </c>
      <c r="AC33" s="37">
        <f>Roster!AD146</f>
        <v>0</v>
      </c>
      <c r="AD33" s="37">
        <f>Roster!AE146</f>
        <v>0</v>
      </c>
      <c r="AE33" s="37">
        <f>Roster!AF146</f>
        <v>0</v>
      </c>
      <c r="AF33" s="38">
        <f>Roster!AG146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Roster!D161</f>
        <v>0</v>
      </c>
      <c r="D36" s="37">
        <f>Roster!E161</f>
        <v>0</v>
      </c>
      <c r="E36" s="37">
        <f>Roster!F161</f>
        <v>0</v>
      </c>
      <c r="F36" s="37">
        <f>Roster!G161</f>
        <v>0</v>
      </c>
      <c r="G36" s="37">
        <f>Roster!H161</f>
        <v>0</v>
      </c>
      <c r="H36" s="37">
        <f>Roster!I161</f>
        <v>0</v>
      </c>
      <c r="I36" s="37">
        <f>Roster!J161</f>
        <v>0</v>
      </c>
      <c r="J36" s="37">
        <f>Roster!K161</f>
        <v>0</v>
      </c>
      <c r="K36" s="37">
        <f>Roster!L161</f>
        <v>0</v>
      </c>
      <c r="L36" s="37">
        <f>Roster!M161</f>
        <v>0</v>
      </c>
      <c r="M36" s="37">
        <f>Roster!N161</f>
        <v>0</v>
      </c>
      <c r="N36" s="37">
        <f>Roster!O161</f>
        <v>0</v>
      </c>
      <c r="O36" s="37">
        <f>Roster!P161</f>
        <v>0</v>
      </c>
      <c r="P36" s="37">
        <f>Roster!Q161</f>
        <v>0</v>
      </c>
      <c r="Q36" s="37">
        <f>Roster!R161</f>
        <v>0</v>
      </c>
      <c r="R36" s="37">
        <f>Roster!S161</f>
        <v>0</v>
      </c>
      <c r="S36" s="37">
        <f>Roster!T161</f>
        <v>0</v>
      </c>
      <c r="T36" s="37">
        <f>Roster!U161</f>
        <v>0</v>
      </c>
      <c r="U36" s="37">
        <f>Roster!V161</f>
        <v>0</v>
      </c>
      <c r="V36" s="37">
        <f>Roster!W161</f>
        <v>0</v>
      </c>
      <c r="W36" s="37">
        <f>Roster!X161</f>
        <v>0</v>
      </c>
      <c r="X36" s="37">
        <f>Roster!Y161</f>
        <v>0</v>
      </c>
      <c r="Y36" s="37">
        <f>Roster!Z161</f>
        <v>0</v>
      </c>
      <c r="Z36" s="37">
        <f>Roster!AA161</f>
        <v>0</v>
      </c>
      <c r="AA36" s="37">
        <f>Roster!AB161</f>
        <v>0</v>
      </c>
      <c r="AB36" s="37">
        <f>Roster!AC161</f>
        <v>0</v>
      </c>
      <c r="AC36" s="37">
        <f>Roster!AD161</f>
        <v>0</v>
      </c>
      <c r="AD36" s="37">
        <f>Roster!AE161</f>
        <v>0</v>
      </c>
      <c r="AE36" s="37">
        <f>Roster!AF161</f>
        <v>0</v>
      </c>
      <c r="AF36" s="37">
        <f>Roster!AG161</f>
        <v>0</v>
      </c>
      <c r="AG36" s="38">
        <f>Roster!AH161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Roster!D176</f>
        <v>0</v>
      </c>
      <c r="D39" s="37">
        <f>Roster!E176</f>
        <v>0</v>
      </c>
      <c r="E39" s="37">
        <f>Roster!F176</f>
        <v>0</v>
      </c>
      <c r="F39" s="37">
        <f>Roster!G176</f>
        <v>0</v>
      </c>
      <c r="G39" s="37">
        <f>Roster!H176</f>
        <v>0</v>
      </c>
      <c r="H39" s="37">
        <f>Roster!I176</f>
        <v>0</v>
      </c>
      <c r="I39" s="37">
        <f>Roster!J176</f>
        <v>0</v>
      </c>
      <c r="J39" s="37">
        <f>Roster!K176</f>
        <v>0</v>
      </c>
      <c r="K39" s="37">
        <f>Roster!L176</f>
        <v>0</v>
      </c>
      <c r="L39" s="37">
        <f>Roster!M176</f>
        <v>0</v>
      </c>
      <c r="M39" s="37">
        <f>Roster!N176</f>
        <v>0</v>
      </c>
      <c r="N39" s="37">
        <f>Roster!O176</f>
        <v>0</v>
      </c>
      <c r="O39" s="37">
        <f>Roster!P176</f>
        <v>0</v>
      </c>
      <c r="P39" s="37">
        <f>Roster!Q176</f>
        <v>0</v>
      </c>
      <c r="Q39" s="37">
        <f>Roster!R176</f>
        <v>0</v>
      </c>
      <c r="R39" s="37">
        <f>Roster!S176</f>
        <v>0</v>
      </c>
      <c r="S39" s="37">
        <f>Roster!T176</f>
        <v>0</v>
      </c>
      <c r="T39" s="37">
        <f>Roster!U176</f>
        <v>0</v>
      </c>
      <c r="U39" s="37">
        <f>Roster!V176</f>
        <v>0</v>
      </c>
      <c r="V39" s="37">
        <f>Roster!W176</f>
        <v>0</v>
      </c>
      <c r="W39" s="37">
        <f>Roster!X176</f>
        <v>0</v>
      </c>
      <c r="X39" s="37">
        <f>Roster!Y176</f>
        <v>0</v>
      </c>
      <c r="Y39" s="37">
        <f>Roster!Z176</f>
        <v>0</v>
      </c>
      <c r="Z39" s="37">
        <f>Roster!AA176</f>
        <v>0</v>
      </c>
      <c r="AA39" s="37">
        <f>Roster!AB176</f>
        <v>0</v>
      </c>
      <c r="AB39" s="37">
        <f>Roster!AC176</f>
        <v>0</v>
      </c>
      <c r="AC39" s="37">
        <f>Roster!AD176</f>
        <v>0</v>
      </c>
      <c r="AD39" s="37">
        <f>Roster!AE176</f>
        <v>0</v>
      </c>
      <c r="AE39" s="37">
        <f>Roster!AF176</f>
        <v>0</v>
      </c>
      <c r="AF39" s="38">
        <f>Roster!AG176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Roster!D12</f>
        <v>0</v>
      </c>
      <c r="D6" s="37">
        <f>Roster!E12</f>
        <v>0</v>
      </c>
      <c r="E6" s="37" t="str">
        <f>Roster!F12</f>
        <v>PO</v>
      </c>
      <c r="F6" s="37" t="str">
        <f>Roster!G12</f>
        <v>PO</v>
      </c>
      <c r="G6" s="37">
        <f>Roster!H12</f>
        <v>0</v>
      </c>
      <c r="H6" s="37">
        <f>Roster!I12</f>
        <v>0</v>
      </c>
      <c r="I6" s="37">
        <f>Roster!J12</f>
        <v>0</v>
      </c>
      <c r="J6" s="37">
        <f>Roster!K12</f>
        <v>0</v>
      </c>
      <c r="K6" s="37">
        <f>Roster!L12</f>
        <v>0</v>
      </c>
      <c r="L6" s="37">
        <f>Roster!M12</f>
        <v>0</v>
      </c>
      <c r="M6" s="37">
        <f>Roster!N12</f>
        <v>0</v>
      </c>
      <c r="N6" s="37">
        <f>Roster!O12</f>
        <v>0</v>
      </c>
      <c r="O6" s="37">
        <f>Roster!P12</f>
        <v>0</v>
      </c>
      <c r="P6" s="37">
        <f>Roster!Q12</f>
        <v>0</v>
      </c>
      <c r="Q6" s="37">
        <f>Roster!R12</f>
        <v>0</v>
      </c>
      <c r="R6" s="37">
        <f>Roster!S12</f>
        <v>0</v>
      </c>
      <c r="S6" s="37">
        <f>Roster!T12</f>
        <v>0</v>
      </c>
      <c r="T6" s="37">
        <f>Roster!U12</f>
        <v>0</v>
      </c>
      <c r="U6" s="37">
        <f>Roster!V12</f>
        <v>0</v>
      </c>
      <c r="V6" s="37">
        <f>Roster!W12</f>
        <v>0</v>
      </c>
      <c r="W6" s="37">
        <f>Roster!X12</f>
        <v>0</v>
      </c>
      <c r="X6" s="37">
        <f>Roster!Y12</f>
        <v>0</v>
      </c>
      <c r="Y6" s="37">
        <f>Roster!Z12</f>
        <v>0</v>
      </c>
      <c r="Z6" s="37">
        <f>Roster!AA12</f>
        <v>0</v>
      </c>
      <c r="AA6" s="37">
        <f>Roster!AB12</f>
        <v>0</v>
      </c>
      <c r="AB6" s="37">
        <f>Roster!AC12</f>
        <v>0</v>
      </c>
      <c r="AC6" s="37">
        <f>Roster!AD12</f>
        <v>0</v>
      </c>
      <c r="AD6" s="37">
        <f>Roster!AE12</f>
        <v>0</v>
      </c>
      <c r="AE6" s="37" t="str">
        <f>Roster!AF12</f>
        <v>PO</v>
      </c>
      <c r="AF6" s="37">
        <f>Roster!AG12</f>
        <v>0</v>
      </c>
      <c r="AG6" s="38">
        <f>Roster!AH12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Roster!D27</f>
        <v>0</v>
      </c>
      <c r="D9" s="39">
        <f>Roster!E27</f>
        <v>0</v>
      </c>
      <c r="E9" s="37">
        <f>Roster!F27</f>
        <v>0</v>
      </c>
      <c r="F9" s="37">
        <f>Roster!G27</f>
        <v>0</v>
      </c>
      <c r="G9" s="37">
        <f>Roster!H27</f>
        <v>0</v>
      </c>
      <c r="H9" s="37">
        <f>Roster!I27</f>
        <v>0</v>
      </c>
      <c r="I9" s="37">
        <f>Roster!J27</f>
        <v>0</v>
      </c>
      <c r="J9" s="37">
        <f>Roster!K27</f>
        <v>0</v>
      </c>
      <c r="K9" s="37">
        <f>Roster!L27</f>
        <v>0</v>
      </c>
      <c r="L9" s="37">
        <f>Roster!M27</f>
        <v>0</v>
      </c>
      <c r="M9" s="37">
        <f>Roster!N27</f>
        <v>0</v>
      </c>
      <c r="N9" s="37">
        <f>Roster!O27</f>
        <v>0</v>
      </c>
      <c r="O9" s="37">
        <f>Roster!P27</f>
        <v>0</v>
      </c>
      <c r="P9" s="37">
        <f>Roster!Q27</f>
        <v>0</v>
      </c>
      <c r="Q9" s="37">
        <f>Roster!R27</f>
        <v>0</v>
      </c>
      <c r="R9" s="37">
        <f>Roster!S27</f>
        <v>0</v>
      </c>
      <c r="S9" s="37">
        <f>Roster!T27</f>
        <v>0</v>
      </c>
      <c r="T9" s="37">
        <f>Roster!U27</f>
        <v>0</v>
      </c>
      <c r="U9" s="37">
        <f>Roster!V27</f>
        <v>0</v>
      </c>
      <c r="V9" s="37">
        <f>Roster!W27</f>
        <v>0</v>
      </c>
      <c r="W9" s="37">
        <f>Roster!X27</f>
        <v>0</v>
      </c>
      <c r="X9" s="37">
        <f>Roster!Y27</f>
        <v>0</v>
      </c>
      <c r="Y9" s="37">
        <f>Roster!Z27</f>
        <v>0</v>
      </c>
      <c r="Z9" s="37">
        <f>Roster!AA27</f>
        <v>0</v>
      </c>
      <c r="AA9" s="37">
        <f>Roster!AB27</f>
        <v>0</v>
      </c>
      <c r="AB9" s="37">
        <f>Roster!AC27</f>
        <v>0</v>
      </c>
      <c r="AC9" s="37">
        <f>Roster!AD27</f>
        <v>0</v>
      </c>
      <c r="AD9" s="37">
        <f>Roster!AE27</f>
        <v>0</v>
      </c>
      <c r="AE9" s="37">
        <f>Roster!AF27</f>
        <v>0</v>
      </c>
      <c r="AF9" s="37">
        <f>Roster!AG27</f>
        <v>0</v>
      </c>
      <c r="AG9" s="38">
        <f>Roster!AH27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Roster!D42</f>
        <v>D</v>
      </c>
      <c r="D12" s="37">
        <f>Roster!E42</f>
        <v>0</v>
      </c>
      <c r="E12" s="37" t="str">
        <f>Roster!F42</f>
        <v>A</v>
      </c>
      <c r="F12" s="37">
        <f>Roster!G42</f>
        <v>0</v>
      </c>
      <c r="G12" s="37">
        <f>Roster!H42</f>
        <v>0</v>
      </c>
      <c r="H12" s="37" t="str">
        <f>Roster!I42</f>
        <v>D</v>
      </c>
      <c r="I12" s="37">
        <f>Roster!J42</f>
        <v>0</v>
      </c>
      <c r="J12" s="37">
        <f>Roster!K42</f>
        <v>0</v>
      </c>
      <c r="K12" s="37" t="str">
        <f>Roster!L42</f>
        <v>D</v>
      </c>
      <c r="L12" s="37" t="str">
        <f>Roster!M42</f>
        <v>D</v>
      </c>
      <c r="M12" s="37">
        <f>Roster!N42</f>
        <v>0</v>
      </c>
      <c r="N12" s="37">
        <f>Roster!O42</f>
        <v>0</v>
      </c>
      <c r="O12" s="37">
        <f>Roster!P42</f>
        <v>0</v>
      </c>
      <c r="P12" s="37" t="str">
        <f>Roster!Q42</f>
        <v>A</v>
      </c>
      <c r="Q12" s="37" t="str">
        <f>Roster!R42</f>
        <v>A</v>
      </c>
      <c r="R12" s="37">
        <f>Roster!S42</f>
        <v>0</v>
      </c>
      <c r="S12" s="37">
        <f>Roster!T42</f>
        <v>0</v>
      </c>
      <c r="T12" s="37">
        <f>Roster!U42</f>
        <v>0</v>
      </c>
      <c r="U12" s="37">
        <f>Roster!V42</f>
        <v>0</v>
      </c>
      <c r="V12" s="37">
        <f>Roster!W42</f>
        <v>0</v>
      </c>
      <c r="W12" s="37">
        <f>Roster!X42</f>
        <v>0</v>
      </c>
      <c r="X12" s="37">
        <f>Roster!Y42</f>
        <v>0</v>
      </c>
      <c r="Y12" s="37">
        <f>Roster!Z42</f>
        <v>0</v>
      </c>
      <c r="Z12" s="37">
        <f>Roster!AA42</f>
        <v>0</v>
      </c>
      <c r="AA12" s="37">
        <f>Roster!AB42</f>
        <v>0</v>
      </c>
      <c r="AB12" s="37">
        <f>Roster!AC42</f>
        <v>0</v>
      </c>
      <c r="AC12" s="37">
        <f>Roster!AD42</f>
        <v>0</v>
      </c>
      <c r="AD12" s="37">
        <f>Roster!AE42</f>
        <v>0</v>
      </c>
      <c r="AE12" s="37">
        <f>Roster!AF42</f>
        <v>0</v>
      </c>
      <c r="AF12" s="38">
        <f>Roster!AG42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Roster!D57</f>
        <v>0</v>
      </c>
      <c r="D15" s="37">
        <f>Roster!E57</f>
        <v>0</v>
      </c>
      <c r="E15" s="37">
        <f>Roster!F57</f>
        <v>0</v>
      </c>
      <c r="F15" s="37">
        <f>Roster!L57</f>
        <v>0</v>
      </c>
      <c r="G15" s="37">
        <f>Roster!H57</f>
        <v>0</v>
      </c>
      <c r="H15" s="37">
        <f>Roster!I57</f>
        <v>0</v>
      </c>
      <c r="I15" s="37">
        <f>Roster!J57</f>
        <v>0</v>
      </c>
      <c r="J15" s="37">
        <f>Roster!K57</f>
        <v>0</v>
      </c>
      <c r="K15" s="37">
        <f>Roster!L57</f>
        <v>0</v>
      </c>
      <c r="L15" s="37">
        <f>Roster!M57</f>
        <v>0</v>
      </c>
      <c r="M15" s="37">
        <f>Roster!N57</f>
        <v>0</v>
      </c>
      <c r="N15" s="37">
        <f>Roster!O57</f>
        <v>0</v>
      </c>
      <c r="O15" s="37">
        <f>Roster!P57</f>
        <v>0</v>
      </c>
      <c r="P15" s="37">
        <f>Roster!Q57</f>
        <v>0</v>
      </c>
      <c r="Q15" s="37">
        <f>Roster!R57</f>
        <v>0</v>
      </c>
      <c r="R15" s="37">
        <f>Roster!S57</f>
        <v>0</v>
      </c>
      <c r="S15" s="37">
        <f>Roster!T57</f>
        <v>0</v>
      </c>
      <c r="T15" s="37">
        <f>Roster!U57</f>
        <v>0</v>
      </c>
      <c r="U15" s="37">
        <f>Roster!V57</f>
        <v>0</v>
      </c>
      <c r="V15" s="37">
        <f>Roster!W57</f>
        <v>0</v>
      </c>
      <c r="W15" s="37">
        <f>Roster!X57</f>
        <v>0</v>
      </c>
      <c r="X15" s="37">
        <f>Roster!Y57</f>
        <v>0</v>
      </c>
      <c r="Y15" s="37">
        <f>Roster!Z57</f>
        <v>0</v>
      </c>
      <c r="Z15" s="37">
        <f>Roster!AA57</f>
        <v>0</v>
      </c>
      <c r="AA15" s="37">
        <f>Roster!AB57</f>
        <v>0</v>
      </c>
      <c r="AB15" s="37">
        <f>Roster!AC57</f>
        <v>0</v>
      </c>
      <c r="AC15" s="37">
        <f>Roster!AD57</f>
        <v>0</v>
      </c>
      <c r="AD15" s="37">
        <f>Roster!AE57</f>
        <v>0</v>
      </c>
      <c r="AE15" s="37">
        <f>Roster!AF57</f>
        <v>0</v>
      </c>
      <c r="AF15" s="37">
        <f>Roster!AG57</f>
        <v>0</v>
      </c>
      <c r="AG15" s="38">
        <f>Roster!AH57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Roster!D72</f>
        <v>0</v>
      </c>
      <c r="D18" s="37">
        <f>Roster!E72</f>
        <v>0</v>
      </c>
      <c r="E18" s="37">
        <f>Roster!F72</f>
        <v>0</v>
      </c>
      <c r="F18" s="37">
        <f>Roster!G72</f>
        <v>0</v>
      </c>
      <c r="G18" s="37">
        <f>Roster!H72</f>
        <v>0</v>
      </c>
      <c r="H18" s="37">
        <f>Roster!I72</f>
        <v>0</v>
      </c>
      <c r="I18" s="37">
        <f>Roster!J72</f>
        <v>0</v>
      </c>
      <c r="J18" s="37">
        <f>Roster!K72</f>
        <v>0</v>
      </c>
      <c r="K18" s="37">
        <f>Roster!L72</f>
        <v>0</v>
      </c>
      <c r="L18" s="37">
        <f>Roster!M72</f>
        <v>0</v>
      </c>
      <c r="M18" s="37">
        <f>Roster!N72</f>
        <v>0</v>
      </c>
      <c r="N18" s="37">
        <f>Roster!O72</f>
        <v>0</v>
      </c>
      <c r="O18" s="37">
        <f>Roster!P72</f>
        <v>0</v>
      </c>
      <c r="P18" s="37">
        <f>Roster!Q72</f>
        <v>0</v>
      </c>
      <c r="Q18" s="37">
        <f>Roster!R72</f>
        <v>0</v>
      </c>
      <c r="R18" s="37">
        <f>Roster!S72</f>
        <v>0</v>
      </c>
      <c r="S18" s="37">
        <f>Roster!T72</f>
        <v>0</v>
      </c>
      <c r="T18" s="37">
        <f>Roster!U72</f>
        <v>0</v>
      </c>
      <c r="U18" s="37">
        <f>Roster!V72</f>
        <v>0</v>
      </c>
      <c r="V18" s="37">
        <f>Roster!W72</f>
        <v>0</v>
      </c>
      <c r="W18" s="37">
        <f>Roster!X72</f>
        <v>0</v>
      </c>
      <c r="X18" s="37">
        <f>Roster!Y72</f>
        <v>0</v>
      </c>
      <c r="Y18" s="37">
        <f>Roster!Z72</f>
        <v>0</v>
      </c>
      <c r="Z18" s="37">
        <f>Roster!AA72</f>
        <v>0</v>
      </c>
      <c r="AA18" s="37">
        <f>Roster!AB72</f>
        <v>0</v>
      </c>
      <c r="AB18" s="37">
        <f>Roster!AC72</f>
        <v>0</v>
      </c>
      <c r="AC18" s="37">
        <f>Roster!AD72</f>
        <v>0</v>
      </c>
      <c r="AD18" s="37">
        <f>Roster!AE72</f>
        <v>0</v>
      </c>
      <c r="AE18" s="37">
        <f>Roster!AF72</f>
        <v>0</v>
      </c>
      <c r="AF18" s="38">
        <f>Roster!AG72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Roster!D87</f>
        <v>0</v>
      </c>
      <c r="D21" s="37">
        <f>Roster!E87</f>
        <v>0</v>
      </c>
      <c r="E21" s="37">
        <f>Roster!F87</f>
        <v>0</v>
      </c>
      <c r="F21" s="37">
        <f>Roster!G87</f>
        <v>0</v>
      </c>
      <c r="G21" s="37">
        <f>Roster!H87</f>
        <v>0</v>
      </c>
      <c r="H21" s="37">
        <f>Roster!I87</f>
        <v>0</v>
      </c>
      <c r="I21" s="37">
        <f>Roster!J87</f>
        <v>0</v>
      </c>
      <c r="J21" s="37">
        <f>Roster!K87</f>
        <v>0</v>
      </c>
      <c r="K21" s="37">
        <f>Roster!L87</f>
        <v>0</v>
      </c>
      <c r="L21" s="37">
        <f>Roster!M87</f>
        <v>0</v>
      </c>
      <c r="M21" s="37">
        <f>Roster!N87</f>
        <v>0</v>
      </c>
      <c r="N21" s="37">
        <f>Roster!O87</f>
        <v>0</v>
      </c>
      <c r="O21" s="37">
        <f>Roster!P87</f>
        <v>0</v>
      </c>
      <c r="P21" s="37">
        <f>Roster!Q87</f>
        <v>0</v>
      </c>
      <c r="Q21" s="37">
        <f>Roster!R87</f>
        <v>0</v>
      </c>
      <c r="R21" s="37">
        <f>Roster!S87</f>
        <v>0</v>
      </c>
      <c r="S21" s="37">
        <f>Roster!T87</f>
        <v>0</v>
      </c>
      <c r="T21" s="37">
        <f>Roster!U87</f>
        <v>0</v>
      </c>
      <c r="U21" s="37">
        <f>Roster!V87</f>
        <v>0</v>
      </c>
      <c r="V21" s="37">
        <f>Roster!W87</f>
        <v>0</v>
      </c>
      <c r="W21" s="37">
        <f>Roster!X87</f>
        <v>0</v>
      </c>
      <c r="X21" s="37">
        <f>Roster!Y87</f>
        <v>0</v>
      </c>
      <c r="Y21" s="37">
        <f>Roster!Z87</f>
        <v>0</v>
      </c>
      <c r="Z21" s="37">
        <f>Roster!AA87</f>
        <v>0</v>
      </c>
      <c r="AA21" s="37">
        <f>Roster!AB87</f>
        <v>0</v>
      </c>
      <c r="AB21" s="37">
        <f>Roster!AC87</f>
        <v>0</v>
      </c>
      <c r="AC21" s="37">
        <f>Roster!AD87</f>
        <v>0</v>
      </c>
      <c r="AD21" s="37">
        <f>Roster!AE87</f>
        <v>0</v>
      </c>
      <c r="AE21" s="37">
        <f>Roster!AF87</f>
        <v>0</v>
      </c>
      <c r="AF21" s="37">
        <f>Roster!AG87</f>
        <v>0</v>
      </c>
      <c r="AG21" s="38">
        <f>Roster!AH87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Roster!D102</f>
        <v>0</v>
      </c>
      <c r="D24" s="49">
        <f>Roster!E102</f>
        <v>0</v>
      </c>
      <c r="E24" s="40">
        <f>Roster!F102</f>
        <v>0</v>
      </c>
      <c r="F24" s="40">
        <f>Roster!G102</f>
        <v>0</v>
      </c>
      <c r="G24" s="40">
        <f>Roster!H102</f>
        <v>0</v>
      </c>
      <c r="H24" s="40">
        <f>Roster!I102</f>
        <v>0</v>
      </c>
      <c r="I24" s="40">
        <f>Roster!J102</f>
        <v>0</v>
      </c>
      <c r="J24" s="40">
        <f>Roster!K102</f>
        <v>0</v>
      </c>
      <c r="K24" s="40">
        <f>Roster!L102</f>
        <v>0</v>
      </c>
      <c r="L24" s="40">
        <f>Roster!M102</f>
        <v>0</v>
      </c>
      <c r="M24" s="40">
        <f>Roster!N102</f>
        <v>0</v>
      </c>
      <c r="N24" s="40">
        <f>Roster!O102</f>
        <v>0</v>
      </c>
      <c r="O24" s="40">
        <f>Roster!P102</f>
        <v>0</v>
      </c>
      <c r="P24" s="40">
        <f>Roster!Q102</f>
        <v>0</v>
      </c>
      <c r="Q24" s="40">
        <f>Roster!R102</f>
        <v>0</v>
      </c>
      <c r="R24" s="40">
        <f>Roster!S102</f>
        <v>0</v>
      </c>
      <c r="S24" s="40">
        <f>Roster!T102</f>
        <v>0</v>
      </c>
      <c r="T24" s="40">
        <f>Roster!U102</f>
        <v>0</v>
      </c>
      <c r="U24" s="40">
        <f>Roster!V102</f>
        <v>0</v>
      </c>
      <c r="V24" s="40">
        <f>Roster!W102</f>
        <v>0</v>
      </c>
      <c r="W24" s="40">
        <f>Roster!X102</f>
        <v>0</v>
      </c>
      <c r="X24" s="40">
        <f>Roster!Y102</f>
        <v>0</v>
      </c>
      <c r="Y24" s="40">
        <f>Roster!Z102</f>
        <v>0</v>
      </c>
      <c r="Z24" s="40">
        <f>Roster!AA102</f>
        <v>0</v>
      </c>
      <c r="AA24" s="40">
        <f>Roster!AB102</f>
        <v>0</v>
      </c>
      <c r="AB24" s="40">
        <f>Roster!AC102</f>
        <v>0</v>
      </c>
      <c r="AC24" s="40">
        <f>Roster!AD102</f>
        <v>0</v>
      </c>
      <c r="AD24" s="40">
        <f>Roster!AE102</f>
        <v>0</v>
      </c>
      <c r="AE24" s="40">
        <f>Roster!AF102</f>
        <v>0</v>
      </c>
      <c r="AF24" s="40">
        <f>Roster!AG102</f>
        <v>0</v>
      </c>
      <c r="AG24" s="41">
        <f>Roster!AH102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Roster!D117</f>
        <v>0</v>
      </c>
      <c r="D27" s="37">
        <f>Roster!E117</f>
        <v>0</v>
      </c>
      <c r="E27" s="37">
        <f>Roster!F117</f>
        <v>0</v>
      </c>
      <c r="F27" s="37">
        <f>Roster!G117</f>
        <v>0</v>
      </c>
      <c r="G27" s="37">
        <f>Roster!H117</f>
        <v>0</v>
      </c>
      <c r="H27" s="37">
        <f>Roster!I117</f>
        <v>0</v>
      </c>
      <c r="I27" s="37">
        <f>Roster!J117</f>
        <v>0</v>
      </c>
      <c r="J27" s="37">
        <f>Roster!K117</f>
        <v>0</v>
      </c>
      <c r="K27" s="37">
        <f>Roster!L117</f>
        <v>0</v>
      </c>
      <c r="L27" s="37">
        <f>Roster!M117</f>
        <v>0</v>
      </c>
      <c r="M27" s="37">
        <f>Roster!N117</f>
        <v>0</v>
      </c>
      <c r="N27" s="37">
        <f>Roster!O117</f>
        <v>0</v>
      </c>
      <c r="O27" s="37">
        <f>Roster!P117</f>
        <v>0</v>
      </c>
      <c r="P27" s="37">
        <f>Roster!Q117</f>
        <v>0</v>
      </c>
      <c r="Q27" s="37">
        <f>Roster!R117</f>
        <v>0</v>
      </c>
      <c r="R27" s="37">
        <f>Roster!S117</f>
        <v>0</v>
      </c>
      <c r="S27" s="37">
        <f>Roster!T117</f>
        <v>0</v>
      </c>
      <c r="T27" s="37">
        <f>Roster!U117</f>
        <v>0</v>
      </c>
      <c r="U27" s="37">
        <f>Roster!V117</f>
        <v>0</v>
      </c>
      <c r="V27" s="37">
        <f>Roster!W117</f>
        <v>0</v>
      </c>
      <c r="W27" s="37">
        <f>Roster!X117</f>
        <v>0</v>
      </c>
      <c r="X27" s="37">
        <f>Roster!Y117</f>
        <v>0</v>
      </c>
      <c r="Y27" s="37">
        <f>Roster!Z117</f>
        <v>0</v>
      </c>
      <c r="Z27" s="37">
        <f>Roster!AA117</f>
        <v>0</v>
      </c>
      <c r="AA27" s="37">
        <f>Roster!AB117</f>
        <v>0</v>
      </c>
      <c r="AB27" s="37">
        <f>Roster!AC117</f>
        <v>0</v>
      </c>
      <c r="AC27" s="37">
        <f>Roster!AD117</f>
        <v>0</v>
      </c>
      <c r="AD27" s="43">
        <f>Roster!AE117</f>
        <v>0</v>
      </c>
      <c r="AE27" s="134">
        <f>Roster!AF117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Roster!D132</f>
        <v>0</v>
      </c>
      <c r="D30" s="37">
        <f>Roster!E132</f>
        <v>0</v>
      </c>
      <c r="E30" s="37">
        <f>Roster!F132</f>
        <v>0</v>
      </c>
      <c r="F30" s="37">
        <f>Roster!G132</f>
        <v>0</v>
      </c>
      <c r="G30" s="37">
        <f>Roster!H132</f>
        <v>0</v>
      </c>
      <c r="H30" s="37">
        <f>Roster!I132</f>
        <v>0</v>
      </c>
      <c r="I30" s="37">
        <f>Roster!J132</f>
        <v>0</v>
      </c>
      <c r="J30" s="37">
        <f>Roster!K132</f>
        <v>0</v>
      </c>
      <c r="K30" s="37">
        <f>Roster!L132</f>
        <v>0</v>
      </c>
      <c r="L30" s="37">
        <f>Roster!M132</f>
        <v>0</v>
      </c>
      <c r="M30" s="37">
        <f>Roster!N132</f>
        <v>0</v>
      </c>
      <c r="N30" s="37">
        <f>Roster!O132</f>
        <v>0</v>
      </c>
      <c r="O30" s="37">
        <f>Roster!P132</f>
        <v>0</v>
      </c>
      <c r="P30" s="37">
        <f>Roster!Q132</f>
        <v>0</v>
      </c>
      <c r="Q30" s="37">
        <f>Roster!R132</f>
        <v>0</v>
      </c>
      <c r="R30" s="37">
        <f>Roster!S132</f>
        <v>0</v>
      </c>
      <c r="S30" s="37">
        <f>Roster!T132</f>
        <v>0</v>
      </c>
      <c r="T30" s="37">
        <f>Roster!U132</f>
        <v>0</v>
      </c>
      <c r="U30" s="37">
        <f>Roster!V132</f>
        <v>0</v>
      </c>
      <c r="V30" s="37">
        <f>Roster!W132</f>
        <v>0</v>
      </c>
      <c r="W30" s="37">
        <f>Roster!X132</f>
        <v>0</v>
      </c>
      <c r="X30" s="37">
        <f>Roster!Y132</f>
        <v>0</v>
      </c>
      <c r="Y30" s="37">
        <f>Roster!Z132</f>
        <v>0</v>
      </c>
      <c r="Z30" s="37">
        <f>Roster!AA132</f>
        <v>0</v>
      </c>
      <c r="AA30" s="37">
        <f>Roster!AB132</f>
        <v>0</v>
      </c>
      <c r="AB30" s="37">
        <f>Roster!AC132</f>
        <v>0</v>
      </c>
      <c r="AC30" s="37">
        <f>Roster!AD132</f>
        <v>0</v>
      </c>
      <c r="AD30" s="37">
        <f>Roster!AE132</f>
        <v>0</v>
      </c>
      <c r="AE30" s="37">
        <f>Roster!AF132</f>
        <v>0</v>
      </c>
      <c r="AF30" s="37">
        <f>Roster!AG132</f>
        <v>0</v>
      </c>
      <c r="AG30" s="38">
        <f>Roster!AH132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Roster!D147</f>
        <v>0</v>
      </c>
      <c r="D33" s="37">
        <f>Roster!E147</f>
        <v>0</v>
      </c>
      <c r="E33" s="37">
        <f>Roster!F147</f>
        <v>0</v>
      </c>
      <c r="F33" s="37">
        <f>Roster!G147</f>
        <v>0</v>
      </c>
      <c r="G33" s="37">
        <f>Roster!H147</f>
        <v>0</v>
      </c>
      <c r="H33" s="37">
        <f>Roster!I147</f>
        <v>0</v>
      </c>
      <c r="I33" s="37">
        <f>Roster!J147</f>
        <v>0</v>
      </c>
      <c r="J33" s="37">
        <f>Roster!K147</f>
        <v>0</v>
      </c>
      <c r="K33" s="37">
        <f>Roster!L147</f>
        <v>0</v>
      </c>
      <c r="L33" s="37">
        <f>Roster!M147</f>
        <v>0</v>
      </c>
      <c r="M33" s="37">
        <f>Roster!N147</f>
        <v>0</v>
      </c>
      <c r="N33" s="37">
        <f>Roster!O147</f>
        <v>0</v>
      </c>
      <c r="O33" s="37">
        <f>Roster!P147</f>
        <v>0</v>
      </c>
      <c r="P33" s="37">
        <f>Roster!Q147</f>
        <v>0</v>
      </c>
      <c r="Q33" s="37">
        <f>Roster!R147</f>
        <v>0</v>
      </c>
      <c r="R33" s="37">
        <f>Roster!S147</f>
        <v>0</v>
      </c>
      <c r="S33" s="37">
        <f>Roster!T147</f>
        <v>0</v>
      </c>
      <c r="T33" s="37">
        <f>Roster!U147</f>
        <v>0</v>
      </c>
      <c r="U33" s="37">
        <f>Roster!V147</f>
        <v>0</v>
      </c>
      <c r="V33" s="37">
        <f>Roster!W147</f>
        <v>0</v>
      </c>
      <c r="W33" s="37">
        <f>Roster!X147</f>
        <v>0</v>
      </c>
      <c r="X33" s="37">
        <f>Roster!Y147</f>
        <v>0</v>
      </c>
      <c r="Y33" s="37">
        <f>Roster!Z147</f>
        <v>0</v>
      </c>
      <c r="Z33" s="37">
        <f>Roster!AA147</f>
        <v>0</v>
      </c>
      <c r="AA33" s="37">
        <f>Roster!AB147</f>
        <v>0</v>
      </c>
      <c r="AB33" s="37">
        <f>Roster!AC147</f>
        <v>0</v>
      </c>
      <c r="AC33" s="37">
        <f>Roster!AD147</f>
        <v>0</v>
      </c>
      <c r="AD33" s="37">
        <f>Roster!AE147</f>
        <v>0</v>
      </c>
      <c r="AE33" s="37">
        <f>Roster!AF147</f>
        <v>0</v>
      </c>
      <c r="AF33" s="38">
        <f>Roster!AG147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Roster!D162</f>
        <v>0</v>
      </c>
      <c r="D36" s="37">
        <f>Roster!E162</f>
        <v>0</v>
      </c>
      <c r="E36" s="37">
        <f>Roster!F162</f>
        <v>0</v>
      </c>
      <c r="F36" s="37">
        <f>Roster!G162</f>
        <v>0</v>
      </c>
      <c r="G36" s="37">
        <f>Roster!H162</f>
        <v>0</v>
      </c>
      <c r="H36" s="37">
        <f>Roster!I162</f>
        <v>0</v>
      </c>
      <c r="I36" s="37">
        <f>Roster!J162</f>
        <v>0</v>
      </c>
      <c r="J36" s="37">
        <f>Roster!K162</f>
        <v>0</v>
      </c>
      <c r="K36" s="37">
        <f>Roster!L162</f>
        <v>0</v>
      </c>
      <c r="L36" s="37">
        <f>Roster!M162</f>
        <v>0</v>
      </c>
      <c r="M36" s="37">
        <f>Roster!N162</f>
        <v>0</v>
      </c>
      <c r="N36" s="37">
        <f>Roster!O162</f>
        <v>0</v>
      </c>
      <c r="O36" s="37">
        <f>Roster!P162</f>
        <v>0</v>
      </c>
      <c r="P36" s="37">
        <f>Roster!Q162</f>
        <v>0</v>
      </c>
      <c r="Q36" s="37">
        <f>Roster!R162</f>
        <v>0</v>
      </c>
      <c r="R36" s="37">
        <f>Roster!S162</f>
        <v>0</v>
      </c>
      <c r="S36" s="37">
        <f>Roster!T162</f>
        <v>0</v>
      </c>
      <c r="T36" s="37">
        <f>Roster!U162</f>
        <v>0</v>
      </c>
      <c r="U36" s="37">
        <f>Roster!V162</f>
        <v>0</v>
      </c>
      <c r="V36" s="37">
        <f>Roster!W162</f>
        <v>0</v>
      </c>
      <c r="W36" s="37">
        <f>Roster!X162</f>
        <v>0</v>
      </c>
      <c r="X36" s="37">
        <f>Roster!Y162</f>
        <v>0</v>
      </c>
      <c r="Y36" s="37">
        <f>Roster!Z162</f>
        <v>0</v>
      </c>
      <c r="Z36" s="37">
        <f>Roster!AA162</f>
        <v>0</v>
      </c>
      <c r="AA36" s="37">
        <f>Roster!AB162</f>
        <v>0</v>
      </c>
      <c r="AB36" s="37">
        <f>Roster!AC162</f>
        <v>0</v>
      </c>
      <c r="AC36" s="37">
        <f>Roster!AD162</f>
        <v>0</v>
      </c>
      <c r="AD36" s="37">
        <f>Roster!AE162</f>
        <v>0</v>
      </c>
      <c r="AE36" s="37">
        <f>Roster!AF162</f>
        <v>0</v>
      </c>
      <c r="AF36" s="37">
        <f>Roster!AG162</f>
        <v>0</v>
      </c>
      <c r="AG36" s="38">
        <f>Roster!AH162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Roster!D177</f>
        <v>0</v>
      </c>
      <c r="D39" s="37">
        <f>Roster!E177</f>
        <v>0</v>
      </c>
      <c r="E39" s="37">
        <f>Roster!F177</f>
        <v>0</v>
      </c>
      <c r="F39" s="37">
        <f>Roster!G177</f>
        <v>0</v>
      </c>
      <c r="G39" s="37">
        <f>Roster!H177</f>
        <v>0</v>
      </c>
      <c r="H39" s="37">
        <f>Roster!I177</f>
        <v>0</v>
      </c>
      <c r="I39" s="37">
        <f>Roster!J177</f>
        <v>0</v>
      </c>
      <c r="J39" s="37">
        <f>Roster!K177</f>
        <v>0</v>
      </c>
      <c r="K39" s="37">
        <f>Roster!L177</f>
        <v>0</v>
      </c>
      <c r="L39" s="37">
        <f>Roster!M177</f>
        <v>0</v>
      </c>
      <c r="M39" s="37">
        <f>Roster!N177</f>
        <v>0</v>
      </c>
      <c r="N39" s="37">
        <f>Roster!O177</f>
        <v>0</v>
      </c>
      <c r="O39" s="37">
        <f>Roster!P177</f>
        <v>0</v>
      </c>
      <c r="P39" s="37">
        <f>Roster!Q177</f>
        <v>0</v>
      </c>
      <c r="Q39" s="37">
        <f>Roster!R177</f>
        <v>0</v>
      </c>
      <c r="R39" s="37">
        <f>Roster!S177</f>
        <v>0</v>
      </c>
      <c r="S39" s="37">
        <f>Roster!T177</f>
        <v>0</v>
      </c>
      <c r="T39" s="37">
        <f>Roster!U177</f>
        <v>0</v>
      </c>
      <c r="U39" s="37">
        <f>Roster!V177</f>
        <v>0</v>
      </c>
      <c r="V39" s="37">
        <f>Roster!W177</f>
        <v>0</v>
      </c>
      <c r="W39" s="37">
        <f>Roster!X177</f>
        <v>0</v>
      </c>
      <c r="X39" s="37">
        <f>Roster!Y177</f>
        <v>0</v>
      </c>
      <c r="Y39" s="37">
        <f>Roster!Z177</f>
        <v>0</v>
      </c>
      <c r="Z39" s="37">
        <f>Roster!AA177</f>
        <v>0</v>
      </c>
      <c r="AA39" s="37">
        <f>Roster!AB177</f>
        <v>0</v>
      </c>
      <c r="AB39" s="37">
        <f>Roster!AC177</f>
        <v>0</v>
      </c>
      <c r="AC39" s="37">
        <f>Roster!AD177</f>
        <v>0</v>
      </c>
      <c r="AD39" s="37">
        <f>Roster!AE177</f>
        <v>0</v>
      </c>
      <c r="AE39" s="37">
        <f>Roster!AF177</f>
        <v>0</v>
      </c>
      <c r="AF39" s="38">
        <f>Roster!AG177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EmpGName05 &amp;" " &amp; EmpSName05</f>
        <v>David Castle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Roster!D13</f>
        <v>0</v>
      </c>
      <c r="D6" s="37">
        <f>Roster!E13</f>
        <v>0</v>
      </c>
      <c r="E6" s="37" t="str">
        <f>Roster!F13</f>
        <v>PO</v>
      </c>
      <c r="F6" s="37" t="str">
        <f>Roster!G13</f>
        <v>PO</v>
      </c>
      <c r="G6" s="37">
        <f>Roster!H13</f>
        <v>0</v>
      </c>
      <c r="H6" s="37">
        <f>Roster!I13</f>
        <v>0</v>
      </c>
      <c r="I6" s="37">
        <f>Roster!J13</f>
        <v>0</v>
      </c>
      <c r="J6" s="37">
        <f>Roster!K13</f>
        <v>0</v>
      </c>
      <c r="K6" s="37">
        <f>Roster!L13</f>
        <v>0</v>
      </c>
      <c r="L6" s="37">
        <f>Roster!M13</f>
        <v>0</v>
      </c>
      <c r="M6" s="37">
        <f>Roster!N13</f>
        <v>0</v>
      </c>
      <c r="N6" s="37">
        <f>Roster!O13</f>
        <v>0</v>
      </c>
      <c r="O6" s="37">
        <f>Roster!P13</f>
        <v>0</v>
      </c>
      <c r="P6" s="37" t="str">
        <f>Roster!Q13</f>
        <v>PO</v>
      </c>
      <c r="Q6" s="37" t="str">
        <f>Roster!R13</f>
        <v>PO</v>
      </c>
      <c r="R6" s="37" t="str">
        <f>Roster!S13</f>
        <v>PO</v>
      </c>
      <c r="S6" s="37" t="str">
        <f>Roster!T13</f>
        <v>PO</v>
      </c>
      <c r="T6" s="37">
        <f>Roster!U13</f>
        <v>0</v>
      </c>
      <c r="U6" s="37">
        <f>Roster!V13</f>
        <v>0</v>
      </c>
      <c r="V6" s="37">
        <f>Roster!W13</f>
        <v>0</v>
      </c>
      <c r="W6" s="37">
        <f>Roster!X13</f>
        <v>0</v>
      </c>
      <c r="X6" s="37" t="str">
        <f>Roster!Y13</f>
        <v>PO</v>
      </c>
      <c r="Y6" s="37">
        <f>Roster!Z13</f>
        <v>0</v>
      </c>
      <c r="Z6" s="37">
        <f>Roster!AA13</f>
        <v>0</v>
      </c>
      <c r="AA6" s="37">
        <f>Roster!AB13</f>
        <v>0</v>
      </c>
      <c r="AB6" s="37">
        <f>Roster!AC13</f>
        <v>0</v>
      </c>
      <c r="AC6" s="37">
        <f>Roster!AD13</f>
        <v>0</v>
      </c>
      <c r="AD6" s="37">
        <f>Roster!AE13</f>
        <v>0</v>
      </c>
      <c r="AE6" s="37" t="str">
        <f>Roster!AF13</f>
        <v>PO</v>
      </c>
      <c r="AF6" s="37" t="str">
        <f>Roster!AG13</f>
        <v>PO</v>
      </c>
      <c r="AG6" s="38">
        <f>Roster!AH13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Roster!D28</f>
        <v>0</v>
      </c>
      <c r="D9" s="39">
        <f>Roster!E28</f>
        <v>0</v>
      </c>
      <c r="E9" s="37">
        <f>Roster!F28</f>
        <v>0</v>
      </c>
      <c r="F9" s="37">
        <f>Roster!G28</f>
        <v>0</v>
      </c>
      <c r="G9" s="37">
        <f>Roster!H28</f>
        <v>0</v>
      </c>
      <c r="H9" s="37">
        <f>Roster!I28</f>
        <v>0</v>
      </c>
      <c r="I9" s="37">
        <f>Roster!J28</f>
        <v>0</v>
      </c>
      <c r="J9" s="37">
        <f>Roster!K28</f>
        <v>0</v>
      </c>
      <c r="K9" s="37">
        <f>Roster!L28</f>
        <v>0</v>
      </c>
      <c r="L9" s="37">
        <f>Roster!M28</f>
        <v>0</v>
      </c>
      <c r="M9" s="37">
        <f>Roster!N28</f>
        <v>0</v>
      </c>
      <c r="N9" s="37">
        <f>Roster!O28</f>
        <v>0</v>
      </c>
      <c r="O9" s="37">
        <f>Roster!P28</f>
        <v>0</v>
      </c>
      <c r="P9" s="37">
        <f>Roster!Q28</f>
        <v>0</v>
      </c>
      <c r="Q9" s="37">
        <f>Roster!R28</f>
        <v>0</v>
      </c>
      <c r="R9" s="37">
        <f>Roster!S28</f>
        <v>0</v>
      </c>
      <c r="S9" s="37">
        <f>Roster!T28</f>
        <v>0</v>
      </c>
      <c r="T9" s="37">
        <f>Roster!U28</f>
        <v>0</v>
      </c>
      <c r="U9" s="37">
        <f>Roster!V28</f>
        <v>0</v>
      </c>
      <c r="V9" s="37">
        <f>Roster!W28</f>
        <v>0</v>
      </c>
      <c r="W9" s="37">
        <f>Roster!X28</f>
        <v>0</v>
      </c>
      <c r="X9" s="37">
        <f>Roster!Y28</f>
        <v>0</v>
      </c>
      <c r="Y9" s="37">
        <f>Roster!Z28</f>
        <v>0</v>
      </c>
      <c r="Z9" s="37">
        <f>Roster!AA28</f>
        <v>0</v>
      </c>
      <c r="AA9" s="37">
        <f>Roster!AB28</f>
        <v>0</v>
      </c>
      <c r="AB9" s="37">
        <f>Roster!AC28</f>
        <v>0</v>
      </c>
      <c r="AC9" s="37">
        <f>Roster!AD28</f>
        <v>0</v>
      </c>
      <c r="AD9" s="37">
        <f>Roster!AE28</f>
        <v>0</v>
      </c>
      <c r="AE9" s="37">
        <f>Roster!AF28</f>
        <v>0</v>
      </c>
      <c r="AF9" s="37">
        <f>Roster!AG28</f>
        <v>0</v>
      </c>
      <c r="AG9" s="38">
        <f>Roster!AH28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Roster!D43</f>
        <v>0</v>
      </c>
      <c r="D12" s="37">
        <f>Roster!E43</f>
        <v>0</v>
      </c>
      <c r="E12" s="37">
        <f>Roster!F43</f>
        <v>0</v>
      </c>
      <c r="F12" s="37">
        <f>Roster!G43</f>
        <v>0</v>
      </c>
      <c r="G12" s="37">
        <f>Roster!H43</f>
        <v>0</v>
      </c>
      <c r="H12" s="37">
        <f>Roster!I43</f>
        <v>0</v>
      </c>
      <c r="I12" s="37">
        <f>Roster!J43</f>
        <v>0</v>
      </c>
      <c r="J12" s="37">
        <f>Roster!K43</f>
        <v>0</v>
      </c>
      <c r="K12" s="37">
        <f>Roster!L43</f>
        <v>0</v>
      </c>
      <c r="L12" s="37">
        <f>Roster!M43</f>
        <v>0</v>
      </c>
      <c r="M12" s="37">
        <f>Roster!N43</f>
        <v>0</v>
      </c>
      <c r="N12" s="37">
        <f>Roster!O43</f>
        <v>0</v>
      </c>
      <c r="O12" s="37">
        <f>Roster!P43</f>
        <v>0</v>
      </c>
      <c r="P12" s="37">
        <f>Roster!Q43</f>
        <v>0</v>
      </c>
      <c r="Q12" s="37">
        <f>Roster!R43</f>
        <v>0</v>
      </c>
      <c r="R12" s="37">
        <f>Roster!S43</f>
        <v>0</v>
      </c>
      <c r="S12" s="37">
        <f>Roster!T43</f>
        <v>0</v>
      </c>
      <c r="T12" s="37">
        <f>Roster!U43</f>
        <v>0</v>
      </c>
      <c r="U12" s="37">
        <f>Roster!V43</f>
        <v>0</v>
      </c>
      <c r="V12" s="37">
        <f>Roster!W43</f>
        <v>0</v>
      </c>
      <c r="W12" s="37">
        <f>Roster!X43</f>
        <v>0</v>
      </c>
      <c r="X12" s="37">
        <f>Roster!Y43</f>
        <v>0</v>
      </c>
      <c r="Y12" s="37">
        <f>Roster!Z43</f>
        <v>0</v>
      </c>
      <c r="Z12" s="37">
        <f>Roster!AA43</f>
        <v>0</v>
      </c>
      <c r="AA12" s="37">
        <f>Roster!AB43</f>
        <v>0</v>
      </c>
      <c r="AB12" s="37">
        <f>Roster!AC43</f>
        <v>0</v>
      </c>
      <c r="AC12" s="37">
        <f>Roster!AD43</f>
        <v>0</v>
      </c>
      <c r="AD12" s="37">
        <f>Roster!AE43</f>
        <v>0</v>
      </c>
      <c r="AE12" s="37">
        <f>Roster!AF43</f>
        <v>0</v>
      </c>
      <c r="AF12" s="38">
        <f>Roster!AG43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Roster!D58</f>
        <v>0</v>
      </c>
      <c r="D15" s="37">
        <f>Roster!E58</f>
        <v>0</v>
      </c>
      <c r="E15" s="37">
        <f>Roster!F58</f>
        <v>0</v>
      </c>
      <c r="F15" s="37">
        <f>Roster!G58</f>
        <v>0</v>
      </c>
      <c r="G15" s="37">
        <f>Roster!H58</f>
        <v>0</v>
      </c>
      <c r="H15" s="37">
        <f>Roster!I58</f>
        <v>0</v>
      </c>
      <c r="I15" s="37">
        <f>Roster!J58</f>
        <v>0</v>
      </c>
      <c r="J15" s="37">
        <f>Roster!K58</f>
        <v>0</v>
      </c>
      <c r="K15" s="37">
        <f>Roster!L58</f>
        <v>0</v>
      </c>
      <c r="L15" s="37">
        <f>Roster!M58</f>
        <v>0</v>
      </c>
      <c r="M15" s="37">
        <f>Roster!N58</f>
        <v>0</v>
      </c>
      <c r="N15" s="37">
        <f>Roster!O58</f>
        <v>0</v>
      </c>
      <c r="O15" s="37">
        <f>Roster!P58</f>
        <v>0</v>
      </c>
      <c r="P15" s="37">
        <f>Roster!Q58</f>
        <v>0</v>
      </c>
      <c r="Q15" s="37">
        <f>Roster!R58</f>
        <v>0</v>
      </c>
      <c r="R15" s="37">
        <f>Roster!S58</f>
        <v>0</v>
      </c>
      <c r="S15" s="37">
        <f>Roster!T58</f>
        <v>0</v>
      </c>
      <c r="T15" s="37">
        <f>Roster!U58</f>
        <v>0</v>
      </c>
      <c r="U15" s="37">
        <f>Roster!V58</f>
        <v>0</v>
      </c>
      <c r="V15" s="37">
        <f>Roster!W58</f>
        <v>0</v>
      </c>
      <c r="W15" s="37">
        <f>Roster!X58</f>
        <v>0</v>
      </c>
      <c r="X15" s="37">
        <f>Roster!Y58</f>
        <v>0</v>
      </c>
      <c r="Y15" s="37">
        <f>Roster!Z58</f>
        <v>0</v>
      </c>
      <c r="Z15" s="37">
        <f>Roster!AA58</f>
        <v>0</v>
      </c>
      <c r="AA15" s="37">
        <f>Roster!AB58</f>
        <v>0</v>
      </c>
      <c r="AB15" s="37">
        <f>Roster!AC58</f>
        <v>0</v>
      </c>
      <c r="AC15" s="37">
        <f>Roster!AD58</f>
        <v>0</v>
      </c>
      <c r="AD15" s="37">
        <f>Roster!AE58</f>
        <v>0</v>
      </c>
      <c r="AE15" s="37">
        <f>Roster!AF58</f>
        <v>0</v>
      </c>
      <c r="AF15" s="37">
        <f>Roster!AG58</f>
        <v>0</v>
      </c>
      <c r="AG15" s="38">
        <f>Roster!AH58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Roster!D73</f>
        <v>0</v>
      </c>
      <c r="D18" s="37">
        <f>Roster!E73</f>
        <v>0</v>
      </c>
      <c r="E18" s="37">
        <f>Roster!F73</f>
        <v>0</v>
      </c>
      <c r="F18" s="37">
        <f>Roster!G73</f>
        <v>0</v>
      </c>
      <c r="G18" s="37">
        <f>Roster!H73</f>
        <v>0</v>
      </c>
      <c r="H18" s="37">
        <f>Roster!I73</f>
        <v>0</v>
      </c>
      <c r="I18" s="37">
        <f>Roster!J73</f>
        <v>0</v>
      </c>
      <c r="J18" s="37">
        <f>Roster!K73</f>
        <v>0</v>
      </c>
      <c r="K18" s="37">
        <f>Roster!L73</f>
        <v>0</v>
      </c>
      <c r="L18" s="37">
        <f>Roster!M73</f>
        <v>0</v>
      </c>
      <c r="M18" s="37">
        <f>Roster!N73</f>
        <v>0</v>
      </c>
      <c r="N18" s="37">
        <f>Roster!O73</f>
        <v>0</v>
      </c>
      <c r="O18" s="37">
        <f>Roster!P73</f>
        <v>0</v>
      </c>
      <c r="P18" s="37">
        <f>Roster!Q73</f>
        <v>0</v>
      </c>
      <c r="Q18" s="37">
        <f>Roster!R73</f>
        <v>0</v>
      </c>
      <c r="R18" s="37">
        <f>Roster!S73</f>
        <v>0</v>
      </c>
      <c r="S18" s="37">
        <f>Roster!T73</f>
        <v>0</v>
      </c>
      <c r="T18" s="37">
        <f>Roster!U73</f>
        <v>0</v>
      </c>
      <c r="U18" s="37">
        <f>Roster!V73</f>
        <v>0</v>
      </c>
      <c r="V18" s="37">
        <f>Roster!W73</f>
        <v>0</v>
      </c>
      <c r="W18" s="37">
        <f>Roster!X73</f>
        <v>0</v>
      </c>
      <c r="X18" s="37">
        <f>Roster!Y73</f>
        <v>0</v>
      </c>
      <c r="Y18" s="37">
        <f>Roster!Z73</f>
        <v>0</v>
      </c>
      <c r="Z18" s="37">
        <f>Roster!AA73</f>
        <v>0</v>
      </c>
      <c r="AA18" s="37">
        <f>Roster!AB73</f>
        <v>0</v>
      </c>
      <c r="AB18" s="37">
        <f>Roster!AC73</f>
        <v>0</v>
      </c>
      <c r="AC18" s="37">
        <f>Roster!AD73</f>
        <v>0</v>
      </c>
      <c r="AD18" s="37">
        <f>Roster!AE73</f>
        <v>0</v>
      </c>
      <c r="AE18" s="37">
        <f>Roster!AF73</f>
        <v>0</v>
      </c>
      <c r="AF18" s="38">
        <f>Roster!AG73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Roster!D88</f>
        <v>0</v>
      </c>
      <c r="D21" s="37">
        <f>Roster!E88</f>
        <v>0</v>
      </c>
      <c r="E21" s="37">
        <f>Roster!F88</f>
        <v>0</v>
      </c>
      <c r="F21" s="37">
        <f>Roster!G88</f>
        <v>0</v>
      </c>
      <c r="G21" s="37">
        <f>Roster!H88</f>
        <v>0</v>
      </c>
      <c r="H21" s="37">
        <f>Roster!I88</f>
        <v>0</v>
      </c>
      <c r="I21" s="37">
        <f>Roster!J88</f>
        <v>0</v>
      </c>
      <c r="J21" s="37">
        <f>Roster!K88</f>
        <v>0</v>
      </c>
      <c r="K21" s="37">
        <f>Roster!L88</f>
        <v>0</v>
      </c>
      <c r="L21" s="37">
        <f>Roster!M88</f>
        <v>0</v>
      </c>
      <c r="M21" s="37">
        <f>Roster!N88</f>
        <v>0</v>
      </c>
      <c r="N21" s="37">
        <f>Roster!O88</f>
        <v>0</v>
      </c>
      <c r="O21" s="37">
        <f>Roster!P88</f>
        <v>0</v>
      </c>
      <c r="P21" s="37">
        <f>Roster!Q88</f>
        <v>0</v>
      </c>
      <c r="Q21" s="37">
        <f>Roster!R88</f>
        <v>0</v>
      </c>
      <c r="R21" s="37">
        <f>Roster!S88</f>
        <v>0</v>
      </c>
      <c r="S21" s="37">
        <f>Roster!T88</f>
        <v>0</v>
      </c>
      <c r="T21" s="37">
        <f>Roster!U88</f>
        <v>0</v>
      </c>
      <c r="U21" s="37">
        <f>Roster!V88</f>
        <v>0</v>
      </c>
      <c r="V21" s="37">
        <f>Roster!W88</f>
        <v>0</v>
      </c>
      <c r="W21" s="37">
        <f>Roster!X88</f>
        <v>0</v>
      </c>
      <c r="X21" s="37">
        <f>Roster!Y88</f>
        <v>0</v>
      </c>
      <c r="Y21" s="37">
        <f>Roster!Z88</f>
        <v>0</v>
      </c>
      <c r="Z21" s="37">
        <f>Roster!AA88</f>
        <v>0</v>
      </c>
      <c r="AA21" s="37">
        <f>Roster!AB88</f>
        <v>0</v>
      </c>
      <c r="AB21" s="37">
        <f>Roster!AC88</f>
        <v>0</v>
      </c>
      <c r="AC21" s="37">
        <f>Roster!AD88</f>
        <v>0</v>
      </c>
      <c r="AD21" s="37">
        <f>Roster!AE88</f>
        <v>0</v>
      </c>
      <c r="AE21" s="37">
        <f>Roster!AF88</f>
        <v>0</v>
      </c>
      <c r="AF21" s="37">
        <f>Roster!AG88</f>
        <v>0</v>
      </c>
      <c r="AG21" s="38">
        <f>Roster!AH88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Roster!D103</f>
        <v>0</v>
      </c>
      <c r="D24" s="49">
        <f>Roster!E103</f>
        <v>0</v>
      </c>
      <c r="E24" s="40">
        <f>Roster!F103</f>
        <v>0</v>
      </c>
      <c r="F24" s="40">
        <f>Roster!G103</f>
        <v>0</v>
      </c>
      <c r="G24" s="40">
        <f>Roster!H103</f>
        <v>0</v>
      </c>
      <c r="H24" s="40">
        <f>Roster!I103</f>
        <v>0</v>
      </c>
      <c r="I24" s="40">
        <f>Roster!J103</f>
        <v>0</v>
      </c>
      <c r="J24" s="40">
        <f>Roster!K103</f>
        <v>0</v>
      </c>
      <c r="K24" s="40">
        <f>Roster!L103</f>
        <v>0</v>
      </c>
      <c r="L24" s="40">
        <f>Roster!M103</f>
        <v>0</v>
      </c>
      <c r="M24" s="40">
        <f>Roster!N103</f>
        <v>0</v>
      </c>
      <c r="N24" s="40">
        <f>Roster!O103</f>
        <v>0</v>
      </c>
      <c r="O24" s="40">
        <f>Roster!P103</f>
        <v>0</v>
      </c>
      <c r="P24" s="40">
        <f>Roster!Q103</f>
        <v>0</v>
      </c>
      <c r="Q24" s="40">
        <f>Roster!R103</f>
        <v>0</v>
      </c>
      <c r="R24" s="40">
        <f>Roster!S103</f>
        <v>0</v>
      </c>
      <c r="S24" s="40">
        <f>Roster!T103</f>
        <v>0</v>
      </c>
      <c r="T24" s="40">
        <f>Roster!U103</f>
        <v>0</v>
      </c>
      <c r="U24" s="40">
        <f>Roster!V103</f>
        <v>0</v>
      </c>
      <c r="V24" s="40">
        <f>Roster!W103</f>
        <v>0</v>
      </c>
      <c r="W24" s="40">
        <f>Roster!X103</f>
        <v>0</v>
      </c>
      <c r="X24" s="40">
        <f>Roster!Y103</f>
        <v>0</v>
      </c>
      <c r="Y24" s="40">
        <f>Roster!Z103</f>
        <v>0</v>
      </c>
      <c r="Z24" s="40">
        <f>Roster!AA103</f>
        <v>0</v>
      </c>
      <c r="AA24" s="40">
        <f>Roster!AB103</f>
        <v>0</v>
      </c>
      <c r="AB24" s="40">
        <f>Roster!AC103</f>
        <v>0</v>
      </c>
      <c r="AC24" s="40">
        <f>Roster!AD103</f>
        <v>0</v>
      </c>
      <c r="AD24" s="40">
        <f>Roster!AE103</f>
        <v>0</v>
      </c>
      <c r="AE24" s="40">
        <f>Roster!AF103</f>
        <v>0</v>
      </c>
      <c r="AF24" s="40">
        <f>Roster!AG103</f>
        <v>0</v>
      </c>
      <c r="AG24" s="41">
        <f>Roster!AH103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Roster!D118</f>
        <v>0</v>
      </c>
      <c r="D27" s="37"/>
      <c r="E27" s="37">
        <f>Roster!F118</f>
        <v>0</v>
      </c>
      <c r="F27" s="37">
        <f>Roster!G118</f>
        <v>0</v>
      </c>
      <c r="G27" s="37">
        <f>Roster!H118</f>
        <v>0</v>
      </c>
      <c r="H27" s="37">
        <f>Roster!I118</f>
        <v>0</v>
      </c>
      <c r="I27" s="37">
        <f>Roster!J118</f>
        <v>0</v>
      </c>
      <c r="J27" s="37">
        <f>Roster!K118</f>
        <v>0</v>
      </c>
      <c r="K27" s="37">
        <f>Roster!L118</f>
        <v>0</v>
      </c>
      <c r="L27" s="37">
        <f>Roster!M118</f>
        <v>0</v>
      </c>
      <c r="M27" s="37">
        <f>Roster!N118</f>
        <v>0</v>
      </c>
      <c r="N27" s="37">
        <f>Roster!O118</f>
        <v>0</v>
      </c>
      <c r="O27" s="37">
        <f>Roster!P118</f>
        <v>0</v>
      </c>
      <c r="P27" s="37">
        <f>Roster!Q118</f>
        <v>0</v>
      </c>
      <c r="Q27" s="37">
        <f>Roster!R118</f>
        <v>0</v>
      </c>
      <c r="R27" s="37">
        <f>Roster!S118</f>
        <v>0</v>
      </c>
      <c r="S27" s="37">
        <f>Roster!T118</f>
        <v>0</v>
      </c>
      <c r="T27" s="37">
        <f>Roster!U118</f>
        <v>0</v>
      </c>
      <c r="U27" s="37">
        <f>Roster!V118</f>
        <v>0</v>
      </c>
      <c r="V27" s="37">
        <f>Roster!W118</f>
        <v>0</v>
      </c>
      <c r="W27" s="37">
        <f>Roster!X118</f>
        <v>0</v>
      </c>
      <c r="X27" s="37">
        <f>Roster!Y118</f>
        <v>0</v>
      </c>
      <c r="Y27" s="37">
        <f>Roster!Z118</f>
        <v>0</v>
      </c>
      <c r="Z27" s="37">
        <f>Roster!AA118</f>
        <v>0</v>
      </c>
      <c r="AA27" s="37">
        <f>Roster!AB118</f>
        <v>0</v>
      </c>
      <c r="AB27" s="37">
        <f>Roster!AC118</f>
        <v>0</v>
      </c>
      <c r="AC27" s="37">
        <f>Roster!AD118</f>
        <v>0</v>
      </c>
      <c r="AD27" s="43">
        <f>Roster!AE118</f>
        <v>0</v>
      </c>
      <c r="AE27" s="134">
        <f>Roster!AF118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Roster!D133</f>
        <v>0</v>
      </c>
      <c r="D30" s="37">
        <f>Roster!E133</f>
        <v>0</v>
      </c>
      <c r="E30" s="37">
        <f>Roster!F133</f>
        <v>0</v>
      </c>
      <c r="F30" s="37">
        <f>Roster!G133</f>
        <v>0</v>
      </c>
      <c r="G30" s="37">
        <f>Roster!H133</f>
        <v>0</v>
      </c>
      <c r="H30" s="37">
        <f>Roster!I133</f>
        <v>0</v>
      </c>
      <c r="I30" s="37">
        <f>Roster!J133</f>
        <v>0</v>
      </c>
      <c r="J30" s="37">
        <f>Roster!K133</f>
        <v>0</v>
      </c>
      <c r="K30" s="37">
        <f>Roster!L133</f>
        <v>0</v>
      </c>
      <c r="L30" s="37">
        <f>Roster!M133</f>
        <v>0</v>
      </c>
      <c r="M30" s="37">
        <f>Roster!N133</f>
        <v>0</v>
      </c>
      <c r="N30" s="37">
        <f>Roster!O133</f>
        <v>0</v>
      </c>
      <c r="O30" s="37">
        <f>Roster!P133</f>
        <v>0</v>
      </c>
      <c r="P30" s="37">
        <f>Roster!Q133</f>
        <v>0</v>
      </c>
      <c r="Q30" s="37">
        <f>Roster!R133</f>
        <v>0</v>
      </c>
      <c r="R30" s="37">
        <f>Roster!S133</f>
        <v>0</v>
      </c>
      <c r="S30" s="37">
        <f>Roster!T133</f>
        <v>0</v>
      </c>
      <c r="T30" s="37">
        <f>Roster!U133</f>
        <v>0</v>
      </c>
      <c r="U30" s="37">
        <f>Roster!V133</f>
        <v>0</v>
      </c>
      <c r="V30" s="37">
        <f>Roster!W133</f>
        <v>0</v>
      </c>
      <c r="W30" s="37">
        <f>Roster!X133</f>
        <v>0</v>
      </c>
      <c r="X30" s="37">
        <f>Roster!Y133</f>
        <v>0</v>
      </c>
      <c r="Y30" s="37">
        <f>Roster!Z133</f>
        <v>0</v>
      </c>
      <c r="Z30" s="37">
        <f>Roster!AA133</f>
        <v>0</v>
      </c>
      <c r="AA30" s="37">
        <f>Roster!AB133</f>
        <v>0</v>
      </c>
      <c r="AB30" s="37">
        <f>Roster!AC133</f>
        <v>0</v>
      </c>
      <c r="AC30" s="37">
        <f>Roster!AD133</f>
        <v>0</v>
      </c>
      <c r="AD30" s="37">
        <f>Roster!AE133</f>
        <v>0</v>
      </c>
      <c r="AE30" s="37">
        <f>Roster!AF133</f>
        <v>0</v>
      </c>
      <c r="AF30" s="37">
        <f>Roster!AG133</f>
        <v>0</v>
      </c>
      <c r="AG30" s="38">
        <f>Roster!AH133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Roster!D148</f>
        <v>0</v>
      </c>
      <c r="D33" s="37">
        <f>Roster!E148</f>
        <v>0</v>
      </c>
      <c r="E33" s="37">
        <f>Roster!F148</f>
        <v>0</v>
      </c>
      <c r="F33" s="37">
        <f>Roster!G148</f>
        <v>0</v>
      </c>
      <c r="G33" s="37">
        <f>Roster!H148</f>
        <v>0</v>
      </c>
      <c r="H33" s="37">
        <f>Roster!I148</f>
        <v>0</v>
      </c>
      <c r="I33" s="37">
        <f>Roster!J148</f>
        <v>0</v>
      </c>
      <c r="J33" s="37">
        <f>Roster!K148</f>
        <v>0</v>
      </c>
      <c r="K33" s="37">
        <f>Roster!L148</f>
        <v>0</v>
      </c>
      <c r="L33" s="37">
        <f>Roster!M148</f>
        <v>0</v>
      </c>
      <c r="M33" s="37">
        <f>Roster!N148</f>
        <v>0</v>
      </c>
      <c r="N33" s="37">
        <f>Roster!O148</f>
        <v>0</v>
      </c>
      <c r="O33" s="37">
        <f>Roster!P148</f>
        <v>0</v>
      </c>
      <c r="P33" s="37">
        <f>Roster!Q148</f>
        <v>0</v>
      </c>
      <c r="Q33" s="37">
        <f>Roster!R148</f>
        <v>0</v>
      </c>
      <c r="R33" s="37">
        <f>Roster!S148</f>
        <v>0</v>
      </c>
      <c r="S33" s="37">
        <f>Roster!T148</f>
        <v>0</v>
      </c>
      <c r="T33" s="37">
        <f>Roster!U148</f>
        <v>0</v>
      </c>
      <c r="U33" s="37">
        <f>Roster!V148</f>
        <v>0</v>
      </c>
      <c r="V33" s="37">
        <f>Roster!W148</f>
        <v>0</v>
      </c>
      <c r="W33" s="37">
        <f>Roster!X148</f>
        <v>0</v>
      </c>
      <c r="X33" s="37">
        <f>Roster!Y148</f>
        <v>0</v>
      </c>
      <c r="Y33" s="37">
        <f>Roster!Z148</f>
        <v>0</v>
      </c>
      <c r="Z33" s="37">
        <f>Roster!AA148</f>
        <v>0</v>
      </c>
      <c r="AA33" s="37">
        <f>Roster!AB148</f>
        <v>0</v>
      </c>
      <c r="AB33" s="37">
        <f>Roster!AC148</f>
        <v>0</v>
      </c>
      <c r="AC33" s="37">
        <f>Roster!AD148</f>
        <v>0</v>
      </c>
      <c r="AD33" s="37">
        <f>Roster!AE148</f>
        <v>0</v>
      </c>
      <c r="AE33" s="37">
        <f>Roster!AF148</f>
        <v>0</v>
      </c>
      <c r="AF33" s="38">
        <f>Roster!AG148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Roster!D163</f>
        <v>0</v>
      </c>
      <c r="D36" s="37">
        <f>Roster!E163</f>
        <v>0</v>
      </c>
      <c r="E36" s="37">
        <f>Roster!F163</f>
        <v>0</v>
      </c>
      <c r="F36" s="37">
        <f>Roster!G163</f>
        <v>0</v>
      </c>
      <c r="G36" s="37">
        <f>Roster!H163</f>
        <v>0</v>
      </c>
      <c r="H36" s="37">
        <f>Roster!I163</f>
        <v>0</v>
      </c>
      <c r="I36" s="37">
        <f>Roster!J163</f>
        <v>0</v>
      </c>
      <c r="J36" s="37">
        <f>Roster!K163</f>
        <v>0</v>
      </c>
      <c r="K36" s="37">
        <f>Roster!L163</f>
        <v>0</v>
      </c>
      <c r="L36" s="37">
        <f>Roster!M163</f>
        <v>0</v>
      </c>
      <c r="M36" s="37">
        <f>Roster!N163</f>
        <v>0</v>
      </c>
      <c r="N36" s="37">
        <f>Roster!O163</f>
        <v>0</v>
      </c>
      <c r="O36" s="37">
        <f>Roster!P163</f>
        <v>0</v>
      </c>
      <c r="P36" s="37">
        <f>Roster!Q163</f>
        <v>0</v>
      </c>
      <c r="Q36" s="37">
        <f>Roster!R163</f>
        <v>0</v>
      </c>
      <c r="R36" s="37">
        <f>Roster!S163</f>
        <v>0</v>
      </c>
      <c r="S36" s="37">
        <f>Roster!T163</f>
        <v>0</v>
      </c>
      <c r="T36" s="37">
        <f>Roster!U163</f>
        <v>0</v>
      </c>
      <c r="U36" s="37">
        <f>Roster!V163</f>
        <v>0</v>
      </c>
      <c r="V36" s="37">
        <f>Roster!W163</f>
        <v>0</v>
      </c>
      <c r="W36" s="37">
        <f>Roster!X163</f>
        <v>0</v>
      </c>
      <c r="X36" s="37">
        <f>Roster!Y163</f>
        <v>0</v>
      </c>
      <c r="Y36" s="37">
        <f>Roster!Z163</f>
        <v>0</v>
      </c>
      <c r="Z36" s="37">
        <f>Roster!AA163</f>
        <v>0</v>
      </c>
      <c r="AA36" s="37">
        <f>Roster!AB163</f>
        <v>0</v>
      </c>
      <c r="AB36" s="37">
        <f>Roster!AC163</f>
        <v>0</v>
      </c>
      <c r="AC36" s="37">
        <f>Roster!AD163</f>
        <v>0</v>
      </c>
      <c r="AD36" s="37">
        <f>Roster!AE163</f>
        <v>0</v>
      </c>
      <c r="AE36" s="37">
        <f>Roster!AF163</f>
        <v>0</v>
      </c>
      <c r="AF36" s="37">
        <f>Roster!AG163</f>
        <v>0</v>
      </c>
      <c r="AG36" s="38">
        <f>Roster!AH163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Roster!D178</f>
        <v>0</v>
      </c>
      <c r="D39" s="37">
        <f>Roster!E178</f>
        <v>0</v>
      </c>
      <c r="E39" s="37">
        <f>Roster!F178</f>
        <v>0</v>
      </c>
      <c r="F39" s="37">
        <f>Roster!G178</f>
        <v>0</v>
      </c>
      <c r="G39" s="37">
        <f>Roster!H178</f>
        <v>0</v>
      </c>
      <c r="H39" s="37">
        <f>Roster!I178</f>
        <v>0</v>
      </c>
      <c r="I39" s="37">
        <f>Roster!J178</f>
        <v>0</v>
      </c>
      <c r="J39" s="37">
        <f>Roster!K178</f>
        <v>0</v>
      </c>
      <c r="K39" s="37">
        <f>Roster!L178</f>
        <v>0</v>
      </c>
      <c r="L39" s="37">
        <f>Roster!M178</f>
        <v>0</v>
      </c>
      <c r="M39" s="37">
        <f>Roster!N178</f>
        <v>0</v>
      </c>
      <c r="N39" s="37">
        <f>Roster!O178</f>
        <v>0</v>
      </c>
      <c r="O39" s="37">
        <f>Roster!P178</f>
        <v>0</v>
      </c>
      <c r="P39" s="37">
        <f>Roster!Q178</f>
        <v>0</v>
      </c>
      <c r="Q39" s="37">
        <f>Roster!R178</f>
        <v>0</v>
      </c>
      <c r="R39" s="37">
        <f>Roster!S178</f>
        <v>0</v>
      </c>
      <c r="S39" s="37">
        <f>Roster!T178</f>
        <v>0</v>
      </c>
      <c r="T39" s="37">
        <f>Roster!U178</f>
        <v>0</v>
      </c>
      <c r="U39" s="37">
        <f>Roster!V178</f>
        <v>0</v>
      </c>
      <c r="V39" s="37">
        <f>Roster!W178</f>
        <v>0</v>
      </c>
      <c r="W39" s="37">
        <f>Roster!X178</f>
        <v>0</v>
      </c>
      <c r="X39" s="37">
        <f>Roster!Y178</f>
        <v>0</v>
      </c>
      <c r="Y39" s="37">
        <f>Roster!Z178</f>
        <v>0</v>
      </c>
      <c r="Z39" s="37">
        <f>Roster!AA178</f>
        <v>0</v>
      </c>
      <c r="AA39" s="37">
        <f>Roster!AB178</f>
        <v>0</v>
      </c>
      <c r="AB39" s="37">
        <f>Roster!AC178</f>
        <v>0</v>
      </c>
      <c r="AC39" s="37">
        <f>Roster!AD178</f>
        <v>0</v>
      </c>
      <c r="AD39" s="37">
        <f>Roster!AE178</f>
        <v>0</v>
      </c>
      <c r="AE39" s="37">
        <f>Roster!AF178</f>
        <v>0</v>
      </c>
      <c r="AF39" s="38">
        <f>Roster!AG178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EmpGName06 &amp;" " &amp; EmpSName06</f>
        <v>Troy Sorensen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Roster!D14</f>
        <v>0</v>
      </c>
      <c r="D6" s="37">
        <f>Roster!E14</f>
        <v>0</v>
      </c>
      <c r="E6" s="37">
        <f>Roster!F14</f>
        <v>0</v>
      </c>
      <c r="F6" s="37">
        <f>Roster!G14</f>
        <v>0</v>
      </c>
      <c r="G6" s="37">
        <f>Roster!H14</f>
        <v>0</v>
      </c>
      <c r="H6" s="37">
        <f>Roster!I14</f>
        <v>0</v>
      </c>
      <c r="I6" s="37">
        <f>Roster!J14</f>
        <v>0</v>
      </c>
      <c r="J6" s="37">
        <f>Roster!K14</f>
        <v>0</v>
      </c>
      <c r="K6" s="37" t="str">
        <f>Roster!L14</f>
        <v>PO</v>
      </c>
      <c r="L6" s="37">
        <f>Roster!M14</f>
        <v>0</v>
      </c>
      <c r="M6" s="37">
        <f>Roster!N14</f>
        <v>0</v>
      </c>
      <c r="N6" s="37">
        <f>Roster!O14</f>
        <v>0</v>
      </c>
      <c r="O6" s="37">
        <f>Roster!P14</f>
        <v>0</v>
      </c>
      <c r="P6" s="37" t="str">
        <f>Roster!Q14</f>
        <v>PO</v>
      </c>
      <c r="Q6" s="37" t="str">
        <f>Roster!R14</f>
        <v>PO</v>
      </c>
      <c r="R6" s="37" t="str">
        <f>Roster!S14</f>
        <v>PO</v>
      </c>
      <c r="S6" s="37" t="str">
        <f>Roster!T14</f>
        <v>PO</v>
      </c>
      <c r="T6" s="37">
        <f>Roster!U14</f>
        <v>0</v>
      </c>
      <c r="U6" s="37">
        <f>Roster!V14</f>
        <v>0</v>
      </c>
      <c r="V6" s="37">
        <f>Roster!W14</f>
        <v>0</v>
      </c>
      <c r="W6" s="37">
        <f>Roster!X14</f>
        <v>0</v>
      </c>
      <c r="X6" s="37">
        <f>Roster!Y14</f>
        <v>0</v>
      </c>
      <c r="Y6" s="37">
        <f>Roster!Z14</f>
        <v>0</v>
      </c>
      <c r="Z6" s="37">
        <f>Roster!AA14</f>
        <v>0</v>
      </c>
      <c r="AA6" s="37">
        <f>Roster!AB14</f>
        <v>0</v>
      </c>
      <c r="AB6" s="37">
        <f>Roster!AC14</f>
        <v>0</v>
      </c>
      <c r="AC6" s="37">
        <f>Roster!AD14</f>
        <v>0</v>
      </c>
      <c r="AD6" s="37">
        <f>Roster!AE14</f>
        <v>0</v>
      </c>
      <c r="AE6" s="37" t="str">
        <f>Roster!AF14</f>
        <v>PO</v>
      </c>
      <c r="AF6" s="37" t="str">
        <f>Roster!AG14</f>
        <v>PO</v>
      </c>
      <c r="AG6" s="38">
        <f>Roster!AH14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Roster!D29</f>
        <v>0</v>
      </c>
      <c r="D9" s="39">
        <f>Roster!E29</f>
        <v>0</v>
      </c>
      <c r="E9" s="37">
        <f>Roster!F29</f>
        <v>0</v>
      </c>
      <c r="F9" s="37">
        <f>Roster!G29</f>
        <v>0</v>
      </c>
      <c r="G9" s="37">
        <f>Roster!H29</f>
        <v>0</v>
      </c>
      <c r="H9" s="37">
        <f>Roster!I29</f>
        <v>0</v>
      </c>
      <c r="I9" s="37">
        <f>Roster!J29</f>
        <v>0</v>
      </c>
      <c r="J9" s="37">
        <f>Roster!K29</f>
        <v>0</v>
      </c>
      <c r="K9" s="37">
        <f>Roster!L29</f>
        <v>0</v>
      </c>
      <c r="L9" s="37">
        <f>Roster!M29</f>
        <v>0</v>
      </c>
      <c r="M9" s="37">
        <f>Roster!N29</f>
        <v>0</v>
      </c>
      <c r="N9" s="37">
        <f>Roster!O29</f>
        <v>0</v>
      </c>
      <c r="O9" s="37">
        <f>Roster!P29</f>
        <v>0</v>
      </c>
      <c r="P9" s="37">
        <f>Roster!Q29</f>
        <v>0</v>
      </c>
      <c r="Q9" s="37">
        <f>Roster!R29</f>
        <v>0</v>
      </c>
      <c r="R9" s="37">
        <f>Roster!S29</f>
        <v>0</v>
      </c>
      <c r="S9" s="37">
        <f>Roster!T29</f>
        <v>0</v>
      </c>
      <c r="T9" s="37">
        <f>Roster!U29</f>
        <v>0</v>
      </c>
      <c r="U9" s="37">
        <f>Roster!V29</f>
        <v>0</v>
      </c>
      <c r="V9" s="37">
        <f>Roster!W29</f>
        <v>0</v>
      </c>
      <c r="W9" s="37">
        <f>Roster!X29</f>
        <v>0</v>
      </c>
      <c r="X9" s="37">
        <f>Roster!Y29</f>
        <v>0</v>
      </c>
      <c r="Y9" s="37">
        <f>Roster!Z29</f>
        <v>0</v>
      </c>
      <c r="Z9" s="37">
        <f>Roster!AA29</f>
        <v>0</v>
      </c>
      <c r="AA9" s="37">
        <f>Roster!AB29</f>
        <v>0</v>
      </c>
      <c r="AB9" s="37">
        <f>Roster!AC29</f>
        <v>0</v>
      </c>
      <c r="AC9" s="37">
        <f>Roster!AD29</f>
        <v>0</v>
      </c>
      <c r="AD9" s="37">
        <f>Roster!AE29</f>
        <v>0</v>
      </c>
      <c r="AE9" s="37">
        <f>Roster!AF29</f>
        <v>0</v>
      </c>
      <c r="AF9" s="37">
        <f>Roster!AG29</f>
        <v>0</v>
      </c>
      <c r="AG9" s="38">
        <f>Roster!AH29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Roster!D44</f>
        <v>0</v>
      </c>
      <c r="D12" s="37">
        <f>Roster!E44</f>
        <v>0</v>
      </c>
      <c r="E12" s="37">
        <f>Roster!F44</f>
        <v>0</v>
      </c>
      <c r="F12" s="37">
        <f>Roster!G44</f>
        <v>0</v>
      </c>
      <c r="G12" s="37">
        <f>Roster!H44</f>
        <v>0</v>
      </c>
      <c r="H12" s="37">
        <f>Roster!I44</f>
        <v>0</v>
      </c>
      <c r="I12" s="37">
        <f>Roster!J44</f>
        <v>0</v>
      </c>
      <c r="J12" s="37">
        <f>Roster!K44</f>
        <v>0</v>
      </c>
      <c r="K12" s="37">
        <f>Roster!L44</f>
        <v>0</v>
      </c>
      <c r="L12" s="37">
        <f>Roster!M44</f>
        <v>0</v>
      </c>
      <c r="M12" s="37">
        <f>Roster!N44</f>
        <v>0</v>
      </c>
      <c r="N12" s="37">
        <f>Roster!O44</f>
        <v>0</v>
      </c>
      <c r="O12" s="37">
        <f>Roster!P44</f>
        <v>0</v>
      </c>
      <c r="P12" s="37">
        <f>Roster!Q44</f>
        <v>0</v>
      </c>
      <c r="Q12" s="37">
        <f>Roster!R44</f>
        <v>0</v>
      </c>
      <c r="R12" s="37">
        <f>Roster!S44</f>
        <v>0</v>
      </c>
      <c r="S12" s="37">
        <f>Roster!T44</f>
        <v>0</v>
      </c>
      <c r="T12" s="37">
        <f>Roster!U44</f>
        <v>0</v>
      </c>
      <c r="U12" s="37">
        <f>Roster!V44</f>
        <v>0</v>
      </c>
      <c r="V12" s="37">
        <f>Roster!W44</f>
        <v>0</v>
      </c>
      <c r="W12" s="37">
        <f>Roster!X44</f>
        <v>0</v>
      </c>
      <c r="X12" s="37">
        <f>Roster!Y44</f>
        <v>0</v>
      </c>
      <c r="Y12" s="37">
        <f>Roster!Z44</f>
        <v>0</v>
      </c>
      <c r="Z12" s="37">
        <f>Roster!AA44</f>
        <v>0</v>
      </c>
      <c r="AA12" s="37">
        <f>Roster!AB44</f>
        <v>0</v>
      </c>
      <c r="AB12" s="37">
        <f>Roster!AC44</f>
        <v>0</v>
      </c>
      <c r="AC12" s="37">
        <f>Roster!AD44</f>
        <v>0</v>
      </c>
      <c r="AD12" s="37">
        <f>Roster!AE44</f>
        <v>0</v>
      </c>
      <c r="AE12" s="37">
        <f>Roster!AF44</f>
        <v>0</v>
      </c>
      <c r="AF12" s="38">
        <f>Roster!AG44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Roster!D59</f>
        <v>0</v>
      </c>
      <c r="D15" s="37">
        <f>Roster!E59</f>
        <v>0</v>
      </c>
      <c r="E15" s="37">
        <f>Roster!F59</f>
        <v>0</v>
      </c>
      <c r="F15" s="37">
        <f>Roster!G59</f>
        <v>0</v>
      </c>
      <c r="G15" s="37">
        <f>Roster!H59</f>
        <v>0</v>
      </c>
      <c r="H15" s="37">
        <f>Roster!I59</f>
        <v>0</v>
      </c>
      <c r="I15" s="37">
        <f>Roster!J59</f>
        <v>0</v>
      </c>
      <c r="J15" s="37">
        <f>Roster!K59</f>
        <v>0</v>
      </c>
      <c r="K15" s="37">
        <f>Roster!L59</f>
        <v>0</v>
      </c>
      <c r="L15" s="37">
        <f>Roster!M59</f>
        <v>0</v>
      </c>
      <c r="M15" s="37">
        <f>Roster!N59</f>
        <v>0</v>
      </c>
      <c r="N15" s="37">
        <f>Roster!O59</f>
        <v>0</v>
      </c>
      <c r="O15" s="37">
        <f>Roster!P59</f>
        <v>0</v>
      </c>
      <c r="P15" s="37">
        <f>Roster!Q59</f>
        <v>0</v>
      </c>
      <c r="Q15" s="37">
        <f>Roster!R59</f>
        <v>0</v>
      </c>
      <c r="R15" s="37">
        <f>Roster!S59</f>
        <v>0</v>
      </c>
      <c r="S15" s="37">
        <f>Roster!T59</f>
        <v>0</v>
      </c>
      <c r="T15" s="37">
        <f>Roster!U59</f>
        <v>0</v>
      </c>
      <c r="U15" s="37">
        <f>Roster!V59</f>
        <v>0</v>
      </c>
      <c r="V15" s="37">
        <f>Roster!W59</f>
        <v>0</v>
      </c>
      <c r="W15" s="37">
        <f>Roster!X59</f>
        <v>0</v>
      </c>
      <c r="X15" s="37">
        <f>Roster!Y59</f>
        <v>0</v>
      </c>
      <c r="Y15" s="37">
        <f>Roster!Z59</f>
        <v>0</v>
      </c>
      <c r="Z15" s="37">
        <f>Roster!AA59</f>
        <v>0</v>
      </c>
      <c r="AA15" s="37">
        <f>Roster!AB59</f>
        <v>0</v>
      </c>
      <c r="AB15" s="37">
        <f>Roster!AC59</f>
        <v>0</v>
      </c>
      <c r="AC15" s="37">
        <f>Roster!AD59</f>
        <v>0</v>
      </c>
      <c r="AD15" s="37">
        <f>Roster!AE59</f>
        <v>0</v>
      </c>
      <c r="AE15" s="37">
        <f>Roster!AF59</f>
        <v>0</v>
      </c>
      <c r="AF15" s="37">
        <f>Roster!AG59</f>
        <v>0</v>
      </c>
      <c r="AG15" s="38">
        <f>Roster!AH59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Roster!D74</f>
        <v>0</v>
      </c>
      <c r="D18" s="37">
        <f>Roster!E74</f>
        <v>0</v>
      </c>
      <c r="E18" s="37">
        <f>Roster!F74</f>
        <v>0</v>
      </c>
      <c r="F18" s="37">
        <f>Roster!G74</f>
        <v>0</v>
      </c>
      <c r="G18" s="37">
        <f>Roster!H74</f>
        <v>0</v>
      </c>
      <c r="H18" s="37">
        <f>Roster!I74</f>
        <v>0</v>
      </c>
      <c r="I18" s="37">
        <f>Roster!J74</f>
        <v>0</v>
      </c>
      <c r="J18" s="37">
        <f>Roster!K74</f>
        <v>0</v>
      </c>
      <c r="K18" s="37">
        <f>Roster!L74</f>
        <v>0</v>
      </c>
      <c r="L18" s="37">
        <f>Roster!M74</f>
        <v>0</v>
      </c>
      <c r="M18" s="37">
        <f>Roster!N74</f>
        <v>0</v>
      </c>
      <c r="N18" s="37">
        <f>Roster!O74</f>
        <v>0</v>
      </c>
      <c r="O18" s="37">
        <f>Roster!P74</f>
        <v>0</v>
      </c>
      <c r="P18" s="37">
        <f>Roster!Q74</f>
        <v>0</v>
      </c>
      <c r="Q18" s="37">
        <f>Roster!R74</f>
        <v>0</v>
      </c>
      <c r="R18" s="37">
        <f>Roster!S74</f>
        <v>0</v>
      </c>
      <c r="S18" s="37">
        <f>Roster!T74</f>
        <v>0</v>
      </c>
      <c r="T18" s="37">
        <f>Roster!U74</f>
        <v>0</v>
      </c>
      <c r="U18" s="37">
        <f>Roster!V74</f>
        <v>0</v>
      </c>
      <c r="V18" s="37">
        <f>Roster!W74</f>
        <v>0</v>
      </c>
      <c r="W18" s="37">
        <f>Roster!X74</f>
        <v>0</v>
      </c>
      <c r="X18" s="37">
        <f>Roster!Y74</f>
        <v>0</v>
      </c>
      <c r="Y18" s="37">
        <f>Roster!Z74</f>
        <v>0</v>
      </c>
      <c r="Z18" s="37">
        <f>Roster!AA74</f>
        <v>0</v>
      </c>
      <c r="AA18" s="37">
        <f>Roster!AB74</f>
        <v>0</v>
      </c>
      <c r="AB18" s="37">
        <f>Roster!AC74</f>
        <v>0</v>
      </c>
      <c r="AC18" s="37">
        <f>Roster!AD74</f>
        <v>0</v>
      </c>
      <c r="AD18" s="37">
        <f>Roster!AE74</f>
        <v>0</v>
      </c>
      <c r="AE18" s="37">
        <f>Roster!AF74</f>
        <v>0</v>
      </c>
      <c r="AF18" s="38">
        <f>Roster!AG74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Roster!D89</f>
        <v>0</v>
      </c>
      <c r="D21" s="37">
        <f>Roster!E89</f>
        <v>0</v>
      </c>
      <c r="E21" s="37">
        <f>Roster!F89</f>
        <v>0</v>
      </c>
      <c r="F21" s="37">
        <f>Roster!G89</f>
        <v>0</v>
      </c>
      <c r="G21" s="37">
        <f>Roster!H89</f>
        <v>0</v>
      </c>
      <c r="H21" s="37">
        <f>Roster!I89</f>
        <v>0</v>
      </c>
      <c r="I21" s="37">
        <f>Roster!J89</f>
        <v>0</v>
      </c>
      <c r="J21" s="37">
        <f>Roster!K89</f>
        <v>0</v>
      </c>
      <c r="K21" s="37">
        <f>Roster!L89</f>
        <v>0</v>
      </c>
      <c r="L21" s="37">
        <f>Roster!M89</f>
        <v>0</v>
      </c>
      <c r="M21" s="37">
        <f>Roster!N89</f>
        <v>0</v>
      </c>
      <c r="N21" s="37">
        <f>Roster!O89</f>
        <v>0</v>
      </c>
      <c r="O21" s="37">
        <f>Roster!P89</f>
        <v>0</v>
      </c>
      <c r="P21" s="37">
        <f>Roster!Q89</f>
        <v>0</v>
      </c>
      <c r="Q21" s="37">
        <f>Roster!R89</f>
        <v>0</v>
      </c>
      <c r="R21" s="37">
        <f>Roster!S89</f>
        <v>0</v>
      </c>
      <c r="S21" s="37">
        <f>Roster!T89</f>
        <v>0</v>
      </c>
      <c r="T21" s="37">
        <f>Roster!U89</f>
        <v>0</v>
      </c>
      <c r="U21" s="37">
        <f>Roster!V89</f>
        <v>0</v>
      </c>
      <c r="V21" s="37">
        <f>Roster!W89</f>
        <v>0</v>
      </c>
      <c r="W21" s="37">
        <f>Roster!X89</f>
        <v>0</v>
      </c>
      <c r="X21" s="37">
        <f>Roster!Y89</f>
        <v>0</v>
      </c>
      <c r="Y21" s="37">
        <f>Roster!Z89</f>
        <v>0</v>
      </c>
      <c r="Z21" s="37">
        <f>Roster!AA89</f>
        <v>0</v>
      </c>
      <c r="AA21" s="37">
        <f>Roster!AB89</f>
        <v>0</v>
      </c>
      <c r="AB21" s="37">
        <f>Roster!AC89</f>
        <v>0</v>
      </c>
      <c r="AC21" s="37">
        <f>Roster!AD89</f>
        <v>0</v>
      </c>
      <c r="AD21" s="37">
        <f>Roster!AE89</f>
        <v>0</v>
      </c>
      <c r="AE21" s="37">
        <f>Roster!AF89</f>
        <v>0</v>
      </c>
      <c r="AF21" s="37">
        <f>Roster!AG89</f>
        <v>0</v>
      </c>
      <c r="AG21" s="38">
        <f>Roster!AH89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Roster!D104</f>
        <v>0</v>
      </c>
      <c r="D24" s="49">
        <f>Roster!E104</f>
        <v>0</v>
      </c>
      <c r="E24" s="40">
        <f>Roster!F104</f>
        <v>0</v>
      </c>
      <c r="F24" s="40">
        <f>Roster!G104</f>
        <v>0</v>
      </c>
      <c r="G24" s="40">
        <f>Roster!H104</f>
        <v>0</v>
      </c>
      <c r="H24" s="40">
        <f>Roster!I104</f>
        <v>0</v>
      </c>
      <c r="I24" s="40">
        <f>Roster!J104</f>
        <v>0</v>
      </c>
      <c r="J24" s="40">
        <f>Roster!K104</f>
        <v>0</v>
      </c>
      <c r="K24" s="40">
        <f>Roster!L104</f>
        <v>0</v>
      </c>
      <c r="L24" s="40">
        <f>Roster!M104</f>
        <v>0</v>
      </c>
      <c r="M24" s="40">
        <f>Roster!N104</f>
        <v>0</v>
      </c>
      <c r="N24" s="40">
        <f>Roster!O104</f>
        <v>0</v>
      </c>
      <c r="O24" s="40">
        <f>Roster!P104</f>
        <v>0</v>
      </c>
      <c r="P24" s="40">
        <f>Roster!Q104</f>
        <v>0</v>
      </c>
      <c r="Q24" s="40">
        <f>Roster!R104</f>
        <v>0</v>
      </c>
      <c r="R24" s="40">
        <f>Roster!S104</f>
        <v>0</v>
      </c>
      <c r="S24" s="40">
        <f>Roster!T104</f>
        <v>0</v>
      </c>
      <c r="T24" s="40">
        <f>Roster!U104</f>
        <v>0</v>
      </c>
      <c r="U24" s="40">
        <f>Roster!V104</f>
        <v>0</v>
      </c>
      <c r="V24" s="40">
        <f>Roster!W104</f>
        <v>0</v>
      </c>
      <c r="W24" s="40">
        <f>Roster!X104</f>
        <v>0</v>
      </c>
      <c r="X24" s="40">
        <f>Roster!Y104</f>
        <v>0</v>
      </c>
      <c r="Y24" s="40">
        <f>Roster!Z104</f>
        <v>0</v>
      </c>
      <c r="Z24" s="40">
        <f>Roster!AA104</f>
        <v>0</v>
      </c>
      <c r="AA24" s="40">
        <f>Roster!AB104</f>
        <v>0</v>
      </c>
      <c r="AB24" s="40">
        <f>Roster!AC104</f>
        <v>0</v>
      </c>
      <c r="AC24" s="40">
        <f>Roster!AD104</f>
        <v>0</v>
      </c>
      <c r="AD24" s="40">
        <f>Roster!AE104</f>
        <v>0</v>
      </c>
      <c r="AE24" s="40">
        <f>Roster!AF104</f>
        <v>0</v>
      </c>
      <c r="AF24" s="40">
        <f>Roster!AG104</f>
        <v>0</v>
      </c>
      <c r="AG24" s="41">
        <f>Roster!AH104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Roster!D119</f>
        <v>0</v>
      </c>
      <c r="D27" s="37">
        <f>Roster!E119</f>
        <v>0</v>
      </c>
      <c r="E27" s="37">
        <f>Roster!F119</f>
        <v>0</v>
      </c>
      <c r="F27" s="37">
        <f>Roster!G119</f>
        <v>0</v>
      </c>
      <c r="G27" s="37">
        <f>Roster!H119</f>
        <v>0</v>
      </c>
      <c r="H27" s="37">
        <f>Roster!I119</f>
        <v>0</v>
      </c>
      <c r="I27" s="37">
        <f>Roster!J119</f>
        <v>0</v>
      </c>
      <c r="J27" s="37">
        <f>Roster!K119</f>
        <v>0</v>
      </c>
      <c r="K27" s="37">
        <f>Roster!L119</f>
        <v>0</v>
      </c>
      <c r="L27" s="37">
        <f>Roster!M119</f>
        <v>0</v>
      </c>
      <c r="M27" s="37">
        <f>Roster!N119</f>
        <v>0</v>
      </c>
      <c r="N27" s="37">
        <f>Roster!O119</f>
        <v>0</v>
      </c>
      <c r="O27" s="37">
        <f>Roster!P119</f>
        <v>0</v>
      </c>
      <c r="P27" s="37">
        <f>Roster!Q119</f>
        <v>0</v>
      </c>
      <c r="Q27" s="37">
        <f>Roster!Q118</f>
        <v>0</v>
      </c>
      <c r="R27" s="37">
        <f>Roster!S119</f>
        <v>0</v>
      </c>
      <c r="S27" s="37">
        <f>Roster!T119</f>
        <v>0</v>
      </c>
      <c r="T27" s="37">
        <f>Roster!U119</f>
        <v>0</v>
      </c>
      <c r="U27" s="37">
        <f>Roster!V119</f>
        <v>0</v>
      </c>
      <c r="V27" s="37">
        <f>Roster!W119</f>
        <v>0</v>
      </c>
      <c r="W27" s="37">
        <f>Roster!X119</f>
        <v>0</v>
      </c>
      <c r="X27" s="37">
        <f>Roster!Y119</f>
        <v>0</v>
      </c>
      <c r="Y27" s="37">
        <f>Roster!Z119</f>
        <v>0</v>
      </c>
      <c r="Z27" s="37">
        <f>Roster!AA119</f>
        <v>0</v>
      </c>
      <c r="AA27" s="37">
        <f>Roster!AB119</f>
        <v>0</v>
      </c>
      <c r="AB27" s="37">
        <f>Roster!AC119</f>
        <v>0</v>
      </c>
      <c r="AC27" s="37">
        <f>Roster!AD119</f>
        <v>0</v>
      </c>
      <c r="AD27" s="43">
        <f>Roster!AE119</f>
        <v>0</v>
      </c>
      <c r="AE27" s="134">
        <f>Roster!AF119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Roster!D134</f>
        <v>0</v>
      </c>
      <c r="D30" s="37">
        <f>Roster!E134</f>
        <v>0</v>
      </c>
      <c r="E30" s="37">
        <f>Roster!F134</f>
        <v>0</v>
      </c>
      <c r="F30" s="37">
        <f>Roster!G134</f>
        <v>0</v>
      </c>
      <c r="G30" s="37">
        <f>Roster!H134</f>
        <v>0</v>
      </c>
      <c r="H30" s="37">
        <f>Roster!I134</f>
        <v>0</v>
      </c>
      <c r="I30" s="37">
        <f>Roster!J134</f>
        <v>0</v>
      </c>
      <c r="J30" s="37">
        <f>Roster!K134</f>
        <v>0</v>
      </c>
      <c r="K30" s="37">
        <f>Roster!L134</f>
        <v>0</v>
      </c>
      <c r="L30" s="37">
        <f>Roster!M134</f>
        <v>0</v>
      </c>
      <c r="M30" s="37">
        <f>Roster!N134</f>
        <v>0</v>
      </c>
      <c r="N30" s="37">
        <f>Roster!O134</f>
        <v>0</v>
      </c>
      <c r="O30" s="37">
        <f>Roster!P134</f>
        <v>0</v>
      </c>
      <c r="P30" s="37">
        <f>Roster!Q134</f>
        <v>0</v>
      </c>
      <c r="Q30" s="37">
        <f>Roster!R134</f>
        <v>0</v>
      </c>
      <c r="R30" s="37">
        <f>Roster!S134</f>
        <v>0</v>
      </c>
      <c r="S30" s="37">
        <f>Roster!T134</f>
        <v>0</v>
      </c>
      <c r="T30" s="37">
        <f>Roster!U134</f>
        <v>0</v>
      </c>
      <c r="U30" s="37">
        <f>Roster!V134</f>
        <v>0</v>
      </c>
      <c r="V30" s="37">
        <f>Roster!W134</f>
        <v>0</v>
      </c>
      <c r="W30" s="37">
        <f>Roster!X134</f>
        <v>0</v>
      </c>
      <c r="X30" s="37">
        <f>Roster!Y134</f>
        <v>0</v>
      </c>
      <c r="Y30" s="37">
        <f>Roster!Z134</f>
        <v>0</v>
      </c>
      <c r="Z30" s="37">
        <f>Roster!AA134</f>
        <v>0</v>
      </c>
      <c r="AA30" s="37">
        <f>Roster!AB134</f>
        <v>0</v>
      </c>
      <c r="AB30" s="37">
        <f>Roster!AC134</f>
        <v>0</v>
      </c>
      <c r="AC30" s="37">
        <f>Roster!AD134</f>
        <v>0</v>
      </c>
      <c r="AD30" s="37">
        <f>Roster!AE134</f>
        <v>0</v>
      </c>
      <c r="AE30" s="37">
        <f>Roster!AF134</f>
        <v>0</v>
      </c>
      <c r="AF30" s="37">
        <f>Roster!AG134</f>
        <v>0</v>
      </c>
      <c r="AG30" s="38">
        <f>Roster!AH134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Roster!D149</f>
        <v>0</v>
      </c>
      <c r="D33" s="37">
        <f>Roster!E149</f>
        <v>0</v>
      </c>
      <c r="E33" s="37">
        <f>Roster!F149</f>
        <v>0</v>
      </c>
      <c r="F33" s="37">
        <f>Roster!G149</f>
        <v>0</v>
      </c>
      <c r="G33" s="37">
        <f>Roster!H149</f>
        <v>0</v>
      </c>
      <c r="H33" s="37">
        <f>Roster!I149</f>
        <v>0</v>
      </c>
      <c r="I33" s="37">
        <f>Roster!J149</f>
        <v>0</v>
      </c>
      <c r="J33" s="37">
        <f>Roster!K149</f>
        <v>0</v>
      </c>
      <c r="K33" s="37">
        <f>Roster!L149</f>
        <v>0</v>
      </c>
      <c r="L33" s="37">
        <f>Roster!M149</f>
        <v>0</v>
      </c>
      <c r="M33" s="37">
        <f>Roster!N149</f>
        <v>0</v>
      </c>
      <c r="N33" s="37">
        <f>Roster!O149</f>
        <v>0</v>
      </c>
      <c r="O33" s="37">
        <f>Roster!P149</f>
        <v>0</v>
      </c>
      <c r="P33" s="37">
        <f>Roster!Q149</f>
        <v>0</v>
      </c>
      <c r="Q33" s="37">
        <f>Roster!R149</f>
        <v>0</v>
      </c>
      <c r="R33" s="37">
        <f>Roster!S149</f>
        <v>0</v>
      </c>
      <c r="S33" s="37">
        <f>Roster!T149</f>
        <v>0</v>
      </c>
      <c r="T33" s="37">
        <f>Roster!U149</f>
        <v>0</v>
      </c>
      <c r="U33" s="37">
        <f>Roster!V149</f>
        <v>0</v>
      </c>
      <c r="V33" s="37">
        <f>Roster!W149</f>
        <v>0</v>
      </c>
      <c r="W33" s="37">
        <f>Roster!X149</f>
        <v>0</v>
      </c>
      <c r="X33" s="37">
        <f>Roster!Y149</f>
        <v>0</v>
      </c>
      <c r="Y33" s="37">
        <f>Roster!Z149</f>
        <v>0</v>
      </c>
      <c r="Z33" s="37">
        <f>Roster!AA149</f>
        <v>0</v>
      </c>
      <c r="AA33" s="37">
        <f>Roster!AB149</f>
        <v>0</v>
      </c>
      <c r="AB33" s="37">
        <f>Roster!AC149</f>
        <v>0</v>
      </c>
      <c r="AC33" s="37">
        <f>Roster!AD149</f>
        <v>0</v>
      </c>
      <c r="AD33" s="37">
        <f>Roster!AE149</f>
        <v>0</v>
      </c>
      <c r="AE33" s="37">
        <f>Roster!AF149</f>
        <v>0</v>
      </c>
      <c r="AF33" s="38">
        <f>Roster!AG149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Roster!D164</f>
        <v>0</v>
      </c>
      <c r="D36" s="37">
        <f>Roster!E164</f>
        <v>0</v>
      </c>
      <c r="E36" s="37">
        <f>Roster!F164</f>
        <v>0</v>
      </c>
      <c r="F36" s="37">
        <f>Roster!G164</f>
        <v>0</v>
      </c>
      <c r="G36" s="37">
        <f>Roster!H164</f>
        <v>0</v>
      </c>
      <c r="H36" s="37">
        <f>Roster!I164</f>
        <v>0</v>
      </c>
      <c r="I36" s="37">
        <f>Roster!J164</f>
        <v>0</v>
      </c>
      <c r="J36" s="37">
        <f>Roster!K164</f>
        <v>0</v>
      </c>
      <c r="K36" s="37">
        <f>Roster!L164</f>
        <v>0</v>
      </c>
      <c r="L36" s="37">
        <f>Roster!M164</f>
        <v>0</v>
      </c>
      <c r="M36" s="37">
        <f>Roster!N164</f>
        <v>0</v>
      </c>
      <c r="N36" s="37">
        <f>Roster!O164</f>
        <v>0</v>
      </c>
      <c r="O36" s="37">
        <f>Roster!P164</f>
        <v>0</v>
      </c>
      <c r="P36" s="37">
        <f>Roster!Q164</f>
        <v>0</v>
      </c>
      <c r="Q36" s="37">
        <f>Roster!R164</f>
        <v>0</v>
      </c>
      <c r="R36" s="37">
        <f>Roster!S164</f>
        <v>0</v>
      </c>
      <c r="S36" s="37">
        <f>Roster!T164</f>
        <v>0</v>
      </c>
      <c r="T36" s="37">
        <f>Roster!U164</f>
        <v>0</v>
      </c>
      <c r="U36" s="37">
        <f>Roster!V164</f>
        <v>0</v>
      </c>
      <c r="V36" s="37">
        <f>Roster!W164</f>
        <v>0</v>
      </c>
      <c r="W36" s="37">
        <f>Roster!X164</f>
        <v>0</v>
      </c>
      <c r="X36" s="37">
        <f>Roster!Y164</f>
        <v>0</v>
      </c>
      <c r="Y36" s="37">
        <f>Roster!Z164</f>
        <v>0</v>
      </c>
      <c r="Z36" s="37">
        <f>Roster!AA164</f>
        <v>0</v>
      </c>
      <c r="AA36" s="37">
        <f>Roster!AB164</f>
        <v>0</v>
      </c>
      <c r="AB36" s="37">
        <f>Roster!AC164</f>
        <v>0</v>
      </c>
      <c r="AC36" s="37">
        <f>Roster!AD164</f>
        <v>0</v>
      </c>
      <c r="AD36" s="37">
        <f>Roster!AE164</f>
        <v>0</v>
      </c>
      <c r="AE36" s="37">
        <f>Roster!AF164</f>
        <v>0</v>
      </c>
      <c r="AF36" s="37">
        <f>Roster!AG164</f>
        <v>0</v>
      </c>
      <c r="AG36" s="38">
        <f>Roster!AH164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Roster!D179</f>
        <v>0</v>
      </c>
      <c r="D39" s="37">
        <f>Roster!E179</f>
        <v>0</v>
      </c>
      <c r="E39" s="37">
        <f>Roster!F179</f>
        <v>0</v>
      </c>
      <c r="F39" s="37">
        <f>Roster!G179</f>
        <v>0</v>
      </c>
      <c r="G39" s="37">
        <f>Roster!H179</f>
        <v>0</v>
      </c>
      <c r="H39" s="37">
        <f>Roster!I179</f>
        <v>0</v>
      </c>
      <c r="I39" s="37">
        <f>Roster!J179</f>
        <v>0</v>
      </c>
      <c r="J39" s="37">
        <f>Roster!K179</f>
        <v>0</v>
      </c>
      <c r="K39" s="37">
        <f>Roster!L179</f>
        <v>0</v>
      </c>
      <c r="L39" s="37">
        <f>Roster!M179</f>
        <v>0</v>
      </c>
      <c r="M39" s="37">
        <f>Roster!N179</f>
        <v>0</v>
      </c>
      <c r="N39" s="37">
        <f>Roster!O179</f>
        <v>0</v>
      </c>
      <c r="O39" s="37">
        <f>Roster!P179</f>
        <v>0</v>
      </c>
      <c r="P39" s="37">
        <f>Roster!Q179</f>
        <v>0</v>
      </c>
      <c r="Q39" s="37">
        <f>Roster!R179</f>
        <v>0</v>
      </c>
      <c r="R39" s="37">
        <f>Roster!S179</f>
        <v>0</v>
      </c>
      <c r="S39" s="37">
        <f>Roster!T179</f>
        <v>0</v>
      </c>
      <c r="T39" s="37">
        <f>Roster!U179</f>
        <v>0</v>
      </c>
      <c r="U39" s="37">
        <f>Roster!V179</f>
        <v>0</v>
      </c>
      <c r="V39" s="37">
        <f>Roster!W179</f>
        <v>0</v>
      </c>
      <c r="W39" s="37">
        <f>Roster!X179</f>
        <v>0</v>
      </c>
      <c r="X39" s="37">
        <f>Roster!Y179</f>
        <v>0</v>
      </c>
      <c r="Y39" s="37">
        <f>Roster!Z179</f>
        <v>0</v>
      </c>
      <c r="Z39" s="37">
        <f>Roster!AA179</f>
        <v>0</v>
      </c>
      <c r="AA39" s="37">
        <f>Roster!AB179</f>
        <v>0</v>
      </c>
      <c r="AB39" s="37">
        <f>Roster!AC179</f>
        <v>0</v>
      </c>
      <c r="AC39" s="37">
        <f>Roster!AD179</f>
        <v>0</v>
      </c>
      <c r="AD39" s="37">
        <f>Roster!AE179</f>
        <v>0</v>
      </c>
      <c r="AE39" s="37">
        <f>Roster!AF179</f>
        <v>0</v>
      </c>
      <c r="AF39" s="38">
        <f>Roster!AG179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EmpGName07 &amp;" " &amp; EmpSName07</f>
        <v>Robin Fielding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Roster!D15</f>
        <v>0</v>
      </c>
      <c r="D6" s="37">
        <f>Roster!E15</f>
        <v>0</v>
      </c>
      <c r="E6" s="37" t="str">
        <f>Roster!F15</f>
        <v>PO</v>
      </c>
      <c r="F6" s="37" t="str">
        <f>Roster!G15</f>
        <v>PO</v>
      </c>
      <c r="G6" s="37" t="str">
        <f>Roster!H15</f>
        <v>PO</v>
      </c>
      <c r="H6" s="37">
        <f>Roster!I15</f>
        <v>0</v>
      </c>
      <c r="I6" s="37">
        <f>Roster!J15</f>
        <v>0</v>
      </c>
      <c r="J6" s="37">
        <f>Roster!K15</f>
        <v>0</v>
      </c>
      <c r="K6" s="37">
        <f>Roster!L15</f>
        <v>0</v>
      </c>
      <c r="L6" s="37">
        <f>Roster!M15</f>
        <v>0</v>
      </c>
      <c r="M6" s="37">
        <f>Roster!N15</f>
        <v>0</v>
      </c>
      <c r="N6" s="37">
        <f>Roster!O15</f>
        <v>0</v>
      </c>
      <c r="O6" s="37">
        <f>Roster!P15</f>
        <v>0</v>
      </c>
      <c r="P6" s="37" t="str">
        <f>Roster!Q15</f>
        <v>PO</v>
      </c>
      <c r="Q6" s="37" t="str">
        <f>Roster!R15</f>
        <v>PO</v>
      </c>
      <c r="R6" s="37" t="str">
        <f>Roster!S15</f>
        <v>PO</v>
      </c>
      <c r="S6" s="37" t="str">
        <f>Roster!T15</f>
        <v>PO</v>
      </c>
      <c r="T6" s="37">
        <f>Roster!U15</f>
        <v>0</v>
      </c>
      <c r="U6" s="37">
        <f>Roster!V15</f>
        <v>0</v>
      </c>
      <c r="V6" s="37" t="str">
        <f>Roster!W15</f>
        <v>PO</v>
      </c>
      <c r="W6" s="37" t="str">
        <f>Roster!X15</f>
        <v>PO</v>
      </c>
      <c r="X6" s="37">
        <f>Roster!Y15</f>
        <v>0</v>
      </c>
      <c r="Y6" s="37">
        <f>Roster!Z15</f>
        <v>0</v>
      </c>
      <c r="Z6" s="37">
        <f>Roster!AA15</f>
        <v>0</v>
      </c>
      <c r="AA6" s="37">
        <f>Roster!AB15</f>
        <v>0</v>
      </c>
      <c r="AB6" s="37">
        <f>Roster!AC15</f>
        <v>0</v>
      </c>
      <c r="AC6" s="37">
        <f>Roster!AD15</f>
        <v>0</v>
      </c>
      <c r="AD6" s="37">
        <f>Roster!AE15</f>
        <v>0</v>
      </c>
      <c r="AE6" s="37" t="str">
        <f>Roster!AF15</f>
        <v>PO</v>
      </c>
      <c r="AF6" s="37" t="str">
        <f>Roster!AG15</f>
        <v>PO</v>
      </c>
      <c r="AG6" s="38">
        <f>Roster!AH15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Roster!D30</f>
        <v>0</v>
      </c>
      <c r="D9" s="39">
        <f>Roster!E30</f>
        <v>0</v>
      </c>
      <c r="E9" s="37">
        <f>Roster!F30</f>
        <v>0</v>
      </c>
      <c r="F9" s="37">
        <f>Roster!G30</f>
        <v>0</v>
      </c>
      <c r="G9" s="37">
        <f>Roster!H30</f>
        <v>0</v>
      </c>
      <c r="H9" s="37">
        <f>Roster!I30</f>
        <v>0</v>
      </c>
      <c r="I9" s="37">
        <f>Roster!J30</f>
        <v>0</v>
      </c>
      <c r="J9" s="37">
        <f>Roster!K30</f>
        <v>0</v>
      </c>
      <c r="K9" s="37">
        <f>Roster!L30</f>
        <v>0</v>
      </c>
      <c r="L9" s="37">
        <f>Roster!M30</f>
        <v>0</v>
      </c>
      <c r="M9" s="37">
        <f>Roster!N30</f>
        <v>0</v>
      </c>
      <c r="N9" s="37">
        <f>Roster!O30</f>
        <v>0</v>
      </c>
      <c r="O9" s="37">
        <f>Roster!P30</f>
        <v>0</v>
      </c>
      <c r="P9" s="37">
        <f>Roster!Q30</f>
        <v>0</v>
      </c>
      <c r="Q9" s="37">
        <f>Roster!R30</f>
        <v>0</v>
      </c>
      <c r="R9" s="37">
        <f>Roster!S30</f>
        <v>0</v>
      </c>
      <c r="S9" s="37">
        <f>Roster!T30</f>
        <v>0</v>
      </c>
      <c r="T9" s="37">
        <f>Roster!U30</f>
        <v>0</v>
      </c>
      <c r="U9" s="37">
        <f>Roster!V30</f>
        <v>0</v>
      </c>
      <c r="V9" s="37">
        <f>Roster!W30</f>
        <v>0</v>
      </c>
      <c r="W9" s="37">
        <f>Roster!X30</f>
        <v>0</v>
      </c>
      <c r="X9" s="37">
        <f>Roster!Y30</f>
        <v>0</v>
      </c>
      <c r="Y9" s="37">
        <f>Roster!Z30</f>
        <v>0</v>
      </c>
      <c r="Z9" s="37">
        <f>Roster!AA30</f>
        <v>0</v>
      </c>
      <c r="AA9" s="37">
        <f>Roster!AB30</f>
        <v>0</v>
      </c>
      <c r="AB9" s="37">
        <f>Roster!AC30</f>
        <v>0</v>
      </c>
      <c r="AC9" s="37">
        <f>Roster!AD30</f>
        <v>0</v>
      </c>
      <c r="AD9" s="37">
        <f>Roster!AE30</f>
        <v>0</v>
      </c>
      <c r="AE9" s="37">
        <f>Roster!AF30</f>
        <v>0</v>
      </c>
      <c r="AF9" s="37">
        <f>Roster!AG30</f>
        <v>0</v>
      </c>
      <c r="AG9" s="38">
        <f>Roster!AH30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Roster!D45</f>
        <v>0</v>
      </c>
      <c r="D12" s="37">
        <f>Roster!E45</f>
        <v>0</v>
      </c>
      <c r="E12" s="37">
        <f>Roster!F45</f>
        <v>0</v>
      </c>
      <c r="F12" s="37">
        <f>Roster!G45</f>
        <v>0</v>
      </c>
      <c r="G12" s="37">
        <f>Roster!H45</f>
        <v>0</v>
      </c>
      <c r="H12" s="37">
        <f>Roster!I45</f>
        <v>0</v>
      </c>
      <c r="I12" s="37">
        <f>Roster!J45</f>
        <v>0</v>
      </c>
      <c r="J12" s="37">
        <f>Roster!K45</f>
        <v>0</v>
      </c>
      <c r="K12" s="37">
        <f>Roster!L45</f>
        <v>0</v>
      </c>
      <c r="L12" s="37">
        <f>Roster!M45</f>
        <v>0</v>
      </c>
      <c r="M12" s="37">
        <f>Roster!N45</f>
        <v>0</v>
      </c>
      <c r="N12" s="37">
        <f>Roster!O45</f>
        <v>0</v>
      </c>
      <c r="O12" s="37">
        <f>Roster!P45</f>
        <v>0</v>
      </c>
      <c r="P12" s="37">
        <f>Roster!Q45</f>
        <v>0</v>
      </c>
      <c r="Q12" s="37">
        <f>Roster!R45</f>
        <v>0</v>
      </c>
      <c r="R12" s="37">
        <f>Roster!S45</f>
        <v>0</v>
      </c>
      <c r="S12" s="37">
        <f>Roster!T45</f>
        <v>0</v>
      </c>
      <c r="T12" s="37">
        <f>Roster!U45</f>
        <v>0</v>
      </c>
      <c r="U12" s="37">
        <f>Roster!V45</f>
        <v>0</v>
      </c>
      <c r="V12" s="37">
        <f>Roster!W45</f>
        <v>0</v>
      </c>
      <c r="W12" s="37">
        <f>Roster!X45</f>
        <v>0</v>
      </c>
      <c r="X12" s="37">
        <f>Roster!Y45</f>
        <v>0</v>
      </c>
      <c r="Y12" s="37">
        <f>Roster!Z45</f>
        <v>0</v>
      </c>
      <c r="Z12" s="37">
        <f>Roster!AA45</f>
        <v>0</v>
      </c>
      <c r="AA12" s="37">
        <f>Roster!AB45</f>
        <v>0</v>
      </c>
      <c r="AB12" s="37">
        <f>Roster!AC45</f>
        <v>0</v>
      </c>
      <c r="AC12" s="37">
        <f>Roster!AD45</f>
        <v>0</v>
      </c>
      <c r="AD12" s="37">
        <f>Roster!AE45</f>
        <v>0</v>
      </c>
      <c r="AE12" s="37">
        <f>Roster!AF45</f>
        <v>0</v>
      </c>
      <c r="AF12" s="38">
        <f>Roster!AG45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Roster!D60</f>
        <v>0</v>
      </c>
      <c r="D15" s="37">
        <f>Roster!E60</f>
        <v>0</v>
      </c>
      <c r="E15" s="37">
        <f>Roster!F60</f>
        <v>0</v>
      </c>
      <c r="F15" s="37">
        <f>Roster!G60</f>
        <v>0</v>
      </c>
      <c r="G15" s="37">
        <f>Roster!H60</f>
        <v>0</v>
      </c>
      <c r="H15" s="37">
        <f>Roster!I60</f>
        <v>0</v>
      </c>
      <c r="I15" s="37">
        <f>Roster!J60</f>
        <v>0</v>
      </c>
      <c r="J15" s="37">
        <f>Roster!K60</f>
        <v>0</v>
      </c>
      <c r="K15" s="37">
        <f>Roster!L60</f>
        <v>0</v>
      </c>
      <c r="L15" s="37">
        <f>Roster!M60</f>
        <v>0</v>
      </c>
      <c r="M15" s="37">
        <f>Roster!N60</f>
        <v>0</v>
      </c>
      <c r="N15" s="37">
        <f>Roster!O60</f>
        <v>0</v>
      </c>
      <c r="O15" s="37">
        <f>Roster!P60</f>
        <v>0</v>
      </c>
      <c r="P15" s="37">
        <f>Roster!Q60</f>
        <v>0</v>
      </c>
      <c r="Q15" s="37">
        <f>Roster!R60</f>
        <v>0</v>
      </c>
      <c r="R15" s="37">
        <f>Roster!S60</f>
        <v>0</v>
      </c>
      <c r="S15" s="37">
        <f>Roster!T60</f>
        <v>0</v>
      </c>
      <c r="T15" s="37">
        <f>Roster!U60</f>
        <v>0</v>
      </c>
      <c r="U15" s="37">
        <f>Roster!V60</f>
        <v>0</v>
      </c>
      <c r="V15" s="37">
        <f>Roster!W60</f>
        <v>0</v>
      </c>
      <c r="W15" s="37">
        <f>Roster!X60</f>
        <v>0</v>
      </c>
      <c r="X15" s="37">
        <f>Roster!Y60</f>
        <v>0</v>
      </c>
      <c r="Y15" s="37">
        <f>Roster!Z60</f>
        <v>0</v>
      </c>
      <c r="Z15" s="37">
        <f>Roster!AA60</f>
        <v>0</v>
      </c>
      <c r="AA15" s="37">
        <f>Roster!AB60</f>
        <v>0</v>
      </c>
      <c r="AB15" s="37">
        <f>Roster!AC60</f>
        <v>0</v>
      </c>
      <c r="AC15" s="37">
        <f>Roster!AD60</f>
        <v>0</v>
      </c>
      <c r="AD15" s="37">
        <f>Roster!AE60</f>
        <v>0</v>
      </c>
      <c r="AE15" s="37">
        <f>Roster!AF60</f>
        <v>0</v>
      </c>
      <c r="AF15" s="37">
        <f>Roster!AG60</f>
        <v>0</v>
      </c>
      <c r="AG15" s="38">
        <f>Roster!AH60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Roster!D75</f>
        <v>0</v>
      </c>
      <c r="D18" s="37">
        <f>Roster!E75</f>
        <v>0</v>
      </c>
      <c r="E18" s="37">
        <f>Roster!F75</f>
        <v>0</v>
      </c>
      <c r="F18" s="37">
        <f>Roster!G75</f>
        <v>0</v>
      </c>
      <c r="G18" s="37">
        <f>Roster!H75</f>
        <v>0</v>
      </c>
      <c r="H18" s="37">
        <f>Roster!I75</f>
        <v>0</v>
      </c>
      <c r="I18" s="37">
        <f>Roster!J75</f>
        <v>0</v>
      </c>
      <c r="J18" s="37">
        <f>Roster!K75</f>
        <v>0</v>
      </c>
      <c r="K18" s="37">
        <f>Roster!L75</f>
        <v>0</v>
      </c>
      <c r="L18" s="37">
        <f>Roster!M75</f>
        <v>0</v>
      </c>
      <c r="M18" s="37">
        <f>Roster!N75</f>
        <v>0</v>
      </c>
      <c r="N18" s="37">
        <f>Roster!O75</f>
        <v>0</v>
      </c>
      <c r="O18" s="37">
        <f>Roster!P75</f>
        <v>0</v>
      </c>
      <c r="P18" s="37">
        <f>Roster!Q75</f>
        <v>0</v>
      </c>
      <c r="Q18" s="37">
        <f>Roster!R75</f>
        <v>0</v>
      </c>
      <c r="R18" s="37">
        <f>Roster!S75</f>
        <v>0</v>
      </c>
      <c r="S18" s="37">
        <f>Roster!T75</f>
        <v>0</v>
      </c>
      <c r="T18" s="37">
        <f>Roster!U75</f>
        <v>0</v>
      </c>
      <c r="U18" s="37">
        <f>Roster!V75</f>
        <v>0</v>
      </c>
      <c r="V18" s="37">
        <f>Roster!W75</f>
        <v>0</v>
      </c>
      <c r="W18" s="37">
        <f>Roster!X75</f>
        <v>0</v>
      </c>
      <c r="X18" s="37">
        <f>Roster!Y75</f>
        <v>0</v>
      </c>
      <c r="Y18" s="37">
        <f>Roster!Z75</f>
        <v>0</v>
      </c>
      <c r="Z18" s="37">
        <f>Roster!AA75</f>
        <v>0</v>
      </c>
      <c r="AA18" s="37">
        <f>Roster!AB75</f>
        <v>0</v>
      </c>
      <c r="AB18" s="37">
        <f>Roster!AC75</f>
        <v>0</v>
      </c>
      <c r="AC18" s="37">
        <f>Roster!AD75</f>
        <v>0</v>
      </c>
      <c r="AD18" s="37">
        <f>Roster!AE75</f>
        <v>0</v>
      </c>
      <c r="AE18" s="37">
        <f>Roster!AF75</f>
        <v>0</v>
      </c>
      <c r="AF18" s="38">
        <f>Roster!AG75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Roster!D90</f>
        <v>0</v>
      </c>
      <c r="D21" s="37">
        <f>Roster!E90</f>
        <v>0</v>
      </c>
      <c r="E21" s="37">
        <f>Roster!F90</f>
        <v>0</v>
      </c>
      <c r="F21" s="37">
        <f>Roster!G90</f>
        <v>0</v>
      </c>
      <c r="G21" s="37">
        <f>Roster!H90</f>
        <v>0</v>
      </c>
      <c r="H21" s="37">
        <f>Roster!I90</f>
        <v>0</v>
      </c>
      <c r="I21" s="37">
        <f>Roster!J90</f>
        <v>0</v>
      </c>
      <c r="J21" s="37">
        <f>Roster!K90</f>
        <v>0</v>
      </c>
      <c r="K21" s="37">
        <f>Roster!L90</f>
        <v>0</v>
      </c>
      <c r="L21" s="37">
        <f>Roster!M90</f>
        <v>0</v>
      </c>
      <c r="M21" s="37">
        <f>Roster!N90</f>
        <v>0</v>
      </c>
      <c r="N21" s="37">
        <f>Roster!O90</f>
        <v>0</v>
      </c>
      <c r="O21" s="37">
        <f>Roster!P90</f>
        <v>0</v>
      </c>
      <c r="P21" s="37">
        <f>Roster!Q90</f>
        <v>0</v>
      </c>
      <c r="Q21" s="37">
        <f>Roster!R90</f>
        <v>0</v>
      </c>
      <c r="R21" s="37">
        <f>Roster!S90</f>
        <v>0</v>
      </c>
      <c r="S21" s="37">
        <f>Roster!T90</f>
        <v>0</v>
      </c>
      <c r="T21" s="37">
        <f>Roster!U90</f>
        <v>0</v>
      </c>
      <c r="U21" s="37">
        <f>Roster!V90</f>
        <v>0</v>
      </c>
      <c r="V21" s="37">
        <f>Roster!W90</f>
        <v>0</v>
      </c>
      <c r="W21" s="37">
        <f>Roster!X90</f>
        <v>0</v>
      </c>
      <c r="X21" s="37">
        <f>Roster!Y90</f>
        <v>0</v>
      </c>
      <c r="Y21" s="37">
        <f>Roster!Z90</f>
        <v>0</v>
      </c>
      <c r="Z21" s="37">
        <f>Roster!AA90</f>
        <v>0</v>
      </c>
      <c r="AA21" s="37">
        <f>Roster!AB90</f>
        <v>0</v>
      </c>
      <c r="AB21" s="37">
        <f>Roster!AC90</f>
        <v>0</v>
      </c>
      <c r="AC21" s="37">
        <f>Roster!AD90</f>
        <v>0</v>
      </c>
      <c r="AD21" s="37">
        <f>Roster!AE90</f>
        <v>0</v>
      </c>
      <c r="AE21" s="37">
        <f>Roster!AF90</f>
        <v>0</v>
      </c>
      <c r="AF21" s="37">
        <f>Roster!AG90</f>
        <v>0</v>
      </c>
      <c r="AG21" s="38">
        <f>Roster!AH90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Roster!D105</f>
        <v>0</v>
      </c>
      <c r="D24" s="53">
        <f>Roster!E105</f>
        <v>0</v>
      </c>
      <c r="E24" s="53">
        <f>Roster!F105</f>
        <v>0</v>
      </c>
      <c r="F24" s="53">
        <f>Roster!G105</f>
        <v>0</v>
      </c>
      <c r="G24" s="53">
        <f>Roster!H105</f>
        <v>0</v>
      </c>
      <c r="H24" s="53">
        <f>Roster!I105</f>
        <v>0</v>
      </c>
      <c r="I24" s="53">
        <f>Roster!J105</f>
        <v>0</v>
      </c>
      <c r="J24" s="53">
        <f>Roster!K105</f>
        <v>0</v>
      </c>
      <c r="K24" s="53">
        <f>Roster!L105</f>
        <v>0</v>
      </c>
      <c r="L24" s="53">
        <f>Roster!M105</f>
        <v>0</v>
      </c>
      <c r="M24" s="53">
        <f>Roster!N105</f>
        <v>0</v>
      </c>
      <c r="N24" s="53">
        <f>Roster!O105</f>
        <v>0</v>
      </c>
      <c r="O24" s="53">
        <f>Roster!P105</f>
        <v>0</v>
      </c>
      <c r="P24" s="53">
        <f>Roster!Q105</f>
        <v>0</v>
      </c>
      <c r="Q24" s="53">
        <f>Roster!R105</f>
        <v>0</v>
      </c>
      <c r="R24" s="53">
        <f>Roster!S105</f>
        <v>0</v>
      </c>
      <c r="S24" s="53">
        <f>Roster!T105</f>
        <v>0</v>
      </c>
      <c r="T24" s="53">
        <f>Roster!U105</f>
        <v>0</v>
      </c>
      <c r="U24" s="53">
        <f>Roster!V105</f>
        <v>0</v>
      </c>
      <c r="V24" s="53">
        <f>Roster!W105</f>
        <v>0</v>
      </c>
      <c r="W24" s="53">
        <f>Roster!X105</f>
        <v>0</v>
      </c>
      <c r="X24" s="53">
        <f>Roster!Y105</f>
        <v>0</v>
      </c>
      <c r="Y24" s="53">
        <f>Roster!Z105</f>
        <v>0</v>
      </c>
      <c r="Z24" s="53">
        <f>Roster!AA105</f>
        <v>0</v>
      </c>
      <c r="AA24" s="53">
        <f>Roster!AB105</f>
        <v>0</v>
      </c>
      <c r="AB24" s="53">
        <f>Roster!AC105</f>
        <v>0</v>
      </c>
      <c r="AC24" s="53">
        <f>Roster!AD105</f>
        <v>0</v>
      </c>
      <c r="AD24" s="53">
        <f>Roster!AE105</f>
        <v>0</v>
      </c>
      <c r="AE24" s="53">
        <f>Roster!AF105</f>
        <v>0</v>
      </c>
      <c r="AF24" s="53">
        <f>Roster!AG105</f>
        <v>0</v>
      </c>
      <c r="AG24" s="54">
        <f>Roster!AH105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Roster!D120</f>
        <v>0</v>
      </c>
      <c r="D27" s="37">
        <f>Roster!E120</f>
        <v>0</v>
      </c>
      <c r="E27" s="37">
        <f>Roster!F120</f>
        <v>0</v>
      </c>
      <c r="F27" s="37">
        <f>Roster!G120</f>
        <v>0</v>
      </c>
      <c r="G27" s="37">
        <f>Roster!H120</f>
        <v>0</v>
      </c>
      <c r="H27" s="37">
        <f>Roster!I120</f>
        <v>0</v>
      </c>
      <c r="I27" s="37">
        <f>Roster!J120</f>
        <v>0</v>
      </c>
      <c r="J27" s="37">
        <f>Roster!K120</f>
        <v>0</v>
      </c>
      <c r="K27" s="37">
        <f>Roster!L120</f>
        <v>0</v>
      </c>
      <c r="L27" s="37">
        <f>Roster!M120</f>
        <v>0</v>
      </c>
      <c r="M27" s="37">
        <f>Roster!N120</f>
        <v>0</v>
      </c>
      <c r="N27" s="37">
        <f>Roster!O120</f>
        <v>0</v>
      </c>
      <c r="O27" s="37">
        <f>Roster!P120</f>
        <v>0</v>
      </c>
      <c r="P27" s="37">
        <f>Roster!Q120</f>
        <v>0</v>
      </c>
      <c r="Q27" s="37">
        <f>Roster!R120</f>
        <v>0</v>
      </c>
      <c r="R27" s="37">
        <f>Roster!S120</f>
        <v>0</v>
      </c>
      <c r="S27" s="37">
        <f>Roster!T120</f>
        <v>0</v>
      </c>
      <c r="T27" s="37">
        <f>Roster!U120</f>
        <v>0</v>
      </c>
      <c r="U27" s="37">
        <f>Roster!V120</f>
        <v>0</v>
      </c>
      <c r="V27" s="37">
        <f>Roster!W120</f>
        <v>0</v>
      </c>
      <c r="W27" s="37">
        <f>Roster!X120</f>
        <v>0</v>
      </c>
      <c r="X27" s="37">
        <f>Roster!Y120</f>
        <v>0</v>
      </c>
      <c r="Y27" s="37">
        <f>Roster!Z120</f>
        <v>0</v>
      </c>
      <c r="Z27" s="37">
        <f>Roster!AA120</f>
        <v>0</v>
      </c>
      <c r="AA27" s="37">
        <f>Roster!AB120</f>
        <v>0</v>
      </c>
      <c r="AB27" s="37">
        <f>Roster!AC120</f>
        <v>0</v>
      </c>
      <c r="AC27" s="37">
        <f>Roster!AD120</f>
        <v>0</v>
      </c>
      <c r="AD27" s="43">
        <f>Roster!AE120</f>
        <v>0</v>
      </c>
      <c r="AE27" s="134">
        <f>Roster!AF120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Roster!D135</f>
        <v>0</v>
      </c>
      <c r="D30" s="37">
        <f>Roster!E135</f>
        <v>0</v>
      </c>
      <c r="E30" s="37">
        <f>Roster!F135</f>
        <v>0</v>
      </c>
      <c r="F30" s="37">
        <f>Roster!G135</f>
        <v>0</v>
      </c>
      <c r="G30" s="37">
        <f>Roster!H135</f>
        <v>0</v>
      </c>
      <c r="H30" s="37">
        <f>Roster!I135</f>
        <v>0</v>
      </c>
      <c r="I30" s="37">
        <f>Roster!J135</f>
        <v>0</v>
      </c>
      <c r="J30" s="37">
        <f>Roster!K135</f>
        <v>0</v>
      </c>
      <c r="K30" s="37">
        <f>Roster!L135</f>
        <v>0</v>
      </c>
      <c r="L30" s="37">
        <f>Roster!M135</f>
        <v>0</v>
      </c>
      <c r="M30" s="37">
        <f>Roster!N135</f>
        <v>0</v>
      </c>
      <c r="N30" s="37">
        <f>Roster!O135</f>
        <v>0</v>
      </c>
      <c r="O30" s="37">
        <f>Roster!P135</f>
        <v>0</v>
      </c>
      <c r="P30" s="37">
        <f>Roster!Q135</f>
        <v>0</v>
      </c>
      <c r="Q30" s="37">
        <f>Roster!R135</f>
        <v>0</v>
      </c>
      <c r="R30" s="37">
        <f>Roster!S135</f>
        <v>0</v>
      </c>
      <c r="S30" s="37">
        <f>Roster!T135</f>
        <v>0</v>
      </c>
      <c r="T30" s="37">
        <f>Roster!U135</f>
        <v>0</v>
      </c>
      <c r="U30" s="37">
        <f>Roster!V135</f>
        <v>0</v>
      </c>
      <c r="V30" s="37">
        <f>Roster!W135</f>
        <v>0</v>
      </c>
      <c r="W30" s="37">
        <f>Roster!X135</f>
        <v>0</v>
      </c>
      <c r="X30" s="37">
        <f>Roster!Y135</f>
        <v>0</v>
      </c>
      <c r="Y30" s="37">
        <f>Roster!Z135</f>
        <v>0</v>
      </c>
      <c r="Z30" s="37">
        <f>Roster!AA135</f>
        <v>0</v>
      </c>
      <c r="AA30" s="37">
        <f>Roster!AB135</f>
        <v>0</v>
      </c>
      <c r="AB30" s="37">
        <f>Roster!AC135</f>
        <v>0</v>
      </c>
      <c r="AC30" s="37">
        <f>Roster!AD135</f>
        <v>0</v>
      </c>
      <c r="AD30" s="37">
        <f>Roster!AE135</f>
        <v>0</v>
      </c>
      <c r="AE30" s="37">
        <f>Roster!AF135</f>
        <v>0</v>
      </c>
      <c r="AF30" s="37">
        <f>Roster!AG135</f>
        <v>0</v>
      </c>
      <c r="AG30" s="38">
        <f>Roster!AH135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Roster!D150</f>
        <v>0</v>
      </c>
      <c r="D33" s="37">
        <f>Roster!E150</f>
        <v>0</v>
      </c>
      <c r="E33" s="37">
        <f>Roster!F150</f>
        <v>0</v>
      </c>
      <c r="F33" s="37">
        <f>Roster!G150</f>
        <v>0</v>
      </c>
      <c r="G33" s="37">
        <f>Roster!H150</f>
        <v>0</v>
      </c>
      <c r="H33" s="37">
        <f>Roster!I150</f>
        <v>0</v>
      </c>
      <c r="I33" s="37">
        <f>Roster!J150</f>
        <v>0</v>
      </c>
      <c r="J33" s="37">
        <f>Roster!K150</f>
        <v>0</v>
      </c>
      <c r="K33" s="37">
        <f>Roster!L150</f>
        <v>0</v>
      </c>
      <c r="L33" s="37">
        <f>Roster!M150</f>
        <v>0</v>
      </c>
      <c r="M33" s="37">
        <f>Roster!N150</f>
        <v>0</v>
      </c>
      <c r="N33" s="37">
        <f>Roster!O150</f>
        <v>0</v>
      </c>
      <c r="O33" s="37">
        <f>Roster!P150</f>
        <v>0</v>
      </c>
      <c r="P33" s="37">
        <f>Roster!Q150</f>
        <v>0</v>
      </c>
      <c r="Q33" s="37">
        <f>Roster!R150</f>
        <v>0</v>
      </c>
      <c r="R33" s="37">
        <f>Roster!S150</f>
        <v>0</v>
      </c>
      <c r="S33" s="37">
        <f>Roster!T150</f>
        <v>0</v>
      </c>
      <c r="T33" s="37">
        <f>Roster!U150</f>
        <v>0</v>
      </c>
      <c r="U33" s="37">
        <f>Roster!V150</f>
        <v>0</v>
      </c>
      <c r="V33" s="37">
        <f>Roster!W150</f>
        <v>0</v>
      </c>
      <c r="W33" s="37">
        <f>Roster!X150</f>
        <v>0</v>
      </c>
      <c r="X33" s="37">
        <f>Roster!Y150</f>
        <v>0</v>
      </c>
      <c r="Y33" s="37">
        <f>Roster!Z150</f>
        <v>0</v>
      </c>
      <c r="Z33" s="37">
        <f>Roster!AA150</f>
        <v>0</v>
      </c>
      <c r="AA33" s="37">
        <f>Roster!AB150</f>
        <v>0</v>
      </c>
      <c r="AB33" s="37">
        <f>Roster!AC150</f>
        <v>0</v>
      </c>
      <c r="AC33" s="37">
        <f>Roster!AD150</f>
        <v>0</v>
      </c>
      <c r="AD33" s="37">
        <f>Roster!AE150</f>
        <v>0</v>
      </c>
      <c r="AE33" s="37">
        <f>Roster!AF150</f>
        <v>0</v>
      </c>
      <c r="AF33" s="38">
        <f>Roster!AG150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Roster!D165</f>
        <v>0</v>
      </c>
      <c r="D36" s="37">
        <f>Roster!E165</f>
        <v>0</v>
      </c>
      <c r="E36" s="37">
        <f>Roster!F165</f>
        <v>0</v>
      </c>
      <c r="F36" s="37">
        <f>Roster!G165</f>
        <v>0</v>
      </c>
      <c r="G36" s="37">
        <f>Roster!H165</f>
        <v>0</v>
      </c>
      <c r="H36" s="37">
        <f>Roster!I165</f>
        <v>0</v>
      </c>
      <c r="I36" s="37">
        <f>Roster!J165</f>
        <v>0</v>
      </c>
      <c r="J36" s="37">
        <f>Roster!K165</f>
        <v>0</v>
      </c>
      <c r="K36" s="37">
        <f>Roster!L165</f>
        <v>0</v>
      </c>
      <c r="L36" s="37">
        <f>Roster!M165</f>
        <v>0</v>
      </c>
      <c r="M36" s="37">
        <f>Roster!N165</f>
        <v>0</v>
      </c>
      <c r="N36" s="37">
        <f>Roster!O165</f>
        <v>0</v>
      </c>
      <c r="O36" s="37">
        <f>Roster!P165</f>
        <v>0</v>
      </c>
      <c r="P36" s="37">
        <f>Roster!Q165</f>
        <v>0</v>
      </c>
      <c r="Q36" s="37">
        <f>Roster!R165</f>
        <v>0</v>
      </c>
      <c r="R36" s="37">
        <f>Roster!S165</f>
        <v>0</v>
      </c>
      <c r="S36" s="37">
        <f>Roster!T165</f>
        <v>0</v>
      </c>
      <c r="T36" s="37">
        <f>Roster!U165</f>
        <v>0</v>
      </c>
      <c r="U36" s="37">
        <f>Roster!V165</f>
        <v>0</v>
      </c>
      <c r="V36" s="37">
        <f>Roster!W165</f>
        <v>0</v>
      </c>
      <c r="W36" s="37">
        <f>Roster!X165</f>
        <v>0</v>
      </c>
      <c r="X36" s="37">
        <f>Roster!Y165</f>
        <v>0</v>
      </c>
      <c r="Y36" s="37">
        <f>Roster!Z165</f>
        <v>0</v>
      </c>
      <c r="Z36" s="37">
        <f>Roster!AA165</f>
        <v>0</v>
      </c>
      <c r="AA36" s="37">
        <f>Roster!AB165</f>
        <v>0</v>
      </c>
      <c r="AB36" s="37">
        <f>Roster!AC165</f>
        <v>0</v>
      </c>
      <c r="AC36" s="37">
        <f>Roster!AD165</f>
        <v>0</v>
      </c>
      <c r="AD36" s="37">
        <f>Roster!AE165</f>
        <v>0</v>
      </c>
      <c r="AE36" s="37">
        <f>Roster!AF165</f>
        <v>0</v>
      </c>
      <c r="AF36" s="37">
        <f>Roster!AG165</f>
        <v>0</v>
      </c>
      <c r="AG36" s="38">
        <f>Roster!AH165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Roster!D180</f>
        <v>0</v>
      </c>
      <c r="D39" s="37">
        <f>Roster!E180</f>
        <v>0</v>
      </c>
      <c r="E39" s="37">
        <f>Roster!F180</f>
        <v>0</v>
      </c>
      <c r="F39" s="37">
        <f>Roster!G180</f>
        <v>0</v>
      </c>
      <c r="G39" s="37">
        <f>Roster!H180</f>
        <v>0</v>
      </c>
      <c r="H39" s="37">
        <f>Roster!I180</f>
        <v>0</v>
      </c>
      <c r="I39" s="37">
        <f>Roster!J180</f>
        <v>0</v>
      </c>
      <c r="J39" s="37">
        <f>Roster!K180</f>
        <v>0</v>
      </c>
      <c r="K39" s="37">
        <f>Roster!L180</f>
        <v>0</v>
      </c>
      <c r="L39" s="37">
        <f>Roster!M180</f>
        <v>0</v>
      </c>
      <c r="M39" s="37">
        <f>Roster!N180</f>
        <v>0</v>
      </c>
      <c r="N39" s="37">
        <f>Roster!O180</f>
        <v>0</v>
      </c>
      <c r="O39" s="37">
        <f>Roster!P180</f>
        <v>0</v>
      </c>
      <c r="P39" s="37">
        <f>Roster!Q180</f>
        <v>0</v>
      </c>
      <c r="Q39" s="37">
        <f>Roster!R180</f>
        <v>0</v>
      </c>
      <c r="R39" s="37">
        <f>Roster!S180</f>
        <v>0</v>
      </c>
      <c r="S39" s="37">
        <f>Roster!T180</f>
        <v>0</v>
      </c>
      <c r="T39" s="37">
        <f>Roster!U180</f>
        <v>0</v>
      </c>
      <c r="U39" s="37">
        <f>Roster!V180</f>
        <v>0</v>
      </c>
      <c r="V39" s="37">
        <f>Roster!W180</f>
        <v>0</v>
      </c>
      <c r="W39" s="37">
        <f>Roster!X180</f>
        <v>0</v>
      </c>
      <c r="X39" s="37">
        <f>Roster!Y180</f>
        <v>0</v>
      </c>
      <c r="Y39" s="37">
        <f>Roster!Z180</f>
        <v>0</v>
      </c>
      <c r="Z39" s="37">
        <f>Roster!AA180</f>
        <v>0</v>
      </c>
      <c r="AA39" s="37">
        <f>Roster!AB180</f>
        <v>0</v>
      </c>
      <c r="AB39" s="37">
        <f>Roster!AC180</f>
        <v>0</v>
      </c>
      <c r="AC39" s="37">
        <f>Roster!AD180</f>
        <v>0</v>
      </c>
      <c r="AD39" s="37">
        <f>Roster!AE180</f>
        <v>0</v>
      </c>
      <c r="AE39" s="37">
        <f>Roster!AF180</f>
        <v>0</v>
      </c>
      <c r="AF39" s="38">
        <f>Roster!AG180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EmpGName08 &amp;" " &amp; EmpSName08</f>
        <v>Flim Flam Flannery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Roster!D16</f>
        <v>0</v>
      </c>
      <c r="D6" s="37">
        <f>Roster!E16</f>
        <v>0</v>
      </c>
      <c r="E6" s="37" t="str">
        <f>Roster!F16</f>
        <v>PO</v>
      </c>
      <c r="F6" s="37" t="str">
        <f>Roster!G16</f>
        <v>PO</v>
      </c>
      <c r="G6" s="37" t="str">
        <f>Roster!H16</f>
        <v>PO</v>
      </c>
      <c r="H6" s="37">
        <f>Roster!I16</f>
        <v>0</v>
      </c>
      <c r="I6" s="37">
        <f>Roster!J16</f>
        <v>0</v>
      </c>
      <c r="J6" s="37">
        <f>Roster!K16</f>
        <v>0</v>
      </c>
      <c r="K6" s="37">
        <f>Roster!L16</f>
        <v>0</v>
      </c>
      <c r="L6" s="37">
        <f>Roster!M16</f>
        <v>0</v>
      </c>
      <c r="M6" s="37">
        <f>Roster!N16</f>
        <v>0</v>
      </c>
      <c r="N6" s="37">
        <f>Roster!O16</f>
        <v>0</v>
      </c>
      <c r="O6" s="37">
        <f>Roster!P16</f>
        <v>0</v>
      </c>
      <c r="P6" s="37" t="str">
        <f>Roster!Q16</f>
        <v>PO</v>
      </c>
      <c r="Q6" s="37" t="str">
        <f>Roster!R16</f>
        <v>PO</v>
      </c>
      <c r="R6" s="37" t="str">
        <f>Roster!S16</f>
        <v>PO</v>
      </c>
      <c r="S6" s="37" t="str">
        <f>Roster!T16</f>
        <v>PO</v>
      </c>
      <c r="T6" s="37">
        <f>Roster!U16</f>
        <v>0</v>
      </c>
      <c r="U6" s="37">
        <f>Roster!V16</f>
        <v>0</v>
      </c>
      <c r="V6" s="37" t="str">
        <f>Roster!W16</f>
        <v>PO</v>
      </c>
      <c r="W6" s="37" t="str">
        <f>Roster!X16</f>
        <v>PO</v>
      </c>
      <c r="X6" s="37">
        <f>Roster!Y16</f>
        <v>0</v>
      </c>
      <c r="Y6" s="37">
        <f>Roster!Z16</f>
        <v>0</v>
      </c>
      <c r="Z6" s="37">
        <f>Roster!AA16</f>
        <v>0</v>
      </c>
      <c r="AA6" s="37">
        <f>Roster!AB16</f>
        <v>0</v>
      </c>
      <c r="AB6" s="37" t="str">
        <f>Roster!AC16</f>
        <v>PO</v>
      </c>
      <c r="AC6" s="37" t="str">
        <f>Roster!AD16</f>
        <v>PO</v>
      </c>
      <c r="AD6" s="37">
        <f>Roster!AE16</f>
        <v>0</v>
      </c>
      <c r="AE6" s="37" t="str">
        <f>Roster!AF16</f>
        <v>PO</v>
      </c>
      <c r="AF6" s="37" t="str">
        <f>Roster!AG16</f>
        <v>PO</v>
      </c>
      <c r="AG6" s="38">
        <f>Roster!AH16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Roster!D31</f>
        <v>0</v>
      </c>
      <c r="D9" s="39">
        <f>Roster!E31</f>
        <v>0</v>
      </c>
      <c r="E9" s="37">
        <f>Roster!F31</f>
        <v>0</v>
      </c>
      <c r="F9" s="37">
        <f>Roster!G31</f>
        <v>0</v>
      </c>
      <c r="G9" s="37">
        <f>Roster!H31</f>
        <v>0</v>
      </c>
      <c r="H9" s="37">
        <f>Roster!I31</f>
        <v>0</v>
      </c>
      <c r="I9" s="37">
        <f>Roster!J31</f>
        <v>0</v>
      </c>
      <c r="J9" s="37">
        <f>Roster!K31</f>
        <v>0</v>
      </c>
      <c r="K9" s="37">
        <f>Roster!L31</f>
        <v>0</v>
      </c>
      <c r="L9" s="37">
        <f>Roster!M31</f>
        <v>0</v>
      </c>
      <c r="M9" s="37">
        <f>Roster!N31</f>
        <v>0</v>
      </c>
      <c r="N9" s="37">
        <f>Roster!O31</f>
        <v>0</v>
      </c>
      <c r="O9" s="37">
        <f>Roster!P31</f>
        <v>0</v>
      </c>
      <c r="P9" s="37">
        <f>Roster!Q31</f>
        <v>0</v>
      </c>
      <c r="Q9" s="37">
        <f>Roster!R31</f>
        <v>0</v>
      </c>
      <c r="R9" s="37">
        <f>Roster!S31</f>
        <v>0</v>
      </c>
      <c r="S9" s="37">
        <f>Roster!T31</f>
        <v>0</v>
      </c>
      <c r="T9" s="37">
        <f>Roster!U31</f>
        <v>0</v>
      </c>
      <c r="U9" s="37">
        <f>Roster!V31</f>
        <v>0</v>
      </c>
      <c r="V9" s="37">
        <f>Roster!W31</f>
        <v>0</v>
      </c>
      <c r="W9" s="37">
        <f>Roster!X31</f>
        <v>0</v>
      </c>
      <c r="X9" s="37">
        <f>Roster!Y31</f>
        <v>0</v>
      </c>
      <c r="Y9" s="37">
        <f>Roster!Z31</f>
        <v>0</v>
      </c>
      <c r="Z9" s="37">
        <f>Roster!AA31</f>
        <v>0</v>
      </c>
      <c r="AA9" s="37">
        <f>Roster!AB31</f>
        <v>0</v>
      </c>
      <c r="AB9" s="37">
        <f>Roster!AC31</f>
        <v>0</v>
      </c>
      <c r="AC9" s="37">
        <f>Roster!AD31</f>
        <v>0</v>
      </c>
      <c r="AD9" s="37">
        <f>Roster!AE31</f>
        <v>0</v>
      </c>
      <c r="AE9" s="37">
        <f>Roster!AF31</f>
        <v>0</v>
      </c>
      <c r="AF9" s="37">
        <f>Roster!AG31</f>
        <v>0</v>
      </c>
      <c r="AG9" s="38">
        <f>Roster!AH31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Roster!D46</f>
        <v>0</v>
      </c>
      <c r="D12" s="37">
        <f>Roster!E46</f>
        <v>0</v>
      </c>
      <c r="E12" s="37">
        <f>Roster!F46</f>
        <v>0</v>
      </c>
      <c r="F12" s="37">
        <f>Roster!G46</f>
        <v>0</v>
      </c>
      <c r="G12" s="37">
        <f>Roster!H46</f>
        <v>0</v>
      </c>
      <c r="H12" s="37">
        <f>Roster!I46</f>
        <v>0</v>
      </c>
      <c r="I12" s="37">
        <f>Roster!J46</f>
        <v>0</v>
      </c>
      <c r="J12" s="37">
        <f>Roster!K46</f>
        <v>0</v>
      </c>
      <c r="K12" s="37">
        <f>Roster!L46</f>
        <v>0</v>
      </c>
      <c r="L12" s="37">
        <f>Roster!M46</f>
        <v>0</v>
      </c>
      <c r="M12" s="37">
        <f>Roster!N46</f>
        <v>0</v>
      </c>
      <c r="N12" s="37">
        <f>Roster!O46</f>
        <v>0</v>
      </c>
      <c r="O12" s="37">
        <f>Roster!P46</f>
        <v>0</v>
      </c>
      <c r="P12" s="37">
        <f>Roster!Q46</f>
        <v>0</v>
      </c>
      <c r="Q12" s="37">
        <f>Roster!R46</f>
        <v>0</v>
      </c>
      <c r="R12" s="37">
        <f>Roster!S46</f>
        <v>0</v>
      </c>
      <c r="S12" s="37">
        <f>Roster!T46</f>
        <v>0</v>
      </c>
      <c r="T12" s="37">
        <f>Roster!U46</f>
        <v>0</v>
      </c>
      <c r="U12" s="37">
        <f>Roster!V46</f>
        <v>0</v>
      </c>
      <c r="V12" s="37">
        <f>Roster!W46</f>
        <v>0</v>
      </c>
      <c r="W12" s="37">
        <f>Roster!X46</f>
        <v>0</v>
      </c>
      <c r="X12" s="37">
        <f>Roster!Y46</f>
        <v>0</v>
      </c>
      <c r="Y12" s="37">
        <f>Roster!Z46</f>
        <v>0</v>
      </c>
      <c r="Z12" s="37">
        <f>Roster!AA46</f>
        <v>0</v>
      </c>
      <c r="AA12" s="37">
        <f>Roster!AB46</f>
        <v>0</v>
      </c>
      <c r="AB12" s="37">
        <f>Roster!AC46</f>
        <v>0</v>
      </c>
      <c r="AC12" s="37">
        <f>Roster!AD46</f>
        <v>0</v>
      </c>
      <c r="AD12" s="37">
        <f>Roster!AE46</f>
        <v>0</v>
      </c>
      <c r="AE12" s="37">
        <f>Roster!AF46</f>
        <v>0</v>
      </c>
      <c r="AF12" s="38">
        <f>Roster!AG46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Roster!D61</f>
        <v>0</v>
      </c>
      <c r="D15" s="37">
        <f>Roster!E61</f>
        <v>0</v>
      </c>
      <c r="E15" s="37">
        <f>Roster!F61</f>
        <v>0</v>
      </c>
      <c r="F15" s="37">
        <f>Roster!G61</f>
        <v>0</v>
      </c>
      <c r="G15" s="37">
        <f>Roster!H61</f>
        <v>0</v>
      </c>
      <c r="H15" s="37">
        <f>Roster!I61</f>
        <v>0</v>
      </c>
      <c r="I15" s="37">
        <f>Roster!J61</f>
        <v>0</v>
      </c>
      <c r="J15" s="37">
        <f>Roster!K61</f>
        <v>0</v>
      </c>
      <c r="K15" s="37">
        <f>Roster!L61</f>
        <v>0</v>
      </c>
      <c r="L15" s="37">
        <f>Roster!M61</f>
        <v>0</v>
      </c>
      <c r="M15" s="37">
        <f>Roster!N61</f>
        <v>0</v>
      </c>
      <c r="N15" s="37">
        <f>Roster!O61</f>
        <v>0</v>
      </c>
      <c r="O15" s="37">
        <f>Roster!P61</f>
        <v>0</v>
      </c>
      <c r="P15" s="37">
        <f>Roster!Q61</f>
        <v>0</v>
      </c>
      <c r="Q15" s="37">
        <f>Roster!R61</f>
        <v>0</v>
      </c>
      <c r="R15" s="37">
        <f>Roster!S61</f>
        <v>0</v>
      </c>
      <c r="S15" s="37">
        <f>Roster!T61</f>
        <v>0</v>
      </c>
      <c r="T15" s="37">
        <f>Roster!U61</f>
        <v>0</v>
      </c>
      <c r="U15" s="37">
        <f>Roster!V61</f>
        <v>0</v>
      </c>
      <c r="V15" s="37">
        <f>Roster!W61</f>
        <v>0</v>
      </c>
      <c r="W15" s="37">
        <f>Roster!X61</f>
        <v>0</v>
      </c>
      <c r="X15" s="37">
        <f>Roster!Y61</f>
        <v>0</v>
      </c>
      <c r="Y15" s="37">
        <f>Roster!Z61</f>
        <v>0</v>
      </c>
      <c r="Z15" s="37">
        <f>Roster!AA61</f>
        <v>0</v>
      </c>
      <c r="AA15" s="37">
        <f>Roster!AB61</f>
        <v>0</v>
      </c>
      <c r="AB15" s="37">
        <f>Roster!AC61</f>
        <v>0</v>
      </c>
      <c r="AC15" s="37">
        <f>Roster!AD61</f>
        <v>0</v>
      </c>
      <c r="AD15" s="37">
        <f>Roster!AE61</f>
        <v>0</v>
      </c>
      <c r="AE15" s="37">
        <f>Roster!AF61</f>
        <v>0</v>
      </c>
      <c r="AF15" s="37">
        <f>Roster!AG61</f>
        <v>0</v>
      </c>
      <c r="AG15" s="38">
        <f>Roster!AH61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Roster!D76</f>
        <v>0</v>
      </c>
      <c r="D18" s="37">
        <f>Roster!E76</f>
        <v>0</v>
      </c>
      <c r="E18" s="37">
        <f>Roster!F76</f>
        <v>0</v>
      </c>
      <c r="F18" s="37">
        <f>Roster!G76</f>
        <v>0</v>
      </c>
      <c r="G18" s="37">
        <f>Roster!H76</f>
        <v>0</v>
      </c>
      <c r="H18" s="37">
        <f>Roster!I76</f>
        <v>0</v>
      </c>
      <c r="I18" s="37">
        <f>Roster!J76</f>
        <v>0</v>
      </c>
      <c r="J18" s="37">
        <f>Roster!K76</f>
        <v>0</v>
      </c>
      <c r="K18" s="37">
        <f>Roster!L76</f>
        <v>0</v>
      </c>
      <c r="L18" s="37">
        <f>Roster!M76</f>
        <v>0</v>
      </c>
      <c r="M18" s="37">
        <f>Roster!N76</f>
        <v>0</v>
      </c>
      <c r="N18" s="37">
        <f>Roster!O76</f>
        <v>0</v>
      </c>
      <c r="O18" s="37">
        <f>Roster!P76</f>
        <v>0</v>
      </c>
      <c r="P18" s="37">
        <f>Roster!Q76</f>
        <v>0</v>
      </c>
      <c r="Q18" s="37">
        <f>Roster!R76</f>
        <v>0</v>
      </c>
      <c r="R18" s="37">
        <f>Roster!S76</f>
        <v>0</v>
      </c>
      <c r="S18" s="37">
        <f>Roster!T76</f>
        <v>0</v>
      </c>
      <c r="T18" s="37">
        <f>Roster!U76</f>
        <v>0</v>
      </c>
      <c r="U18" s="37">
        <f>Roster!V76</f>
        <v>0</v>
      </c>
      <c r="V18" s="37">
        <f>Roster!W76</f>
        <v>0</v>
      </c>
      <c r="W18" s="37">
        <f>Roster!X76</f>
        <v>0</v>
      </c>
      <c r="X18" s="37">
        <f>Roster!Y76</f>
        <v>0</v>
      </c>
      <c r="Y18" s="37">
        <f>Roster!Z76</f>
        <v>0</v>
      </c>
      <c r="Z18" s="37">
        <f>Roster!AA76</f>
        <v>0</v>
      </c>
      <c r="AA18" s="37">
        <f>Roster!AB76</f>
        <v>0</v>
      </c>
      <c r="AB18" s="37">
        <f>Roster!AC76</f>
        <v>0</v>
      </c>
      <c r="AC18" s="37">
        <f>Roster!AD76</f>
        <v>0</v>
      </c>
      <c r="AD18" s="37">
        <f>Roster!AE76</f>
        <v>0</v>
      </c>
      <c r="AE18" s="37">
        <f>Roster!AF76</f>
        <v>0</v>
      </c>
      <c r="AF18" s="38">
        <f>Roster!AG76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Roster!D91</f>
        <v>0</v>
      </c>
      <c r="D21" s="37">
        <f>Roster!E91</f>
        <v>0</v>
      </c>
      <c r="E21" s="37">
        <f>Roster!F91</f>
        <v>0</v>
      </c>
      <c r="F21" s="37">
        <f>Roster!G91</f>
        <v>0</v>
      </c>
      <c r="G21" s="37">
        <f>Roster!H91</f>
        <v>0</v>
      </c>
      <c r="H21" s="37">
        <f>Roster!I91</f>
        <v>0</v>
      </c>
      <c r="I21" s="37">
        <f>Roster!J91</f>
        <v>0</v>
      </c>
      <c r="J21" s="37">
        <f>Roster!K91</f>
        <v>0</v>
      </c>
      <c r="K21" s="37">
        <f>Roster!L91</f>
        <v>0</v>
      </c>
      <c r="L21" s="37">
        <f>Roster!M91</f>
        <v>0</v>
      </c>
      <c r="M21" s="37">
        <f>Roster!N91</f>
        <v>0</v>
      </c>
      <c r="N21" s="37">
        <f>Roster!O91</f>
        <v>0</v>
      </c>
      <c r="O21" s="37">
        <f>Roster!P91</f>
        <v>0</v>
      </c>
      <c r="P21" s="37">
        <f>Roster!Q91</f>
        <v>0</v>
      </c>
      <c r="Q21" s="37">
        <f>Roster!R91</f>
        <v>0</v>
      </c>
      <c r="R21" s="37">
        <f>Roster!S91</f>
        <v>0</v>
      </c>
      <c r="S21" s="37">
        <f>Roster!T91</f>
        <v>0</v>
      </c>
      <c r="T21" s="37">
        <f>Roster!U91</f>
        <v>0</v>
      </c>
      <c r="U21" s="37">
        <f>Roster!V91</f>
        <v>0</v>
      </c>
      <c r="V21" s="37">
        <f>Roster!W91</f>
        <v>0</v>
      </c>
      <c r="W21" s="37">
        <f>Roster!X91</f>
        <v>0</v>
      </c>
      <c r="X21" s="37">
        <f>Roster!Y91</f>
        <v>0</v>
      </c>
      <c r="Y21" s="37">
        <f>Roster!Z91</f>
        <v>0</v>
      </c>
      <c r="Z21" s="37">
        <f>Roster!AA91</f>
        <v>0</v>
      </c>
      <c r="AA21" s="37">
        <f>Roster!AB91</f>
        <v>0</v>
      </c>
      <c r="AB21" s="37">
        <f>Roster!AC91</f>
        <v>0</v>
      </c>
      <c r="AC21" s="37">
        <f>Roster!AD91</f>
        <v>0</v>
      </c>
      <c r="AD21" s="37">
        <f>Roster!AE91</f>
        <v>0</v>
      </c>
      <c r="AE21" s="37">
        <f>Roster!AF91</f>
        <v>0</v>
      </c>
      <c r="AF21" s="37">
        <f>Roster!AG91</f>
        <v>0</v>
      </c>
      <c r="AG21" s="38">
        <f>Roster!AH91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Roster!D106</f>
        <v>0</v>
      </c>
      <c r="D24" s="53">
        <f>Roster!E106</f>
        <v>0</v>
      </c>
      <c r="E24" s="53">
        <f>Roster!F106</f>
        <v>0</v>
      </c>
      <c r="F24" s="53">
        <f>Roster!G106</f>
        <v>0</v>
      </c>
      <c r="G24" s="53">
        <f>Roster!H106</f>
        <v>0</v>
      </c>
      <c r="H24" s="53">
        <f>Roster!I106</f>
        <v>0</v>
      </c>
      <c r="I24" s="53">
        <f>Roster!J106</f>
        <v>0</v>
      </c>
      <c r="J24" s="53">
        <f>Roster!K106</f>
        <v>0</v>
      </c>
      <c r="K24" s="53">
        <f>Roster!L106</f>
        <v>0</v>
      </c>
      <c r="L24" s="53">
        <f>Roster!M106</f>
        <v>0</v>
      </c>
      <c r="M24" s="53">
        <f>Roster!N106</f>
        <v>0</v>
      </c>
      <c r="N24" s="53">
        <f>Roster!O106</f>
        <v>0</v>
      </c>
      <c r="O24" s="53">
        <f>Roster!P106</f>
        <v>0</v>
      </c>
      <c r="P24" s="53">
        <f>Roster!Q106</f>
        <v>0</v>
      </c>
      <c r="Q24" s="53">
        <f>Roster!R106</f>
        <v>0</v>
      </c>
      <c r="R24" s="53">
        <f>Roster!S106</f>
        <v>0</v>
      </c>
      <c r="S24" s="53">
        <f>Roster!T106</f>
        <v>0</v>
      </c>
      <c r="T24" s="53">
        <f>Roster!U106</f>
        <v>0</v>
      </c>
      <c r="U24" s="53">
        <f>Roster!V106</f>
        <v>0</v>
      </c>
      <c r="V24" s="53">
        <f>Roster!W106</f>
        <v>0</v>
      </c>
      <c r="W24" s="53">
        <f>Roster!X106</f>
        <v>0</v>
      </c>
      <c r="X24" s="53">
        <f>Roster!Y106</f>
        <v>0</v>
      </c>
      <c r="Y24" s="53">
        <f>Roster!Z106</f>
        <v>0</v>
      </c>
      <c r="Z24" s="53">
        <f>Roster!AA106</f>
        <v>0</v>
      </c>
      <c r="AA24" s="53">
        <f>Roster!AB106</f>
        <v>0</v>
      </c>
      <c r="AB24" s="53">
        <f>Roster!AC106</f>
        <v>0</v>
      </c>
      <c r="AC24" s="53">
        <f>Roster!AD106</f>
        <v>0</v>
      </c>
      <c r="AD24" s="53">
        <f>Roster!AE106</f>
        <v>0</v>
      </c>
      <c r="AE24" s="53">
        <f>Roster!AF106</f>
        <v>0</v>
      </c>
      <c r="AF24" s="53">
        <f>Roster!AG106</f>
        <v>0</v>
      </c>
      <c r="AG24" s="54">
        <f>Roster!AH106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Roster!D121</f>
        <v>0</v>
      </c>
      <c r="D27" s="37">
        <f>Roster!E121</f>
        <v>0</v>
      </c>
      <c r="E27" s="37">
        <f>Roster!F121</f>
        <v>0</v>
      </c>
      <c r="F27" s="37">
        <f>Roster!G121</f>
        <v>0</v>
      </c>
      <c r="G27" s="37">
        <f>Roster!H121</f>
        <v>0</v>
      </c>
      <c r="H27" s="37">
        <f>Roster!I121</f>
        <v>0</v>
      </c>
      <c r="I27" s="37">
        <f>Roster!J121</f>
        <v>0</v>
      </c>
      <c r="J27" s="37">
        <f>Roster!K121</f>
        <v>0</v>
      </c>
      <c r="K27" s="37">
        <f>Roster!L121</f>
        <v>0</v>
      </c>
      <c r="L27" s="37">
        <f>Roster!M121</f>
        <v>0</v>
      </c>
      <c r="M27" s="37">
        <f>Roster!N121</f>
        <v>0</v>
      </c>
      <c r="N27" s="37">
        <f>Roster!O121</f>
        <v>0</v>
      </c>
      <c r="O27" s="37">
        <f>Roster!P121</f>
        <v>0</v>
      </c>
      <c r="P27" s="37">
        <f>Roster!Q121</f>
        <v>0</v>
      </c>
      <c r="Q27" s="37">
        <f>Roster!R121</f>
        <v>0</v>
      </c>
      <c r="R27" s="37">
        <f>Roster!S121</f>
        <v>0</v>
      </c>
      <c r="S27" s="37">
        <f>Roster!T121</f>
        <v>0</v>
      </c>
      <c r="T27" s="37">
        <f>Roster!U121</f>
        <v>0</v>
      </c>
      <c r="U27" s="37">
        <f>Roster!V121</f>
        <v>0</v>
      </c>
      <c r="V27" s="37">
        <f>Roster!W121</f>
        <v>0</v>
      </c>
      <c r="W27" s="37">
        <f>Roster!X121</f>
        <v>0</v>
      </c>
      <c r="X27" s="37">
        <f>Roster!Y121</f>
        <v>0</v>
      </c>
      <c r="Y27" s="37">
        <f>Roster!Z121</f>
        <v>0</v>
      </c>
      <c r="Z27" s="37">
        <f>Roster!AA121</f>
        <v>0</v>
      </c>
      <c r="AA27" s="37">
        <f>Roster!AB121</f>
        <v>0</v>
      </c>
      <c r="AB27" s="37">
        <f>Roster!AC121</f>
        <v>0</v>
      </c>
      <c r="AC27" s="37">
        <f>Roster!AD121</f>
        <v>0</v>
      </c>
      <c r="AD27" s="43">
        <f>Roster!AE121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Roster!D136</f>
        <v>0</v>
      </c>
      <c r="D30" s="37">
        <f>Roster!E136</f>
        <v>0</v>
      </c>
      <c r="E30" s="37">
        <f>Roster!F136</f>
        <v>0</v>
      </c>
      <c r="F30" s="37">
        <f>Roster!G136</f>
        <v>0</v>
      </c>
      <c r="G30" s="37">
        <f>Roster!H136</f>
        <v>0</v>
      </c>
      <c r="H30" s="37">
        <f>Roster!I136</f>
        <v>0</v>
      </c>
      <c r="I30" s="37">
        <f>Roster!J136</f>
        <v>0</v>
      </c>
      <c r="J30" s="37">
        <f>Roster!K136</f>
        <v>0</v>
      </c>
      <c r="K30" s="37">
        <f>Roster!L136</f>
        <v>0</v>
      </c>
      <c r="L30" s="37">
        <f>Roster!M136</f>
        <v>0</v>
      </c>
      <c r="M30" s="37">
        <f>Roster!N136</f>
        <v>0</v>
      </c>
      <c r="N30" s="37">
        <f>Roster!O136</f>
        <v>0</v>
      </c>
      <c r="O30" s="37">
        <f>Roster!P136</f>
        <v>0</v>
      </c>
      <c r="P30" s="37">
        <f>Roster!Q136</f>
        <v>0</v>
      </c>
      <c r="Q30" s="37">
        <f>Roster!R136</f>
        <v>0</v>
      </c>
      <c r="R30" s="37">
        <f>Roster!S136</f>
        <v>0</v>
      </c>
      <c r="S30" s="37">
        <f>Roster!T136</f>
        <v>0</v>
      </c>
      <c r="T30" s="37">
        <f>Roster!U136</f>
        <v>0</v>
      </c>
      <c r="U30" s="37">
        <f>Roster!V136</f>
        <v>0</v>
      </c>
      <c r="V30" s="37">
        <f>Roster!W136</f>
        <v>0</v>
      </c>
      <c r="W30" s="37">
        <f>Roster!X136</f>
        <v>0</v>
      </c>
      <c r="X30" s="37">
        <f>Roster!Y136</f>
        <v>0</v>
      </c>
      <c r="Y30" s="37">
        <f>Roster!Z136</f>
        <v>0</v>
      </c>
      <c r="Z30" s="37">
        <f>Roster!AA136</f>
        <v>0</v>
      </c>
      <c r="AA30" s="37">
        <f>Roster!AB136</f>
        <v>0</v>
      </c>
      <c r="AB30" s="37">
        <f>Roster!AC136</f>
        <v>0</v>
      </c>
      <c r="AC30" s="37">
        <f>Roster!AD136</f>
        <v>0</v>
      </c>
      <c r="AD30" s="37">
        <f>Roster!AE136</f>
        <v>0</v>
      </c>
      <c r="AE30" s="37">
        <f>Roster!AF136</f>
        <v>0</v>
      </c>
      <c r="AF30" s="37">
        <f>Roster!AG136</f>
        <v>0</v>
      </c>
      <c r="AG30" s="38">
        <f>Roster!AH136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Roster!D151</f>
        <v>0</v>
      </c>
      <c r="D33" s="37">
        <f>Roster!E151</f>
        <v>0</v>
      </c>
      <c r="E33" s="37">
        <f>Roster!F151</f>
        <v>0</v>
      </c>
      <c r="F33" s="37">
        <f>Roster!G151</f>
        <v>0</v>
      </c>
      <c r="G33" s="37">
        <f>Roster!H151</f>
        <v>0</v>
      </c>
      <c r="H33" s="37">
        <f>Roster!I151</f>
        <v>0</v>
      </c>
      <c r="I33" s="37">
        <f>Roster!J151</f>
        <v>0</v>
      </c>
      <c r="J33" s="37">
        <f>Roster!K151</f>
        <v>0</v>
      </c>
      <c r="K33" s="37">
        <f>Roster!L151</f>
        <v>0</v>
      </c>
      <c r="L33" s="37">
        <f>Roster!M151</f>
        <v>0</v>
      </c>
      <c r="M33" s="37">
        <f>Roster!N151</f>
        <v>0</v>
      </c>
      <c r="N33" s="37">
        <f>Roster!O151</f>
        <v>0</v>
      </c>
      <c r="O33" s="37">
        <f>Roster!P151</f>
        <v>0</v>
      </c>
      <c r="P33" s="37">
        <f>Roster!Q151</f>
        <v>0</v>
      </c>
      <c r="Q33" s="37">
        <f>Roster!R151</f>
        <v>0</v>
      </c>
      <c r="R33" s="37">
        <f>Roster!S151</f>
        <v>0</v>
      </c>
      <c r="S33" s="37">
        <f>Roster!T151</f>
        <v>0</v>
      </c>
      <c r="T33" s="37">
        <f>Roster!U151</f>
        <v>0</v>
      </c>
      <c r="U33" s="37">
        <f>Roster!V151</f>
        <v>0</v>
      </c>
      <c r="V33" s="37">
        <f>Roster!W151</f>
        <v>0</v>
      </c>
      <c r="W33" s="37">
        <f>Roster!X151</f>
        <v>0</v>
      </c>
      <c r="X33" s="37">
        <f>Roster!Y151</f>
        <v>0</v>
      </c>
      <c r="Y33" s="37">
        <f>Roster!Z151</f>
        <v>0</v>
      </c>
      <c r="Z33" s="37">
        <f>Roster!AA151</f>
        <v>0</v>
      </c>
      <c r="AA33" s="37">
        <f>Roster!AB151</f>
        <v>0</v>
      </c>
      <c r="AB33" s="37">
        <f>Roster!AC151</f>
        <v>0</v>
      </c>
      <c r="AC33" s="37">
        <f>Roster!AD151</f>
        <v>0</v>
      </c>
      <c r="AD33" s="37">
        <f>Roster!AE151</f>
        <v>0</v>
      </c>
      <c r="AE33" s="37">
        <f>Roster!AF151</f>
        <v>0</v>
      </c>
      <c r="AF33" s="38">
        <f>Roster!AG151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Roster!D166</f>
        <v>0</v>
      </c>
      <c r="D36" s="37">
        <f>Roster!E166</f>
        <v>0</v>
      </c>
      <c r="E36" s="37">
        <f>Roster!F166</f>
        <v>0</v>
      </c>
      <c r="F36" s="37">
        <f>Roster!G166</f>
        <v>0</v>
      </c>
      <c r="G36" s="37">
        <f>Roster!H166</f>
        <v>0</v>
      </c>
      <c r="H36" s="37">
        <f>Roster!I166</f>
        <v>0</v>
      </c>
      <c r="I36" s="37">
        <f>Roster!J166</f>
        <v>0</v>
      </c>
      <c r="J36" s="37">
        <f>Roster!K166</f>
        <v>0</v>
      </c>
      <c r="K36" s="37">
        <f>Roster!L166</f>
        <v>0</v>
      </c>
      <c r="L36" s="37">
        <f>Roster!M166</f>
        <v>0</v>
      </c>
      <c r="M36" s="37">
        <f>Roster!N166</f>
        <v>0</v>
      </c>
      <c r="N36" s="37">
        <f>Roster!O166</f>
        <v>0</v>
      </c>
      <c r="O36" s="37">
        <f>Roster!P166</f>
        <v>0</v>
      </c>
      <c r="P36" s="37">
        <f>Roster!Q166</f>
        <v>0</v>
      </c>
      <c r="Q36" s="37">
        <f>Roster!R166</f>
        <v>0</v>
      </c>
      <c r="R36" s="37">
        <f>Roster!S166</f>
        <v>0</v>
      </c>
      <c r="S36" s="37">
        <f>Roster!T166</f>
        <v>0</v>
      </c>
      <c r="T36" s="37">
        <f>Roster!U166</f>
        <v>0</v>
      </c>
      <c r="U36" s="37">
        <f>Roster!V166</f>
        <v>0</v>
      </c>
      <c r="V36" s="37">
        <f>Roster!W166</f>
        <v>0</v>
      </c>
      <c r="W36" s="37">
        <f>Roster!X166</f>
        <v>0</v>
      </c>
      <c r="X36" s="37">
        <f>Roster!Y166</f>
        <v>0</v>
      </c>
      <c r="Y36" s="37">
        <f>Roster!Z166</f>
        <v>0</v>
      </c>
      <c r="Z36" s="37">
        <f>Roster!AA166</f>
        <v>0</v>
      </c>
      <c r="AA36" s="37">
        <f>Roster!AB166</f>
        <v>0</v>
      </c>
      <c r="AB36" s="37">
        <f>Roster!AC166</f>
        <v>0</v>
      </c>
      <c r="AC36" s="37">
        <f>Roster!AD166</f>
        <v>0</v>
      </c>
      <c r="AD36" s="37">
        <f>Roster!AE166</f>
        <v>0</v>
      </c>
      <c r="AE36" s="37">
        <f>Roster!AF166</f>
        <v>0</v>
      </c>
      <c r="AF36" s="37">
        <f>Roster!AG166</f>
        <v>0</v>
      </c>
      <c r="AG36" s="38">
        <f>Roster!AH166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Roster!D181</f>
        <v>0</v>
      </c>
      <c r="D39" s="37">
        <f>Roster!E181</f>
        <v>0</v>
      </c>
      <c r="E39" s="37">
        <f>Roster!F181</f>
        <v>0</v>
      </c>
      <c r="F39" s="37">
        <f>Roster!G181</f>
        <v>0</v>
      </c>
      <c r="G39" s="37">
        <f>Roster!H181</f>
        <v>0</v>
      </c>
      <c r="H39" s="37">
        <f>Roster!I181</f>
        <v>0</v>
      </c>
      <c r="I39" s="37">
        <f>Roster!J181</f>
        <v>0</v>
      </c>
      <c r="J39" s="37">
        <f>Roster!K181</f>
        <v>0</v>
      </c>
      <c r="K39" s="37">
        <f>Roster!L181</f>
        <v>0</v>
      </c>
      <c r="L39" s="37">
        <f>Roster!M181</f>
        <v>0</v>
      </c>
      <c r="M39" s="37">
        <f>Roster!N181</f>
        <v>0</v>
      </c>
      <c r="N39" s="37">
        <f>Roster!O181</f>
        <v>0</v>
      </c>
      <c r="O39" s="37">
        <f>Roster!P181</f>
        <v>0</v>
      </c>
      <c r="P39" s="37">
        <f>Roster!Q181</f>
        <v>0</v>
      </c>
      <c r="Q39" s="37">
        <f>Roster!R181</f>
        <v>0</v>
      </c>
      <c r="R39" s="37">
        <f>Roster!S181</f>
        <v>0</v>
      </c>
      <c r="S39" s="37">
        <f>Roster!T181</f>
        <v>0</v>
      </c>
      <c r="T39" s="37">
        <f>Roster!U181</f>
        <v>0</v>
      </c>
      <c r="U39" s="37">
        <f>Roster!V181</f>
        <v>0</v>
      </c>
      <c r="V39" s="37">
        <f>Roster!W181</f>
        <v>0</v>
      </c>
      <c r="W39" s="37">
        <f>Roster!X181</f>
        <v>0</v>
      </c>
      <c r="X39" s="37">
        <f>Roster!Y181</f>
        <v>0</v>
      </c>
      <c r="Y39" s="37">
        <f>Roster!Z181</f>
        <v>0</v>
      </c>
      <c r="Z39" s="37">
        <f>Roster!AA181</f>
        <v>0</v>
      </c>
      <c r="AA39" s="37">
        <f>Roster!AB181</f>
        <v>0</v>
      </c>
      <c r="AB39" s="37">
        <f>Roster!AC181</f>
        <v>0</v>
      </c>
      <c r="AC39" s="37">
        <f>Roster!AD181</f>
        <v>0</v>
      </c>
      <c r="AD39" s="37">
        <f>Roster!AE181</f>
        <v>0</v>
      </c>
      <c r="AE39" s="37">
        <f>Roster!AF181</f>
        <v>0</v>
      </c>
      <c r="AF39" s="38">
        <f>Roster!AG181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EmpGName09 &amp;" " &amp; EmpSName09</f>
        <v>Paul Hogan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50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Roster!D17</f>
        <v>0</v>
      </c>
      <c r="D6" s="37">
        <f>Roster!E17</f>
        <v>0</v>
      </c>
      <c r="E6" s="37" t="str">
        <f>Roster!F17</f>
        <v>PO</v>
      </c>
      <c r="F6" s="37" t="str">
        <f>Roster!G17</f>
        <v>PO</v>
      </c>
      <c r="G6" s="37" t="str">
        <f>Roster!H17</f>
        <v>PO</v>
      </c>
      <c r="H6" s="37">
        <f>Roster!I17</f>
        <v>0</v>
      </c>
      <c r="I6" s="37">
        <f>Roster!J17</f>
        <v>0</v>
      </c>
      <c r="J6" s="37">
        <f>Roster!K17</f>
        <v>0</v>
      </c>
      <c r="K6" s="37">
        <f>Roster!L17</f>
        <v>0</v>
      </c>
      <c r="L6" s="37">
        <f>Roster!M17</f>
        <v>0</v>
      </c>
      <c r="M6" s="37">
        <f>Roster!N17</f>
        <v>0</v>
      </c>
      <c r="N6" s="37">
        <f>Roster!O17</f>
        <v>0</v>
      </c>
      <c r="O6" s="37">
        <f>Roster!P17</f>
        <v>0</v>
      </c>
      <c r="P6" s="37">
        <f>Roster!Q17</f>
        <v>0</v>
      </c>
      <c r="Q6" s="37">
        <f>Roster!R17</f>
        <v>0</v>
      </c>
      <c r="R6" s="37">
        <f>Roster!S17</f>
        <v>0</v>
      </c>
      <c r="S6" s="37">
        <f>Roster!T17</f>
        <v>0</v>
      </c>
      <c r="T6" s="37">
        <f>Roster!U17</f>
        <v>0</v>
      </c>
      <c r="U6" s="37">
        <f>Roster!V17</f>
        <v>0</v>
      </c>
      <c r="V6" s="37">
        <f>Roster!W17</f>
        <v>0</v>
      </c>
      <c r="W6" s="37">
        <f>Roster!X17</f>
        <v>0</v>
      </c>
      <c r="X6" s="37">
        <f>Roster!Y17</f>
        <v>0</v>
      </c>
      <c r="Y6" s="37">
        <f>Roster!Z17</f>
        <v>0</v>
      </c>
      <c r="Z6" s="37">
        <f>Roster!AA17</f>
        <v>0</v>
      </c>
      <c r="AA6" s="37">
        <f>Roster!AB17</f>
        <v>0</v>
      </c>
      <c r="AB6" s="37">
        <f>Roster!AC17</f>
        <v>0</v>
      </c>
      <c r="AC6" s="37">
        <f>Roster!AD17</f>
        <v>0</v>
      </c>
      <c r="AD6" s="37">
        <f>Roster!AE17</f>
        <v>0</v>
      </c>
      <c r="AE6" s="37" t="str">
        <f>Roster!AF17</f>
        <v>PO</v>
      </c>
      <c r="AF6" s="37" t="str">
        <f>Roster!AG17</f>
        <v>PO</v>
      </c>
      <c r="AG6" s="38">
        <f>Roster!AH17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Roster!D32</f>
        <v>0</v>
      </c>
      <c r="D9" s="39">
        <f>Roster!E32</f>
        <v>0</v>
      </c>
      <c r="E9" s="37">
        <f>Roster!F32</f>
        <v>0</v>
      </c>
      <c r="F9" s="37">
        <f>Roster!G32</f>
        <v>0</v>
      </c>
      <c r="G9" s="37">
        <f>Roster!H32</f>
        <v>0</v>
      </c>
      <c r="H9" s="37">
        <f>Roster!I32</f>
        <v>0</v>
      </c>
      <c r="I9" s="37">
        <f>Roster!J32</f>
        <v>0</v>
      </c>
      <c r="J9" s="37">
        <f>Roster!K32</f>
        <v>0</v>
      </c>
      <c r="K9" s="37">
        <f>Roster!L32</f>
        <v>0</v>
      </c>
      <c r="L9" s="37">
        <f>Roster!M32</f>
        <v>0</v>
      </c>
      <c r="M9" s="37">
        <f>Roster!N32</f>
        <v>0</v>
      </c>
      <c r="N9" s="37">
        <f>Roster!O32</f>
        <v>0</v>
      </c>
      <c r="O9" s="37">
        <f>Roster!P32</f>
        <v>0</v>
      </c>
      <c r="P9" s="37">
        <f>Roster!Q32</f>
        <v>0</v>
      </c>
      <c r="Q9" s="37">
        <f>Roster!R32</f>
        <v>0</v>
      </c>
      <c r="R9" s="37">
        <f>Roster!S32</f>
        <v>0</v>
      </c>
      <c r="S9" s="37">
        <f>Roster!T32</f>
        <v>0</v>
      </c>
      <c r="T9" s="37">
        <f>Roster!U32</f>
        <v>0</v>
      </c>
      <c r="U9" s="37">
        <f>Roster!V32</f>
        <v>0</v>
      </c>
      <c r="V9" s="37">
        <f>Roster!W32</f>
        <v>0</v>
      </c>
      <c r="W9" s="37">
        <f>Roster!X32</f>
        <v>0</v>
      </c>
      <c r="X9" s="37">
        <f>Roster!Y32</f>
        <v>0</v>
      </c>
      <c r="Y9" s="37">
        <f>Roster!Z32</f>
        <v>0</v>
      </c>
      <c r="Z9" s="37">
        <f>Roster!AA32</f>
        <v>0</v>
      </c>
      <c r="AA9" s="37">
        <f>Roster!AB32</f>
        <v>0</v>
      </c>
      <c r="AB9" s="37">
        <f>Roster!AC32</f>
        <v>0</v>
      </c>
      <c r="AC9" s="37">
        <f>Roster!AD32</f>
        <v>0</v>
      </c>
      <c r="AD9" s="37">
        <f>Roster!AE32</f>
        <v>0</v>
      </c>
      <c r="AE9" s="37">
        <f>Roster!AF32</f>
        <v>0</v>
      </c>
      <c r="AF9" s="37">
        <f>Roster!AG32</f>
        <v>0</v>
      </c>
      <c r="AG9" s="38">
        <f>Roster!AH32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Roster!D47</f>
        <v>0</v>
      </c>
      <c r="D12" s="37">
        <f>Roster!E47</f>
        <v>0</v>
      </c>
      <c r="E12" s="37">
        <f>Roster!F47</f>
        <v>0</v>
      </c>
      <c r="F12" s="37">
        <f>Roster!G47</f>
        <v>0</v>
      </c>
      <c r="G12" s="37">
        <f>Roster!H47</f>
        <v>0</v>
      </c>
      <c r="H12" s="37">
        <f>Roster!I47</f>
        <v>0</v>
      </c>
      <c r="I12" s="37">
        <f>Roster!J47</f>
        <v>0</v>
      </c>
      <c r="J12" s="37">
        <f>Roster!K47</f>
        <v>0</v>
      </c>
      <c r="K12" s="37">
        <f>Roster!L47</f>
        <v>0</v>
      </c>
      <c r="L12" s="37">
        <f>Roster!M47</f>
        <v>0</v>
      </c>
      <c r="M12" s="37">
        <f>Roster!N47</f>
        <v>0</v>
      </c>
      <c r="N12" s="37">
        <f>Roster!O47</f>
        <v>0</v>
      </c>
      <c r="O12" s="37">
        <f>Roster!P47</f>
        <v>0</v>
      </c>
      <c r="P12" s="37">
        <f>Roster!Q47</f>
        <v>0</v>
      </c>
      <c r="Q12" s="37">
        <f>Roster!R47</f>
        <v>0</v>
      </c>
      <c r="R12" s="37">
        <f>Roster!S47</f>
        <v>0</v>
      </c>
      <c r="S12" s="37">
        <f>Roster!T47</f>
        <v>0</v>
      </c>
      <c r="T12" s="37">
        <f>Roster!U47</f>
        <v>0</v>
      </c>
      <c r="U12" s="37">
        <f>Roster!V47</f>
        <v>0</v>
      </c>
      <c r="V12" s="37">
        <f>Roster!W47</f>
        <v>0</v>
      </c>
      <c r="W12" s="37">
        <f>Roster!X47</f>
        <v>0</v>
      </c>
      <c r="X12" s="37">
        <f>Roster!Y47</f>
        <v>0</v>
      </c>
      <c r="Y12" s="37">
        <f>Roster!Z47</f>
        <v>0</v>
      </c>
      <c r="Z12" s="37">
        <f>Roster!AA47</f>
        <v>0</v>
      </c>
      <c r="AA12" s="37">
        <f>Roster!AB47</f>
        <v>0</v>
      </c>
      <c r="AB12" s="37">
        <f>Roster!AC47</f>
        <v>0</v>
      </c>
      <c r="AC12" s="37">
        <f>Roster!AD47</f>
        <v>0</v>
      </c>
      <c r="AD12" s="37">
        <f>Roster!AE47</f>
        <v>0</v>
      </c>
      <c r="AE12" s="37">
        <f>Roster!AF47</f>
        <v>0</v>
      </c>
      <c r="AF12" s="38">
        <f>Roster!AG47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Roster!D62</f>
        <v>0</v>
      </c>
      <c r="D15" s="37">
        <f>Roster!E62</f>
        <v>0</v>
      </c>
      <c r="E15" s="37">
        <f>Roster!F62</f>
        <v>0</v>
      </c>
      <c r="F15" s="37">
        <f>Roster!G62</f>
        <v>0</v>
      </c>
      <c r="G15" s="37">
        <f>Roster!H62</f>
        <v>0</v>
      </c>
      <c r="H15" s="37">
        <f>Roster!I62</f>
        <v>0</v>
      </c>
      <c r="I15" s="37">
        <f>Roster!J62</f>
        <v>0</v>
      </c>
      <c r="J15" s="37">
        <f>Roster!K62</f>
        <v>0</v>
      </c>
      <c r="K15" s="37">
        <f>Roster!L62</f>
        <v>0</v>
      </c>
      <c r="L15" s="37">
        <f>Roster!M62</f>
        <v>0</v>
      </c>
      <c r="M15" s="37">
        <f>Roster!N62</f>
        <v>0</v>
      </c>
      <c r="N15" s="37">
        <f>Roster!O62</f>
        <v>0</v>
      </c>
      <c r="O15" s="37">
        <f>Roster!P62</f>
        <v>0</v>
      </c>
      <c r="P15" s="37">
        <f>Roster!Q62</f>
        <v>0</v>
      </c>
      <c r="Q15" s="37">
        <f>Roster!R62</f>
        <v>0</v>
      </c>
      <c r="R15" s="37">
        <f>Roster!S62</f>
        <v>0</v>
      </c>
      <c r="S15" s="37">
        <f>Roster!T62</f>
        <v>0</v>
      </c>
      <c r="T15" s="37">
        <f>Roster!U62</f>
        <v>0</v>
      </c>
      <c r="U15" s="37">
        <f>Roster!V62</f>
        <v>0</v>
      </c>
      <c r="V15" s="37">
        <f>Roster!W62</f>
        <v>0</v>
      </c>
      <c r="W15" s="37">
        <f>Roster!X62</f>
        <v>0</v>
      </c>
      <c r="X15" s="37">
        <f>Roster!Y62</f>
        <v>0</v>
      </c>
      <c r="Y15" s="37">
        <f>Roster!Z62</f>
        <v>0</v>
      </c>
      <c r="Z15" s="37">
        <f>Roster!AA62</f>
        <v>0</v>
      </c>
      <c r="AA15" s="37">
        <f>Roster!AB62</f>
        <v>0</v>
      </c>
      <c r="AB15" s="37">
        <f>Roster!AC62</f>
        <v>0</v>
      </c>
      <c r="AC15" s="37">
        <f>Roster!AD62</f>
        <v>0</v>
      </c>
      <c r="AD15" s="37">
        <f>Roster!AE62</f>
        <v>0</v>
      </c>
      <c r="AE15" s="37">
        <f>Roster!AF62</f>
        <v>0</v>
      </c>
      <c r="AF15" s="37">
        <f>Roster!AG62</f>
        <v>0</v>
      </c>
      <c r="AG15" s="38">
        <f>Roster!AH62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Roster!D77</f>
        <v>0</v>
      </c>
      <c r="D18" s="37">
        <f>Roster!E77</f>
        <v>0</v>
      </c>
      <c r="E18" s="37">
        <f>Roster!F77</f>
        <v>0</v>
      </c>
      <c r="F18" s="37">
        <f>Roster!G77</f>
        <v>0</v>
      </c>
      <c r="G18" s="37">
        <f>Roster!H77</f>
        <v>0</v>
      </c>
      <c r="H18" s="37">
        <f>Roster!I77</f>
        <v>0</v>
      </c>
      <c r="I18" s="37">
        <f>Roster!J77</f>
        <v>0</v>
      </c>
      <c r="J18" s="37">
        <f>Roster!K77</f>
        <v>0</v>
      </c>
      <c r="K18" s="37">
        <f>Roster!L77</f>
        <v>0</v>
      </c>
      <c r="L18" s="37">
        <f>Roster!M77</f>
        <v>0</v>
      </c>
      <c r="M18" s="37">
        <f>Roster!N77</f>
        <v>0</v>
      </c>
      <c r="N18" s="37">
        <f>Roster!O77</f>
        <v>0</v>
      </c>
      <c r="O18" s="37">
        <f>Roster!P77</f>
        <v>0</v>
      </c>
      <c r="P18" s="37">
        <f>Roster!Q77</f>
        <v>0</v>
      </c>
      <c r="Q18" s="37">
        <f>Roster!R77</f>
        <v>0</v>
      </c>
      <c r="R18" s="37">
        <f>Roster!S77</f>
        <v>0</v>
      </c>
      <c r="S18" s="37">
        <f>Roster!T77</f>
        <v>0</v>
      </c>
      <c r="T18" s="37">
        <f>Roster!U77</f>
        <v>0</v>
      </c>
      <c r="U18" s="37">
        <f>Roster!V77</f>
        <v>0</v>
      </c>
      <c r="V18" s="37">
        <f>Roster!W77</f>
        <v>0</v>
      </c>
      <c r="W18" s="37">
        <f>Roster!X77</f>
        <v>0</v>
      </c>
      <c r="X18" s="37">
        <f>Roster!Y77</f>
        <v>0</v>
      </c>
      <c r="Y18" s="37">
        <f>Roster!Z77</f>
        <v>0</v>
      </c>
      <c r="Z18" s="37">
        <f>Roster!AA77</f>
        <v>0</v>
      </c>
      <c r="AA18" s="37">
        <f>Roster!AB77</f>
        <v>0</v>
      </c>
      <c r="AB18" s="37">
        <f>Roster!AC77</f>
        <v>0</v>
      </c>
      <c r="AC18" s="37">
        <f>Roster!AD77</f>
        <v>0</v>
      </c>
      <c r="AD18" s="37">
        <f>Roster!AE77</f>
        <v>0</v>
      </c>
      <c r="AE18" s="37">
        <f>Roster!AF77</f>
        <v>0</v>
      </c>
      <c r="AF18" s="38">
        <f>Roster!AG77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Roster!D92</f>
        <v>0</v>
      </c>
      <c r="D21" s="37">
        <f>Roster!E92</f>
        <v>0</v>
      </c>
      <c r="E21" s="37">
        <f>Roster!F92</f>
        <v>0</v>
      </c>
      <c r="F21" s="37">
        <f>Roster!G92</f>
        <v>0</v>
      </c>
      <c r="G21" s="37">
        <f>Roster!H92</f>
        <v>0</v>
      </c>
      <c r="H21" s="37">
        <f>Roster!I92</f>
        <v>0</v>
      </c>
      <c r="I21" s="37">
        <f>Roster!J92</f>
        <v>0</v>
      </c>
      <c r="J21" s="37">
        <f>Roster!K92</f>
        <v>0</v>
      </c>
      <c r="K21" s="37">
        <f>Roster!L92</f>
        <v>0</v>
      </c>
      <c r="L21" s="37">
        <f>Roster!M92</f>
        <v>0</v>
      </c>
      <c r="M21" s="37">
        <f>Roster!N92</f>
        <v>0</v>
      </c>
      <c r="N21" s="37">
        <f>Roster!O92</f>
        <v>0</v>
      </c>
      <c r="O21" s="37">
        <f>Roster!P92</f>
        <v>0</v>
      </c>
      <c r="P21" s="37">
        <f>Roster!Q92</f>
        <v>0</v>
      </c>
      <c r="Q21" s="37">
        <f>Roster!R92</f>
        <v>0</v>
      </c>
      <c r="R21" s="37">
        <f>Roster!S92</f>
        <v>0</v>
      </c>
      <c r="S21" s="37">
        <f>Roster!T92</f>
        <v>0</v>
      </c>
      <c r="T21" s="37">
        <f>Roster!U92</f>
        <v>0</v>
      </c>
      <c r="U21" s="37">
        <f>Roster!V92</f>
        <v>0</v>
      </c>
      <c r="V21" s="37">
        <f>Roster!W92</f>
        <v>0</v>
      </c>
      <c r="W21" s="37">
        <f>Roster!X92</f>
        <v>0</v>
      </c>
      <c r="X21" s="37">
        <f>Roster!Y92</f>
        <v>0</v>
      </c>
      <c r="Y21" s="37">
        <f>Roster!Z92</f>
        <v>0</v>
      </c>
      <c r="Z21" s="37">
        <f>Roster!AA92</f>
        <v>0</v>
      </c>
      <c r="AA21" s="37">
        <f>Roster!AB92</f>
        <v>0</v>
      </c>
      <c r="AB21" s="37">
        <f>Roster!AC92</f>
        <v>0</v>
      </c>
      <c r="AC21" s="37">
        <f>Roster!AD92</f>
        <v>0</v>
      </c>
      <c r="AD21" s="37">
        <f>Roster!AE92</f>
        <v>0</v>
      </c>
      <c r="AE21" s="37">
        <f>Roster!AF92</f>
        <v>0</v>
      </c>
      <c r="AF21" s="37">
        <f>Roster!AG92</f>
        <v>0</v>
      </c>
      <c r="AG21" s="38">
        <f>Roster!AH92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Roster!D107</f>
        <v>0</v>
      </c>
      <c r="D24" s="53">
        <f>Roster!E107</f>
        <v>0</v>
      </c>
      <c r="E24" s="53">
        <f>Roster!F107</f>
        <v>0</v>
      </c>
      <c r="F24" s="53">
        <f>Roster!G107</f>
        <v>0</v>
      </c>
      <c r="G24" s="53">
        <f>Roster!H107</f>
        <v>0</v>
      </c>
      <c r="H24" s="53">
        <f>Roster!I107</f>
        <v>0</v>
      </c>
      <c r="I24" s="53">
        <f>Roster!J107</f>
        <v>0</v>
      </c>
      <c r="J24" s="53">
        <f>Roster!K107</f>
        <v>0</v>
      </c>
      <c r="K24" s="53">
        <f>Roster!L107</f>
        <v>0</v>
      </c>
      <c r="L24" s="53">
        <f>Roster!M107</f>
        <v>0</v>
      </c>
      <c r="M24" s="53">
        <f>Roster!N107</f>
        <v>0</v>
      </c>
      <c r="N24" s="53">
        <f>Roster!O107</f>
        <v>0</v>
      </c>
      <c r="O24" s="53">
        <f>Roster!P107</f>
        <v>0</v>
      </c>
      <c r="P24" s="53">
        <f>Roster!Q107</f>
        <v>0</v>
      </c>
      <c r="Q24" s="53">
        <f>Roster!R107</f>
        <v>0</v>
      </c>
      <c r="R24" s="53">
        <f>Roster!S107</f>
        <v>0</v>
      </c>
      <c r="S24" s="53">
        <f>Roster!T107</f>
        <v>0</v>
      </c>
      <c r="T24" s="53">
        <f>Roster!U107</f>
        <v>0</v>
      </c>
      <c r="U24" s="53">
        <f>Roster!V107</f>
        <v>0</v>
      </c>
      <c r="V24" s="53">
        <f>Roster!W107</f>
        <v>0</v>
      </c>
      <c r="W24" s="53">
        <f>Roster!X107</f>
        <v>0</v>
      </c>
      <c r="X24" s="53">
        <f>Roster!Y107</f>
        <v>0</v>
      </c>
      <c r="Y24" s="53">
        <f>Roster!Z107</f>
        <v>0</v>
      </c>
      <c r="Z24" s="53">
        <f>Roster!AA107</f>
        <v>0</v>
      </c>
      <c r="AA24" s="53">
        <f>Roster!AB107</f>
        <v>0</v>
      </c>
      <c r="AB24" s="53">
        <f>Roster!AC107</f>
        <v>0</v>
      </c>
      <c r="AC24" s="53">
        <f>Roster!AD107</f>
        <v>0</v>
      </c>
      <c r="AD24" s="53">
        <f>Roster!AE107</f>
        <v>0</v>
      </c>
      <c r="AE24" s="53">
        <f>Roster!AF107</f>
        <v>0</v>
      </c>
      <c r="AF24" s="53">
        <f>Roster!AG107</f>
        <v>0</v>
      </c>
      <c r="AG24" s="54">
        <f>Roster!AH107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Roster!D122</f>
        <v>0</v>
      </c>
      <c r="D27" s="37">
        <f>Roster!E121</f>
        <v>0</v>
      </c>
      <c r="E27" s="37">
        <f>Roster!F121</f>
        <v>0</v>
      </c>
      <c r="F27" s="37">
        <f>Roster!G121</f>
        <v>0</v>
      </c>
      <c r="G27" s="37">
        <f>Roster!H121</f>
        <v>0</v>
      </c>
      <c r="H27" s="37">
        <f>Roster!I121</f>
        <v>0</v>
      </c>
      <c r="I27" s="37">
        <f>Roster!J121</f>
        <v>0</v>
      </c>
      <c r="J27" s="37">
        <f>Roster!K121</f>
        <v>0</v>
      </c>
      <c r="K27" s="37">
        <f>Roster!L121</f>
        <v>0</v>
      </c>
      <c r="L27" s="37">
        <f>Roster!M121</f>
        <v>0</v>
      </c>
      <c r="M27" s="37">
        <f>Roster!N121</f>
        <v>0</v>
      </c>
      <c r="N27" s="37">
        <f>Roster!O121</f>
        <v>0</v>
      </c>
      <c r="O27" s="37">
        <f>Roster!P121</f>
        <v>0</v>
      </c>
      <c r="P27" s="37">
        <f>Roster!Q121</f>
        <v>0</v>
      </c>
      <c r="Q27" s="37">
        <f>Roster!R121</f>
        <v>0</v>
      </c>
      <c r="R27" s="37">
        <f>Roster!S121</f>
        <v>0</v>
      </c>
      <c r="S27" s="37">
        <f>Roster!T121</f>
        <v>0</v>
      </c>
      <c r="T27" s="37">
        <f>Roster!U121</f>
        <v>0</v>
      </c>
      <c r="U27" s="37">
        <f>Roster!V121</f>
        <v>0</v>
      </c>
      <c r="V27" s="37">
        <f>Roster!W121</f>
        <v>0</v>
      </c>
      <c r="W27" s="37">
        <f>Roster!X121</f>
        <v>0</v>
      </c>
      <c r="X27" s="37">
        <f>Roster!Y121</f>
        <v>0</v>
      </c>
      <c r="Y27" s="37">
        <f>Roster!Z121</f>
        <v>0</v>
      </c>
      <c r="Z27" s="37">
        <f>Roster!AA121</f>
        <v>0</v>
      </c>
      <c r="AA27" s="37">
        <f>Roster!AB121</f>
        <v>0</v>
      </c>
      <c r="AB27" s="37">
        <f>Roster!AC121</f>
        <v>0</v>
      </c>
      <c r="AC27" s="37">
        <f>Roster!AD121</f>
        <v>0</v>
      </c>
      <c r="AD27" s="43">
        <f>Roster!AE121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Roster!D137</f>
        <v>0</v>
      </c>
      <c r="D30" s="37">
        <f>Roster!E137</f>
        <v>0</v>
      </c>
      <c r="E30" s="37">
        <f>Roster!F137</f>
        <v>0</v>
      </c>
      <c r="F30" s="37">
        <f>Roster!G137</f>
        <v>0</v>
      </c>
      <c r="G30" s="37">
        <f>Roster!H137</f>
        <v>0</v>
      </c>
      <c r="H30" s="37">
        <f>Roster!I137</f>
        <v>0</v>
      </c>
      <c r="I30" s="37">
        <f>Roster!J137</f>
        <v>0</v>
      </c>
      <c r="J30" s="37">
        <f>Roster!K137</f>
        <v>0</v>
      </c>
      <c r="K30" s="37">
        <f>Roster!L137</f>
        <v>0</v>
      </c>
      <c r="L30" s="37">
        <f>Roster!M137</f>
        <v>0</v>
      </c>
      <c r="M30" s="37">
        <f>Roster!N137</f>
        <v>0</v>
      </c>
      <c r="N30" s="37">
        <f>Roster!O137</f>
        <v>0</v>
      </c>
      <c r="O30" s="37">
        <f>Roster!P137</f>
        <v>0</v>
      </c>
      <c r="P30" s="37">
        <f>Roster!Q137</f>
        <v>0</v>
      </c>
      <c r="Q30" s="37">
        <f>Roster!R137</f>
        <v>0</v>
      </c>
      <c r="R30" s="37">
        <f>Roster!S137</f>
        <v>0</v>
      </c>
      <c r="S30" s="37">
        <f>Roster!T137</f>
        <v>0</v>
      </c>
      <c r="T30" s="37">
        <f>Roster!U137</f>
        <v>0</v>
      </c>
      <c r="U30" s="37">
        <f>Roster!V137</f>
        <v>0</v>
      </c>
      <c r="V30" s="37">
        <f>Roster!W137</f>
        <v>0</v>
      </c>
      <c r="W30" s="37">
        <f>Roster!X137</f>
        <v>0</v>
      </c>
      <c r="X30" s="37">
        <f>Roster!Y137</f>
        <v>0</v>
      </c>
      <c r="Y30" s="37">
        <f>Roster!Z137</f>
        <v>0</v>
      </c>
      <c r="Z30" s="37">
        <f>Roster!AA137</f>
        <v>0</v>
      </c>
      <c r="AA30" s="37">
        <f>Roster!AB137</f>
        <v>0</v>
      </c>
      <c r="AB30" s="37">
        <f>Roster!AC137</f>
        <v>0</v>
      </c>
      <c r="AC30" s="37">
        <f>Roster!AD137</f>
        <v>0</v>
      </c>
      <c r="AD30" s="37">
        <f>Roster!AE137</f>
        <v>0</v>
      </c>
      <c r="AE30" s="37">
        <f>Roster!AF137</f>
        <v>0</v>
      </c>
      <c r="AF30" s="37">
        <f>Roster!AG137</f>
        <v>0</v>
      </c>
      <c r="AG30" s="38">
        <f>Roster!AH137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Roster!D152</f>
        <v>0</v>
      </c>
      <c r="D33" s="37">
        <f>Roster!E152</f>
        <v>0</v>
      </c>
      <c r="E33" s="37">
        <f>Roster!F152</f>
        <v>0</v>
      </c>
      <c r="F33" s="37">
        <f>Roster!G152</f>
        <v>0</v>
      </c>
      <c r="G33" s="37">
        <f>Roster!H152</f>
        <v>0</v>
      </c>
      <c r="H33" s="37">
        <f>Roster!I152</f>
        <v>0</v>
      </c>
      <c r="I33" s="37">
        <f>Roster!J152</f>
        <v>0</v>
      </c>
      <c r="J33" s="37">
        <f>Roster!K152</f>
        <v>0</v>
      </c>
      <c r="K33" s="37">
        <f>Roster!L152</f>
        <v>0</v>
      </c>
      <c r="L33" s="37">
        <f>Roster!M152</f>
        <v>0</v>
      </c>
      <c r="M33" s="37">
        <f>Roster!N152</f>
        <v>0</v>
      </c>
      <c r="N33" s="37">
        <f>Roster!O152</f>
        <v>0</v>
      </c>
      <c r="O33" s="37">
        <f>Roster!P152</f>
        <v>0</v>
      </c>
      <c r="P33" s="37">
        <f>Roster!Q152</f>
        <v>0</v>
      </c>
      <c r="Q33" s="37">
        <f>Roster!R152</f>
        <v>0</v>
      </c>
      <c r="R33" s="37">
        <f>Roster!S152</f>
        <v>0</v>
      </c>
      <c r="S33" s="37">
        <f>Roster!T152</f>
        <v>0</v>
      </c>
      <c r="T33" s="37">
        <f>Roster!U152</f>
        <v>0</v>
      </c>
      <c r="U33" s="37">
        <f>Roster!V152</f>
        <v>0</v>
      </c>
      <c r="V33" s="37">
        <f>Roster!W152</f>
        <v>0</v>
      </c>
      <c r="W33" s="37">
        <f>Roster!X152</f>
        <v>0</v>
      </c>
      <c r="X33" s="37">
        <f>Roster!Y152</f>
        <v>0</v>
      </c>
      <c r="Y33" s="37">
        <f>Roster!Z152</f>
        <v>0</v>
      </c>
      <c r="Z33" s="37">
        <f>Roster!AA152</f>
        <v>0</v>
      </c>
      <c r="AA33" s="37">
        <f>Roster!AB152</f>
        <v>0</v>
      </c>
      <c r="AB33" s="37">
        <f>Roster!AC152</f>
        <v>0</v>
      </c>
      <c r="AC33" s="37">
        <f>Roster!AD152</f>
        <v>0</v>
      </c>
      <c r="AD33" s="37">
        <f>Roster!AE152</f>
        <v>0</v>
      </c>
      <c r="AE33" s="37">
        <f>Roster!AF152</f>
        <v>0</v>
      </c>
      <c r="AF33" s="38">
        <f>Roster!AG152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Roster!D167</f>
        <v>0</v>
      </c>
      <c r="D36" s="37">
        <f>Roster!E167</f>
        <v>0</v>
      </c>
      <c r="E36" s="37">
        <f>Roster!F167</f>
        <v>0</v>
      </c>
      <c r="F36" s="37">
        <f>Roster!G167</f>
        <v>0</v>
      </c>
      <c r="G36" s="37">
        <f>Roster!H167</f>
        <v>0</v>
      </c>
      <c r="H36" s="37">
        <f>Roster!I167</f>
        <v>0</v>
      </c>
      <c r="I36" s="37">
        <f>Roster!J167</f>
        <v>0</v>
      </c>
      <c r="J36" s="37">
        <f>Roster!K167</f>
        <v>0</v>
      </c>
      <c r="K36" s="37">
        <f>Roster!L167</f>
        <v>0</v>
      </c>
      <c r="L36" s="37">
        <f>Roster!M167</f>
        <v>0</v>
      </c>
      <c r="M36" s="37">
        <f>Roster!N167</f>
        <v>0</v>
      </c>
      <c r="N36" s="37">
        <f>Roster!O167</f>
        <v>0</v>
      </c>
      <c r="O36" s="37">
        <f>Roster!P167</f>
        <v>0</v>
      </c>
      <c r="P36" s="37">
        <f>Roster!Q167</f>
        <v>0</v>
      </c>
      <c r="Q36" s="37">
        <f>Roster!R167</f>
        <v>0</v>
      </c>
      <c r="R36" s="37">
        <f>Roster!S167</f>
        <v>0</v>
      </c>
      <c r="S36" s="37">
        <f>Roster!T167</f>
        <v>0</v>
      </c>
      <c r="T36" s="37">
        <f>Roster!U167</f>
        <v>0</v>
      </c>
      <c r="U36" s="37">
        <f>Roster!V167</f>
        <v>0</v>
      </c>
      <c r="V36" s="37">
        <f>Roster!W167</f>
        <v>0</v>
      </c>
      <c r="W36" s="37">
        <f>Roster!X167</f>
        <v>0</v>
      </c>
      <c r="X36" s="37">
        <f>Roster!Y167</f>
        <v>0</v>
      </c>
      <c r="Y36" s="37">
        <f>Roster!Z167</f>
        <v>0</v>
      </c>
      <c r="Z36" s="37">
        <f>Roster!AA167</f>
        <v>0</v>
      </c>
      <c r="AA36" s="37">
        <f>Roster!AB167</f>
        <v>0</v>
      </c>
      <c r="AB36" s="37">
        <f>Roster!AC167</f>
        <v>0</v>
      </c>
      <c r="AC36" s="37">
        <f>Roster!AD167</f>
        <v>0</v>
      </c>
      <c r="AD36" s="37">
        <f>Roster!AE167</f>
        <v>0</v>
      </c>
      <c r="AE36" s="37">
        <f>Roster!AF167</f>
        <v>0</v>
      </c>
      <c r="AF36" s="37">
        <f>Roster!AG167</f>
        <v>0</v>
      </c>
      <c r="AG36" s="38">
        <f>Roster!AH167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Roster!D182</f>
        <v>0</v>
      </c>
      <c r="D39" s="37">
        <f>Roster!E182</f>
        <v>0</v>
      </c>
      <c r="E39" s="37">
        <f>Roster!F182</f>
        <v>0</v>
      </c>
      <c r="F39" s="37">
        <f>Roster!G182</f>
        <v>0</v>
      </c>
      <c r="G39" s="37">
        <f>Roster!H182</f>
        <v>0</v>
      </c>
      <c r="H39" s="37">
        <f>Roster!I182</f>
        <v>0</v>
      </c>
      <c r="I39" s="37">
        <f>Roster!J182</f>
        <v>0</v>
      </c>
      <c r="J39" s="37">
        <f>Roster!K182</f>
        <v>0</v>
      </c>
      <c r="K39" s="37">
        <f>Roster!L182</f>
        <v>0</v>
      </c>
      <c r="L39" s="37">
        <f>Roster!M182</f>
        <v>0</v>
      </c>
      <c r="M39" s="37">
        <f>Roster!N182</f>
        <v>0</v>
      </c>
      <c r="N39" s="37">
        <f>Roster!O182</f>
        <v>0</v>
      </c>
      <c r="O39" s="37">
        <f>Roster!P182</f>
        <v>0</v>
      </c>
      <c r="P39" s="37">
        <f>Roster!Q182</f>
        <v>0</v>
      </c>
      <c r="Q39" s="37">
        <f>Roster!R182</f>
        <v>0</v>
      </c>
      <c r="R39" s="37">
        <f>Roster!S182</f>
        <v>0</v>
      </c>
      <c r="S39" s="37">
        <f>Roster!T182</f>
        <v>0</v>
      </c>
      <c r="T39" s="37">
        <f>Roster!U182</f>
        <v>0</v>
      </c>
      <c r="U39" s="37">
        <f>Roster!V182</f>
        <v>0</v>
      </c>
      <c r="V39" s="37">
        <f>Roster!W182</f>
        <v>0</v>
      </c>
      <c r="W39" s="37">
        <f>Roster!X182</f>
        <v>0</v>
      </c>
      <c r="X39" s="37">
        <f>Roster!Y182</f>
        <v>0</v>
      </c>
      <c r="Y39" s="37">
        <f>Roster!Z182</f>
        <v>0</v>
      </c>
      <c r="Z39" s="37">
        <f>Roster!AA182</f>
        <v>0</v>
      </c>
      <c r="AA39" s="37">
        <f>Roster!AB182</f>
        <v>0</v>
      </c>
      <c r="AB39" s="37">
        <f>Roster!AC182</f>
        <v>0</v>
      </c>
      <c r="AC39" s="37">
        <f>Roster!AD182</f>
        <v>0</v>
      </c>
      <c r="AD39" s="37">
        <f>Roster!AE182</f>
        <v>0</v>
      </c>
      <c r="AE39" s="37">
        <f>Roster!AF182</f>
        <v>0</v>
      </c>
      <c r="AF39" s="38">
        <f>Roster!AG182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EmpGName10 &amp;" " &amp; EmpSName10</f>
        <v>John Stretton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Roster!D18</f>
        <v>0</v>
      </c>
      <c r="D6" s="37">
        <f>Roster!E18</f>
        <v>0</v>
      </c>
      <c r="E6" s="37">
        <f>Roster!F18</f>
        <v>0</v>
      </c>
      <c r="F6" s="37">
        <f>Roster!G18</f>
        <v>0</v>
      </c>
      <c r="G6" s="37">
        <f>Roster!H18</f>
        <v>0</v>
      </c>
      <c r="H6" s="37">
        <f>Roster!I18</f>
        <v>0</v>
      </c>
      <c r="I6" s="37">
        <f>Roster!J18</f>
        <v>0</v>
      </c>
      <c r="J6" s="37">
        <f>Roster!K18</f>
        <v>0</v>
      </c>
      <c r="K6" s="37">
        <f>Roster!L18</f>
        <v>0</v>
      </c>
      <c r="L6" s="37">
        <f>Roster!M18</f>
        <v>0</v>
      </c>
      <c r="M6" s="37">
        <f>Roster!N18</f>
        <v>0</v>
      </c>
      <c r="N6" s="37">
        <f>Roster!O18</f>
        <v>0</v>
      </c>
      <c r="O6" s="37">
        <f>Roster!P18</f>
        <v>0</v>
      </c>
      <c r="P6" s="37">
        <f>Roster!Q18</f>
        <v>0</v>
      </c>
      <c r="Q6" s="37">
        <f>Roster!R18</f>
        <v>0</v>
      </c>
      <c r="R6" s="37">
        <f>Roster!S18</f>
        <v>0</v>
      </c>
      <c r="S6" s="37">
        <f>Roster!T18</f>
        <v>0</v>
      </c>
      <c r="T6" s="37">
        <f>Roster!U18</f>
        <v>0</v>
      </c>
      <c r="U6" s="37">
        <f>Roster!V18</f>
        <v>0</v>
      </c>
      <c r="V6" s="37">
        <f>Roster!W18</f>
        <v>0</v>
      </c>
      <c r="W6" s="37">
        <f>Roster!X18</f>
        <v>0</v>
      </c>
      <c r="X6" s="37">
        <f>Roster!Y18</f>
        <v>0</v>
      </c>
      <c r="Y6" s="37">
        <f>Roster!Z18</f>
        <v>0</v>
      </c>
      <c r="Z6" s="37">
        <f>Roster!AA18</f>
        <v>0</v>
      </c>
      <c r="AA6" s="37">
        <f>Roster!AB18</f>
        <v>0</v>
      </c>
      <c r="AB6" s="37">
        <f>Roster!AC18</f>
        <v>0</v>
      </c>
      <c r="AC6" s="37">
        <f>Roster!AD18</f>
        <v>0</v>
      </c>
      <c r="AD6" s="37">
        <f>Roster!AE18</f>
        <v>0</v>
      </c>
      <c r="AE6" s="37" t="str">
        <f>Roster!AF18</f>
        <v>PO</v>
      </c>
      <c r="AF6" s="37" t="str">
        <f>Roster!AG18</f>
        <v>PO</v>
      </c>
      <c r="AG6" s="38">
        <f>Roster!AH18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Roster!D33</f>
        <v>0</v>
      </c>
      <c r="D9" s="39">
        <f>Roster!E33</f>
        <v>0</v>
      </c>
      <c r="E9" s="37">
        <f>Roster!F33</f>
        <v>0</v>
      </c>
      <c r="F9" s="37">
        <f>Roster!G33</f>
        <v>0</v>
      </c>
      <c r="G9" s="37">
        <f>Roster!H33</f>
        <v>0</v>
      </c>
      <c r="H9" s="37">
        <f>Roster!I33</f>
        <v>0</v>
      </c>
      <c r="I9" s="37">
        <f>Roster!J33</f>
        <v>0</v>
      </c>
      <c r="J9" s="37">
        <f>Roster!K33</f>
        <v>0</v>
      </c>
      <c r="K9" s="37">
        <f>Roster!L33</f>
        <v>0</v>
      </c>
      <c r="L9" s="37">
        <f>Roster!M33</f>
        <v>0</v>
      </c>
      <c r="M9" s="37">
        <f>Roster!N33</f>
        <v>0</v>
      </c>
      <c r="N9" s="37">
        <f>Roster!O33</f>
        <v>0</v>
      </c>
      <c r="O9" s="37">
        <f>Roster!P33</f>
        <v>0</v>
      </c>
      <c r="P9" s="37">
        <f>Roster!Q33</f>
        <v>0</v>
      </c>
      <c r="Q9" s="37">
        <f>Roster!R33</f>
        <v>0</v>
      </c>
      <c r="R9" s="37">
        <f>Roster!S33</f>
        <v>0</v>
      </c>
      <c r="S9" s="37">
        <f>Roster!T33</f>
        <v>0</v>
      </c>
      <c r="T9" s="37">
        <f>Roster!U33</f>
        <v>0</v>
      </c>
      <c r="U9" s="37">
        <f>Roster!V33</f>
        <v>0</v>
      </c>
      <c r="V9" s="37">
        <f>Roster!W33</f>
        <v>0</v>
      </c>
      <c r="W9" s="37">
        <f>Roster!X33</f>
        <v>0</v>
      </c>
      <c r="X9" s="37">
        <f>Roster!Y33</f>
        <v>0</v>
      </c>
      <c r="Y9" s="37">
        <f>Roster!Z33</f>
        <v>0</v>
      </c>
      <c r="Z9" s="37">
        <f>Roster!AA33</f>
        <v>0</v>
      </c>
      <c r="AA9" s="37">
        <f>Roster!AB33</f>
        <v>0</v>
      </c>
      <c r="AB9" s="37">
        <f>Roster!AC33</f>
        <v>0</v>
      </c>
      <c r="AC9" s="37">
        <f>Roster!AD33</f>
        <v>0</v>
      </c>
      <c r="AD9" s="37">
        <f>Roster!AE33</f>
        <v>0</v>
      </c>
      <c r="AE9" s="37">
        <f>Roster!AF33</f>
        <v>0</v>
      </c>
      <c r="AF9" s="37">
        <f>Roster!AG33</f>
        <v>0</v>
      </c>
      <c r="AG9" s="38">
        <f>Roster!AH33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Roster!D48</f>
        <v>0</v>
      </c>
      <c r="D12" s="37">
        <f>Roster!E48</f>
        <v>0</v>
      </c>
      <c r="E12" s="37">
        <f>Roster!F48</f>
        <v>0</v>
      </c>
      <c r="F12" s="37">
        <f>Roster!G48</f>
        <v>0</v>
      </c>
      <c r="G12" s="37">
        <f>Roster!H48</f>
        <v>0</v>
      </c>
      <c r="H12" s="37">
        <f>Roster!I48</f>
        <v>0</v>
      </c>
      <c r="I12" s="37">
        <f>Roster!J48</f>
        <v>0</v>
      </c>
      <c r="J12" s="37">
        <f>Roster!K48</f>
        <v>0</v>
      </c>
      <c r="K12" s="37">
        <f>Roster!L48</f>
        <v>0</v>
      </c>
      <c r="L12" s="37">
        <f>Roster!M48</f>
        <v>0</v>
      </c>
      <c r="M12" s="37">
        <f>Roster!N48</f>
        <v>0</v>
      </c>
      <c r="N12" s="37">
        <f>Roster!O48</f>
        <v>0</v>
      </c>
      <c r="O12" s="37">
        <f>Roster!P48</f>
        <v>0</v>
      </c>
      <c r="P12" s="37">
        <f>Roster!Q48</f>
        <v>0</v>
      </c>
      <c r="Q12" s="37">
        <f>Roster!R48</f>
        <v>0</v>
      </c>
      <c r="R12" s="37">
        <f>Roster!S48</f>
        <v>0</v>
      </c>
      <c r="S12" s="37">
        <f>Roster!T48</f>
        <v>0</v>
      </c>
      <c r="T12" s="37">
        <f>Roster!U48</f>
        <v>0</v>
      </c>
      <c r="U12" s="37">
        <f>Roster!V48</f>
        <v>0</v>
      </c>
      <c r="V12" s="37">
        <f>Roster!W48</f>
        <v>0</v>
      </c>
      <c r="W12" s="37">
        <f>Roster!X48</f>
        <v>0</v>
      </c>
      <c r="X12" s="37">
        <f>Roster!Y48</f>
        <v>0</v>
      </c>
      <c r="Y12" s="37">
        <f>Roster!Z48</f>
        <v>0</v>
      </c>
      <c r="Z12" s="37">
        <f>Roster!AA48</f>
        <v>0</v>
      </c>
      <c r="AA12" s="37">
        <f>Roster!AB48</f>
        <v>0</v>
      </c>
      <c r="AB12" s="37">
        <f>Roster!AC48</f>
        <v>0</v>
      </c>
      <c r="AC12" s="37">
        <f>Roster!AD48</f>
        <v>0</v>
      </c>
      <c r="AD12" s="37">
        <f>Roster!AE48</f>
        <v>0</v>
      </c>
      <c r="AE12" s="37">
        <f>Roster!AF48</f>
        <v>0</v>
      </c>
      <c r="AF12" s="38">
        <f>Roster!AG48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Roster!D63</f>
        <v>0</v>
      </c>
      <c r="D15" s="37">
        <f>Roster!E63</f>
        <v>0</v>
      </c>
      <c r="E15" s="37">
        <f>Roster!F63</f>
        <v>0</v>
      </c>
      <c r="F15" s="37">
        <f>Roster!G63</f>
        <v>0</v>
      </c>
      <c r="G15" s="37">
        <f>Roster!H63</f>
        <v>0</v>
      </c>
      <c r="H15" s="37">
        <f>Roster!I63</f>
        <v>0</v>
      </c>
      <c r="I15" s="37">
        <f>Roster!J63</f>
        <v>0</v>
      </c>
      <c r="J15" s="37">
        <f>Roster!K63</f>
        <v>0</v>
      </c>
      <c r="K15" s="37">
        <f>Roster!L63</f>
        <v>0</v>
      </c>
      <c r="L15" s="37">
        <f>Roster!M63</f>
        <v>0</v>
      </c>
      <c r="M15" s="37">
        <f>Roster!N63</f>
        <v>0</v>
      </c>
      <c r="N15" s="37">
        <f>Roster!O63</f>
        <v>0</v>
      </c>
      <c r="O15" s="37">
        <f>Roster!P63</f>
        <v>0</v>
      </c>
      <c r="P15" s="37">
        <f>Roster!Q63</f>
        <v>0</v>
      </c>
      <c r="Q15" s="37">
        <f>Roster!R63</f>
        <v>0</v>
      </c>
      <c r="R15" s="37">
        <f>Roster!S63</f>
        <v>0</v>
      </c>
      <c r="S15" s="37">
        <f>Roster!T63</f>
        <v>0</v>
      </c>
      <c r="T15" s="37">
        <f>Roster!U63</f>
        <v>0</v>
      </c>
      <c r="U15" s="37">
        <f>Roster!V63</f>
        <v>0</v>
      </c>
      <c r="V15" s="37">
        <f>Roster!W63</f>
        <v>0</v>
      </c>
      <c r="W15" s="37">
        <f>Roster!X63</f>
        <v>0</v>
      </c>
      <c r="X15" s="37">
        <f>Roster!Y63</f>
        <v>0</v>
      </c>
      <c r="Y15" s="37">
        <f>Roster!Z63</f>
        <v>0</v>
      </c>
      <c r="Z15" s="37">
        <f>Roster!AA63</f>
        <v>0</v>
      </c>
      <c r="AA15" s="37">
        <f>Roster!AB63</f>
        <v>0</v>
      </c>
      <c r="AB15" s="37">
        <f>Roster!AC63</f>
        <v>0</v>
      </c>
      <c r="AC15" s="37">
        <f>Roster!AD63</f>
        <v>0</v>
      </c>
      <c r="AD15" s="37">
        <f>Roster!AE63</f>
        <v>0</v>
      </c>
      <c r="AE15" s="37">
        <f>Roster!AF63</f>
        <v>0</v>
      </c>
      <c r="AF15" s="37">
        <f>Roster!AG63</f>
        <v>0</v>
      </c>
      <c r="AG15" s="38">
        <f>Roster!AH63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Roster!D78</f>
        <v>0</v>
      </c>
      <c r="D18" s="37">
        <f>Roster!E78</f>
        <v>0</v>
      </c>
      <c r="E18" s="37">
        <f>Roster!F78</f>
        <v>0</v>
      </c>
      <c r="F18" s="37">
        <f>Roster!G78</f>
        <v>0</v>
      </c>
      <c r="G18" s="37">
        <f>Roster!H78</f>
        <v>0</v>
      </c>
      <c r="H18" s="37">
        <f>Roster!I78</f>
        <v>0</v>
      </c>
      <c r="I18" s="37">
        <f>Roster!J78</f>
        <v>0</v>
      </c>
      <c r="J18" s="37">
        <f>Roster!K78</f>
        <v>0</v>
      </c>
      <c r="K18" s="37">
        <f>Roster!L78</f>
        <v>0</v>
      </c>
      <c r="L18" s="37">
        <f>Roster!M78</f>
        <v>0</v>
      </c>
      <c r="M18" s="37">
        <f>Roster!N78</f>
        <v>0</v>
      </c>
      <c r="N18" s="37">
        <f>Roster!O78</f>
        <v>0</v>
      </c>
      <c r="O18" s="37">
        <f>Roster!P78</f>
        <v>0</v>
      </c>
      <c r="P18" s="37">
        <f>Roster!Q78</f>
        <v>0</v>
      </c>
      <c r="Q18" s="37">
        <f>Roster!R78</f>
        <v>0</v>
      </c>
      <c r="R18" s="37">
        <f>Roster!S78</f>
        <v>0</v>
      </c>
      <c r="S18" s="37">
        <f>Roster!T78</f>
        <v>0</v>
      </c>
      <c r="T18" s="37">
        <f>Roster!U78</f>
        <v>0</v>
      </c>
      <c r="U18" s="37">
        <f>Roster!V78</f>
        <v>0</v>
      </c>
      <c r="V18" s="37">
        <f>Roster!W78</f>
        <v>0</v>
      </c>
      <c r="W18" s="37">
        <f>Roster!X78</f>
        <v>0</v>
      </c>
      <c r="X18" s="37">
        <f>Roster!Y78</f>
        <v>0</v>
      </c>
      <c r="Y18" s="37">
        <f>Roster!Z78</f>
        <v>0</v>
      </c>
      <c r="Z18" s="37">
        <f>Roster!AA78</f>
        <v>0</v>
      </c>
      <c r="AA18" s="37">
        <f>Roster!AB78</f>
        <v>0</v>
      </c>
      <c r="AB18" s="37">
        <f>Roster!AC78</f>
        <v>0</v>
      </c>
      <c r="AC18" s="37">
        <f>Roster!AD78</f>
        <v>0</v>
      </c>
      <c r="AD18" s="37">
        <f>Roster!AE78</f>
        <v>0</v>
      </c>
      <c r="AE18" s="37">
        <f>Roster!AF78</f>
        <v>0</v>
      </c>
      <c r="AF18" s="38">
        <f>Roster!AG78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Roster!D93</f>
        <v>0</v>
      </c>
      <c r="D21" s="37">
        <f>Roster!E93</f>
        <v>0</v>
      </c>
      <c r="E21" s="37">
        <f>Roster!F93</f>
        <v>0</v>
      </c>
      <c r="F21" s="37">
        <f>Roster!G93</f>
        <v>0</v>
      </c>
      <c r="G21" s="37">
        <f>Roster!H93</f>
        <v>0</v>
      </c>
      <c r="H21" s="37">
        <f>Roster!I93</f>
        <v>0</v>
      </c>
      <c r="I21" s="37">
        <f>Roster!J93</f>
        <v>0</v>
      </c>
      <c r="J21" s="37">
        <f>Roster!K93</f>
        <v>0</v>
      </c>
      <c r="K21" s="37">
        <f>Roster!L93</f>
        <v>0</v>
      </c>
      <c r="L21" s="37">
        <f>Roster!M93</f>
        <v>0</v>
      </c>
      <c r="M21" s="37">
        <f>Roster!N93</f>
        <v>0</v>
      </c>
      <c r="N21" s="37">
        <f>Roster!O93</f>
        <v>0</v>
      </c>
      <c r="O21" s="37">
        <f>Roster!P93</f>
        <v>0</v>
      </c>
      <c r="P21" s="37">
        <f>Roster!Q93</f>
        <v>0</v>
      </c>
      <c r="Q21" s="37">
        <f>Roster!R93</f>
        <v>0</v>
      </c>
      <c r="R21" s="37">
        <f>Roster!S93</f>
        <v>0</v>
      </c>
      <c r="S21" s="37">
        <f>Roster!T93</f>
        <v>0</v>
      </c>
      <c r="T21" s="37">
        <f>Roster!U93</f>
        <v>0</v>
      </c>
      <c r="U21" s="37">
        <f>Roster!V93</f>
        <v>0</v>
      </c>
      <c r="V21" s="37">
        <f>Roster!W93</f>
        <v>0</v>
      </c>
      <c r="W21" s="37">
        <f>Roster!X93</f>
        <v>0</v>
      </c>
      <c r="X21" s="37">
        <f>Roster!Y93</f>
        <v>0</v>
      </c>
      <c r="Y21" s="37">
        <f>Roster!Z93</f>
        <v>0</v>
      </c>
      <c r="Z21" s="37">
        <f>Roster!AA93</f>
        <v>0</v>
      </c>
      <c r="AA21" s="37">
        <f>Roster!AB93</f>
        <v>0</v>
      </c>
      <c r="AB21" s="37">
        <f>Roster!AC93</f>
        <v>0</v>
      </c>
      <c r="AC21" s="37">
        <f>Roster!AD93</f>
        <v>0</v>
      </c>
      <c r="AD21" s="37">
        <f>Roster!AE93</f>
        <v>0</v>
      </c>
      <c r="AE21" s="37">
        <f>Roster!AF93</f>
        <v>0</v>
      </c>
      <c r="AF21" s="37">
        <f>Roster!AG93</f>
        <v>0</v>
      </c>
      <c r="AG21" s="38">
        <f>Roster!AH93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Roster!D108</f>
        <v>0</v>
      </c>
      <c r="D24" s="78">
        <f>Roster!E108</f>
        <v>0</v>
      </c>
      <c r="E24" s="78">
        <f>Roster!F108</f>
        <v>0</v>
      </c>
      <c r="F24" s="78">
        <f>Roster!G108</f>
        <v>0</v>
      </c>
      <c r="G24" s="78">
        <f>Roster!H108</f>
        <v>0</v>
      </c>
      <c r="H24" s="78">
        <f>Roster!I108</f>
        <v>0</v>
      </c>
      <c r="I24" s="78">
        <f>Roster!J108</f>
        <v>0</v>
      </c>
      <c r="J24" s="78">
        <f>Roster!K108</f>
        <v>0</v>
      </c>
      <c r="K24" s="78">
        <f>Roster!L108</f>
        <v>0</v>
      </c>
      <c r="L24" s="78">
        <f>Roster!M108</f>
        <v>0</v>
      </c>
      <c r="M24" s="78">
        <f>Roster!N108</f>
        <v>0</v>
      </c>
      <c r="N24" s="78">
        <f>Roster!O108</f>
        <v>0</v>
      </c>
      <c r="O24" s="78">
        <f>Roster!P108</f>
        <v>0</v>
      </c>
      <c r="P24" s="78">
        <f>Roster!Q108</f>
        <v>0</v>
      </c>
      <c r="Q24" s="78">
        <f>Roster!R108</f>
        <v>0</v>
      </c>
      <c r="R24" s="78">
        <f>Roster!S108</f>
        <v>0</v>
      </c>
      <c r="S24" s="78">
        <f>Roster!T108</f>
        <v>0</v>
      </c>
      <c r="T24" s="78">
        <f>Roster!U108</f>
        <v>0</v>
      </c>
      <c r="U24" s="78">
        <f>Roster!V108</f>
        <v>0</v>
      </c>
      <c r="V24" s="78">
        <f>Roster!W108</f>
        <v>0</v>
      </c>
      <c r="W24" s="78">
        <f>Roster!X108</f>
        <v>0</v>
      </c>
      <c r="X24" s="78">
        <f>Roster!Y108</f>
        <v>0</v>
      </c>
      <c r="Y24" s="78">
        <f>Roster!Z108</f>
        <v>0</v>
      </c>
      <c r="Z24" s="78">
        <f>Roster!AA108</f>
        <v>0</v>
      </c>
      <c r="AA24" s="78">
        <f>Roster!AB108</f>
        <v>0</v>
      </c>
      <c r="AB24" s="78">
        <f>Roster!AC108</f>
        <v>0</v>
      </c>
      <c r="AC24" s="78">
        <f>Roster!AD108</f>
        <v>0</v>
      </c>
      <c r="AD24" s="78">
        <f>Roster!AE108</f>
        <v>0</v>
      </c>
      <c r="AE24" s="78">
        <f>Roster!AF108</f>
        <v>0</v>
      </c>
      <c r="AF24" s="78">
        <f>Roster!AG108</f>
        <v>0</v>
      </c>
      <c r="AG24" s="79">
        <f>Roster!AH108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Roster!D123</f>
        <v>0</v>
      </c>
      <c r="D27" s="37">
        <f>Roster!E123</f>
        <v>0</v>
      </c>
      <c r="E27" s="37">
        <f>Roster!F123</f>
        <v>0</v>
      </c>
      <c r="F27" s="37">
        <f>Roster!G123</f>
        <v>0</v>
      </c>
      <c r="G27" s="37">
        <f>Roster!H123</f>
        <v>0</v>
      </c>
      <c r="H27" s="37">
        <f>Roster!I123</f>
        <v>0</v>
      </c>
      <c r="I27" s="37">
        <f>Roster!J123</f>
        <v>0</v>
      </c>
      <c r="J27" s="37">
        <f>Roster!K123</f>
        <v>0</v>
      </c>
      <c r="K27" s="37">
        <f>Roster!L123</f>
        <v>0</v>
      </c>
      <c r="L27" s="37">
        <f>Roster!M123</f>
        <v>0</v>
      </c>
      <c r="M27" s="37">
        <f>Roster!N123</f>
        <v>0</v>
      </c>
      <c r="N27" s="37">
        <f>Roster!O123</f>
        <v>0</v>
      </c>
      <c r="O27" s="37">
        <f>Roster!P123</f>
        <v>0</v>
      </c>
      <c r="P27" s="37">
        <f>Roster!Q123</f>
        <v>0</v>
      </c>
      <c r="Q27" s="37">
        <f>Roster!R123</f>
        <v>0</v>
      </c>
      <c r="R27" s="37">
        <f>Roster!S123</f>
        <v>0</v>
      </c>
      <c r="S27" s="37">
        <f>Roster!T123</f>
        <v>0</v>
      </c>
      <c r="T27" s="37">
        <f>Roster!U123</f>
        <v>0</v>
      </c>
      <c r="U27" s="37">
        <f>Roster!V123</f>
        <v>0</v>
      </c>
      <c r="V27" s="37">
        <f>Roster!W123</f>
        <v>0</v>
      </c>
      <c r="W27" s="37">
        <f>Roster!X123</f>
        <v>0</v>
      </c>
      <c r="X27" s="37">
        <f>Roster!Y123</f>
        <v>0</v>
      </c>
      <c r="Y27" s="37">
        <f>Roster!Z123</f>
        <v>0</v>
      </c>
      <c r="Z27" s="37">
        <f>Roster!AA123</f>
        <v>0</v>
      </c>
      <c r="AA27" s="37">
        <f>Roster!AB123</f>
        <v>0</v>
      </c>
      <c r="AB27" s="37">
        <f>Roster!AC123</f>
        <v>0</v>
      </c>
      <c r="AC27" s="37">
        <f>Roster!AD123</f>
        <v>0</v>
      </c>
      <c r="AD27" s="43">
        <f>Roster!AE123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Roster!D138</f>
        <v>0</v>
      </c>
      <c r="D30" s="37">
        <f>Roster!E138</f>
        <v>0</v>
      </c>
      <c r="E30" s="37">
        <f>Roster!F138</f>
        <v>0</v>
      </c>
      <c r="F30" s="37">
        <f>Roster!G138</f>
        <v>0</v>
      </c>
      <c r="G30" s="37">
        <f>Roster!H138</f>
        <v>0</v>
      </c>
      <c r="H30" s="37">
        <f>Roster!I138</f>
        <v>0</v>
      </c>
      <c r="I30" s="37">
        <f>Roster!J138</f>
        <v>0</v>
      </c>
      <c r="J30" s="37">
        <f>Roster!K138</f>
        <v>0</v>
      </c>
      <c r="K30" s="37">
        <f>Roster!L138</f>
        <v>0</v>
      </c>
      <c r="L30" s="37">
        <f>Roster!M138</f>
        <v>0</v>
      </c>
      <c r="M30" s="37">
        <f>Roster!N138</f>
        <v>0</v>
      </c>
      <c r="N30" s="37">
        <f>Roster!O138</f>
        <v>0</v>
      </c>
      <c r="O30" s="37">
        <f>Roster!P138</f>
        <v>0</v>
      </c>
      <c r="P30" s="37">
        <f>Roster!Q138</f>
        <v>0</v>
      </c>
      <c r="Q30" s="37">
        <f>Roster!R138</f>
        <v>0</v>
      </c>
      <c r="R30" s="37">
        <f>Roster!S138</f>
        <v>0</v>
      </c>
      <c r="S30" s="37">
        <f>Roster!T138</f>
        <v>0</v>
      </c>
      <c r="T30" s="37">
        <f>Roster!U138</f>
        <v>0</v>
      </c>
      <c r="U30" s="37">
        <f>Roster!V138</f>
        <v>0</v>
      </c>
      <c r="V30" s="37">
        <f>Roster!W138</f>
        <v>0</v>
      </c>
      <c r="W30" s="37">
        <f>Roster!X138</f>
        <v>0</v>
      </c>
      <c r="X30" s="37">
        <f>Roster!Y138</f>
        <v>0</v>
      </c>
      <c r="Y30" s="37">
        <f>Roster!Z138</f>
        <v>0</v>
      </c>
      <c r="Z30" s="37">
        <f>Roster!AA138</f>
        <v>0</v>
      </c>
      <c r="AA30" s="37">
        <f>Roster!AB138</f>
        <v>0</v>
      </c>
      <c r="AB30" s="37">
        <f>Roster!AC138</f>
        <v>0</v>
      </c>
      <c r="AC30" s="37">
        <f>Roster!AD138</f>
        <v>0</v>
      </c>
      <c r="AD30" s="37">
        <f>Roster!AE138</f>
        <v>0</v>
      </c>
      <c r="AE30" s="37">
        <f>Roster!AF138</f>
        <v>0</v>
      </c>
      <c r="AF30" s="37">
        <f>Roster!AG138</f>
        <v>0</v>
      </c>
      <c r="AG30" s="38">
        <f>Roster!AH138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Roster!D153</f>
        <v>0</v>
      </c>
      <c r="D33" s="37">
        <f>Roster!E153</f>
        <v>0</v>
      </c>
      <c r="E33" s="37">
        <f>Roster!F153</f>
        <v>0</v>
      </c>
      <c r="F33" s="37">
        <f>Roster!G153</f>
        <v>0</v>
      </c>
      <c r="G33" s="37">
        <f>Roster!H153</f>
        <v>0</v>
      </c>
      <c r="H33" s="37">
        <f>Roster!I153</f>
        <v>0</v>
      </c>
      <c r="I33" s="37">
        <f>Roster!J153</f>
        <v>0</v>
      </c>
      <c r="J33" s="37">
        <f>Roster!K153</f>
        <v>0</v>
      </c>
      <c r="K33" s="37">
        <f>Roster!L153</f>
        <v>0</v>
      </c>
      <c r="L33" s="37">
        <f>Roster!M153</f>
        <v>0</v>
      </c>
      <c r="M33" s="37">
        <f>Roster!N153</f>
        <v>0</v>
      </c>
      <c r="N33" s="37">
        <f>Roster!O153</f>
        <v>0</v>
      </c>
      <c r="O33" s="37">
        <f>Roster!P153</f>
        <v>0</v>
      </c>
      <c r="P33" s="37">
        <f>Roster!Q153</f>
        <v>0</v>
      </c>
      <c r="Q33" s="37">
        <f>Roster!R153</f>
        <v>0</v>
      </c>
      <c r="R33" s="37">
        <f>Roster!S153</f>
        <v>0</v>
      </c>
      <c r="S33" s="37">
        <f>Roster!T153</f>
        <v>0</v>
      </c>
      <c r="T33" s="37">
        <f>Roster!U153</f>
        <v>0</v>
      </c>
      <c r="U33" s="37">
        <f>Roster!V153</f>
        <v>0</v>
      </c>
      <c r="V33" s="37">
        <f>Roster!W153</f>
        <v>0</v>
      </c>
      <c r="W33" s="37">
        <f>Roster!X153</f>
        <v>0</v>
      </c>
      <c r="X33" s="37">
        <f>Roster!Y153</f>
        <v>0</v>
      </c>
      <c r="Y33" s="37">
        <f>Roster!Z153</f>
        <v>0</v>
      </c>
      <c r="Z33" s="37">
        <f>Roster!AA153</f>
        <v>0</v>
      </c>
      <c r="AA33" s="37">
        <f>Roster!AB153</f>
        <v>0</v>
      </c>
      <c r="AB33" s="37">
        <f>Roster!AC153</f>
        <v>0</v>
      </c>
      <c r="AC33" s="37">
        <f>Roster!AD153</f>
        <v>0</v>
      </c>
      <c r="AD33" s="37">
        <f>Roster!AE153</f>
        <v>0</v>
      </c>
      <c r="AE33" s="37">
        <f>Roster!AF153</f>
        <v>0</v>
      </c>
      <c r="AF33" s="38">
        <f>Roster!AG153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Roster!D168</f>
        <v>0</v>
      </c>
      <c r="D36" s="37">
        <f>Roster!E168</f>
        <v>0</v>
      </c>
      <c r="E36" s="37">
        <f>Roster!F168</f>
        <v>0</v>
      </c>
      <c r="F36" s="37">
        <f>Roster!G168</f>
        <v>0</v>
      </c>
      <c r="G36" s="37">
        <f>Roster!H168</f>
        <v>0</v>
      </c>
      <c r="H36" s="37">
        <f>Roster!I168</f>
        <v>0</v>
      </c>
      <c r="I36" s="37">
        <f>Roster!J168</f>
        <v>0</v>
      </c>
      <c r="J36" s="37">
        <f>Roster!K168</f>
        <v>0</v>
      </c>
      <c r="K36" s="37">
        <f>Roster!L168</f>
        <v>0</v>
      </c>
      <c r="L36" s="37">
        <f>Roster!M168</f>
        <v>0</v>
      </c>
      <c r="M36" s="37">
        <f>Roster!N168</f>
        <v>0</v>
      </c>
      <c r="N36" s="37">
        <f>Roster!O168</f>
        <v>0</v>
      </c>
      <c r="O36" s="37">
        <f>Roster!P168</f>
        <v>0</v>
      </c>
      <c r="P36" s="37">
        <f>Roster!Q168</f>
        <v>0</v>
      </c>
      <c r="Q36" s="37">
        <f>Roster!R168</f>
        <v>0</v>
      </c>
      <c r="R36" s="37">
        <f>Roster!S168</f>
        <v>0</v>
      </c>
      <c r="S36" s="37">
        <f>Roster!T168</f>
        <v>0</v>
      </c>
      <c r="T36" s="37">
        <f>Roster!U168</f>
        <v>0</v>
      </c>
      <c r="U36" s="37">
        <f>Roster!V168</f>
        <v>0</v>
      </c>
      <c r="V36" s="37">
        <f>Roster!W168</f>
        <v>0</v>
      </c>
      <c r="W36" s="37">
        <f>Roster!X168</f>
        <v>0</v>
      </c>
      <c r="X36" s="37">
        <f>Roster!Y168</f>
        <v>0</v>
      </c>
      <c r="Y36" s="37">
        <f>Roster!Z168</f>
        <v>0</v>
      </c>
      <c r="Z36" s="37">
        <f>Roster!AA168</f>
        <v>0</v>
      </c>
      <c r="AA36" s="37">
        <f>Roster!AB168</f>
        <v>0</v>
      </c>
      <c r="AB36" s="37">
        <f>Roster!AC168</f>
        <v>0</v>
      </c>
      <c r="AC36" s="37">
        <f>Roster!AD168</f>
        <v>0</v>
      </c>
      <c r="AD36" s="37">
        <f>Roster!AE168</f>
        <v>0</v>
      </c>
      <c r="AE36" s="37">
        <f>Roster!AF168</f>
        <v>0</v>
      </c>
      <c r="AF36" s="37">
        <f>Roster!AG168</f>
        <v>0</v>
      </c>
      <c r="AG36" s="38">
        <f>Roster!AH168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Roster!D183</f>
        <v>0</v>
      </c>
      <c r="D39" s="37">
        <f>Roster!E183</f>
        <v>0</v>
      </c>
      <c r="E39" s="37">
        <f>Roster!F183</f>
        <v>0</v>
      </c>
      <c r="F39" s="37">
        <f>Roster!G183</f>
        <v>0</v>
      </c>
      <c r="G39" s="37">
        <f>Roster!H183</f>
        <v>0</v>
      </c>
      <c r="H39" s="37">
        <f>Roster!I183</f>
        <v>0</v>
      </c>
      <c r="I39" s="37">
        <f>Roster!J183</f>
        <v>0</v>
      </c>
      <c r="J39" s="37">
        <f>Roster!K183</f>
        <v>0</v>
      </c>
      <c r="K39" s="37">
        <f>Roster!L183</f>
        <v>0</v>
      </c>
      <c r="L39" s="37">
        <f>Roster!M183</f>
        <v>0</v>
      </c>
      <c r="M39" s="37">
        <f>Roster!N183</f>
        <v>0</v>
      </c>
      <c r="N39" s="37">
        <f>Roster!O183</f>
        <v>0</v>
      </c>
      <c r="O39" s="37">
        <f>Roster!P183</f>
        <v>0</v>
      </c>
      <c r="P39" s="37">
        <f>Roster!Q183</f>
        <v>0</v>
      </c>
      <c r="Q39" s="37">
        <f>Roster!R183</f>
        <v>0</v>
      </c>
      <c r="R39" s="37">
        <f>Roster!S183</f>
        <v>0</v>
      </c>
      <c r="S39" s="37">
        <f>Roster!T183</f>
        <v>0</v>
      </c>
      <c r="T39" s="37">
        <f>Roster!U183</f>
        <v>0</v>
      </c>
      <c r="U39" s="37">
        <f>Roster!V183</f>
        <v>0</v>
      </c>
      <c r="V39" s="37">
        <f>Roster!W183</f>
        <v>0</v>
      </c>
      <c r="W39" s="37">
        <f>Roster!X183</f>
        <v>0</v>
      </c>
      <c r="X39" s="37">
        <f>Roster!Y183</f>
        <v>0</v>
      </c>
      <c r="Y39" s="37">
        <f>Roster!Z183</f>
        <v>0</v>
      </c>
      <c r="Z39" s="37">
        <f>Roster!AA183</f>
        <v>0</v>
      </c>
      <c r="AA39" s="37">
        <f>Roster!AB183</f>
        <v>0</v>
      </c>
      <c r="AB39" s="37">
        <f>Roster!AC183</f>
        <v>0</v>
      </c>
      <c r="AC39" s="37">
        <f>Roster!AD183</f>
        <v>0</v>
      </c>
      <c r="AD39" s="37">
        <f>Roster!AE183</f>
        <v>0</v>
      </c>
      <c r="AE39" s="37">
        <f>Roster!AF183</f>
        <v>0</v>
      </c>
      <c r="AF39" s="38">
        <f>Roster!AG183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EmpGName11 &amp;" " &amp; EmpSName11</f>
        <v>Margaret Rowe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Roster!D19</f>
        <v>0</v>
      </c>
      <c r="D6" s="37">
        <f>Roster!E19</f>
        <v>0</v>
      </c>
      <c r="E6" s="37">
        <f>Roster!F19</f>
        <v>0</v>
      </c>
      <c r="F6" s="37">
        <f>Roster!G19</f>
        <v>0</v>
      </c>
      <c r="G6" s="37">
        <f>Roster!H19</f>
        <v>0</v>
      </c>
      <c r="H6" s="37">
        <f>Roster!I19</f>
        <v>0</v>
      </c>
      <c r="I6" s="37">
        <f>Roster!J19</f>
        <v>0</v>
      </c>
      <c r="J6" s="37" t="str">
        <f>Roster!K19</f>
        <v>PO</v>
      </c>
      <c r="K6" s="37" t="str">
        <f>Roster!L19</f>
        <v>PO</v>
      </c>
      <c r="L6" s="37" t="str">
        <f>Roster!M19</f>
        <v>PO</v>
      </c>
      <c r="M6" s="37" t="str">
        <f>Roster!N19</f>
        <v>PO</v>
      </c>
      <c r="N6" s="37">
        <f>Roster!O19</f>
        <v>0</v>
      </c>
      <c r="O6" s="37">
        <f>Roster!P19</f>
        <v>0</v>
      </c>
      <c r="P6" s="37">
        <f>Roster!Q19</f>
        <v>0</v>
      </c>
      <c r="Q6" s="37">
        <f>Roster!R19</f>
        <v>0</v>
      </c>
      <c r="R6" s="37">
        <f>Roster!S19</f>
        <v>0</v>
      </c>
      <c r="S6" s="37">
        <f>Roster!T19</f>
        <v>0</v>
      </c>
      <c r="T6" s="37" t="str">
        <f>Roster!U19</f>
        <v>PO</v>
      </c>
      <c r="U6" s="37" t="str">
        <f>Roster!V19</f>
        <v>PO</v>
      </c>
      <c r="V6" s="37" t="str">
        <f>Roster!W19</f>
        <v>PO</v>
      </c>
      <c r="W6" s="37" t="str">
        <f>Roster!X19</f>
        <v>PO</v>
      </c>
      <c r="X6" s="37">
        <f>Roster!Y19</f>
        <v>0</v>
      </c>
      <c r="Y6" s="37">
        <f>Roster!Z19</f>
        <v>0</v>
      </c>
      <c r="Z6" s="37">
        <f>Roster!AA19</f>
        <v>0</v>
      </c>
      <c r="AA6" s="37">
        <f>Roster!AB19</f>
        <v>0</v>
      </c>
      <c r="AB6" s="37" t="str">
        <f>Roster!AC19</f>
        <v>PO</v>
      </c>
      <c r="AC6" s="37" t="str">
        <f>Roster!AD19</f>
        <v>PO</v>
      </c>
      <c r="AD6" s="37">
        <f>Roster!AE19</f>
        <v>0</v>
      </c>
      <c r="AE6" s="37">
        <f>Roster!AF19</f>
        <v>0</v>
      </c>
      <c r="AF6" s="37">
        <f>Roster!AG19</f>
        <v>0</v>
      </c>
      <c r="AG6" s="38">
        <f>Roster!AH19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Roster!D34</f>
        <v>0</v>
      </c>
      <c r="D9" s="39">
        <f>Roster!E34</f>
        <v>0</v>
      </c>
      <c r="E9" s="37">
        <f>Roster!F34</f>
        <v>0</v>
      </c>
      <c r="F9" s="37">
        <f>Roster!G34</f>
        <v>0</v>
      </c>
      <c r="G9" s="37">
        <f>Roster!H34</f>
        <v>0</v>
      </c>
      <c r="H9" s="37">
        <f>Roster!I34</f>
        <v>0</v>
      </c>
      <c r="I9" s="37">
        <f>Roster!J34</f>
        <v>0</v>
      </c>
      <c r="J9" s="37">
        <f>Roster!K34</f>
        <v>0</v>
      </c>
      <c r="K9" s="37">
        <f>Roster!L34</f>
        <v>0</v>
      </c>
      <c r="L9" s="37">
        <f>Roster!M34</f>
        <v>0</v>
      </c>
      <c r="M9" s="37">
        <f>Roster!N34</f>
        <v>0</v>
      </c>
      <c r="N9" s="37">
        <f>Roster!O34</f>
        <v>0</v>
      </c>
      <c r="O9" s="37">
        <f>Roster!P34</f>
        <v>0</v>
      </c>
      <c r="P9" s="37">
        <f>Roster!Q34</f>
        <v>0</v>
      </c>
      <c r="Q9" s="37">
        <f>Roster!R34</f>
        <v>0</v>
      </c>
      <c r="R9" s="37">
        <f>Roster!S34</f>
        <v>0</v>
      </c>
      <c r="S9" s="37">
        <f>Roster!T34</f>
        <v>0</v>
      </c>
      <c r="T9" s="37">
        <f>Roster!U34</f>
        <v>0</v>
      </c>
      <c r="U9" s="37">
        <f>Roster!V34</f>
        <v>0</v>
      </c>
      <c r="V9" s="37">
        <f>Roster!W34</f>
        <v>0</v>
      </c>
      <c r="W9" s="37">
        <f>Roster!X34</f>
        <v>0</v>
      </c>
      <c r="X9" s="37">
        <f>Roster!Y34</f>
        <v>0</v>
      </c>
      <c r="Y9" s="37">
        <f>Roster!Z34</f>
        <v>0</v>
      </c>
      <c r="Z9" s="37">
        <f>Roster!AA34</f>
        <v>0</v>
      </c>
      <c r="AA9" s="37">
        <f>Roster!AB34</f>
        <v>0</v>
      </c>
      <c r="AB9" s="37">
        <f>Roster!AC34</f>
        <v>0</v>
      </c>
      <c r="AC9" s="37">
        <f>Roster!AD34</f>
        <v>0</v>
      </c>
      <c r="AD9" s="37">
        <f>Roster!AE34</f>
        <v>0</v>
      </c>
      <c r="AE9" s="37">
        <f>Roster!AF34</f>
        <v>0</v>
      </c>
      <c r="AF9" s="37">
        <f>Roster!AG34</f>
        <v>0</v>
      </c>
      <c r="AG9" s="38">
        <f>Roster!AH34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Roster!D49</f>
        <v>0</v>
      </c>
      <c r="D12" s="37">
        <f>Roster!E49</f>
        <v>0</v>
      </c>
      <c r="E12" s="37">
        <f>Roster!F49</f>
        <v>0</v>
      </c>
      <c r="F12" s="37">
        <f>Roster!G49</f>
        <v>0</v>
      </c>
      <c r="G12" s="37">
        <f>Roster!H49</f>
        <v>0</v>
      </c>
      <c r="H12" s="37">
        <f>Roster!I49</f>
        <v>0</v>
      </c>
      <c r="I12" s="37">
        <f>Roster!J49</f>
        <v>0</v>
      </c>
      <c r="J12" s="37">
        <f>Roster!K49</f>
        <v>0</v>
      </c>
      <c r="K12" s="37">
        <f>Roster!L49</f>
        <v>0</v>
      </c>
      <c r="L12" s="37">
        <f>Roster!M49</f>
        <v>0</v>
      </c>
      <c r="M12" s="37">
        <f>Roster!N49</f>
        <v>0</v>
      </c>
      <c r="N12" s="37">
        <f>Roster!O49</f>
        <v>0</v>
      </c>
      <c r="O12" s="37">
        <f>Roster!P49</f>
        <v>0</v>
      </c>
      <c r="P12" s="37">
        <f>Roster!Q49</f>
        <v>0</v>
      </c>
      <c r="Q12" s="37">
        <f>Roster!R49</f>
        <v>0</v>
      </c>
      <c r="R12" s="37">
        <f>Roster!S49</f>
        <v>0</v>
      </c>
      <c r="S12" s="37">
        <f>Roster!T49</f>
        <v>0</v>
      </c>
      <c r="T12" s="37">
        <f>Roster!U49</f>
        <v>0</v>
      </c>
      <c r="U12" s="37">
        <f>Roster!V49</f>
        <v>0</v>
      </c>
      <c r="V12" s="37">
        <f>Roster!W49</f>
        <v>0</v>
      </c>
      <c r="W12" s="37">
        <f>Roster!X49</f>
        <v>0</v>
      </c>
      <c r="X12" s="37">
        <f>Roster!Y49</f>
        <v>0</v>
      </c>
      <c r="Y12" s="37">
        <f>Roster!Z49</f>
        <v>0</v>
      </c>
      <c r="Z12" s="37">
        <f>Roster!AA49</f>
        <v>0</v>
      </c>
      <c r="AA12" s="37">
        <f>Roster!AB49</f>
        <v>0</v>
      </c>
      <c r="AB12" s="37">
        <f>Roster!AC49</f>
        <v>0</v>
      </c>
      <c r="AC12" s="37">
        <f>Roster!AD49</f>
        <v>0</v>
      </c>
      <c r="AD12" s="37">
        <f>Roster!AE49</f>
        <v>0</v>
      </c>
      <c r="AE12" s="37">
        <f>Roster!AF49</f>
        <v>0</v>
      </c>
      <c r="AF12" s="38">
        <f>Roster!AG49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Roster!D64</f>
        <v>0</v>
      </c>
      <c r="D15" s="37">
        <f>Roster!E64</f>
        <v>0</v>
      </c>
      <c r="E15" s="37">
        <f>Roster!F64</f>
        <v>0</v>
      </c>
      <c r="F15" s="37">
        <f>Roster!G64</f>
        <v>0</v>
      </c>
      <c r="G15" s="37">
        <f>Roster!H64</f>
        <v>0</v>
      </c>
      <c r="H15" s="37">
        <f>Roster!I64</f>
        <v>0</v>
      </c>
      <c r="I15" s="37">
        <f>Roster!J64</f>
        <v>0</v>
      </c>
      <c r="J15" s="37">
        <f>Roster!K64</f>
        <v>0</v>
      </c>
      <c r="K15" s="37">
        <f>Roster!L64</f>
        <v>0</v>
      </c>
      <c r="L15" s="37">
        <f>Roster!M64</f>
        <v>0</v>
      </c>
      <c r="M15" s="37">
        <f>Roster!N64</f>
        <v>0</v>
      </c>
      <c r="N15" s="37">
        <f>Roster!O64</f>
        <v>0</v>
      </c>
      <c r="O15" s="37">
        <f>Roster!P64</f>
        <v>0</v>
      </c>
      <c r="P15" s="37">
        <f>Roster!Q64</f>
        <v>0</v>
      </c>
      <c r="Q15" s="37">
        <f>Roster!R64</f>
        <v>0</v>
      </c>
      <c r="R15" s="37">
        <f>Roster!S64</f>
        <v>0</v>
      </c>
      <c r="S15" s="37">
        <f>Roster!T64</f>
        <v>0</v>
      </c>
      <c r="T15" s="37">
        <f>Roster!U64</f>
        <v>0</v>
      </c>
      <c r="U15" s="37">
        <f>Roster!V64</f>
        <v>0</v>
      </c>
      <c r="V15" s="37">
        <f>Roster!W64</f>
        <v>0</v>
      </c>
      <c r="W15" s="37">
        <f>Roster!X64</f>
        <v>0</v>
      </c>
      <c r="X15" s="37">
        <f>Roster!Y64</f>
        <v>0</v>
      </c>
      <c r="Y15" s="37">
        <f>Roster!Z64</f>
        <v>0</v>
      </c>
      <c r="Z15" s="37">
        <f>Roster!AA64</f>
        <v>0</v>
      </c>
      <c r="AA15" s="37">
        <f>Roster!AB64</f>
        <v>0</v>
      </c>
      <c r="AB15" s="37">
        <f>Roster!AC64</f>
        <v>0</v>
      </c>
      <c r="AC15" s="37">
        <f>Roster!AD64</f>
        <v>0</v>
      </c>
      <c r="AD15" s="37">
        <f>Roster!AE64</f>
        <v>0</v>
      </c>
      <c r="AE15" s="37">
        <f>Roster!AF64</f>
        <v>0</v>
      </c>
      <c r="AF15" s="37">
        <f>Roster!AG64</f>
        <v>0</v>
      </c>
      <c r="AG15" s="38">
        <f>Roster!AH64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Roster!D79</f>
        <v>0</v>
      </c>
      <c r="D18" s="37">
        <f>Roster!E79</f>
        <v>0</v>
      </c>
      <c r="E18" s="37">
        <f>Roster!F79</f>
        <v>0</v>
      </c>
      <c r="F18" s="37">
        <f>Roster!G79</f>
        <v>0</v>
      </c>
      <c r="G18" s="37">
        <f>Roster!H79</f>
        <v>0</v>
      </c>
      <c r="H18" s="37">
        <f>Roster!I79</f>
        <v>0</v>
      </c>
      <c r="I18" s="37">
        <f>Roster!J79</f>
        <v>0</v>
      </c>
      <c r="J18" s="37">
        <f>Roster!K79</f>
        <v>0</v>
      </c>
      <c r="K18" s="37">
        <f>Roster!L79</f>
        <v>0</v>
      </c>
      <c r="L18" s="37">
        <f>Roster!M79</f>
        <v>0</v>
      </c>
      <c r="M18" s="37">
        <f>Roster!N79</f>
        <v>0</v>
      </c>
      <c r="N18" s="37">
        <f>Roster!O79</f>
        <v>0</v>
      </c>
      <c r="O18" s="37">
        <f>Roster!P79</f>
        <v>0</v>
      </c>
      <c r="P18" s="37">
        <f>Roster!Q79</f>
        <v>0</v>
      </c>
      <c r="Q18" s="37">
        <f>Roster!R79</f>
        <v>0</v>
      </c>
      <c r="R18" s="37">
        <f>Roster!S79</f>
        <v>0</v>
      </c>
      <c r="S18" s="37">
        <f>Roster!T79</f>
        <v>0</v>
      </c>
      <c r="T18" s="37">
        <f>Roster!U79</f>
        <v>0</v>
      </c>
      <c r="U18" s="37">
        <f>Roster!V79</f>
        <v>0</v>
      </c>
      <c r="V18" s="37">
        <f>Roster!W79</f>
        <v>0</v>
      </c>
      <c r="W18" s="37">
        <f>Roster!X79</f>
        <v>0</v>
      </c>
      <c r="X18" s="37">
        <f>Roster!Y79</f>
        <v>0</v>
      </c>
      <c r="Y18" s="37">
        <f>Roster!Z79</f>
        <v>0</v>
      </c>
      <c r="Z18" s="37">
        <f>Roster!AA79</f>
        <v>0</v>
      </c>
      <c r="AA18" s="37">
        <f>Roster!AB79</f>
        <v>0</v>
      </c>
      <c r="AB18" s="37">
        <f>Roster!AC79</f>
        <v>0</v>
      </c>
      <c r="AC18" s="37">
        <f>Roster!AD79</f>
        <v>0</v>
      </c>
      <c r="AD18" s="37">
        <f>Roster!AE79</f>
        <v>0</v>
      </c>
      <c r="AE18" s="37">
        <f>Roster!AF79</f>
        <v>0</v>
      </c>
      <c r="AF18" s="38">
        <f>Roster!AG79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Roster!D94</f>
        <v>0</v>
      </c>
      <c r="D21" s="37">
        <f>Roster!E94</f>
        <v>0</v>
      </c>
      <c r="E21" s="37">
        <f>Roster!F94</f>
        <v>0</v>
      </c>
      <c r="F21" s="37">
        <f>Roster!G94</f>
        <v>0</v>
      </c>
      <c r="G21" s="37">
        <f>Roster!H94</f>
        <v>0</v>
      </c>
      <c r="H21" s="37">
        <f>Roster!I94</f>
        <v>0</v>
      </c>
      <c r="I21" s="37">
        <f>Roster!J94</f>
        <v>0</v>
      </c>
      <c r="J21" s="37">
        <f>Roster!K94</f>
        <v>0</v>
      </c>
      <c r="K21" s="37">
        <f>Roster!L94</f>
        <v>0</v>
      </c>
      <c r="L21" s="37">
        <f>Roster!M94</f>
        <v>0</v>
      </c>
      <c r="M21" s="37">
        <f>Roster!N94</f>
        <v>0</v>
      </c>
      <c r="N21" s="37">
        <f>Roster!O94</f>
        <v>0</v>
      </c>
      <c r="O21" s="37">
        <f>Roster!P94</f>
        <v>0</v>
      </c>
      <c r="P21" s="37">
        <f>Roster!Q94</f>
        <v>0</v>
      </c>
      <c r="Q21" s="37">
        <f>Roster!R94</f>
        <v>0</v>
      </c>
      <c r="R21" s="37">
        <f>Roster!S94</f>
        <v>0</v>
      </c>
      <c r="S21" s="37">
        <f>Roster!T94</f>
        <v>0</v>
      </c>
      <c r="T21" s="37">
        <f>Roster!U94</f>
        <v>0</v>
      </c>
      <c r="U21" s="37">
        <f>Roster!V94</f>
        <v>0</v>
      </c>
      <c r="V21" s="37">
        <f>Roster!W94</f>
        <v>0</v>
      </c>
      <c r="W21" s="37">
        <f>Roster!X94</f>
        <v>0</v>
      </c>
      <c r="X21" s="37">
        <f>Roster!Y94</f>
        <v>0</v>
      </c>
      <c r="Y21" s="37">
        <f>Roster!Z94</f>
        <v>0</v>
      </c>
      <c r="Z21" s="37">
        <f>Roster!AA94</f>
        <v>0</v>
      </c>
      <c r="AA21" s="37">
        <f>Roster!AB94</f>
        <v>0</v>
      </c>
      <c r="AB21" s="37">
        <f>Roster!AC94</f>
        <v>0</v>
      </c>
      <c r="AC21" s="37">
        <f>Roster!AD94</f>
        <v>0</v>
      </c>
      <c r="AD21" s="37">
        <f>Roster!AE94</f>
        <v>0</v>
      </c>
      <c r="AE21" s="37">
        <f>Roster!AF94</f>
        <v>0</v>
      </c>
      <c r="AF21" s="37">
        <f>Roster!AG94</f>
        <v>0</v>
      </c>
      <c r="AG21" s="38">
        <f>Roster!AH94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Roster!D109</f>
        <v>0</v>
      </c>
      <c r="D24" s="53">
        <f>Roster!E109</f>
        <v>0</v>
      </c>
      <c r="E24" s="53">
        <f>Roster!F109</f>
        <v>0</v>
      </c>
      <c r="F24" s="53">
        <f>Roster!G109</f>
        <v>0</v>
      </c>
      <c r="G24" s="53">
        <f>Roster!H109</f>
        <v>0</v>
      </c>
      <c r="H24" s="53">
        <f>Roster!I109</f>
        <v>0</v>
      </c>
      <c r="I24" s="53">
        <f>Roster!J109</f>
        <v>0</v>
      </c>
      <c r="J24" s="53">
        <f>Roster!K109</f>
        <v>0</v>
      </c>
      <c r="K24" s="53">
        <f>Roster!L109</f>
        <v>0</v>
      </c>
      <c r="L24" s="53">
        <f>Roster!M109</f>
        <v>0</v>
      </c>
      <c r="M24" s="53">
        <f>Roster!N109</f>
        <v>0</v>
      </c>
      <c r="N24" s="53">
        <f>Roster!O109</f>
        <v>0</v>
      </c>
      <c r="O24" s="53">
        <f>Roster!P109</f>
        <v>0</v>
      </c>
      <c r="P24" s="53">
        <f>Roster!Q109</f>
        <v>0</v>
      </c>
      <c r="Q24" s="53">
        <f>Roster!R109</f>
        <v>0</v>
      </c>
      <c r="R24" s="53">
        <f>Roster!S109</f>
        <v>0</v>
      </c>
      <c r="S24" s="53">
        <f>Roster!T109</f>
        <v>0</v>
      </c>
      <c r="T24" s="53">
        <f>Roster!U109</f>
        <v>0</v>
      </c>
      <c r="U24" s="53">
        <f>Roster!V109</f>
        <v>0</v>
      </c>
      <c r="V24" s="53">
        <f>Roster!W109</f>
        <v>0</v>
      </c>
      <c r="W24" s="53">
        <f>Roster!X109</f>
        <v>0</v>
      </c>
      <c r="X24" s="53">
        <f>Roster!Y109</f>
        <v>0</v>
      </c>
      <c r="Y24" s="53">
        <f>Roster!Z109</f>
        <v>0</v>
      </c>
      <c r="Z24" s="53">
        <f>Roster!AA109</f>
        <v>0</v>
      </c>
      <c r="AA24" s="53">
        <f>Roster!AB109</f>
        <v>0</v>
      </c>
      <c r="AB24" s="53">
        <f>Roster!AC109</f>
        <v>0</v>
      </c>
      <c r="AC24" s="53">
        <f>Roster!AD109</f>
        <v>0</v>
      </c>
      <c r="AD24" s="53">
        <f>Roster!AE109</f>
        <v>0</v>
      </c>
      <c r="AE24" s="53">
        <f>Roster!AF109</f>
        <v>0</v>
      </c>
      <c r="AF24" s="53">
        <f>Roster!AG109</f>
        <v>0</v>
      </c>
      <c r="AG24" s="54">
        <f>Roster!AH109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Roster!D124</f>
        <v>0</v>
      </c>
      <c r="D27" s="37">
        <f>Roster!E124</f>
        <v>0</v>
      </c>
      <c r="E27" s="37">
        <f>Roster!F124</f>
        <v>0</v>
      </c>
      <c r="F27" s="37">
        <f>Roster!G124</f>
        <v>0</v>
      </c>
      <c r="G27" s="37">
        <f>Roster!H124</f>
        <v>0</v>
      </c>
      <c r="H27" s="37">
        <f>Roster!I124</f>
        <v>0</v>
      </c>
      <c r="I27" s="37">
        <f>Roster!J124</f>
        <v>0</v>
      </c>
      <c r="J27" s="37">
        <f>Roster!K124</f>
        <v>0</v>
      </c>
      <c r="K27" s="37">
        <f>Roster!L124</f>
        <v>0</v>
      </c>
      <c r="L27" s="37">
        <f>Roster!M124</f>
        <v>0</v>
      </c>
      <c r="M27" s="37">
        <f>Roster!N124</f>
        <v>0</v>
      </c>
      <c r="N27" s="37">
        <f>Roster!O124</f>
        <v>0</v>
      </c>
      <c r="O27" s="37">
        <f>Roster!P124</f>
        <v>0</v>
      </c>
      <c r="P27" s="37">
        <f>Roster!Q124</f>
        <v>0</v>
      </c>
      <c r="Q27" s="37">
        <f>Roster!R124</f>
        <v>0</v>
      </c>
      <c r="R27" s="37">
        <f>Roster!S124</f>
        <v>0</v>
      </c>
      <c r="S27" s="37">
        <f>Roster!T124</f>
        <v>0</v>
      </c>
      <c r="T27" s="37">
        <f>Roster!U124</f>
        <v>0</v>
      </c>
      <c r="U27" s="37">
        <f>Roster!V124</f>
        <v>0</v>
      </c>
      <c r="V27" s="37">
        <f>Roster!W124</f>
        <v>0</v>
      </c>
      <c r="W27" s="37">
        <f>Roster!X124</f>
        <v>0</v>
      </c>
      <c r="X27" s="37">
        <f>Roster!Y124</f>
        <v>0</v>
      </c>
      <c r="Y27" s="37">
        <f>Roster!Z124</f>
        <v>0</v>
      </c>
      <c r="Z27" s="37">
        <f>Roster!AA124</f>
        <v>0</v>
      </c>
      <c r="AA27" s="37">
        <f>Roster!AB124</f>
        <v>0</v>
      </c>
      <c r="AB27" s="37">
        <f>Roster!AC124</f>
        <v>0</v>
      </c>
      <c r="AC27" s="37">
        <f>Roster!AD124</f>
        <v>0</v>
      </c>
      <c r="AD27" s="43">
        <f>Roster!AE124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Roster!D139</f>
        <v>0</v>
      </c>
      <c r="D30" s="37">
        <f>Roster!E139</f>
        <v>0</v>
      </c>
      <c r="E30" s="37">
        <f>Roster!F139</f>
        <v>0</v>
      </c>
      <c r="F30" s="37">
        <f>Roster!G139</f>
        <v>0</v>
      </c>
      <c r="G30" s="37">
        <f>Roster!H139</f>
        <v>0</v>
      </c>
      <c r="H30" s="37">
        <f>Roster!I139</f>
        <v>0</v>
      </c>
      <c r="I30" s="37">
        <f>Roster!J139</f>
        <v>0</v>
      </c>
      <c r="J30" s="37">
        <f>Roster!K139</f>
        <v>0</v>
      </c>
      <c r="K30" s="37">
        <f>Roster!L139</f>
        <v>0</v>
      </c>
      <c r="L30" s="37">
        <f>Roster!M139</f>
        <v>0</v>
      </c>
      <c r="M30" s="37">
        <f>Roster!N139</f>
        <v>0</v>
      </c>
      <c r="N30" s="37">
        <f>Roster!O139</f>
        <v>0</v>
      </c>
      <c r="O30" s="37">
        <f>Roster!P139</f>
        <v>0</v>
      </c>
      <c r="P30" s="37">
        <f>Roster!Q139</f>
        <v>0</v>
      </c>
      <c r="Q30" s="37">
        <f>Roster!R139</f>
        <v>0</v>
      </c>
      <c r="R30" s="37">
        <f>Roster!S139</f>
        <v>0</v>
      </c>
      <c r="S30" s="37">
        <f>Roster!T139</f>
        <v>0</v>
      </c>
      <c r="T30" s="37">
        <f>Roster!U139</f>
        <v>0</v>
      </c>
      <c r="U30" s="37">
        <f>Roster!V139</f>
        <v>0</v>
      </c>
      <c r="V30" s="37">
        <f>Roster!W139</f>
        <v>0</v>
      </c>
      <c r="W30" s="37">
        <f>Roster!X139</f>
        <v>0</v>
      </c>
      <c r="X30" s="37">
        <f>Roster!Y139</f>
        <v>0</v>
      </c>
      <c r="Y30" s="37">
        <f>Roster!Z139</f>
        <v>0</v>
      </c>
      <c r="Z30" s="37">
        <f>Roster!AA139</f>
        <v>0</v>
      </c>
      <c r="AA30" s="37">
        <f>Roster!AB139</f>
        <v>0</v>
      </c>
      <c r="AB30" s="37">
        <f>Roster!AC139</f>
        <v>0</v>
      </c>
      <c r="AC30" s="37">
        <f>Roster!AD139</f>
        <v>0</v>
      </c>
      <c r="AD30" s="37">
        <f>Roster!AE139</f>
        <v>0</v>
      </c>
      <c r="AE30" s="37">
        <f>Roster!AF139</f>
        <v>0</v>
      </c>
      <c r="AF30" s="37">
        <f>Roster!AG139</f>
        <v>0</v>
      </c>
      <c r="AG30" s="38">
        <f>Roster!AH139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Roster!D154</f>
        <v>0</v>
      </c>
      <c r="D33" s="37">
        <f>Roster!E154</f>
        <v>0</v>
      </c>
      <c r="E33" s="37">
        <f>Roster!F154</f>
        <v>0</v>
      </c>
      <c r="F33" s="37">
        <f>Roster!G154</f>
        <v>0</v>
      </c>
      <c r="G33" s="37">
        <f>Roster!H154</f>
        <v>0</v>
      </c>
      <c r="H33" s="37">
        <f>Roster!I154</f>
        <v>0</v>
      </c>
      <c r="I33" s="37">
        <f>Roster!J154</f>
        <v>0</v>
      </c>
      <c r="J33" s="37">
        <f>Roster!K154</f>
        <v>0</v>
      </c>
      <c r="K33" s="37">
        <f>Roster!L154</f>
        <v>0</v>
      </c>
      <c r="L33" s="37">
        <f>Roster!M154</f>
        <v>0</v>
      </c>
      <c r="M33" s="37">
        <f>Roster!N154</f>
        <v>0</v>
      </c>
      <c r="N33" s="37">
        <f>Roster!O154</f>
        <v>0</v>
      </c>
      <c r="O33" s="37">
        <f>Roster!P154</f>
        <v>0</v>
      </c>
      <c r="P33" s="37">
        <f>Roster!Q154</f>
        <v>0</v>
      </c>
      <c r="Q33" s="37">
        <f>Roster!R154</f>
        <v>0</v>
      </c>
      <c r="R33" s="37">
        <f>Roster!S154</f>
        <v>0</v>
      </c>
      <c r="S33" s="37">
        <f>Roster!T154</f>
        <v>0</v>
      </c>
      <c r="T33" s="37">
        <f>Roster!U154</f>
        <v>0</v>
      </c>
      <c r="U33" s="37">
        <f>Roster!V154</f>
        <v>0</v>
      </c>
      <c r="V33" s="37">
        <f>Roster!W154</f>
        <v>0</v>
      </c>
      <c r="W33" s="37">
        <f>Roster!X154</f>
        <v>0</v>
      </c>
      <c r="X33" s="37">
        <f>Roster!Y154</f>
        <v>0</v>
      </c>
      <c r="Y33" s="37">
        <f>Roster!Z154</f>
        <v>0</v>
      </c>
      <c r="Z33" s="37">
        <f>Roster!AA154</f>
        <v>0</v>
      </c>
      <c r="AA33" s="37">
        <f>Roster!AB154</f>
        <v>0</v>
      </c>
      <c r="AB33" s="37">
        <f>Roster!AC154</f>
        <v>0</v>
      </c>
      <c r="AC33" s="37">
        <f>Roster!AD154</f>
        <v>0</v>
      </c>
      <c r="AD33" s="37">
        <f>Roster!AE154</f>
        <v>0</v>
      </c>
      <c r="AE33" s="37">
        <f>Roster!AF154</f>
        <v>0</v>
      </c>
      <c r="AF33" s="38">
        <f>Roster!AG154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Roster!D169</f>
        <v>0</v>
      </c>
      <c r="D36" s="37">
        <f>Roster!E169</f>
        <v>0</v>
      </c>
      <c r="E36" s="37">
        <f>Roster!F169</f>
        <v>0</v>
      </c>
      <c r="F36" s="37">
        <f>Roster!G169</f>
        <v>0</v>
      </c>
      <c r="G36" s="37">
        <f>Roster!H169</f>
        <v>0</v>
      </c>
      <c r="H36" s="37">
        <f>Roster!I169</f>
        <v>0</v>
      </c>
      <c r="I36" s="37">
        <f>Roster!J169</f>
        <v>0</v>
      </c>
      <c r="J36" s="37">
        <f>Roster!K169</f>
        <v>0</v>
      </c>
      <c r="K36" s="37">
        <f>Roster!L169</f>
        <v>0</v>
      </c>
      <c r="L36" s="37">
        <f>Roster!M169</f>
        <v>0</v>
      </c>
      <c r="M36" s="37">
        <f>Roster!N169</f>
        <v>0</v>
      </c>
      <c r="N36" s="37">
        <f>Roster!O169</f>
        <v>0</v>
      </c>
      <c r="O36" s="37">
        <f>Roster!P169</f>
        <v>0</v>
      </c>
      <c r="P36" s="37">
        <f>Roster!Q169</f>
        <v>0</v>
      </c>
      <c r="Q36" s="37">
        <f>Roster!R169</f>
        <v>0</v>
      </c>
      <c r="R36" s="37">
        <f>Roster!S169</f>
        <v>0</v>
      </c>
      <c r="S36" s="37">
        <f>Roster!T169</f>
        <v>0</v>
      </c>
      <c r="T36" s="37">
        <f>Roster!U169</f>
        <v>0</v>
      </c>
      <c r="U36" s="37">
        <f>Roster!V169</f>
        <v>0</v>
      </c>
      <c r="V36" s="37">
        <f>Roster!W169</f>
        <v>0</v>
      </c>
      <c r="W36" s="37">
        <f>Roster!X169</f>
        <v>0</v>
      </c>
      <c r="X36" s="37">
        <f>Roster!Y169</f>
        <v>0</v>
      </c>
      <c r="Y36" s="37">
        <f>Roster!Z169</f>
        <v>0</v>
      </c>
      <c r="Z36" s="37">
        <f>Roster!AA169</f>
        <v>0</v>
      </c>
      <c r="AA36" s="37">
        <f>Roster!AB169</f>
        <v>0</v>
      </c>
      <c r="AB36" s="37">
        <f>Roster!AC169</f>
        <v>0</v>
      </c>
      <c r="AC36" s="37">
        <f>Roster!AD169</f>
        <v>0</v>
      </c>
      <c r="AD36" s="37">
        <f>Roster!AE169</f>
        <v>0</v>
      </c>
      <c r="AE36" s="37">
        <f>Roster!AF169</f>
        <v>0</v>
      </c>
      <c r="AF36" s="37">
        <f>Roster!AG169</f>
        <v>0</v>
      </c>
      <c r="AG36" s="38">
        <f>Roster!AH169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Roster!D184</f>
        <v>0</v>
      </c>
      <c r="D39" s="37">
        <f>Roster!E184</f>
        <v>0</v>
      </c>
      <c r="E39" s="37">
        <f>Roster!F184</f>
        <v>0</v>
      </c>
      <c r="F39" s="37">
        <f>Roster!G184</f>
        <v>0</v>
      </c>
      <c r="G39" s="37">
        <f>Roster!H184</f>
        <v>0</v>
      </c>
      <c r="H39" s="37">
        <f>Roster!I184</f>
        <v>0</v>
      </c>
      <c r="I39" s="37">
        <f>Roster!J184</f>
        <v>0</v>
      </c>
      <c r="J39" s="37">
        <f>Roster!K184</f>
        <v>0</v>
      </c>
      <c r="K39" s="37">
        <f>Roster!L184</f>
        <v>0</v>
      </c>
      <c r="L39" s="37">
        <f>Roster!M184</f>
        <v>0</v>
      </c>
      <c r="M39" s="37">
        <f>Roster!N184</f>
        <v>0</v>
      </c>
      <c r="N39" s="37">
        <f>Roster!O184</f>
        <v>0</v>
      </c>
      <c r="O39" s="37">
        <f>Roster!P184</f>
        <v>0</v>
      </c>
      <c r="P39" s="37">
        <f>Roster!Q184</f>
        <v>0</v>
      </c>
      <c r="Q39" s="37">
        <f>Roster!R184</f>
        <v>0</v>
      </c>
      <c r="R39" s="37">
        <f>Roster!S184</f>
        <v>0</v>
      </c>
      <c r="S39" s="37">
        <f>Roster!T184</f>
        <v>0</v>
      </c>
      <c r="T39" s="37">
        <f>Roster!U184</f>
        <v>0</v>
      </c>
      <c r="U39" s="37">
        <f>Roster!V184</f>
        <v>0</v>
      </c>
      <c r="V39" s="37">
        <f>Roster!W184</f>
        <v>0</v>
      </c>
      <c r="W39" s="37">
        <f>Roster!X184</f>
        <v>0</v>
      </c>
      <c r="X39" s="37">
        <f>Roster!Y184</f>
        <v>0</v>
      </c>
      <c r="Y39" s="37">
        <f>Roster!Z184</f>
        <v>0</v>
      </c>
      <c r="Z39" s="37">
        <f>Roster!AA184</f>
        <v>0</v>
      </c>
      <c r="AA39" s="37">
        <f>Roster!AB184</f>
        <v>0</v>
      </c>
      <c r="AB39" s="37">
        <f>Roster!AC184</f>
        <v>0</v>
      </c>
      <c r="AC39" s="37">
        <f>Roster!AD184</f>
        <v>0</v>
      </c>
      <c r="AD39" s="37">
        <f>Roster!AE184</f>
        <v>0</v>
      </c>
      <c r="AE39" s="37">
        <f>Roster!AF184</f>
        <v>0</v>
      </c>
      <c r="AF39" s="38">
        <f>Roster!AG184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EmpGName12 &amp;" " &amp; EmpSName12</f>
        <v>John Stevens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Roster!D20</f>
        <v>0</v>
      </c>
      <c r="D6" s="37">
        <f>Roster!E20</f>
        <v>0</v>
      </c>
      <c r="E6" s="37">
        <f>Roster!F20</f>
        <v>0</v>
      </c>
      <c r="F6" s="37">
        <f>Roster!G20</f>
        <v>0</v>
      </c>
      <c r="G6" s="37">
        <f>Roster!H20</f>
        <v>0</v>
      </c>
      <c r="H6" s="37">
        <f>Roster!I20</f>
        <v>0</v>
      </c>
      <c r="I6" s="37">
        <f>Roster!J20</f>
        <v>0</v>
      </c>
      <c r="J6" s="37" t="str">
        <f>Roster!K20</f>
        <v>PO</v>
      </c>
      <c r="K6" s="37" t="str">
        <f>Roster!L20</f>
        <v>PO</v>
      </c>
      <c r="L6" s="37" t="str">
        <f>Roster!M20</f>
        <v>PO</v>
      </c>
      <c r="M6" s="37" t="str">
        <f>Roster!N20</f>
        <v>PO</v>
      </c>
      <c r="N6" s="37">
        <f>Roster!O20</f>
        <v>0</v>
      </c>
      <c r="O6" s="37">
        <f>Roster!P20</f>
        <v>0</v>
      </c>
      <c r="P6" s="37">
        <f>Roster!Q20</f>
        <v>0</v>
      </c>
      <c r="Q6" s="37">
        <f>Roster!R20</f>
        <v>0</v>
      </c>
      <c r="R6" s="37">
        <f>Roster!S20</f>
        <v>0</v>
      </c>
      <c r="S6" s="37">
        <f>Roster!T20</f>
        <v>0</v>
      </c>
      <c r="T6" s="37" t="str">
        <f>Roster!U20</f>
        <v>PO</v>
      </c>
      <c r="U6" s="37" t="str">
        <f>Roster!V20</f>
        <v>PO</v>
      </c>
      <c r="V6" s="37" t="str">
        <f>Roster!W20</f>
        <v>PO</v>
      </c>
      <c r="W6" s="37" t="str">
        <f>Roster!X20</f>
        <v>PO</v>
      </c>
      <c r="X6" s="37">
        <f>Roster!Y20</f>
        <v>0</v>
      </c>
      <c r="Y6" s="37">
        <f>Roster!Z20</f>
        <v>0</v>
      </c>
      <c r="Z6" s="37">
        <f>Roster!AA20</f>
        <v>0</v>
      </c>
      <c r="AA6" s="37">
        <f>Roster!AB20</f>
        <v>0</v>
      </c>
      <c r="AB6" s="37">
        <f>Roster!AC20</f>
        <v>0</v>
      </c>
      <c r="AC6" s="37">
        <f>Roster!AD20</f>
        <v>0</v>
      </c>
      <c r="AD6" s="37">
        <f>Roster!AE20</f>
        <v>0</v>
      </c>
      <c r="AE6" s="37">
        <f>Roster!AF20</f>
        <v>0</v>
      </c>
      <c r="AF6" s="37">
        <f>Roster!AG20</f>
        <v>0</v>
      </c>
      <c r="AG6" s="38">
        <f>Roster!AH20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Roster!D35</f>
        <v>0</v>
      </c>
      <c r="D9" s="39">
        <f>Roster!E35</f>
        <v>0</v>
      </c>
      <c r="E9" s="37">
        <f>Roster!F35</f>
        <v>0</v>
      </c>
      <c r="F9" s="37">
        <f>Roster!G35</f>
        <v>0</v>
      </c>
      <c r="G9" s="37">
        <f>Roster!H35</f>
        <v>0</v>
      </c>
      <c r="H9" s="37">
        <f>Roster!I35</f>
        <v>0</v>
      </c>
      <c r="I9" s="37">
        <f>Roster!J35</f>
        <v>0</v>
      </c>
      <c r="J9" s="37">
        <f>Roster!K35</f>
        <v>0</v>
      </c>
      <c r="K9" s="37">
        <f>Roster!L35</f>
        <v>0</v>
      </c>
      <c r="L9" s="37">
        <f>Roster!M35</f>
        <v>0</v>
      </c>
      <c r="M9" s="37">
        <f>Roster!N35</f>
        <v>0</v>
      </c>
      <c r="N9" s="37">
        <f>Roster!O35</f>
        <v>0</v>
      </c>
      <c r="O9" s="37">
        <f>Roster!P35</f>
        <v>0</v>
      </c>
      <c r="P9" s="37">
        <f>Roster!Q35</f>
        <v>0</v>
      </c>
      <c r="Q9" s="37">
        <f>Roster!R35</f>
        <v>0</v>
      </c>
      <c r="R9" s="37">
        <f>Roster!S35</f>
        <v>0</v>
      </c>
      <c r="S9" s="37">
        <f>Roster!T35</f>
        <v>0</v>
      </c>
      <c r="T9" s="37">
        <f>Roster!U35</f>
        <v>0</v>
      </c>
      <c r="U9" s="37">
        <f>Roster!V35</f>
        <v>0</v>
      </c>
      <c r="V9" s="37">
        <f>Roster!W35</f>
        <v>0</v>
      </c>
      <c r="W9" s="37">
        <f>Roster!X35</f>
        <v>0</v>
      </c>
      <c r="X9" s="37">
        <f>Roster!Y35</f>
        <v>0</v>
      </c>
      <c r="Y9" s="37">
        <f>Roster!Z35</f>
        <v>0</v>
      </c>
      <c r="Z9" s="37">
        <f>Roster!AA35</f>
        <v>0</v>
      </c>
      <c r="AA9" s="37">
        <f>Roster!AB35</f>
        <v>0</v>
      </c>
      <c r="AB9" s="37">
        <f>Roster!AC35</f>
        <v>0</v>
      </c>
      <c r="AC9" s="37">
        <f>Roster!AD35</f>
        <v>0</v>
      </c>
      <c r="AD9" s="37">
        <f>Roster!AE35</f>
        <v>0</v>
      </c>
      <c r="AE9" s="37">
        <f>Roster!AF35</f>
        <v>0</v>
      </c>
      <c r="AF9" s="37">
        <f>Roster!AG35</f>
        <v>0</v>
      </c>
      <c r="AG9" s="38">
        <f>Roster!AH35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Roster!D50</f>
        <v>0</v>
      </c>
      <c r="D12" s="37">
        <f>Roster!E50</f>
        <v>0</v>
      </c>
      <c r="E12" s="37">
        <f>Roster!F50</f>
        <v>0</v>
      </c>
      <c r="F12" s="37">
        <f>Roster!G50</f>
        <v>0</v>
      </c>
      <c r="G12" s="37">
        <f>Roster!H50</f>
        <v>0</v>
      </c>
      <c r="H12" s="37">
        <f>Roster!I50</f>
        <v>0</v>
      </c>
      <c r="I12" s="37">
        <f>Roster!J50</f>
        <v>0</v>
      </c>
      <c r="J12" s="37">
        <f>Roster!K50</f>
        <v>0</v>
      </c>
      <c r="K12" s="37">
        <f>Roster!L50</f>
        <v>0</v>
      </c>
      <c r="L12" s="37">
        <f>Roster!M50</f>
        <v>0</v>
      </c>
      <c r="M12" s="37">
        <f>Roster!N50</f>
        <v>0</v>
      </c>
      <c r="N12" s="37">
        <f>Roster!O50</f>
        <v>0</v>
      </c>
      <c r="O12" s="37">
        <f>Roster!P50</f>
        <v>0</v>
      </c>
      <c r="P12" s="37">
        <f>Roster!Q50</f>
        <v>0</v>
      </c>
      <c r="Q12" s="37">
        <f>Roster!R50</f>
        <v>0</v>
      </c>
      <c r="R12" s="37">
        <f>Roster!S50</f>
        <v>0</v>
      </c>
      <c r="S12" s="37">
        <f>Roster!T50</f>
        <v>0</v>
      </c>
      <c r="T12" s="37">
        <f>Roster!U50</f>
        <v>0</v>
      </c>
      <c r="U12" s="37">
        <f>Roster!V50</f>
        <v>0</v>
      </c>
      <c r="V12" s="37">
        <f>Roster!W50</f>
        <v>0</v>
      </c>
      <c r="W12" s="37">
        <f>Roster!X50</f>
        <v>0</v>
      </c>
      <c r="X12" s="37">
        <f>Roster!Y50</f>
        <v>0</v>
      </c>
      <c r="Y12" s="37">
        <f>Roster!Z50</f>
        <v>0</v>
      </c>
      <c r="Z12" s="37">
        <f>Roster!AA50</f>
        <v>0</v>
      </c>
      <c r="AA12" s="37">
        <f>Roster!AB50</f>
        <v>0</v>
      </c>
      <c r="AB12" s="37">
        <f>Roster!AC50</f>
        <v>0</v>
      </c>
      <c r="AC12" s="37">
        <f>Roster!AD50</f>
        <v>0</v>
      </c>
      <c r="AD12" s="37">
        <f>Roster!AE50</f>
        <v>0</v>
      </c>
      <c r="AE12" s="37">
        <f>Roster!AF50</f>
        <v>0</v>
      </c>
      <c r="AF12" s="38">
        <f>Roster!AG50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Roster!D65</f>
        <v>0</v>
      </c>
      <c r="D15" s="37">
        <f>Roster!E65</f>
        <v>0</v>
      </c>
      <c r="E15" s="37">
        <f>Roster!F65</f>
        <v>0</v>
      </c>
      <c r="F15" s="37">
        <f>Roster!G65</f>
        <v>0</v>
      </c>
      <c r="G15" s="37">
        <f>Roster!H65</f>
        <v>0</v>
      </c>
      <c r="H15" s="37">
        <f>Roster!I65</f>
        <v>0</v>
      </c>
      <c r="I15" s="37">
        <f>Roster!J65</f>
        <v>0</v>
      </c>
      <c r="J15" s="37">
        <f>Roster!K65</f>
        <v>0</v>
      </c>
      <c r="K15" s="37">
        <f>Roster!L65</f>
        <v>0</v>
      </c>
      <c r="L15" s="37">
        <f>Roster!M65</f>
        <v>0</v>
      </c>
      <c r="M15" s="37">
        <f>Roster!N65</f>
        <v>0</v>
      </c>
      <c r="N15" s="37">
        <f>Roster!O65</f>
        <v>0</v>
      </c>
      <c r="O15" s="37">
        <f>Roster!P65</f>
        <v>0</v>
      </c>
      <c r="P15" s="37">
        <f>Roster!Q65</f>
        <v>0</v>
      </c>
      <c r="Q15" s="37">
        <f>Roster!R65</f>
        <v>0</v>
      </c>
      <c r="R15" s="37">
        <f>Roster!S65</f>
        <v>0</v>
      </c>
      <c r="S15" s="37">
        <f>Roster!T65</f>
        <v>0</v>
      </c>
      <c r="T15" s="37">
        <f>Roster!U65</f>
        <v>0</v>
      </c>
      <c r="U15" s="37">
        <f>Roster!V65</f>
        <v>0</v>
      </c>
      <c r="V15" s="37">
        <f>Roster!W65</f>
        <v>0</v>
      </c>
      <c r="W15" s="37">
        <f>Roster!X65</f>
        <v>0</v>
      </c>
      <c r="X15" s="37">
        <f>Roster!Y65</f>
        <v>0</v>
      </c>
      <c r="Y15" s="37">
        <f>Roster!Z65</f>
        <v>0</v>
      </c>
      <c r="Z15" s="37">
        <f>Roster!AA65</f>
        <v>0</v>
      </c>
      <c r="AA15" s="37">
        <f>Roster!AB65</f>
        <v>0</v>
      </c>
      <c r="AB15" s="37">
        <f>Roster!AC65</f>
        <v>0</v>
      </c>
      <c r="AC15" s="37">
        <f>Roster!AD65</f>
        <v>0</v>
      </c>
      <c r="AD15" s="37">
        <f>Roster!AE65</f>
        <v>0</v>
      </c>
      <c r="AE15" s="37">
        <f>Roster!AF65</f>
        <v>0</v>
      </c>
      <c r="AF15" s="37">
        <f>Roster!AG65</f>
        <v>0</v>
      </c>
      <c r="AG15" s="38">
        <f>Roster!AH65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Roster!D80</f>
        <v>0</v>
      </c>
      <c r="D18" s="37">
        <f>Roster!E80</f>
        <v>0</v>
      </c>
      <c r="E18" s="37">
        <f>Roster!F80</f>
        <v>0</v>
      </c>
      <c r="F18" s="37">
        <f>Roster!G80</f>
        <v>0</v>
      </c>
      <c r="G18" s="37">
        <f>Roster!H80</f>
        <v>0</v>
      </c>
      <c r="H18" s="37">
        <f>Roster!I80</f>
        <v>0</v>
      </c>
      <c r="I18" s="37">
        <f>Roster!J80</f>
        <v>0</v>
      </c>
      <c r="J18" s="37">
        <f>Roster!K80</f>
        <v>0</v>
      </c>
      <c r="K18" s="37">
        <f>Roster!L80</f>
        <v>0</v>
      </c>
      <c r="L18" s="37">
        <f>Roster!M80</f>
        <v>0</v>
      </c>
      <c r="M18" s="37">
        <f>Roster!N80</f>
        <v>0</v>
      </c>
      <c r="N18" s="37">
        <f>Roster!O80</f>
        <v>0</v>
      </c>
      <c r="O18" s="37">
        <f>Roster!P80</f>
        <v>0</v>
      </c>
      <c r="P18" s="37">
        <f>Roster!Q80</f>
        <v>0</v>
      </c>
      <c r="Q18" s="37">
        <f>Roster!R80</f>
        <v>0</v>
      </c>
      <c r="R18" s="37">
        <f>Roster!S80</f>
        <v>0</v>
      </c>
      <c r="S18" s="37">
        <f>Roster!T80</f>
        <v>0</v>
      </c>
      <c r="T18" s="37">
        <f>Roster!U80</f>
        <v>0</v>
      </c>
      <c r="U18" s="37">
        <f>Roster!V80</f>
        <v>0</v>
      </c>
      <c r="V18" s="37">
        <f>Roster!W80</f>
        <v>0</v>
      </c>
      <c r="W18" s="37">
        <f>Roster!X80</f>
        <v>0</v>
      </c>
      <c r="X18" s="37">
        <f>Roster!Y80</f>
        <v>0</v>
      </c>
      <c r="Y18" s="37">
        <f>Roster!Z80</f>
        <v>0</v>
      </c>
      <c r="Z18" s="37">
        <f>Roster!AA80</f>
        <v>0</v>
      </c>
      <c r="AA18" s="37">
        <f>Roster!AB80</f>
        <v>0</v>
      </c>
      <c r="AB18" s="37">
        <f>Roster!AC80</f>
        <v>0</v>
      </c>
      <c r="AC18" s="37">
        <f>Roster!AD80</f>
        <v>0</v>
      </c>
      <c r="AD18" s="37">
        <f>Roster!AE80</f>
        <v>0</v>
      </c>
      <c r="AE18" s="37">
        <f>Roster!AF80</f>
        <v>0</v>
      </c>
      <c r="AF18" s="38">
        <f>Roster!AG80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Roster!D95</f>
        <v>0</v>
      </c>
      <c r="D21" s="37">
        <f>Roster!E95</f>
        <v>0</v>
      </c>
      <c r="E21" s="37">
        <f>Roster!F95</f>
        <v>0</v>
      </c>
      <c r="F21" s="37">
        <f>Roster!G95</f>
        <v>0</v>
      </c>
      <c r="G21" s="37">
        <f>Roster!H95</f>
        <v>0</v>
      </c>
      <c r="H21" s="37">
        <f>Roster!I95</f>
        <v>0</v>
      </c>
      <c r="I21" s="37">
        <f>Roster!J95</f>
        <v>0</v>
      </c>
      <c r="J21" s="37">
        <f>Roster!K95</f>
        <v>0</v>
      </c>
      <c r="K21" s="37">
        <f>Roster!L95</f>
        <v>0</v>
      </c>
      <c r="L21" s="37">
        <f>Roster!M95</f>
        <v>0</v>
      </c>
      <c r="M21" s="37">
        <f>Roster!N95</f>
        <v>0</v>
      </c>
      <c r="N21" s="37">
        <f>Roster!O95</f>
        <v>0</v>
      </c>
      <c r="O21" s="37">
        <f>Roster!P95</f>
        <v>0</v>
      </c>
      <c r="P21" s="37">
        <f>Roster!Q95</f>
        <v>0</v>
      </c>
      <c r="Q21" s="37">
        <f>Roster!R95</f>
        <v>0</v>
      </c>
      <c r="R21" s="37">
        <f>Roster!S95</f>
        <v>0</v>
      </c>
      <c r="S21" s="37">
        <f>Roster!T95</f>
        <v>0</v>
      </c>
      <c r="T21" s="37">
        <f>Roster!U95</f>
        <v>0</v>
      </c>
      <c r="U21" s="37">
        <f>Roster!V95</f>
        <v>0</v>
      </c>
      <c r="V21" s="37">
        <f>Roster!W95</f>
        <v>0</v>
      </c>
      <c r="W21" s="37">
        <f>Roster!X95</f>
        <v>0</v>
      </c>
      <c r="X21" s="37">
        <f>Roster!Y95</f>
        <v>0</v>
      </c>
      <c r="Y21" s="37">
        <f>Roster!Z95</f>
        <v>0</v>
      </c>
      <c r="Z21" s="37">
        <f>Roster!AA95</f>
        <v>0</v>
      </c>
      <c r="AA21" s="37">
        <f>Roster!AB95</f>
        <v>0</v>
      </c>
      <c r="AB21" s="37">
        <f>Roster!AC95</f>
        <v>0</v>
      </c>
      <c r="AC21" s="37">
        <f>Roster!AD95</f>
        <v>0</v>
      </c>
      <c r="AD21" s="37">
        <f>Roster!AE95</f>
        <v>0</v>
      </c>
      <c r="AE21" s="37">
        <f>Roster!AF95</f>
        <v>0</v>
      </c>
      <c r="AF21" s="37">
        <f>Roster!AG95</f>
        <v>0</v>
      </c>
      <c r="AG21" s="38">
        <f>Roster!AH95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Roster!D110</f>
        <v>0</v>
      </c>
      <c r="D24" s="53">
        <f>Roster!E110</f>
        <v>0</v>
      </c>
      <c r="E24" s="53">
        <f>Roster!F110</f>
        <v>0</v>
      </c>
      <c r="F24" s="53">
        <f>Roster!G110</f>
        <v>0</v>
      </c>
      <c r="G24" s="53">
        <f>Roster!H110</f>
        <v>0</v>
      </c>
      <c r="H24" s="53">
        <f>Roster!I110</f>
        <v>0</v>
      </c>
      <c r="I24" s="53">
        <f>Roster!J110</f>
        <v>0</v>
      </c>
      <c r="J24" s="53">
        <f>Roster!K110</f>
        <v>0</v>
      </c>
      <c r="K24" s="53">
        <f>Roster!L110</f>
        <v>0</v>
      </c>
      <c r="L24" s="53">
        <f>Roster!M110</f>
        <v>0</v>
      </c>
      <c r="M24" s="53">
        <f>Roster!N110</f>
        <v>0</v>
      </c>
      <c r="N24" s="53">
        <f>Roster!O110</f>
        <v>0</v>
      </c>
      <c r="O24" s="53">
        <f>Roster!P110</f>
        <v>0</v>
      </c>
      <c r="P24" s="53">
        <f>Roster!Q110</f>
        <v>0</v>
      </c>
      <c r="Q24" s="53">
        <f>Roster!R110</f>
        <v>0</v>
      </c>
      <c r="R24" s="53">
        <f>Roster!S110</f>
        <v>0</v>
      </c>
      <c r="S24" s="53">
        <f>Roster!T110</f>
        <v>0</v>
      </c>
      <c r="T24" s="53">
        <f>Roster!U110</f>
        <v>0</v>
      </c>
      <c r="U24" s="53">
        <f>Roster!V110</f>
        <v>0</v>
      </c>
      <c r="V24" s="53">
        <f>Roster!W110</f>
        <v>0</v>
      </c>
      <c r="W24" s="53">
        <f>Roster!X110</f>
        <v>0</v>
      </c>
      <c r="X24" s="53">
        <f>Roster!Y110</f>
        <v>0</v>
      </c>
      <c r="Y24" s="53">
        <f>Roster!Z110</f>
        <v>0</v>
      </c>
      <c r="Z24" s="53">
        <f>Roster!AA110</f>
        <v>0</v>
      </c>
      <c r="AA24" s="53">
        <f>Roster!AB110</f>
        <v>0</v>
      </c>
      <c r="AB24" s="53">
        <f>Roster!AC110</f>
        <v>0</v>
      </c>
      <c r="AC24" s="53">
        <f>Roster!AD110</f>
        <v>0</v>
      </c>
      <c r="AD24" s="53">
        <f>Roster!AE110</f>
        <v>0</v>
      </c>
      <c r="AE24" s="53">
        <f>Roster!AF110</f>
        <v>0</v>
      </c>
      <c r="AF24" s="53">
        <f>Roster!AG110</f>
        <v>0</v>
      </c>
      <c r="AG24" s="54">
        <f>Roster!AH110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Roster!D125</f>
        <v>0</v>
      </c>
      <c r="D27" s="37">
        <f>Roster!E125</f>
        <v>0</v>
      </c>
      <c r="E27" s="37">
        <f>Roster!F125</f>
        <v>0</v>
      </c>
      <c r="F27" s="37">
        <f>Roster!G125</f>
        <v>0</v>
      </c>
      <c r="G27" s="37">
        <f>Roster!H125</f>
        <v>0</v>
      </c>
      <c r="H27" s="37">
        <f>Roster!I125</f>
        <v>0</v>
      </c>
      <c r="I27" s="37">
        <f>Roster!J125</f>
        <v>0</v>
      </c>
      <c r="J27" s="37">
        <f>Roster!K125</f>
        <v>0</v>
      </c>
      <c r="K27" s="37">
        <f>Roster!L125</f>
        <v>0</v>
      </c>
      <c r="L27" s="37">
        <f>Roster!M125</f>
        <v>0</v>
      </c>
      <c r="M27" s="37">
        <f>Roster!N125</f>
        <v>0</v>
      </c>
      <c r="N27" s="37">
        <f>Roster!O125</f>
        <v>0</v>
      </c>
      <c r="O27" s="37">
        <f>Roster!P125</f>
        <v>0</v>
      </c>
      <c r="P27" s="37">
        <f>Roster!Q125</f>
        <v>0</v>
      </c>
      <c r="Q27" s="37">
        <f>Roster!R125</f>
        <v>0</v>
      </c>
      <c r="R27" s="37">
        <f>Roster!S125</f>
        <v>0</v>
      </c>
      <c r="S27" s="37">
        <f>Roster!T125</f>
        <v>0</v>
      </c>
      <c r="T27" s="37">
        <f>Roster!U125</f>
        <v>0</v>
      </c>
      <c r="U27" s="37">
        <f>Roster!V125</f>
        <v>0</v>
      </c>
      <c r="V27" s="37">
        <f>Roster!W125</f>
        <v>0</v>
      </c>
      <c r="W27" s="37">
        <f>Roster!X125</f>
        <v>0</v>
      </c>
      <c r="X27" s="37">
        <f>Roster!Y125</f>
        <v>0</v>
      </c>
      <c r="Y27" s="37">
        <f>Roster!Z125</f>
        <v>0</v>
      </c>
      <c r="Z27" s="37">
        <f>Roster!AA125</f>
        <v>0</v>
      </c>
      <c r="AA27" s="37">
        <f>Roster!AB125</f>
        <v>0</v>
      </c>
      <c r="AB27" s="37">
        <f>Roster!AC125</f>
        <v>0</v>
      </c>
      <c r="AC27" s="37">
        <f>Roster!AD125</f>
        <v>0</v>
      </c>
      <c r="AD27" s="43">
        <f>Roster!AE125</f>
        <v>0</v>
      </c>
      <c r="AE27" s="134">
        <f>Roster!AF125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Roster!D140</f>
        <v>0</v>
      </c>
      <c r="D30" s="37">
        <f>Roster!E140</f>
        <v>0</v>
      </c>
      <c r="E30" s="37">
        <f>Roster!F140</f>
        <v>0</v>
      </c>
      <c r="F30" s="37">
        <f>Roster!G140</f>
        <v>0</v>
      </c>
      <c r="G30" s="37">
        <f>Roster!H140</f>
        <v>0</v>
      </c>
      <c r="H30" s="37">
        <f>Roster!I140</f>
        <v>0</v>
      </c>
      <c r="I30" s="37">
        <f>Roster!J140</f>
        <v>0</v>
      </c>
      <c r="J30" s="37">
        <f>Roster!K140</f>
        <v>0</v>
      </c>
      <c r="K30" s="37">
        <f>Roster!L140</f>
        <v>0</v>
      </c>
      <c r="L30" s="37">
        <f>Roster!M140</f>
        <v>0</v>
      </c>
      <c r="M30" s="37">
        <f>Roster!N140</f>
        <v>0</v>
      </c>
      <c r="N30" s="37">
        <f>Roster!O140</f>
        <v>0</v>
      </c>
      <c r="O30" s="37">
        <f>Roster!P140</f>
        <v>0</v>
      </c>
      <c r="P30" s="37">
        <f>Roster!Q140</f>
        <v>0</v>
      </c>
      <c r="Q30" s="37">
        <f>Roster!R140</f>
        <v>0</v>
      </c>
      <c r="R30" s="37">
        <f>Roster!S140</f>
        <v>0</v>
      </c>
      <c r="S30" s="37">
        <f>Roster!T140</f>
        <v>0</v>
      </c>
      <c r="T30" s="37">
        <f>Roster!U140</f>
        <v>0</v>
      </c>
      <c r="U30" s="37">
        <f>Roster!V140</f>
        <v>0</v>
      </c>
      <c r="V30" s="37">
        <f>Roster!W140</f>
        <v>0</v>
      </c>
      <c r="W30" s="37">
        <f>Roster!X140</f>
        <v>0</v>
      </c>
      <c r="X30" s="37">
        <f>Roster!Y140</f>
        <v>0</v>
      </c>
      <c r="Y30" s="37">
        <f>Roster!Z140</f>
        <v>0</v>
      </c>
      <c r="Z30" s="37">
        <f>Roster!AA140</f>
        <v>0</v>
      </c>
      <c r="AA30" s="37">
        <f>Roster!AB140</f>
        <v>0</v>
      </c>
      <c r="AB30" s="37">
        <f>Roster!AC140</f>
        <v>0</v>
      </c>
      <c r="AC30" s="37">
        <f>Roster!AD140</f>
        <v>0</v>
      </c>
      <c r="AD30" s="37">
        <f>Roster!AE140</f>
        <v>0</v>
      </c>
      <c r="AE30" s="37">
        <f>Roster!AF140</f>
        <v>0</v>
      </c>
      <c r="AF30" s="37">
        <f>Roster!AG140</f>
        <v>0</v>
      </c>
      <c r="AG30" s="38">
        <f>Roster!AH140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Roster!D155</f>
        <v>0</v>
      </c>
      <c r="D33" s="37">
        <f>Roster!E155</f>
        <v>0</v>
      </c>
      <c r="E33" s="37">
        <f>Roster!F155</f>
        <v>0</v>
      </c>
      <c r="F33" s="37">
        <f>Roster!G155</f>
        <v>0</v>
      </c>
      <c r="G33" s="37">
        <f>Roster!H155</f>
        <v>0</v>
      </c>
      <c r="H33" s="37">
        <f>Roster!I155</f>
        <v>0</v>
      </c>
      <c r="I33" s="37">
        <f>Roster!J155</f>
        <v>0</v>
      </c>
      <c r="J33" s="37">
        <f>Roster!K155</f>
        <v>0</v>
      </c>
      <c r="K33" s="37">
        <f>Roster!L155</f>
        <v>0</v>
      </c>
      <c r="L33" s="37">
        <f>Roster!M155</f>
        <v>0</v>
      </c>
      <c r="M33" s="37">
        <f>Roster!N155</f>
        <v>0</v>
      </c>
      <c r="N33" s="37">
        <f>Roster!O155</f>
        <v>0</v>
      </c>
      <c r="O33" s="37">
        <f>Roster!P155</f>
        <v>0</v>
      </c>
      <c r="P33" s="37">
        <f>Roster!Q155</f>
        <v>0</v>
      </c>
      <c r="Q33" s="37">
        <f>Roster!R155</f>
        <v>0</v>
      </c>
      <c r="R33" s="37">
        <f>Roster!S155</f>
        <v>0</v>
      </c>
      <c r="S33" s="37">
        <f>Roster!T155</f>
        <v>0</v>
      </c>
      <c r="T33" s="37">
        <f>Roster!U155</f>
        <v>0</v>
      </c>
      <c r="U33" s="37">
        <f>Roster!V155</f>
        <v>0</v>
      </c>
      <c r="V33" s="37">
        <f>Roster!W155</f>
        <v>0</v>
      </c>
      <c r="W33" s="37">
        <f>Roster!X155</f>
        <v>0</v>
      </c>
      <c r="X33" s="37">
        <f>Roster!Y155</f>
        <v>0</v>
      </c>
      <c r="Y33" s="37">
        <f>Roster!Z155</f>
        <v>0</v>
      </c>
      <c r="Z33" s="37">
        <f>Roster!AA155</f>
        <v>0</v>
      </c>
      <c r="AA33" s="37">
        <f>Roster!AB155</f>
        <v>0</v>
      </c>
      <c r="AB33" s="37">
        <f>Roster!AC155</f>
        <v>0</v>
      </c>
      <c r="AC33" s="37">
        <f>Roster!AD155</f>
        <v>0</v>
      </c>
      <c r="AD33" s="37">
        <f>Roster!AE155</f>
        <v>0</v>
      </c>
      <c r="AE33" s="37">
        <f>Roster!AF155</f>
        <v>0</v>
      </c>
      <c r="AF33" s="38">
        <f>Roster!AG155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Roster!D170</f>
        <v>0</v>
      </c>
      <c r="D36" s="37">
        <f>Roster!E170</f>
        <v>0</v>
      </c>
      <c r="E36" s="37">
        <f>Roster!F170</f>
        <v>0</v>
      </c>
      <c r="F36" s="37">
        <f>Roster!G170</f>
        <v>0</v>
      </c>
      <c r="G36" s="37">
        <f>Roster!H170</f>
        <v>0</v>
      </c>
      <c r="H36" s="37">
        <f>Roster!I170</f>
        <v>0</v>
      </c>
      <c r="I36" s="37">
        <f>Roster!J170</f>
        <v>0</v>
      </c>
      <c r="J36" s="37">
        <f>Roster!K170</f>
        <v>0</v>
      </c>
      <c r="K36" s="37">
        <f>Roster!L170</f>
        <v>0</v>
      </c>
      <c r="L36" s="37">
        <f>Roster!M170</f>
        <v>0</v>
      </c>
      <c r="M36" s="37">
        <f>Roster!N170</f>
        <v>0</v>
      </c>
      <c r="N36" s="37">
        <f>Roster!O170</f>
        <v>0</v>
      </c>
      <c r="O36" s="37">
        <f>Roster!P170</f>
        <v>0</v>
      </c>
      <c r="P36" s="37">
        <f>Roster!Q170</f>
        <v>0</v>
      </c>
      <c r="Q36" s="37">
        <f>Roster!R170</f>
        <v>0</v>
      </c>
      <c r="R36" s="37">
        <f>Roster!S170</f>
        <v>0</v>
      </c>
      <c r="S36" s="37">
        <f>Roster!T170</f>
        <v>0</v>
      </c>
      <c r="T36" s="37">
        <f>Roster!U170</f>
        <v>0</v>
      </c>
      <c r="U36" s="37">
        <f>Roster!V170</f>
        <v>0</v>
      </c>
      <c r="V36" s="37">
        <f>Roster!W170</f>
        <v>0</v>
      </c>
      <c r="W36" s="37">
        <f>Roster!X170</f>
        <v>0</v>
      </c>
      <c r="X36" s="37">
        <f>Roster!Y170</f>
        <v>0</v>
      </c>
      <c r="Y36" s="37">
        <f>Roster!Z170</f>
        <v>0</v>
      </c>
      <c r="Z36" s="37">
        <f>Roster!AA170</f>
        <v>0</v>
      </c>
      <c r="AA36" s="37">
        <f>Roster!AB170</f>
        <v>0</v>
      </c>
      <c r="AB36" s="37">
        <f>Roster!AC170</f>
        <v>0</v>
      </c>
      <c r="AC36" s="37">
        <f>Roster!AD170</f>
        <v>0</v>
      </c>
      <c r="AD36" s="37">
        <f>Roster!AE170</f>
        <v>0</v>
      </c>
      <c r="AE36" s="37">
        <f>Roster!AF170</f>
        <v>0</v>
      </c>
      <c r="AF36" s="37">
        <f>Roster!AG170</f>
        <v>0</v>
      </c>
      <c r="AG36" s="38">
        <f>Roster!AH170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Roster!D185</f>
        <v>0</v>
      </c>
      <c r="D39" s="37">
        <f>Roster!E185</f>
        <v>0</v>
      </c>
      <c r="E39" s="37">
        <f>Roster!F185</f>
        <v>0</v>
      </c>
      <c r="F39" s="37">
        <f>Roster!G185</f>
        <v>0</v>
      </c>
      <c r="G39" s="37">
        <f>Roster!H185</f>
        <v>0</v>
      </c>
      <c r="H39" s="37">
        <f>Roster!I185</f>
        <v>0</v>
      </c>
      <c r="I39" s="37">
        <f>Roster!J185</f>
        <v>0</v>
      </c>
      <c r="J39" s="37">
        <f>Roster!K185</f>
        <v>0</v>
      </c>
      <c r="K39" s="37">
        <f>Roster!L185</f>
        <v>0</v>
      </c>
      <c r="L39" s="37">
        <f>Roster!M185</f>
        <v>0</v>
      </c>
      <c r="M39" s="37">
        <f>Roster!N185</f>
        <v>0</v>
      </c>
      <c r="N39" s="37">
        <f>Roster!O185</f>
        <v>0</v>
      </c>
      <c r="O39" s="37">
        <f>Roster!P185</f>
        <v>0</v>
      </c>
      <c r="P39" s="37">
        <f>Roster!Q185</f>
        <v>0</v>
      </c>
      <c r="Q39" s="37">
        <f>Roster!R185</f>
        <v>0</v>
      </c>
      <c r="R39" s="37">
        <f>Roster!S185</f>
        <v>0</v>
      </c>
      <c r="S39" s="37">
        <f>Roster!T185</f>
        <v>0</v>
      </c>
      <c r="T39" s="37">
        <f>Roster!U185</f>
        <v>0</v>
      </c>
      <c r="U39" s="37">
        <f>Roster!V185</f>
        <v>0</v>
      </c>
      <c r="V39" s="37">
        <f>Roster!W185</f>
        <v>0</v>
      </c>
      <c r="W39" s="37">
        <f>Roster!X185</f>
        <v>0</v>
      </c>
      <c r="X39" s="37">
        <f>Roster!Y185</f>
        <v>0</v>
      </c>
      <c r="Y39" s="37">
        <f>Roster!Z185</f>
        <v>0</v>
      </c>
      <c r="Z39" s="37">
        <f>Roster!AA185</f>
        <v>0</v>
      </c>
      <c r="AA39" s="37">
        <f>Roster!AB185</f>
        <v>0</v>
      </c>
      <c r="AB39" s="37">
        <f>Roster!AC185</f>
        <v>0</v>
      </c>
      <c r="AC39" s="37">
        <f>Roster!AD185</f>
        <v>0</v>
      </c>
      <c r="AD39" s="37">
        <f>Roster!AE185</f>
        <v>0</v>
      </c>
      <c r="AE39" s="37">
        <f>Roster!AF185</f>
        <v>0</v>
      </c>
      <c r="AF39" s="38">
        <f>Roster!AG185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zoomScale="322" zoomScaleNormal="322" workbookViewId="0">
      <selection activeCell="B2" sqref="B2"/>
    </sheetView>
  </sheetViews>
  <sheetFormatPr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66" t="str">
        <f>CurYear-1 &amp; "/"&amp;CurYear</f>
        <v>2016/2017</v>
      </c>
      <c r="C3" s="166"/>
      <c r="D3" s="102" t="s">
        <v>9</v>
      </c>
      <c r="E3" s="102" t="s">
        <v>11</v>
      </c>
      <c r="F3" s="102" t="s">
        <v>10</v>
      </c>
      <c r="G3" s="102" t="s">
        <v>30</v>
      </c>
      <c r="H3" s="102" t="s">
        <v>41</v>
      </c>
      <c r="I3" s="102" t="s">
        <v>42</v>
      </c>
      <c r="J3" s="102" t="s">
        <v>47</v>
      </c>
      <c r="K3" s="107" t="s">
        <v>53</v>
      </c>
      <c r="L3" s="102" t="s">
        <v>48</v>
      </c>
      <c r="M3" s="102" t="s">
        <v>31</v>
      </c>
    </row>
    <row r="4" spans="2:13" s="55" customFormat="1">
      <c r="B4" s="103" t="str">
        <f>EmpGName01</f>
        <v>Luciano</v>
      </c>
      <c r="C4" s="103" t="str">
        <f>EmpSName01</f>
        <v>Marampon</v>
      </c>
      <c r="D4" s="82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70</v>
      </c>
      <c r="E4" s="82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82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23</v>
      </c>
      <c r="G4" s="82">
        <f>COUNTIF(Emp01Jan,"RO")+COUNTIF(Emp01Feb,"RO")+COUNTIF(Emp01Mar,"RO")+COUNTIF(Emp01Apr,"RO")+COUNTIF(Emp01May,"RO")+COUNTIF(Emp01Jun,"RO")+COUNTIF(Emp01Jul,"RO")+COUNTIF(Emp01Aug,"RO")+COUNTIF(Emp01Sep,"RO")+COUNTIF(Emp01Oct,"RO")+COUNTIF(Emp01Nov,"RO")+COUNTIF(Emp01Dec,"RO")</f>
        <v>5</v>
      </c>
      <c r="H4" s="82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2</v>
      </c>
      <c r="I4" s="82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8</v>
      </c>
      <c r="J4" s="82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82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82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4">
        <f>SUM(D4:L4)</f>
        <v>108</v>
      </c>
    </row>
    <row r="5" spans="2:13" s="55" customFormat="1">
      <c r="B5" s="104" t="str">
        <f>EmpGName02</f>
        <v>Kevin</v>
      </c>
      <c r="C5" s="104" t="str">
        <f>EmpSName02</f>
        <v>Stone</v>
      </c>
      <c r="D5" s="81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30</v>
      </c>
      <c r="E5" s="81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81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31</v>
      </c>
      <c r="G5" s="81">
        <f>COUNTIF(Emp02Jan,"RO")+COUNTIF(Emp02Feb,"RO")+COUNTIF(Emp02Mar,"RO")+COUNTIF(Emp02Apr,"RO")+COUNTIF(Emp02May,"RO")+COUNTIF(Emp02Jun,"RO")+COUNTIF(Emp02Jul,"RO")+COUNTIF(Emp02Aug,"RO")+COUNTIF(Emp02Sep,"RO")+COUNTIF(Emp02Oct,"RO")+COUNTIF(Emp02Nov,"RO")+COUNTIF(Emp02Dec,"RO")</f>
        <v>4</v>
      </c>
      <c r="H5" s="81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81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81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81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81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3">
        <f>SUM(D5:L5)</f>
        <v>65</v>
      </c>
    </row>
    <row r="6" spans="2:13" s="55" customFormat="1">
      <c r="B6" s="103" t="str">
        <f>EmpGName03</f>
        <v>Ian</v>
      </c>
      <c r="C6" s="103" t="str">
        <f>EmpSName03</f>
        <v>Thelning</v>
      </c>
      <c r="D6" s="82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4</v>
      </c>
      <c r="E6" s="82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82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2</v>
      </c>
      <c r="G6" s="82">
        <f>COUNTIF(Emp03Jan,"RO")+COUNTIF(Emp03Feb,"RO")+COUNTIF(Emp03Mar,"RO")+COUNTIF(Emp03Apr,"RO")+COUNTIF(Emp03May,"RO")+COUNTIF(Emp03Jun,"RO")+COUNTIF(Emp03Jul,"RO")+COUNTIF(Emp03Aug,"RO")+COUNTIF(Emp03Sep,"RO")+COUNTIF(Emp03Oct,"RO")+COUNTIF(Emp03Nov,"RO")+COUNTIF(Emp03Dec,"RO")</f>
        <v>0</v>
      </c>
      <c r="H6" s="82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82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82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82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1</v>
      </c>
      <c r="L6" s="82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4">
        <f>SUM(D6:L6)</f>
        <v>7</v>
      </c>
    </row>
    <row r="7" spans="2:13" s="55" customFormat="1">
      <c r="B7" s="104" t="str">
        <f>EmpGName04</f>
        <v>Leon</v>
      </c>
      <c r="C7" s="104" t="str">
        <f>EmpSName04</f>
        <v>King</v>
      </c>
      <c r="D7" s="81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E7" s="81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81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3</v>
      </c>
      <c r="G7" s="81">
        <f>COUNTIF(Emp04Jan,"RO")+COUNTIF(Emp04Feb,"RO")+COUNTIF(Emp04Mar,"RO")+COUNTIF(Emp04Apr,"RO")+COUNTIF(Emp04May,"RO")+COUNTIF(Emp04Jun,"RO")+COUNTIF(Emp04Jul,"RO")+COUNTIF(Emp04Aug,"RO")+COUNTIF(Emp04Sep,"RO")+COUNTIF(Emp04Oct,"RO")+COUNTIF(Emp04Nov,"RO")+COUNTIF(Emp04Dec,"RO")</f>
        <v>0</v>
      </c>
      <c r="H7" s="81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81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81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81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81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3">
        <f t="shared" ref="M7:M11" si="0">SUM(D7:L7)</f>
        <v>7</v>
      </c>
    </row>
    <row r="8" spans="2:13" s="55" customFormat="1">
      <c r="B8" s="103" t="str">
        <f>EmpGName05</f>
        <v>David</v>
      </c>
      <c r="C8" s="103" t="str">
        <f>EmpSName05</f>
        <v>Castle</v>
      </c>
      <c r="D8" s="82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82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82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82">
        <f>COUNTIF(Emp05Jan,"RO")+COUNTIF(Emp05Feb,"RO")+COUNTIF(Emp05Mar,"RO")+COUNTIF(Emp05Apr,"RO")+COUNTIF(Emp05May,"RO")+COUNTIF(Emp05Jun,"RO")+COUNTIF(Emp05Jul,"RO")+COUNTIF(Emp05Aug,"RO")+COUNTIF(Emp05Sep,"RO")+COUNTIF(Emp05Oct,"RO")+COUNTIF(Emp05Nov,"RO")+COUNTIF(Emp05Dec,"RO")</f>
        <v>0</v>
      </c>
      <c r="H8" s="82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82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82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82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82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4">
        <f t="shared" si="0"/>
        <v>0</v>
      </c>
    </row>
    <row r="9" spans="2:13" s="55" customFormat="1">
      <c r="B9" s="104" t="str">
        <f>EmpGName06</f>
        <v>Troy</v>
      </c>
      <c r="C9" s="104" t="str">
        <f>EmpSName06</f>
        <v>Sorensen</v>
      </c>
      <c r="D9" s="81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81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81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81">
        <f>COUNTIF(Emp06Jan,"RO")+COUNTIF(Emp06Feb,"RO")+COUNTIF(Emp06Mar,"RO")+COUNTIF(Emp06Apr,"RO")+COUNTIF(Emp06May,"RO")+COUNTIF(Emp06Jun,"RO")+COUNTIF(Emp06Jul,"RO")+COUNTIF(Emp06Aug,"RO")+COUNTIF(Emp06Sep,"RO")+COUNTIF(Emp06Oct,"RO")+COUNTIF(Emp06Nov,"RO")+COUNTIF(Emp06Dec,"RO")</f>
        <v>0</v>
      </c>
      <c r="H9" s="81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81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81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81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81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3">
        <f t="shared" si="0"/>
        <v>0</v>
      </c>
    </row>
    <row r="10" spans="2:13" s="55" customFormat="1">
      <c r="B10" s="103" t="str">
        <f>EmpGName07</f>
        <v>Robin</v>
      </c>
      <c r="C10" s="103" t="str">
        <f>EmpSName07</f>
        <v>Fielding</v>
      </c>
      <c r="D10" s="84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4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4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4">
        <f>COUNTIF(Emp07Jan,"RO")+COUNTIF(Emp07Feb,"RO")+COUNTIF(Emp07Mar,"RO")+COUNTIF(Emp07Apr,"RO")+COUNTIF(Emp07May,"RO")+COUNTIF(Emp07Jun,"RO")+COUNTIF(Emp07Jul,"RO")+COUNTIF(Emp07Aug,"RO")+COUNTIF(Emp07Sep,"RO")+COUNTIF(Emp07Oct,"RO")+COUNTIF(Emp07Nov,"RO")+COUNTIF(Emp07Dec,"RO")</f>
        <v>0</v>
      </c>
      <c r="H10" s="82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82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82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4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82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4">
        <f t="shared" si="0"/>
        <v>0</v>
      </c>
    </row>
    <row r="11" spans="2:13" s="55" customFormat="1">
      <c r="B11" s="104" t="str">
        <f>EmpGName08</f>
        <v>Flim Flam</v>
      </c>
      <c r="C11" s="104" t="str">
        <f>EmpSName08</f>
        <v>Flannery</v>
      </c>
      <c r="D11" s="83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3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3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3">
        <f>COUNTIF(Emp08Jan,"RO")+COUNTIF(Emp08Feb,"RO")+COUNTIF(Emp08Mar,"RO")+COUNTIF(Emp08Apr,"RO")+COUNTIF(Emp08May,"RO")+COUNTIF(Emp08Jun,"RO")+COUNTIF(Emp08Jul,"RO")+COUNTIF(Emp08Aug,"RO")+COUNTIF(Emp08Sep,"RO")+COUNTIF(Emp08Oct,"RO")+COUNTIF(Emp08Nov,"RO")+COUNTIF(Emp08Dec,"RO")</f>
        <v>0</v>
      </c>
      <c r="H11" s="81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81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81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3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81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3">
        <f t="shared" si="0"/>
        <v>0</v>
      </c>
    </row>
    <row r="12" spans="2:13" s="55" customFormat="1">
      <c r="B12" s="103" t="str">
        <f>EmpGName09</f>
        <v>Paul</v>
      </c>
      <c r="C12" s="103" t="str">
        <f>EmpSName09</f>
        <v>Hogan</v>
      </c>
      <c r="D12" s="84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4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4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4">
        <f>COUNTIF(Emp09Jan,"RO")+COUNTIF(Emp09Feb,"RO")+COUNTIF(Emp09Mar,"RO")+COUNTIF(Emp09Apr,"RO")+COUNTIF(Emp09May,"RO")+COUNTIF(Emp09Jun,"RO")+COUNTIF(Emp09Jul,"RO")+COUNTIF(Emp09Aug,"RO")+COUNTIF(Emp09Sep,"RO")+COUNTIF(Emp09Oct,"RO")+COUNTIF(Emp09Nov,"RO")+COUNTIF(Emp09Dec,"RO")</f>
        <v>0</v>
      </c>
      <c r="H12" s="82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82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82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4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82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4">
        <f>SUM(D12:L12)</f>
        <v>0</v>
      </c>
    </row>
    <row r="13" spans="2:13" s="55" customFormat="1">
      <c r="B13" s="104" t="str">
        <f>EmpSName10</f>
        <v>Stretton</v>
      </c>
      <c r="C13" s="104" t="str">
        <f>EmpGName10</f>
        <v>John</v>
      </c>
      <c r="D13" s="83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3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3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3">
        <f>COUNTIF(Emp10Jan,"RO")+COUNTIF(Emp10Feb,"RO")+COUNTIF(Emp10Mar,"RO")+COUNTIF(Emp10Apr,"RO")+COUNTIF(Emp10May,"RO")+COUNTIF(Emp10Jun,"RO")+COUNTIF(Emp10Jul,"RO")+COUNTIF(Emp10Aug,"RO")+COUNTIF(Emp10Sep,"RO")+COUNTIF(Emp10Oct,"RO")+COUNTIF(Emp10Nov,"RO")+COUNTIF(Emp10Dec,"RO")</f>
        <v>0</v>
      </c>
      <c r="H13" s="81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81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81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3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81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3">
        <f t="shared" ref="M13:M15" si="1">SUM(D13:L13)</f>
        <v>0</v>
      </c>
    </row>
    <row r="14" spans="2:13" s="55" customFormat="1">
      <c r="B14" s="103" t="str">
        <f>EmpSName11</f>
        <v>Rowe</v>
      </c>
      <c r="C14" s="103" t="str">
        <f>EmpGName11</f>
        <v>Margaret</v>
      </c>
      <c r="D14" s="84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4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4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4">
        <f>COUNTIF(Emp11Jan,"RO")+COUNTIF(Emp11Feb,"RO")+COUNTIF(Emp11Mar,"RO")+COUNTIF(Emp11Apr,"RO")+COUNTIF(Emp11May,"RO")+COUNTIF(Emp11Jun,"RO")+COUNTIF(Emp11Jul,"RO")+COUNTIF(Emp11Aug,"RO")+COUNTIF(Emp11Sep,"RO")+COUNTIF(Emp11Oct,"RO")+COUNTIF(Emp11Nov,"RO")+COUNTIF(Emp11Dec,"RO")</f>
        <v>0</v>
      </c>
      <c r="H14" s="82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82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82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4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82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4">
        <f t="shared" si="1"/>
        <v>0</v>
      </c>
    </row>
    <row r="15" spans="2:13" s="55" customFormat="1" ht="15" customHeight="1">
      <c r="B15" s="104" t="str">
        <f>EmpSName12</f>
        <v>Stevens</v>
      </c>
      <c r="C15" s="104" t="str">
        <f>EmpGName12</f>
        <v>John</v>
      </c>
      <c r="D15" s="83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3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3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3">
        <f>COUNTIF(Emp12Jan,"RO")+COUNTIF(Emp12Feb,"RO")+COUNTIF(Emp12Mar,"RO")+COUNTIF(Emp12Apr,"RO")+COUNTIF(Emp12May,"RO")+COUNTIF(Emp12Jun,"RO")+COUNTIF(Emp12Jul,"RO")+COUNTIF(Emp12Aug,"RO")+COUNTIF(Emp12Sep,"RO")+COUNTIF(Emp12Oct,"RO")+COUNTIF(Emp12Nov,"RO")+COUNTIF(Emp12Dec,"RO")</f>
        <v>0</v>
      </c>
      <c r="H15" s="83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3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3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3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3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3">
        <f t="shared" si="1"/>
        <v>0</v>
      </c>
    </row>
    <row r="16" spans="2:13" s="55" customFormat="1"/>
    <row r="17" spans="3:13" s="55" customFormat="1">
      <c r="C17" s="106" t="s">
        <v>52</v>
      </c>
      <c r="D17" s="105">
        <f>SUM(D4:D15)</f>
        <v>108</v>
      </c>
      <c r="E17" s="105">
        <f t="shared" ref="E17:M17" si="2">SUM(E4:E15)</f>
        <v>0</v>
      </c>
      <c r="F17" s="105">
        <f t="shared" si="2"/>
        <v>59</v>
      </c>
      <c r="G17" s="105">
        <f t="shared" si="2"/>
        <v>9</v>
      </c>
      <c r="H17" s="105">
        <f t="shared" si="2"/>
        <v>2</v>
      </c>
      <c r="I17" s="105">
        <f t="shared" si="2"/>
        <v>8</v>
      </c>
      <c r="J17" s="105">
        <f t="shared" si="2"/>
        <v>0</v>
      </c>
      <c r="K17" s="108">
        <f t="shared" si="2"/>
        <v>1</v>
      </c>
      <c r="L17" s="105">
        <f t="shared" si="2"/>
        <v>0</v>
      </c>
      <c r="M17" s="105">
        <f t="shared" si="2"/>
        <v>187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226</vt:i4>
      </vt:variant>
    </vt:vector>
  </HeadingPairs>
  <TitlesOfParts>
    <vt:vector size="241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</cp:lastModifiedBy>
  <cp:lastPrinted>2017-02-16T10:30:13Z</cp:lastPrinted>
  <dcterms:created xsi:type="dcterms:W3CDTF">2004-05-12T00:54:34Z</dcterms:created>
  <dcterms:modified xsi:type="dcterms:W3CDTF">2017-02-16T10:33:32Z</dcterms:modified>
</cp:coreProperties>
</file>