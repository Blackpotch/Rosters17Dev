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tumpers\PIRSA\Rosters17Dev\"/>
    </mc:Choice>
  </mc:AlternateContent>
  <bookViews>
    <workbookView xWindow="0" yWindow="120" windowWidth="12120" windowHeight="8490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JanVal">Roster!$D$104:$AH$109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DATA!$I$8:$I$17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19" i="2" l="1"/>
  <c r="G15" i="9" l="1"/>
  <c r="G14" i="9"/>
  <c r="G13" i="9"/>
  <c r="G12" i="9"/>
  <c r="G11" i="9"/>
  <c r="G10" i="9"/>
  <c r="G9" i="9"/>
  <c r="G8" i="9"/>
  <c r="G7" i="9"/>
  <c r="G6" i="9"/>
  <c r="G5" i="9"/>
  <c r="G4" i="9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10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<sst xmlns="http://schemas.openxmlformats.org/spreadsheetml/2006/main" count="288" uniqueCount="82">
  <si>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</si>
  <si>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</si>
  <si>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</si>
  <si>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</si>
  <si>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</si>
  <si>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</si>
  <si>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</si>
  <si>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</si>
  <si>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</si>
  <si>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</si>
  <si>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</si>
  <si>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</si>
  <si>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</si>
  <si>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</si>
  <si>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RO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</si>
  <si>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</si>
  <si>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</si>
  <si>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</si>
  <si>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</si>
  <si>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</si>
  <si>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</si>
  <si>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</si>
  <si>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</si>
  <si>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</si>
  <si>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</si>
  <si>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</si>
  <si>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</si>
  <si>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</si>
  <si>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</si>
  <si>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</si>
  <si>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RDO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</si>
  <si>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</si>
  <si>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</si>
  <si>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</si>
  <si>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</si>
  <si>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</si>
  <si>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</si>
  <si>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</si>
  <si>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</si>
  <si>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</si>
  <si>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</si>
  <si>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</si>
  <si>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</si>
  <si>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</si>
  <si>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</si>
  <si>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</si>
  <si>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</si>
  <si>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</si>
  <si>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</si>
  <si>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</si>
  <si>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</si>
  <si>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</si>
  <si>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</si>
  <si>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</si>
  <si>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</si>
  <si>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</si>
  <si>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</si>
  <si>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Sorensen</t>
  </si>
  <si>
    <t>Troy</t>
  </si>
  <si>
    <t>Fielding</t>
  </si>
  <si>
    <t>Robin</t>
  </si>
  <si>
    <t>Flannery</t>
  </si>
  <si>
    <t>Flim Flam</t>
  </si>
  <si>
    <t>Hogan</t>
  </si>
  <si>
    <t>Paul</t>
  </si>
  <si>
    <t>Stretton</t>
  </si>
  <si>
    <t>John</t>
  </si>
  <si>
    <t>Rowe</t>
  </si>
  <si>
    <t>Margaret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</si>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</sst>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9" fillId="0" borderId="26" xfId="0" applyFont="1" applyBorder="1" applyAlignment="1" applyProtection="1">
      <alignment horizontal="center"/>
      <protection locked="0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0" fillId="0" borderId="27" xfId="0" applyBorder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2" xfId="0" applyFont="1" applyFill="1" applyBorder="1" applyAlignment="1">
      <alignment horizontal="center" vertical="center"/>
    </xf>
    <xf numFmtId="0" fontId="9" fillId="4" borderId="42" xfId="0" applyFont="1" applyFill="1" applyBorder="1" applyAlignment="1">
      <alignment horizontal="center" vertical="center"/>
    </xf>
    <xf numFmtId="0" fontId="9" fillId="4" borderId="42" xfId="0" applyFont="1" applyFill="1" applyBorder="1"/>
    <xf numFmtId="0" fontId="0" fillId="4" borderId="42" xfId="0" applyFill="1" applyBorder="1"/>
    <xf numFmtId="0" fontId="7" fillId="4" borderId="42" xfId="0" applyFont="1" applyFill="1" applyBorder="1" applyAlignment="1">
      <alignment horizontal="center"/>
    </xf>
    <xf numFmtId="0" fontId="0" fillId="4" borderId="43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7" fillId="4" borderId="42" xfId="0" applyFont="1" applyFill="1" applyBorder="1" applyAlignment="1">
      <alignment vertical="center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6"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</xdr:row>
          <xdr:rowOff>47625</xdr:rowOff>
        </xdr:from>
        <xdr:to>
          <xdr:col>17</xdr:col>
          <xdr:colOff>180975</xdr:colOff>
          <xdr:row>4</xdr:row>
          <xdr:rowOff>257175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</xdr:row>
          <xdr:rowOff>47625</xdr:rowOff>
        </xdr:from>
        <xdr:to>
          <xdr:col>26</xdr:col>
          <xdr:colOff>19050</xdr:colOff>
          <xdr:row>4</xdr:row>
          <xdr:rowOff>238125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4</xdr:row>
          <xdr:rowOff>47625</xdr:rowOff>
        </xdr:from>
        <xdr:to>
          <xdr:col>12</xdr:col>
          <xdr:colOff>114300</xdr:colOff>
          <xdr:row>4</xdr:row>
          <xdr:rowOff>238125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352425</xdr:rowOff>
        </xdr:from>
        <xdr:to>
          <xdr:col>7</xdr:col>
          <xdr:colOff>57150</xdr:colOff>
          <xdr:row>4</xdr:row>
          <xdr:rowOff>542925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352425</xdr:rowOff>
        </xdr:from>
        <xdr:to>
          <xdr:col>3</xdr:col>
          <xdr:colOff>66675</xdr:colOff>
          <xdr:row>4</xdr:row>
          <xdr:rowOff>552450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47625</xdr:rowOff>
        </xdr:from>
        <xdr:to>
          <xdr:col>7</xdr:col>
          <xdr:colOff>123825</xdr:colOff>
          <xdr:row>4</xdr:row>
          <xdr:rowOff>238125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4</xdr:row>
          <xdr:rowOff>352425</xdr:rowOff>
        </xdr:from>
        <xdr:to>
          <xdr:col>15</xdr:col>
          <xdr:colOff>85725</xdr:colOff>
          <xdr:row>4</xdr:row>
          <xdr:rowOff>542925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</xdr:row>
          <xdr:rowOff>352425</xdr:rowOff>
        </xdr:from>
        <xdr:to>
          <xdr:col>20</xdr:col>
          <xdr:colOff>190500</xdr:colOff>
          <xdr:row>4</xdr:row>
          <xdr:rowOff>542925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47625</xdr:rowOff>
        </xdr:from>
        <xdr:to>
          <xdr:col>2</xdr:col>
          <xdr:colOff>800100</xdr:colOff>
          <xdr:row>4</xdr:row>
          <xdr:rowOff>295275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4</xdr:row>
          <xdr:rowOff>47625</xdr:rowOff>
        </xdr:from>
        <xdr:to>
          <xdr:col>33</xdr:col>
          <xdr:colOff>180975</xdr:colOff>
          <xdr:row>4</xdr:row>
          <xdr:rowOff>228600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4</xdr:row>
          <xdr:rowOff>352425</xdr:rowOff>
        </xdr:from>
        <xdr:to>
          <xdr:col>26</xdr:col>
          <xdr:colOff>19050</xdr:colOff>
          <xdr:row>4</xdr:row>
          <xdr:rowOff>542925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4</xdr:row>
          <xdr:rowOff>352425</xdr:rowOff>
        </xdr:from>
        <xdr:to>
          <xdr:col>33</xdr:col>
          <xdr:colOff>161925</xdr:colOff>
          <xdr:row>4</xdr:row>
          <xdr:rowOff>542925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H190"/>
  <sheetViews>
    <sheetView showGridLines="0" tabSelected="1" zoomScale="145" zoomScaleNormal="145" workbookViewId="0">
      <pane ySplit="5" topLeftCell="A6" activePane="bottomLeft" state="frozen"/>
      <selection pane="bottomLeft" activeCell="C20" sqref="C20"/>
    </sheetView>
  </sheetViews>
  <sheetFormatPr defaultRowHeight="12.75"/>
  <cols>
    <col min="1" max="1" width="1.85546875" customWidth="1"/>
    <col min="2" max="2" width="2.7109375" customWidth="1"/>
    <col min="3" max="3" width="15.28515625" customWidth="1"/>
    <col min="4" max="34" width="3.28515625" customWidth="1"/>
  </cols>
  <sheetData>
    <row r="1" spans="1:34" s="2" customFormat="1" ht="12" customHeight="1">
      <c r="A1" s="64"/>
      <c r="J1" s="179" t="str">
        <f>Location &amp;  " -  Roster Sheets"</f>
        <v>Oodlawirra Quarantine Station -  Roster Sheets</v>
      </c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09"/>
      <c r="AF1" s="109"/>
      <c r="AG1" s="109"/>
      <c r="AH1" s="109"/>
    </row>
    <row r="2" spans="1:34" s="2" customFormat="1" ht="12" customHeight="1"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09"/>
      <c r="AF2" s="109"/>
      <c r="AG2" s="109"/>
      <c r="AH2" s="109"/>
    </row>
    <row r="3" spans="1:34" s="2" customFormat="1" ht="17.25" customHeight="1">
      <c r="B3" s="29"/>
      <c r="J3" s="177" t="str">
        <f>"Financial Year Commencing - 1st July, "&amp; CurYear-1</f>
        <v>Financial Year Commencing - 1st July, 2016</v>
      </c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8"/>
      <c r="AD3" s="178"/>
      <c r="AE3" s="109"/>
      <c r="AF3" s="109"/>
      <c r="AG3" s="109"/>
      <c r="AH3" s="109"/>
    </row>
    <row r="4" spans="1:34" s="30" customFormat="1" ht="12" customHeight="1">
      <c r="B4" s="80" t="s">
        <v>55</v>
      </c>
      <c r="C4" s="176"/>
      <c r="D4" s="176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</row>
    <row r="5" spans="1:34" s="31" customFormat="1" ht="53.25" customHeight="1"/>
    <row r="6" spans="1:34" s="158" customFormat="1" ht="14.25" customHeight="1"/>
    <row r="7" spans="1:34" s="158" customFormat="1" ht="14.25" customHeight="1">
      <c r="C7" s="171" t="s">
        <v>70</v>
      </c>
      <c r="D7" s="173" t="s">
        <v>11</v>
      </c>
      <c r="E7" s="165" t="s">
        <v>71</v>
      </c>
      <c r="F7" s="166" t="s">
        <v>74</v>
      </c>
      <c r="G7" s="167"/>
      <c r="H7" s="167"/>
      <c r="I7" s="167"/>
      <c r="J7" s="169"/>
      <c r="K7" s="170"/>
      <c r="L7" s="164" t="s">
        <v>47</v>
      </c>
      <c r="M7" s="165" t="s">
        <v>71</v>
      </c>
      <c r="N7" s="166" t="s">
        <v>77</v>
      </c>
      <c r="O7" s="167"/>
      <c r="P7" s="167"/>
      <c r="Q7" s="169"/>
      <c r="R7" s="170"/>
      <c r="S7" s="164" t="s">
        <v>69</v>
      </c>
      <c r="T7" s="165" t="s">
        <v>71</v>
      </c>
      <c r="U7" s="166" t="s">
        <v>72</v>
      </c>
      <c r="V7" s="167"/>
      <c r="W7" s="167"/>
      <c r="X7" s="169"/>
      <c r="Y7" s="167"/>
      <c r="Z7" s="164" t="s">
        <v>42</v>
      </c>
      <c r="AA7" s="165" t="s">
        <v>71</v>
      </c>
      <c r="AB7" s="166" t="s">
        <v>81</v>
      </c>
      <c r="AC7" s="167"/>
      <c r="AD7" s="167"/>
      <c r="AE7" s="169"/>
    </row>
    <row r="8" spans="1:34" s="158" customFormat="1" ht="14.25" customHeight="1">
      <c r="C8" s="172"/>
      <c r="D8" s="173" t="s">
        <v>9</v>
      </c>
      <c r="E8" s="165" t="s">
        <v>71</v>
      </c>
      <c r="F8" s="166" t="s">
        <v>75</v>
      </c>
      <c r="G8" s="167"/>
      <c r="H8" s="167"/>
      <c r="I8" s="167"/>
      <c r="J8" s="169"/>
      <c r="K8" s="170"/>
      <c r="L8" s="168" t="s">
        <v>48</v>
      </c>
      <c r="M8" s="165" t="s">
        <v>71</v>
      </c>
      <c r="N8" s="166" t="s">
        <v>78</v>
      </c>
      <c r="O8" s="167"/>
      <c r="P8" s="167"/>
      <c r="Q8" s="169"/>
      <c r="R8" s="170"/>
      <c r="S8" s="164" t="s">
        <v>73</v>
      </c>
      <c r="T8" s="165" t="s">
        <v>71</v>
      </c>
      <c r="U8" s="166" t="s">
        <v>79</v>
      </c>
      <c r="V8" s="167"/>
      <c r="W8" s="167"/>
      <c r="X8" s="169"/>
      <c r="Y8" s="167"/>
      <c r="Z8" s="164" t="s">
        <v>41</v>
      </c>
      <c r="AA8" s="165" t="s">
        <v>71</v>
      </c>
      <c r="AB8" s="166" t="s">
        <v>80</v>
      </c>
      <c r="AC8" s="167"/>
      <c r="AD8" s="167"/>
      <c r="AE8" s="169"/>
    </row>
    <row r="9" spans="1:34" s="158" customFormat="1" ht="14.25" customHeight="1">
      <c r="C9" s="172"/>
      <c r="D9" s="173" t="s">
        <v>10</v>
      </c>
      <c r="E9" s="165" t="s">
        <v>71</v>
      </c>
      <c r="F9" s="166" t="s">
        <v>76</v>
      </c>
      <c r="G9" s="167"/>
      <c r="H9" s="167"/>
      <c r="I9" s="167"/>
      <c r="J9" s="169"/>
      <c r="K9" s="170"/>
      <c r="L9" s="168"/>
      <c r="M9" s="174"/>
      <c r="N9" s="167"/>
      <c r="O9" s="167"/>
      <c r="P9" s="167"/>
      <c r="Q9" s="169"/>
      <c r="R9" s="170"/>
      <c r="S9" s="175"/>
      <c r="T9" s="174"/>
      <c r="U9" s="167"/>
      <c r="V9" s="167"/>
      <c r="W9" s="167"/>
      <c r="X9" s="169"/>
      <c r="Y9" s="167"/>
      <c r="Z9" s="164"/>
      <c r="AA9" s="174"/>
      <c r="AB9" s="167"/>
      <c r="AC9" s="167"/>
      <c r="AD9" s="167"/>
      <c r="AE9" s="169"/>
    </row>
    <row r="10" spans="1:34" s="158" customFormat="1" ht="14.25" customHeight="1">
      <c r="D10" s="160"/>
      <c r="E10" s="163"/>
      <c r="K10" s="161"/>
      <c r="L10" s="162"/>
      <c r="M10" s="159"/>
    </row>
    <row r="11" spans="1:34" s="75" customFormat="1" ht="12" customHeight="1"/>
    <row r="12" spans="1:34" s="2" customFormat="1">
      <c r="B12"/>
      <c r="C12" t="str">
        <f>CurYear-1&amp;":"</f>
        <v>2016:</v>
      </c>
      <c r="D12" s="5" t="str">
        <f t="shared" ref="D12:AH12" si="0">LEFT(TEXT(D13&amp;"-"&amp;$C13&amp;"-"&amp; CurYear-1,"ddd"),2)</f>
        <v>Fr</v>
      </c>
      <c r="E12" s="5" t="str">
        <f t="shared" si="0"/>
        <v>Sa</v>
      </c>
      <c r="F12" s="5" t="str">
        <f t="shared" si="0"/>
        <v>Su</v>
      </c>
      <c r="G12" s="5" t="str">
        <f t="shared" si="0"/>
        <v>Mo</v>
      </c>
      <c r="H12" s="5" t="str">
        <f t="shared" si="0"/>
        <v>Tu</v>
      </c>
      <c r="I12" s="5" t="str">
        <f t="shared" si="0"/>
        <v>We</v>
      </c>
      <c r="J12" s="5" t="str">
        <f t="shared" si="0"/>
        <v>Th</v>
      </c>
      <c r="K12" s="5" t="str">
        <f t="shared" si="0"/>
        <v>Fr</v>
      </c>
      <c r="L12" s="5" t="str">
        <f t="shared" si="0"/>
        <v>Sa</v>
      </c>
      <c r="M12" s="5" t="str">
        <f t="shared" si="0"/>
        <v>Su</v>
      </c>
      <c r="N12" s="5" t="str">
        <f t="shared" si="0"/>
        <v>Mo</v>
      </c>
      <c r="O12" s="5" t="str">
        <f t="shared" si="0"/>
        <v>Tu</v>
      </c>
      <c r="P12" s="5" t="str">
        <f t="shared" si="0"/>
        <v>We</v>
      </c>
      <c r="Q12" s="5" t="str">
        <f t="shared" si="0"/>
        <v>Th</v>
      </c>
      <c r="R12" s="5" t="str">
        <f t="shared" si="0"/>
        <v>Fr</v>
      </c>
      <c r="S12" s="5" t="str">
        <f t="shared" si="0"/>
        <v>Sa</v>
      </c>
      <c r="T12" s="5" t="str">
        <f t="shared" si="0"/>
        <v>Su</v>
      </c>
      <c r="U12" s="5" t="str">
        <f t="shared" si="0"/>
        <v>Mo</v>
      </c>
      <c r="V12" s="5" t="str">
        <f t="shared" si="0"/>
        <v>Tu</v>
      </c>
      <c r="W12" s="5" t="str">
        <f t="shared" si="0"/>
        <v>We</v>
      </c>
      <c r="X12" s="5" t="str">
        <f t="shared" si="0"/>
        <v>Th</v>
      </c>
      <c r="Y12" s="5" t="str">
        <f t="shared" si="0"/>
        <v>Fr</v>
      </c>
      <c r="Z12" s="5" t="str">
        <f t="shared" si="0"/>
        <v>Sa</v>
      </c>
      <c r="AA12" s="5" t="str">
        <f t="shared" si="0"/>
        <v>Su</v>
      </c>
      <c r="AB12" s="5" t="str">
        <f t="shared" si="0"/>
        <v>Mo</v>
      </c>
      <c r="AC12" s="5" t="str">
        <f t="shared" si="0"/>
        <v>Tu</v>
      </c>
      <c r="AD12" s="5" t="str">
        <f t="shared" si="0"/>
        <v>We</v>
      </c>
      <c r="AE12" s="5" t="str">
        <f t="shared" si="0"/>
        <v>Th</v>
      </c>
      <c r="AF12" s="5" t="str">
        <f t="shared" si="0"/>
        <v>Fr</v>
      </c>
      <c r="AG12" s="5" t="str">
        <f t="shared" si="0"/>
        <v>Sa</v>
      </c>
      <c r="AH12" s="5" t="str">
        <f t="shared" si="0"/>
        <v>Su</v>
      </c>
    </row>
    <row r="13" spans="1:34">
      <c r="B13" s="91"/>
      <c r="C13" s="87" t="s">
        <v>19</v>
      </c>
      <c r="D13" s="88">
        <v>1</v>
      </c>
      <c r="E13" s="88">
        <v>2</v>
      </c>
      <c r="F13" s="88">
        <v>3</v>
      </c>
      <c r="G13" s="88">
        <v>4</v>
      </c>
      <c r="H13" s="88">
        <v>5</v>
      </c>
      <c r="I13" s="88">
        <v>6</v>
      </c>
      <c r="J13" s="88">
        <v>7</v>
      </c>
      <c r="K13" s="88">
        <v>8</v>
      </c>
      <c r="L13" s="88">
        <v>9</v>
      </c>
      <c r="M13" s="88">
        <v>10</v>
      </c>
      <c r="N13" s="88">
        <v>11</v>
      </c>
      <c r="O13" s="88">
        <v>12</v>
      </c>
      <c r="P13" s="88">
        <v>13</v>
      </c>
      <c r="Q13" s="88">
        <v>14</v>
      </c>
      <c r="R13" s="88">
        <v>15</v>
      </c>
      <c r="S13" s="88">
        <v>16</v>
      </c>
      <c r="T13" s="88">
        <v>17</v>
      </c>
      <c r="U13" s="88">
        <v>18</v>
      </c>
      <c r="V13" s="88">
        <v>19</v>
      </c>
      <c r="W13" s="88">
        <v>20</v>
      </c>
      <c r="X13" s="88">
        <v>21</v>
      </c>
      <c r="Y13" s="88">
        <v>22</v>
      </c>
      <c r="Z13" s="88">
        <v>23</v>
      </c>
      <c r="AA13" s="88">
        <v>24</v>
      </c>
      <c r="AB13" s="88">
        <v>25</v>
      </c>
      <c r="AC13" s="88">
        <v>26</v>
      </c>
      <c r="AD13" s="88">
        <v>27</v>
      </c>
      <c r="AE13" s="88">
        <v>28</v>
      </c>
      <c r="AF13" s="88">
        <v>29</v>
      </c>
      <c r="AG13" s="88">
        <v>30</v>
      </c>
      <c r="AH13" s="88">
        <v>31</v>
      </c>
    </row>
    <row r="14" spans="1:34">
      <c r="B14" s="88">
        <v>1</v>
      </c>
      <c r="C14" s="92" t="str">
        <f>LEFT(EmpGName01)&amp;" " &amp; EmpSName01</f>
        <v>L Marampon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</row>
    <row r="15" spans="1:34">
      <c r="B15" s="88">
        <v>2</v>
      </c>
      <c r="C15" s="93" t="str">
        <f>LEFT(EmpGName02)&amp;" " &amp;EmpSName02</f>
        <v>K Stone</v>
      </c>
      <c r="D15" s="3"/>
      <c r="E15" s="3"/>
      <c r="F15" s="3"/>
      <c r="G15" s="3"/>
      <c r="H15" s="3"/>
      <c r="I15" s="3"/>
      <c r="J15" s="3"/>
      <c r="K15" s="3" t="s">
        <v>69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</row>
    <row r="16" spans="1:34">
      <c r="B16" s="88">
        <v>3</v>
      </c>
      <c r="C16" s="92" t="str">
        <f>LEFT(EmpGName03)&amp;" " &amp;EmpSName03</f>
        <v>I Thelning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</row>
    <row r="17" spans="2:34">
      <c r="B17" s="88">
        <v>4</v>
      </c>
      <c r="C17" s="93" t="str">
        <f>LEFT(EmpGName04)&amp;" " &amp;EmpSName04</f>
        <v>L King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</row>
    <row r="18" spans="2:34">
      <c r="B18" s="88">
        <v>5</v>
      </c>
      <c r="C18" s="92" t="str">
        <f>LEFT(EmpGName05)&amp;" " &amp;EmpSName05</f>
        <v>D Castle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</row>
    <row r="19" spans="2:34">
      <c r="B19" s="88">
        <v>6</v>
      </c>
      <c r="C19" s="93" t="str">
        <f>LEFT(EmpGName06)&amp;" " &amp;EmpSName06</f>
        <v>T Sorensen</v>
      </c>
      <c r="D19" s="3"/>
      <c r="E19" s="3"/>
      <c r="F19" s="3"/>
      <c r="G19" s="3"/>
      <c r="H19" s="3" t="s">
        <v>69</v>
      </c>
      <c r="I19" s="3"/>
      <c r="J19" s="3"/>
      <c r="K19" s="3"/>
      <c r="L19" s="3"/>
      <c r="M19" s="3" t="s">
        <v>69</v>
      </c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</row>
    <row r="20" spans="2:34">
      <c r="B20" s="88">
        <v>7</v>
      </c>
      <c r="C20" s="92" t="str">
        <f>LEFT(EmpGName07)&amp;" " &amp;EmpSName07</f>
        <v>R Fielding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</row>
    <row r="21" spans="2:34">
      <c r="B21" s="88">
        <v>8</v>
      </c>
      <c r="C21" s="93" t="str">
        <f>LEFT(EmpGName08)&amp;" " &amp;EmpSName08</f>
        <v>F Flannery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</row>
    <row r="22" spans="2:34">
      <c r="B22" s="88">
        <v>9</v>
      </c>
      <c r="C22" s="92" t="str">
        <f>LEFT(EmpGName09)&amp;" " &amp;EmpSName09</f>
        <v>P Hogan</v>
      </c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</row>
    <row r="23" spans="2:34">
      <c r="B23" s="156">
        <v>10</v>
      </c>
      <c r="C23" s="93" t="str">
        <f>LEFT(EmpGName10)&amp;" " &amp;EmpSName10</f>
        <v>J Stretton</v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</row>
    <row r="24" spans="2:34">
      <c r="B24" s="156">
        <v>11</v>
      </c>
      <c r="C24" s="92" t="str">
        <f>LEFT(EmpGName11)&amp;" " &amp;EmpSName11</f>
        <v>M Rowe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</row>
    <row r="25" spans="2:34" hidden="1">
      <c r="B25" s="156">
        <v>12</v>
      </c>
      <c r="C25" s="93" t="str">
        <f>LEFT(EmpGName12)&amp;" " &amp;EmpSName12</f>
        <v xml:space="preserve"> </v>
      </c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</row>
    <row r="27" spans="2:34" s="6" customFormat="1">
      <c r="B27"/>
      <c r="C27" t="str">
        <f>CurYear-1&amp;":"</f>
        <v>2016:</v>
      </c>
      <c r="D27" s="5" t="str">
        <f t="shared" ref="D27:AH27" si="1">LEFT(TEXT(D28&amp;"-"&amp;$C28&amp;"-"&amp; CurYear-1,"ddd"),2)</f>
        <v>Mo</v>
      </c>
      <c r="E27" s="5" t="str">
        <f t="shared" si="1"/>
        <v>Tu</v>
      </c>
      <c r="F27" s="5" t="str">
        <f t="shared" si="1"/>
        <v>We</v>
      </c>
      <c r="G27" s="5" t="str">
        <f t="shared" si="1"/>
        <v>Th</v>
      </c>
      <c r="H27" s="5" t="str">
        <f t="shared" si="1"/>
        <v>Fr</v>
      </c>
      <c r="I27" s="5" t="str">
        <f t="shared" si="1"/>
        <v>Sa</v>
      </c>
      <c r="J27" s="5" t="str">
        <f t="shared" si="1"/>
        <v>Su</v>
      </c>
      <c r="K27" s="5" t="str">
        <f t="shared" si="1"/>
        <v>Mo</v>
      </c>
      <c r="L27" s="5" t="str">
        <f t="shared" si="1"/>
        <v>Tu</v>
      </c>
      <c r="M27" s="5" t="str">
        <f t="shared" si="1"/>
        <v>We</v>
      </c>
      <c r="N27" s="5" t="str">
        <f t="shared" si="1"/>
        <v>Th</v>
      </c>
      <c r="O27" s="5" t="str">
        <f t="shared" si="1"/>
        <v>Fr</v>
      </c>
      <c r="P27" s="5" t="str">
        <f t="shared" si="1"/>
        <v>Sa</v>
      </c>
      <c r="Q27" s="5" t="str">
        <f t="shared" si="1"/>
        <v>Su</v>
      </c>
      <c r="R27" s="5" t="str">
        <f t="shared" si="1"/>
        <v>Mo</v>
      </c>
      <c r="S27" s="5" t="str">
        <f t="shared" si="1"/>
        <v>Tu</v>
      </c>
      <c r="T27" s="5" t="str">
        <f t="shared" si="1"/>
        <v>We</v>
      </c>
      <c r="U27" s="5" t="str">
        <f t="shared" si="1"/>
        <v>Th</v>
      </c>
      <c r="V27" s="5" t="str">
        <f t="shared" si="1"/>
        <v>Fr</v>
      </c>
      <c r="W27" s="5" t="str">
        <f t="shared" si="1"/>
        <v>Sa</v>
      </c>
      <c r="X27" s="5" t="str">
        <f t="shared" si="1"/>
        <v>Su</v>
      </c>
      <c r="Y27" s="5" t="str">
        <f t="shared" si="1"/>
        <v>Mo</v>
      </c>
      <c r="Z27" s="5" t="str">
        <f t="shared" si="1"/>
        <v>Tu</v>
      </c>
      <c r="AA27" s="5" t="str">
        <f t="shared" si="1"/>
        <v>We</v>
      </c>
      <c r="AB27" s="5" t="str">
        <f t="shared" si="1"/>
        <v>Th</v>
      </c>
      <c r="AC27" s="5" t="str">
        <f t="shared" si="1"/>
        <v>Fr</v>
      </c>
      <c r="AD27" s="5" t="str">
        <f t="shared" si="1"/>
        <v>Sa</v>
      </c>
      <c r="AE27" s="5" t="str">
        <f t="shared" si="1"/>
        <v>Su</v>
      </c>
      <c r="AF27" s="5" t="str">
        <f t="shared" si="1"/>
        <v>Mo</v>
      </c>
      <c r="AG27" s="5" t="str">
        <f t="shared" si="1"/>
        <v>Tu</v>
      </c>
      <c r="AH27" s="5" t="str">
        <f t="shared" si="1"/>
        <v>We</v>
      </c>
    </row>
    <row r="28" spans="2:34">
      <c r="B28" s="91"/>
      <c r="C28" s="87" t="s">
        <v>20</v>
      </c>
      <c r="D28" s="88">
        <v>1</v>
      </c>
      <c r="E28" s="88">
        <v>2</v>
      </c>
      <c r="F28" s="88">
        <v>3</v>
      </c>
      <c r="G28" s="88">
        <v>4</v>
      </c>
      <c r="H28" s="88">
        <v>5</v>
      </c>
      <c r="I28" s="88">
        <v>6</v>
      </c>
      <c r="J28" s="88">
        <v>7</v>
      </c>
      <c r="K28" s="88">
        <v>8</v>
      </c>
      <c r="L28" s="88">
        <v>9</v>
      </c>
      <c r="M28" s="88">
        <v>10</v>
      </c>
      <c r="N28" s="88">
        <v>11</v>
      </c>
      <c r="O28" s="88">
        <v>12</v>
      </c>
      <c r="P28" s="88">
        <v>13</v>
      </c>
      <c r="Q28" s="88">
        <v>14</v>
      </c>
      <c r="R28" s="88">
        <v>15</v>
      </c>
      <c r="S28" s="88">
        <v>16</v>
      </c>
      <c r="T28" s="88">
        <v>17</v>
      </c>
      <c r="U28" s="88">
        <v>18</v>
      </c>
      <c r="V28" s="88">
        <v>19</v>
      </c>
      <c r="W28" s="88">
        <v>20</v>
      </c>
      <c r="X28" s="88">
        <v>21</v>
      </c>
      <c r="Y28" s="88">
        <v>22</v>
      </c>
      <c r="Z28" s="88">
        <v>23</v>
      </c>
      <c r="AA28" s="88">
        <v>24</v>
      </c>
      <c r="AB28" s="88">
        <v>25</v>
      </c>
      <c r="AC28" s="88">
        <v>26</v>
      </c>
      <c r="AD28" s="88">
        <v>27</v>
      </c>
      <c r="AE28" s="88">
        <v>28</v>
      </c>
      <c r="AF28" s="88">
        <v>29</v>
      </c>
      <c r="AG28" s="88">
        <v>30</v>
      </c>
      <c r="AH28" s="88">
        <v>31</v>
      </c>
    </row>
    <row r="29" spans="2:34">
      <c r="B29" s="88">
        <v>1</v>
      </c>
      <c r="C29" s="92" t="str">
        <f>LEFT(EmpGName01)&amp;" " &amp; EmpSName01</f>
        <v>L Marampon</v>
      </c>
      <c r="D29" s="4" t="s">
        <v>42</v>
      </c>
      <c r="E29" s="4" t="s">
        <v>9</v>
      </c>
      <c r="F29" s="4" t="s">
        <v>9</v>
      </c>
      <c r="G29" s="4" t="s">
        <v>9</v>
      </c>
      <c r="H29" s="4" t="s">
        <v>42</v>
      </c>
      <c r="I29" s="4"/>
      <c r="J29" s="4"/>
      <c r="K29" s="4" t="s">
        <v>42</v>
      </c>
      <c r="L29" s="4" t="s">
        <v>42</v>
      </c>
      <c r="M29" s="4" t="s">
        <v>42</v>
      </c>
      <c r="N29" s="4" t="s">
        <v>9</v>
      </c>
      <c r="O29" s="4" t="s">
        <v>9</v>
      </c>
      <c r="P29" s="4"/>
      <c r="Q29" s="4"/>
      <c r="R29" s="4" t="s">
        <v>9</v>
      </c>
      <c r="S29" s="4" t="s">
        <v>9</v>
      </c>
      <c r="T29" s="4" t="s">
        <v>9</v>
      </c>
      <c r="U29" s="4" t="s">
        <v>9</v>
      </c>
      <c r="V29" s="4" t="s">
        <v>9</v>
      </c>
      <c r="W29" s="4"/>
      <c r="X29" s="4"/>
      <c r="Y29" s="4" t="s">
        <v>41</v>
      </c>
      <c r="Z29" s="4" t="s">
        <v>9</v>
      </c>
      <c r="AA29" s="4" t="s">
        <v>9</v>
      </c>
      <c r="AB29" s="4" t="s">
        <v>9</v>
      </c>
      <c r="AC29" s="4" t="s">
        <v>9</v>
      </c>
      <c r="AD29" s="4"/>
      <c r="AE29" s="4"/>
      <c r="AF29" s="4" t="s">
        <v>9</v>
      </c>
      <c r="AG29" s="4" t="s">
        <v>9</v>
      </c>
      <c r="AH29" s="4" t="s">
        <v>9</v>
      </c>
    </row>
    <row r="30" spans="2:34">
      <c r="B30" s="88">
        <v>2</v>
      </c>
      <c r="C30" s="93" t="str">
        <f>LEFT(EmpGName02)&amp;" " &amp;EmpSName02</f>
        <v>K Stone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</row>
    <row r="31" spans="2:34">
      <c r="B31" s="88">
        <v>3</v>
      </c>
      <c r="C31" s="92" t="str">
        <f>LEFT(EmpGName03)&amp;" " &amp;EmpSName03</f>
        <v>I Thelning</v>
      </c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</row>
    <row r="32" spans="2:34">
      <c r="B32" s="88">
        <v>4</v>
      </c>
      <c r="C32" s="93" t="str">
        <f>LEFT(EmpGName04)&amp;" " &amp;EmpSName04</f>
        <v>L King</v>
      </c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</row>
    <row r="33" spans="2:34">
      <c r="B33" s="88">
        <v>5</v>
      </c>
      <c r="C33" s="92" t="str">
        <f>LEFT(EmpGName05)&amp;" " &amp;EmpSName05</f>
        <v>D Castle</v>
      </c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</row>
    <row r="34" spans="2:34">
      <c r="B34" s="88">
        <v>6</v>
      </c>
      <c r="C34" s="93" t="str">
        <f>LEFT(EmpGName06)&amp;" " &amp;EmpSName06</f>
        <v>T Sorensen</v>
      </c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</row>
    <row r="35" spans="2:34">
      <c r="B35" s="88">
        <v>7</v>
      </c>
      <c r="C35" s="92" t="str">
        <f>LEFT(EmpGName07)&amp;" " &amp;EmpSName07</f>
        <v>R Fielding</v>
      </c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</row>
    <row r="36" spans="2:34">
      <c r="B36" s="88">
        <v>8</v>
      </c>
      <c r="C36" s="93" t="str">
        <f>LEFT(EmpGName08)&amp;" " &amp;EmpSName08</f>
        <v>F Flannery</v>
      </c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</row>
    <row r="37" spans="2:34">
      <c r="B37" s="88">
        <v>9</v>
      </c>
      <c r="C37" s="92" t="str">
        <f>LEFT(EmpGName09)&amp;" " &amp;EmpSName09</f>
        <v>P Hogan</v>
      </c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</row>
    <row r="38" spans="2:34">
      <c r="B38" s="156">
        <v>10</v>
      </c>
      <c r="C38" s="93" t="str">
        <f>LEFT(EmpGName10)&amp;" " &amp;EmpSName10</f>
        <v>J Stretton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</row>
    <row r="39" spans="2:34">
      <c r="B39" s="156">
        <v>11</v>
      </c>
      <c r="C39" s="92" t="str">
        <f>LEFT(EmpGName11)&amp;" " &amp;EmpSName11</f>
        <v>M Rowe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</row>
    <row r="40" spans="2:34" hidden="1">
      <c r="B40" s="156">
        <v>12</v>
      </c>
      <c r="C40" s="93" t="str">
        <f>LEFT(EmpGName12)&amp;" " &amp;EmpSName12</f>
        <v xml:space="preserve"> </v>
      </c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</row>
    <row r="42" spans="2:34" s="9" customFormat="1">
      <c r="B42"/>
      <c r="C42" t="str">
        <f>CurYear-1&amp;":"</f>
        <v>2016:</v>
      </c>
      <c r="D42" s="5" t="str">
        <f t="shared" ref="D42:AG42" si="2">LEFT(TEXT(D43&amp;"-"&amp;$C43&amp;"-"&amp; CurYear-1,"ddd"),2)</f>
        <v>Th</v>
      </c>
      <c r="E42" s="5" t="str">
        <f t="shared" si="2"/>
        <v>Fr</v>
      </c>
      <c r="F42" s="5" t="str">
        <f t="shared" si="2"/>
        <v>Sa</v>
      </c>
      <c r="G42" s="5" t="str">
        <f t="shared" si="2"/>
        <v>Su</v>
      </c>
      <c r="H42" s="5" t="str">
        <f t="shared" si="2"/>
        <v>Mo</v>
      </c>
      <c r="I42" s="5" t="str">
        <f t="shared" si="2"/>
        <v>Tu</v>
      </c>
      <c r="J42" s="5" t="str">
        <f t="shared" si="2"/>
        <v>We</v>
      </c>
      <c r="K42" s="5" t="str">
        <f t="shared" si="2"/>
        <v>Th</v>
      </c>
      <c r="L42" s="5" t="str">
        <f t="shared" si="2"/>
        <v>Fr</v>
      </c>
      <c r="M42" s="5" t="str">
        <f t="shared" si="2"/>
        <v>Sa</v>
      </c>
      <c r="N42" s="5" t="str">
        <f t="shared" si="2"/>
        <v>Su</v>
      </c>
      <c r="O42" s="5" t="str">
        <f t="shared" si="2"/>
        <v>Mo</v>
      </c>
      <c r="P42" s="5" t="str">
        <f t="shared" si="2"/>
        <v>Tu</v>
      </c>
      <c r="Q42" s="5" t="str">
        <f t="shared" si="2"/>
        <v>We</v>
      </c>
      <c r="R42" s="5" t="str">
        <f t="shared" si="2"/>
        <v>Th</v>
      </c>
      <c r="S42" s="5" t="str">
        <f t="shared" si="2"/>
        <v>Fr</v>
      </c>
      <c r="T42" s="5" t="str">
        <f t="shared" si="2"/>
        <v>Sa</v>
      </c>
      <c r="U42" s="5" t="str">
        <f t="shared" si="2"/>
        <v>Su</v>
      </c>
      <c r="V42" s="5" t="str">
        <f t="shared" si="2"/>
        <v>Mo</v>
      </c>
      <c r="W42" s="5" t="str">
        <f t="shared" si="2"/>
        <v>Tu</v>
      </c>
      <c r="X42" s="5" t="str">
        <f t="shared" si="2"/>
        <v>We</v>
      </c>
      <c r="Y42" s="5" t="str">
        <f t="shared" si="2"/>
        <v>Th</v>
      </c>
      <c r="Z42" s="5" t="str">
        <f t="shared" si="2"/>
        <v>Fr</v>
      </c>
      <c r="AA42" s="5" t="str">
        <f t="shared" si="2"/>
        <v>Sa</v>
      </c>
      <c r="AB42" s="5" t="str">
        <f t="shared" si="2"/>
        <v>Su</v>
      </c>
      <c r="AC42" s="5" t="str">
        <f t="shared" si="2"/>
        <v>Mo</v>
      </c>
      <c r="AD42" s="5" t="str">
        <f t="shared" si="2"/>
        <v>Tu</v>
      </c>
      <c r="AE42" s="5" t="str">
        <f t="shared" si="2"/>
        <v>We</v>
      </c>
      <c r="AF42" s="5" t="str">
        <f t="shared" si="2"/>
        <v>Th</v>
      </c>
      <c r="AG42" s="5" t="str">
        <f t="shared" si="2"/>
        <v>Fr</v>
      </c>
      <c r="AH42" s="5"/>
    </row>
    <row r="43" spans="2:34">
      <c r="B43" s="91"/>
      <c r="C43" s="87" t="s">
        <v>21</v>
      </c>
      <c r="D43" s="88">
        <v>1</v>
      </c>
      <c r="E43" s="88">
        <v>2</v>
      </c>
      <c r="F43" s="88">
        <v>3</v>
      </c>
      <c r="G43" s="88">
        <v>4</v>
      </c>
      <c r="H43" s="88">
        <v>5</v>
      </c>
      <c r="I43" s="88">
        <v>6</v>
      </c>
      <c r="J43" s="88">
        <v>7</v>
      </c>
      <c r="K43" s="88">
        <v>8</v>
      </c>
      <c r="L43" s="88">
        <v>9</v>
      </c>
      <c r="M43" s="88">
        <v>10</v>
      </c>
      <c r="N43" s="88">
        <v>11</v>
      </c>
      <c r="O43" s="88">
        <v>12</v>
      </c>
      <c r="P43" s="88">
        <v>13</v>
      </c>
      <c r="Q43" s="88">
        <v>14</v>
      </c>
      <c r="R43" s="88">
        <v>15</v>
      </c>
      <c r="S43" s="88">
        <v>16</v>
      </c>
      <c r="T43" s="88">
        <v>17</v>
      </c>
      <c r="U43" s="88">
        <v>18</v>
      </c>
      <c r="V43" s="88">
        <v>19</v>
      </c>
      <c r="W43" s="88">
        <v>20</v>
      </c>
      <c r="X43" s="88">
        <v>21</v>
      </c>
      <c r="Y43" s="88">
        <v>22</v>
      </c>
      <c r="Z43" s="88">
        <v>23</v>
      </c>
      <c r="AA43" s="88">
        <v>24</v>
      </c>
      <c r="AB43" s="88">
        <v>25</v>
      </c>
      <c r="AC43" s="88">
        <v>26</v>
      </c>
      <c r="AD43" s="88">
        <v>27</v>
      </c>
      <c r="AE43" s="88">
        <v>28</v>
      </c>
      <c r="AF43" s="88">
        <v>29</v>
      </c>
      <c r="AG43" s="88">
        <v>30</v>
      </c>
    </row>
    <row r="44" spans="2:34">
      <c r="B44" s="88">
        <v>1</v>
      </c>
      <c r="C44" s="92" t="str">
        <f>LEFT(EmpGName01)&amp;" " &amp; EmpSName01</f>
        <v>L Marampon</v>
      </c>
      <c r="D44" s="4" t="s">
        <v>9</v>
      </c>
      <c r="E44" s="4" t="s">
        <v>9</v>
      </c>
      <c r="F44" s="4" t="s">
        <v>9</v>
      </c>
      <c r="G44" s="4" t="s">
        <v>9</v>
      </c>
      <c r="H44" s="4" t="s">
        <v>14</v>
      </c>
      <c r="I44" s="4" t="s">
        <v>9</v>
      </c>
      <c r="J44" s="4"/>
      <c r="K44" s="4"/>
      <c r="L44" s="4" t="s">
        <v>10</v>
      </c>
      <c r="M44" s="4" t="s">
        <v>10</v>
      </c>
      <c r="N44" s="4" t="s">
        <v>10</v>
      </c>
      <c r="O44" s="4" t="s">
        <v>10</v>
      </c>
      <c r="P44" s="4" t="s">
        <v>9</v>
      </c>
      <c r="Q44" s="4"/>
      <c r="R44" s="4"/>
      <c r="S44" s="4" t="s">
        <v>9</v>
      </c>
      <c r="T44" s="4" t="s">
        <v>9</v>
      </c>
      <c r="U44" s="4" t="s">
        <v>9</v>
      </c>
      <c r="V44" s="4" t="s">
        <v>9</v>
      </c>
      <c r="W44" s="4" t="s">
        <v>9</v>
      </c>
      <c r="X44" s="4"/>
      <c r="Y44" s="4"/>
      <c r="Z44" s="4" t="s">
        <v>10</v>
      </c>
      <c r="AA44" s="4" t="s">
        <v>10</v>
      </c>
      <c r="AB44" s="4" t="s">
        <v>10</v>
      </c>
      <c r="AC44" s="4" t="s">
        <v>10</v>
      </c>
      <c r="AD44" s="4" t="s">
        <v>9</v>
      </c>
      <c r="AE44" s="4"/>
      <c r="AF44" s="4"/>
      <c r="AG44" s="4" t="s">
        <v>14</v>
      </c>
    </row>
    <row r="45" spans="2:34">
      <c r="B45" s="88">
        <v>2</v>
      </c>
      <c r="C45" s="93" t="str">
        <f>LEFT(EmpGName02)&amp;" " &amp;EmpSName02</f>
        <v>K Stone</v>
      </c>
      <c r="D45" s="3" t="s">
        <v>9</v>
      </c>
      <c r="E45" s="3"/>
      <c r="F45" s="3"/>
      <c r="G45" s="3" t="s">
        <v>10</v>
      </c>
      <c r="H45" s="3" t="s">
        <v>10</v>
      </c>
      <c r="I45" s="3" t="s">
        <v>10</v>
      </c>
      <c r="J45" s="3" t="s">
        <v>10</v>
      </c>
      <c r="K45" s="3" t="s">
        <v>10</v>
      </c>
      <c r="L45" s="3"/>
      <c r="M45" s="3"/>
      <c r="N45" s="3" t="s">
        <v>9</v>
      </c>
      <c r="O45" s="3" t="s">
        <v>9</v>
      </c>
      <c r="P45" s="3" t="s">
        <v>9</v>
      </c>
      <c r="Q45" s="3" t="s">
        <v>9</v>
      </c>
      <c r="R45" s="3" t="s">
        <v>9</v>
      </c>
      <c r="S45" s="3"/>
      <c r="T45" s="3"/>
      <c r="U45" s="3" t="s">
        <v>10</v>
      </c>
      <c r="V45" s="3" t="s">
        <v>10</v>
      </c>
      <c r="W45" s="3" t="s">
        <v>10</v>
      </c>
      <c r="X45" s="3" t="s">
        <v>10</v>
      </c>
      <c r="Y45" s="3" t="s">
        <v>14</v>
      </c>
      <c r="Z45" s="3"/>
      <c r="AA45" s="3"/>
      <c r="AB45" s="3" t="s">
        <v>9</v>
      </c>
      <c r="AC45" s="3" t="s">
        <v>9</v>
      </c>
      <c r="AD45" s="3" t="s">
        <v>9</v>
      </c>
      <c r="AE45" s="3" t="s">
        <v>9</v>
      </c>
      <c r="AF45" s="3" t="s">
        <v>9</v>
      </c>
      <c r="AG45" s="3"/>
    </row>
    <row r="46" spans="2:34">
      <c r="B46" s="88">
        <v>3</v>
      </c>
      <c r="C46" s="92" t="str">
        <f>LEFT(EmpGName03)&amp;" " &amp;EmpSName03</f>
        <v>I Thelning</v>
      </c>
      <c r="D46" s="4" t="s">
        <v>9</v>
      </c>
      <c r="E46" s="4" t="s">
        <v>10</v>
      </c>
      <c r="F46" s="4"/>
      <c r="G46" s="4"/>
      <c r="H46" s="4" t="s">
        <v>9</v>
      </c>
      <c r="I46" s="4" t="s">
        <v>53</v>
      </c>
      <c r="J46" s="4" t="s">
        <v>9</v>
      </c>
      <c r="K46" s="4" t="s">
        <v>9</v>
      </c>
      <c r="L46" s="4"/>
      <c r="M46" s="4"/>
      <c r="N46" s="4"/>
      <c r="O46" s="4"/>
      <c r="P46" s="4" t="s">
        <v>10</v>
      </c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</row>
    <row r="47" spans="2:34">
      <c r="B47" s="88">
        <v>4</v>
      </c>
      <c r="C47" s="93" t="str">
        <f>LEFT(EmpGName04)&amp;" " &amp;EmpSName04</f>
        <v>L King</v>
      </c>
      <c r="D47" s="3" t="s">
        <v>9</v>
      </c>
      <c r="E47" s="3"/>
      <c r="F47" s="3" t="s">
        <v>10</v>
      </c>
      <c r="G47" s="3"/>
      <c r="H47" s="3"/>
      <c r="I47" s="3" t="s">
        <v>9</v>
      </c>
      <c r="J47" s="3"/>
      <c r="K47" s="3"/>
      <c r="L47" s="3" t="s">
        <v>9</v>
      </c>
      <c r="M47" s="3" t="s">
        <v>9</v>
      </c>
      <c r="N47" s="3"/>
      <c r="O47" s="3"/>
      <c r="P47" s="3"/>
      <c r="Q47" s="3" t="s">
        <v>10</v>
      </c>
      <c r="R47" s="3" t="s">
        <v>10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4">
      <c r="B48" s="88">
        <v>5</v>
      </c>
      <c r="C48" s="92" t="str">
        <f>LEFT(EmpGName05)&amp;" " &amp;EmpSName05</f>
        <v>D Castle</v>
      </c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</row>
    <row r="49" spans="2:34">
      <c r="B49" s="88">
        <v>6</v>
      </c>
      <c r="C49" s="93" t="str">
        <f>LEFT(EmpGName06)&amp;" " &amp;EmpSName06</f>
        <v>T Sorensen</v>
      </c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4">
      <c r="B50" s="88">
        <v>7</v>
      </c>
      <c r="C50" s="92" t="str">
        <f>LEFT(EmpGName07)&amp;" " &amp;EmpSName07</f>
        <v>R Fielding</v>
      </c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</row>
    <row r="51" spans="2:34">
      <c r="B51" s="88">
        <v>8</v>
      </c>
      <c r="C51" s="93" t="str">
        <f>LEFT(EmpGName08)&amp;" " &amp;EmpSName08</f>
        <v>F Flannery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4">
      <c r="B52" s="88">
        <v>9</v>
      </c>
      <c r="C52" s="92" t="str">
        <f>LEFT(EmpGName09)&amp;" " &amp;EmpSName09</f>
        <v>P Hogan</v>
      </c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</row>
    <row r="53" spans="2:34">
      <c r="B53" s="156">
        <v>10</v>
      </c>
      <c r="C53" s="93" t="str">
        <f>LEFT(EmpGName10)&amp;" " &amp;EmpSName10</f>
        <v>J Stretton</v>
      </c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2:34" s="73" customFormat="1">
      <c r="B54" s="156">
        <v>11</v>
      </c>
      <c r="C54" s="92" t="str">
        <f>LEFT(EmpGName11)&amp;" " &amp;EmpSName11</f>
        <v>M Rowe</v>
      </c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/>
    </row>
    <row r="55" spans="2:34" hidden="1">
      <c r="B55" s="156">
        <v>12</v>
      </c>
      <c r="C55" s="93" t="str">
        <f>LEFT(EmpGName12)&amp;" " &amp;EmpSName12</f>
        <v xml:space="preserve"> 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  <row r="57" spans="2:34">
      <c r="C57" t="str">
        <f>CurYear-1&amp;":"</f>
        <v>2016:</v>
      </c>
      <c r="D57" s="5" t="str">
        <f t="shared" ref="D57:AH57" si="3">LEFT(TEXT(D58&amp;"-"&amp;$C58&amp;"-"&amp; CurYear-1,"ddd"),2)</f>
        <v>Sa</v>
      </c>
      <c r="E57" s="5" t="str">
        <f t="shared" si="3"/>
        <v>Su</v>
      </c>
      <c r="F57" s="5" t="str">
        <f t="shared" si="3"/>
        <v>Mo</v>
      </c>
      <c r="G57" s="5" t="str">
        <f t="shared" si="3"/>
        <v>Tu</v>
      </c>
      <c r="H57" s="5" t="str">
        <f t="shared" si="3"/>
        <v>We</v>
      </c>
      <c r="I57" s="5" t="str">
        <f t="shared" si="3"/>
        <v>Th</v>
      </c>
      <c r="J57" s="5" t="str">
        <f t="shared" si="3"/>
        <v>Fr</v>
      </c>
      <c r="K57" s="5" t="str">
        <f t="shared" si="3"/>
        <v>Sa</v>
      </c>
      <c r="L57" s="5" t="str">
        <f t="shared" si="3"/>
        <v>Su</v>
      </c>
      <c r="M57" s="5" t="str">
        <f t="shared" si="3"/>
        <v>Mo</v>
      </c>
      <c r="N57" s="5" t="str">
        <f t="shared" si="3"/>
        <v>Tu</v>
      </c>
      <c r="O57" s="5" t="str">
        <f t="shared" si="3"/>
        <v>We</v>
      </c>
      <c r="P57" s="5" t="str">
        <f t="shared" si="3"/>
        <v>Th</v>
      </c>
      <c r="Q57" s="5" t="str">
        <f t="shared" si="3"/>
        <v>Fr</v>
      </c>
      <c r="R57" s="5" t="str">
        <f t="shared" si="3"/>
        <v>Sa</v>
      </c>
      <c r="S57" s="5" t="str">
        <f t="shared" si="3"/>
        <v>Su</v>
      </c>
      <c r="T57" s="5" t="str">
        <f t="shared" si="3"/>
        <v>Mo</v>
      </c>
      <c r="U57" s="5" t="str">
        <f t="shared" si="3"/>
        <v>Tu</v>
      </c>
      <c r="V57" s="5" t="str">
        <f t="shared" si="3"/>
        <v>We</v>
      </c>
      <c r="W57" s="5" t="str">
        <f t="shared" si="3"/>
        <v>Th</v>
      </c>
      <c r="X57" s="5" t="str">
        <f t="shared" si="3"/>
        <v>Fr</v>
      </c>
      <c r="Y57" s="5" t="str">
        <f t="shared" si="3"/>
        <v>Sa</v>
      </c>
      <c r="Z57" s="5" t="str">
        <f t="shared" si="3"/>
        <v>Su</v>
      </c>
      <c r="AA57" s="5" t="str">
        <f t="shared" si="3"/>
        <v>Mo</v>
      </c>
      <c r="AB57" s="5" t="str">
        <f t="shared" si="3"/>
        <v>Tu</v>
      </c>
      <c r="AC57" s="5" t="str">
        <f t="shared" si="3"/>
        <v>We</v>
      </c>
      <c r="AD57" s="5" t="str">
        <f t="shared" si="3"/>
        <v>Th</v>
      </c>
      <c r="AE57" s="5" t="str">
        <f t="shared" si="3"/>
        <v>Fr</v>
      </c>
      <c r="AF57" s="5" t="str">
        <f t="shared" si="3"/>
        <v>Sa</v>
      </c>
      <c r="AG57" s="5" t="str">
        <f t="shared" si="3"/>
        <v>Su</v>
      </c>
      <c r="AH57" s="5" t="str">
        <f t="shared" si="3"/>
        <v>Mo</v>
      </c>
    </row>
    <row r="58" spans="2:34">
      <c r="B58" s="91"/>
      <c r="C58" s="87" t="s">
        <v>22</v>
      </c>
      <c r="D58" s="88">
        <v>1</v>
      </c>
      <c r="E58" s="88">
        <v>2</v>
      </c>
      <c r="F58" s="88">
        <v>3</v>
      </c>
      <c r="G58" s="88">
        <v>4</v>
      </c>
      <c r="H58" s="88">
        <v>5</v>
      </c>
      <c r="I58" s="88">
        <v>6</v>
      </c>
      <c r="J58" s="88">
        <v>7</v>
      </c>
      <c r="K58" s="88">
        <v>8</v>
      </c>
      <c r="L58" s="88">
        <v>9</v>
      </c>
      <c r="M58" s="88">
        <v>10</v>
      </c>
      <c r="N58" s="88">
        <v>11</v>
      </c>
      <c r="O58" s="88">
        <v>12</v>
      </c>
      <c r="P58" s="88">
        <v>13</v>
      </c>
      <c r="Q58" s="88">
        <v>14</v>
      </c>
      <c r="R58" s="88">
        <v>15</v>
      </c>
      <c r="S58" s="88">
        <v>16</v>
      </c>
      <c r="T58" s="88">
        <v>17</v>
      </c>
      <c r="U58" s="88">
        <v>18</v>
      </c>
      <c r="V58" s="88">
        <v>19</v>
      </c>
      <c r="W58" s="88">
        <v>20</v>
      </c>
      <c r="X58" s="88">
        <v>21</v>
      </c>
      <c r="Y58" s="88">
        <v>22</v>
      </c>
      <c r="Z58" s="88">
        <v>23</v>
      </c>
      <c r="AA58" s="88">
        <v>24</v>
      </c>
      <c r="AB58" s="88">
        <v>25</v>
      </c>
      <c r="AC58" s="88">
        <v>26</v>
      </c>
      <c r="AD58" s="88">
        <v>27</v>
      </c>
      <c r="AE58" s="88">
        <v>28</v>
      </c>
      <c r="AF58" s="88">
        <v>29</v>
      </c>
      <c r="AG58" s="88">
        <v>30</v>
      </c>
      <c r="AH58" s="88">
        <v>31</v>
      </c>
    </row>
    <row r="59" spans="2:34">
      <c r="B59" s="88">
        <v>1</v>
      </c>
      <c r="C59" s="92" t="str">
        <f>LEFT(EmpGName01)&amp;" " &amp; EmpSName01</f>
        <v>L Marampon</v>
      </c>
      <c r="D59" s="4" t="s">
        <v>9</v>
      </c>
      <c r="E59" s="4" t="s">
        <v>9</v>
      </c>
      <c r="F59" s="4" t="s">
        <v>9</v>
      </c>
      <c r="G59" s="4" t="s">
        <v>9</v>
      </c>
      <c r="H59" s="4"/>
      <c r="I59" s="4"/>
      <c r="J59" s="4" t="s">
        <v>10</v>
      </c>
      <c r="K59" s="4" t="s">
        <v>10</v>
      </c>
      <c r="L59" s="4" t="s">
        <v>10</v>
      </c>
      <c r="M59" s="4" t="s">
        <v>10</v>
      </c>
      <c r="N59" s="4" t="s">
        <v>9</v>
      </c>
      <c r="O59" s="4"/>
      <c r="P59" s="4"/>
      <c r="Q59" s="4" t="s">
        <v>9</v>
      </c>
      <c r="R59" s="4" t="s">
        <v>9</v>
      </c>
      <c r="S59" s="4" t="s">
        <v>9</v>
      </c>
      <c r="T59" s="4" t="s">
        <v>9</v>
      </c>
      <c r="U59" s="4" t="s">
        <v>9</v>
      </c>
      <c r="V59" s="4"/>
      <c r="W59" s="4"/>
      <c r="X59" s="4" t="s">
        <v>14</v>
      </c>
      <c r="Y59" s="4" t="s">
        <v>10</v>
      </c>
      <c r="Z59" s="4" t="s">
        <v>10</v>
      </c>
      <c r="AA59" s="4" t="s">
        <v>10</v>
      </c>
      <c r="AB59" s="4" t="s">
        <v>9</v>
      </c>
      <c r="AC59" s="4"/>
      <c r="AD59" s="4"/>
      <c r="AE59" s="4" t="s">
        <v>9</v>
      </c>
      <c r="AF59" s="4" t="s">
        <v>9</v>
      </c>
      <c r="AG59" s="4" t="s">
        <v>9</v>
      </c>
      <c r="AH59" s="4" t="s">
        <v>9</v>
      </c>
    </row>
    <row r="60" spans="2:34">
      <c r="B60" s="88">
        <v>2</v>
      </c>
      <c r="C60" s="93" t="str">
        <f>LEFT(EmpGName02)&amp;" " &amp;EmpSName02</f>
        <v>K Stone</v>
      </c>
      <c r="D60" s="3"/>
      <c r="E60" s="3" t="s">
        <v>10</v>
      </c>
      <c r="F60" s="3" t="s">
        <v>10</v>
      </c>
      <c r="G60" s="3" t="s">
        <v>10</v>
      </c>
      <c r="H60" s="3" t="s">
        <v>10</v>
      </c>
      <c r="I60" s="3" t="s">
        <v>10</v>
      </c>
      <c r="J60" s="3"/>
      <c r="K60" s="3"/>
      <c r="L60" s="3" t="s">
        <v>9</v>
      </c>
      <c r="M60" s="3" t="s">
        <v>9</v>
      </c>
      <c r="N60" s="3" t="s">
        <v>9</v>
      </c>
      <c r="O60" s="3" t="s">
        <v>9</v>
      </c>
      <c r="P60" s="3" t="s">
        <v>9</v>
      </c>
      <c r="Q60" s="3"/>
      <c r="R60" s="3"/>
      <c r="S60" s="3" t="s">
        <v>14</v>
      </c>
      <c r="T60" s="3" t="s">
        <v>10</v>
      </c>
      <c r="U60" s="3" t="s">
        <v>10</v>
      </c>
      <c r="V60" s="3" t="s">
        <v>10</v>
      </c>
      <c r="W60" s="3" t="s">
        <v>10</v>
      </c>
      <c r="X60" s="3"/>
      <c r="Y60" s="3"/>
      <c r="Z60" s="3" t="s">
        <v>9</v>
      </c>
      <c r="AA60" s="3" t="s">
        <v>9</v>
      </c>
      <c r="AB60" s="3" t="s">
        <v>9</v>
      </c>
      <c r="AC60" s="3" t="s">
        <v>9</v>
      </c>
      <c r="AD60" s="3" t="s">
        <v>9</v>
      </c>
      <c r="AE60" s="3"/>
      <c r="AF60" s="3"/>
      <c r="AG60" s="3" t="s">
        <v>10</v>
      </c>
      <c r="AH60" s="3" t="s">
        <v>10</v>
      </c>
    </row>
    <row r="61" spans="2:34">
      <c r="B61" s="88">
        <v>3</v>
      </c>
      <c r="C61" s="92" t="str">
        <f>LEFT(EmpGName03)&amp;" " &amp;EmpSName03</f>
        <v>I Thelning</v>
      </c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</row>
    <row r="62" spans="2:34">
      <c r="B62" s="88">
        <v>4</v>
      </c>
      <c r="C62" s="93" t="str">
        <f>LEFT(EmpGName04)&amp;" " &amp;EmpSName04</f>
        <v>L King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spans="2:34">
      <c r="B63" s="88">
        <v>5</v>
      </c>
      <c r="C63" s="92" t="str">
        <f>LEFT(EmpGName05)&amp;" " &amp;EmpSName05</f>
        <v>D Castle</v>
      </c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</row>
    <row r="64" spans="2:34">
      <c r="B64" s="88">
        <v>6</v>
      </c>
      <c r="C64" s="93" t="str">
        <f>LEFT(EmpGName06)&amp;" " &amp;EmpSName06</f>
        <v>T Sorensen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spans="2:34">
      <c r="B65" s="88">
        <v>7</v>
      </c>
      <c r="C65" s="92" t="str">
        <f>LEFT(EmpGName07)&amp;" " &amp;EmpSName07</f>
        <v>R Fielding</v>
      </c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</row>
    <row r="66" spans="2:34">
      <c r="B66" s="88">
        <v>8</v>
      </c>
      <c r="C66" s="93" t="str">
        <f>LEFT(EmpGName08)&amp;" " &amp;EmpSName08</f>
        <v>F Flannery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spans="2:34">
      <c r="B67" s="88">
        <v>9</v>
      </c>
      <c r="C67" s="92" t="str">
        <f>LEFT(EmpGName09)&amp;" " &amp;EmpSName09</f>
        <v>P Hogan</v>
      </c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</row>
    <row r="68" spans="2:34">
      <c r="B68" s="156">
        <v>10</v>
      </c>
      <c r="C68" s="93" t="str">
        <f>LEFT(EmpGName10)&amp;" " &amp;EmpSName10</f>
        <v>J Stretton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spans="2:34" s="73" customFormat="1">
      <c r="B69" s="156">
        <v>11</v>
      </c>
      <c r="C69" s="92" t="str">
        <f>LEFT(EmpGName11)&amp;" " &amp;EmpSName11</f>
        <v>M Rowe</v>
      </c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</row>
    <row r="70" spans="2:34" s="73" customFormat="1" hidden="1">
      <c r="B70" s="156">
        <v>12</v>
      </c>
      <c r="C70" s="93" t="str">
        <f>LEFT(EmpGName12)&amp;" " &amp;EmpSName12</f>
        <v xml:space="preserve"> 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spans="2:34" s="73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2016:</v>
      </c>
      <c r="D72" s="5" t="str">
        <f t="shared" ref="D72:AG72" si="4">LEFT(TEXT(D73&amp;"-"&amp;$C73&amp;"-"&amp; CurYear-1,"ddd"),2)</f>
        <v>Tu</v>
      </c>
      <c r="E72" s="5" t="str">
        <f t="shared" si="4"/>
        <v>We</v>
      </c>
      <c r="F72" s="5" t="str">
        <f t="shared" si="4"/>
        <v>Th</v>
      </c>
      <c r="G72" s="5" t="str">
        <f t="shared" si="4"/>
        <v>Fr</v>
      </c>
      <c r="H72" s="5" t="str">
        <f t="shared" si="4"/>
        <v>Sa</v>
      </c>
      <c r="I72" s="5" t="str">
        <f t="shared" si="4"/>
        <v>Su</v>
      </c>
      <c r="J72" s="5" t="str">
        <f t="shared" si="4"/>
        <v>Mo</v>
      </c>
      <c r="K72" s="5" t="str">
        <f t="shared" si="4"/>
        <v>Tu</v>
      </c>
      <c r="L72" s="5" t="str">
        <f t="shared" si="4"/>
        <v>We</v>
      </c>
      <c r="M72" s="5" t="str">
        <f t="shared" si="4"/>
        <v>Th</v>
      </c>
      <c r="N72" s="5" t="str">
        <f t="shared" si="4"/>
        <v>Fr</v>
      </c>
      <c r="O72" s="5" t="str">
        <f t="shared" si="4"/>
        <v>Sa</v>
      </c>
      <c r="P72" s="5" t="str">
        <f t="shared" si="4"/>
        <v>Su</v>
      </c>
      <c r="Q72" s="5" t="str">
        <f t="shared" si="4"/>
        <v>Mo</v>
      </c>
      <c r="R72" s="5" t="str">
        <f t="shared" si="4"/>
        <v>Tu</v>
      </c>
      <c r="S72" s="5" t="str">
        <f t="shared" si="4"/>
        <v>We</v>
      </c>
      <c r="T72" s="5" t="str">
        <f t="shared" si="4"/>
        <v>Th</v>
      </c>
      <c r="U72" s="5" t="str">
        <f t="shared" si="4"/>
        <v>Fr</v>
      </c>
      <c r="V72" s="5" t="str">
        <f t="shared" si="4"/>
        <v>Sa</v>
      </c>
      <c r="W72" s="5" t="str">
        <f t="shared" si="4"/>
        <v>Su</v>
      </c>
      <c r="X72" s="5" t="str">
        <f t="shared" si="4"/>
        <v>Mo</v>
      </c>
      <c r="Y72" s="5" t="str">
        <f t="shared" si="4"/>
        <v>Tu</v>
      </c>
      <c r="Z72" s="5" t="str">
        <f t="shared" si="4"/>
        <v>We</v>
      </c>
      <c r="AA72" s="5" t="str">
        <f t="shared" si="4"/>
        <v>Th</v>
      </c>
      <c r="AB72" s="5" t="str">
        <f t="shared" si="4"/>
        <v>Fr</v>
      </c>
      <c r="AC72" s="5" t="str">
        <f t="shared" si="4"/>
        <v>Sa</v>
      </c>
      <c r="AD72" s="5" t="str">
        <f t="shared" si="4"/>
        <v>Su</v>
      </c>
      <c r="AE72" s="5" t="str">
        <f t="shared" si="4"/>
        <v>Mo</v>
      </c>
      <c r="AF72" s="5" t="str">
        <f t="shared" si="4"/>
        <v>Tu</v>
      </c>
      <c r="AG72" s="5" t="str">
        <f t="shared" si="4"/>
        <v>We</v>
      </c>
      <c r="AH72" s="5"/>
    </row>
    <row r="73" spans="2:34">
      <c r="B73" s="91"/>
      <c r="C73" s="87" t="s">
        <v>23</v>
      </c>
      <c r="D73" s="88">
        <v>1</v>
      </c>
      <c r="E73" s="88">
        <v>2</v>
      </c>
      <c r="F73" s="88">
        <v>3</v>
      </c>
      <c r="G73" s="88">
        <v>4</v>
      </c>
      <c r="H73" s="88">
        <v>5</v>
      </c>
      <c r="I73" s="88">
        <v>6</v>
      </c>
      <c r="J73" s="88">
        <v>7</v>
      </c>
      <c r="K73" s="88">
        <v>8</v>
      </c>
      <c r="L73" s="88">
        <v>9</v>
      </c>
      <c r="M73" s="88">
        <v>10</v>
      </c>
      <c r="N73" s="88">
        <v>11</v>
      </c>
      <c r="O73" s="88">
        <v>12</v>
      </c>
      <c r="P73" s="88">
        <v>13</v>
      </c>
      <c r="Q73" s="88">
        <v>14</v>
      </c>
      <c r="R73" s="88">
        <v>15</v>
      </c>
      <c r="S73" s="88">
        <v>16</v>
      </c>
      <c r="T73" s="88">
        <v>17</v>
      </c>
      <c r="U73" s="88">
        <v>18</v>
      </c>
      <c r="V73" s="88">
        <v>19</v>
      </c>
      <c r="W73" s="88">
        <v>20</v>
      </c>
      <c r="X73" s="88">
        <v>21</v>
      </c>
      <c r="Y73" s="88">
        <v>22</v>
      </c>
      <c r="Z73" s="88">
        <v>23</v>
      </c>
      <c r="AA73" s="88">
        <v>24</v>
      </c>
      <c r="AB73" s="88">
        <v>25</v>
      </c>
      <c r="AC73" s="88">
        <v>26</v>
      </c>
      <c r="AD73" s="88">
        <v>27</v>
      </c>
      <c r="AE73" s="88">
        <v>28</v>
      </c>
      <c r="AF73" s="88">
        <v>29</v>
      </c>
      <c r="AG73" s="88">
        <v>30</v>
      </c>
    </row>
    <row r="74" spans="2:34">
      <c r="B74" s="88">
        <v>1</v>
      </c>
      <c r="C74" s="92" t="str">
        <f>LEFT(EmpGName01)&amp;" " &amp; EmpSName01</f>
        <v>L Marampon</v>
      </c>
      <c r="D74" s="4" t="s">
        <v>9</v>
      </c>
      <c r="E74" s="4"/>
      <c r="F74" s="4"/>
      <c r="G74" s="4" t="s">
        <v>10</v>
      </c>
      <c r="H74" s="4" t="s">
        <v>10</v>
      </c>
      <c r="I74" s="4" t="s">
        <v>10</v>
      </c>
      <c r="J74" s="4" t="s">
        <v>10</v>
      </c>
      <c r="K74" s="4" t="s">
        <v>9</v>
      </c>
      <c r="L74" s="4"/>
      <c r="M74" s="4"/>
      <c r="N74" s="4" t="s">
        <v>14</v>
      </c>
      <c r="O74" s="4" t="s">
        <v>9</v>
      </c>
      <c r="P74" s="4" t="s">
        <v>9</v>
      </c>
      <c r="Q74" s="4" t="s">
        <v>9</v>
      </c>
      <c r="R74" s="4" t="s">
        <v>9</v>
      </c>
      <c r="S74" s="4"/>
      <c r="T74" s="4"/>
      <c r="U74" s="4" t="s">
        <v>10</v>
      </c>
      <c r="V74" s="4" t="s">
        <v>10</v>
      </c>
      <c r="W74" s="4" t="s">
        <v>10</v>
      </c>
      <c r="X74" s="4" t="s">
        <v>10</v>
      </c>
      <c r="Y74" s="4" t="s">
        <v>9</v>
      </c>
      <c r="Z74" s="4"/>
      <c r="AA74" s="4"/>
      <c r="AB74" s="4" t="s">
        <v>9</v>
      </c>
      <c r="AC74" s="4" t="s">
        <v>9</v>
      </c>
      <c r="AD74" s="4" t="s">
        <v>9</v>
      </c>
      <c r="AE74" s="4" t="s">
        <v>9</v>
      </c>
      <c r="AF74" s="4" t="s">
        <v>9</v>
      </c>
      <c r="AG74" s="4"/>
    </row>
    <row r="75" spans="2:34">
      <c r="B75" s="88">
        <v>2</v>
      </c>
      <c r="C75" s="93" t="str">
        <f>LEFT(EmpGName02)&amp;" " &amp;EmpSName02</f>
        <v>K Stone</v>
      </c>
      <c r="D75" s="3" t="s">
        <v>10</v>
      </c>
      <c r="E75" s="3" t="s">
        <v>10</v>
      </c>
      <c r="F75" s="3" t="s">
        <v>10</v>
      </c>
      <c r="G75" s="3"/>
      <c r="H75" s="3"/>
      <c r="I75" s="3" t="s">
        <v>9</v>
      </c>
      <c r="J75" s="3" t="s">
        <v>14</v>
      </c>
      <c r="K75" s="3" t="s">
        <v>9</v>
      </c>
      <c r="L75" s="3" t="s">
        <v>9</v>
      </c>
      <c r="M75" s="3" t="s">
        <v>9</v>
      </c>
      <c r="N75" s="3"/>
      <c r="O75" s="3"/>
      <c r="P75" s="3" t="s">
        <v>10</v>
      </c>
      <c r="Q75" s="3" t="s">
        <v>10</v>
      </c>
      <c r="R75" s="3" t="s">
        <v>10</v>
      </c>
      <c r="S75" s="3" t="s">
        <v>10</v>
      </c>
      <c r="T75" s="3" t="s">
        <v>10</v>
      </c>
      <c r="U75" s="3"/>
      <c r="V75" s="3"/>
      <c r="W75" s="3" t="s">
        <v>9</v>
      </c>
      <c r="X75" s="3" t="s">
        <v>9</v>
      </c>
      <c r="Y75" s="3" t="s">
        <v>9</v>
      </c>
      <c r="Z75" s="3" t="s">
        <v>9</v>
      </c>
      <c r="AA75" s="3" t="s">
        <v>9</v>
      </c>
      <c r="AB75" s="3"/>
      <c r="AC75" s="3"/>
      <c r="AD75" s="3" t="s">
        <v>10</v>
      </c>
      <c r="AE75" s="3" t="s">
        <v>10</v>
      </c>
      <c r="AF75" s="3" t="s">
        <v>14</v>
      </c>
      <c r="AG75" s="3" t="s">
        <v>10</v>
      </c>
    </row>
    <row r="76" spans="2:34">
      <c r="B76" s="88">
        <v>3</v>
      </c>
      <c r="C76" s="92" t="str">
        <f>LEFT(EmpGName03)&amp;" " &amp;EmpSName03</f>
        <v>I Thelning</v>
      </c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</row>
    <row r="77" spans="2:34">
      <c r="B77" s="88">
        <v>4</v>
      </c>
      <c r="C77" s="93" t="str">
        <f>LEFT(EmpGName04)&amp;" " &amp;EmpSName04</f>
        <v>L King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</row>
    <row r="78" spans="2:34">
      <c r="B78" s="88">
        <v>5</v>
      </c>
      <c r="C78" s="92" t="str">
        <f>LEFT(EmpGName05)&amp;" " &amp;EmpSName05</f>
        <v>D Castle</v>
      </c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</row>
    <row r="79" spans="2:34">
      <c r="B79" s="88">
        <v>6</v>
      </c>
      <c r="C79" s="93" t="str">
        <f>LEFT(EmpGName06)&amp;" " &amp;EmpSName06</f>
        <v>T Sorensen</v>
      </c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</row>
    <row r="80" spans="2:34">
      <c r="B80" s="88">
        <v>7</v>
      </c>
      <c r="C80" s="92" t="str">
        <f>LEFT(EmpGName07)&amp;" " &amp;EmpSName07</f>
        <v>R Fielding</v>
      </c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</row>
    <row r="81" spans="2:34">
      <c r="B81" s="88">
        <v>8</v>
      </c>
      <c r="C81" s="93" t="str">
        <f>LEFT(EmpGName08)&amp;" " &amp;EmpSName08</f>
        <v>F Flannery</v>
      </c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</row>
    <row r="82" spans="2:34">
      <c r="B82" s="88">
        <v>9</v>
      </c>
      <c r="C82" s="92" t="str">
        <f>LEFT(EmpGName09)&amp;" " &amp;EmpSName09</f>
        <v>P Hogan</v>
      </c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</row>
    <row r="83" spans="2:34">
      <c r="B83" s="156">
        <v>10</v>
      </c>
      <c r="C83" s="93" t="str">
        <f>LEFT(EmpGName10)&amp;" " &amp;EmpSName10</f>
        <v>J Stretton</v>
      </c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</row>
    <row r="84" spans="2:34" s="73" customFormat="1">
      <c r="B84" s="156">
        <v>11</v>
      </c>
      <c r="C84" s="92" t="str">
        <f>LEFT(EmpGName11)&amp;" " &amp;EmpSName11</f>
        <v>M Rowe</v>
      </c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/>
    </row>
    <row r="85" spans="2:34" s="73" customFormat="1" hidden="1">
      <c r="B85" s="156">
        <v>12</v>
      </c>
      <c r="C85" s="93" t="str">
        <f>LEFT(EmpGName12)&amp;" " &amp;EmpSName12</f>
        <v xml:space="preserve"> </v>
      </c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/>
    </row>
    <row r="86" spans="2:34" s="73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2016:</v>
      </c>
      <c r="D87" s="5" t="str">
        <f t="shared" ref="D87:AH87" si="5">LEFT(TEXT(D88&amp;"-"&amp;$C88&amp;"-"&amp; CurYear-1,"ddd"),2)</f>
        <v>Th</v>
      </c>
      <c r="E87" s="5" t="str">
        <f t="shared" si="5"/>
        <v>Fr</v>
      </c>
      <c r="F87" s="5" t="str">
        <f t="shared" si="5"/>
        <v>Sa</v>
      </c>
      <c r="G87" s="5" t="str">
        <f t="shared" si="5"/>
        <v>Su</v>
      </c>
      <c r="H87" s="5" t="str">
        <f t="shared" si="5"/>
        <v>Mo</v>
      </c>
      <c r="I87" s="5" t="str">
        <f t="shared" si="5"/>
        <v>Tu</v>
      </c>
      <c r="J87" s="5" t="str">
        <f t="shared" si="5"/>
        <v>We</v>
      </c>
      <c r="K87" s="5" t="str">
        <f t="shared" si="5"/>
        <v>Th</v>
      </c>
      <c r="L87" s="5" t="str">
        <f t="shared" si="5"/>
        <v>Fr</v>
      </c>
      <c r="M87" s="5" t="str">
        <f t="shared" si="5"/>
        <v>Sa</v>
      </c>
      <c r="N87" s="5" t="str">
        <f t="shared" si="5"/>
        <v>Su</v>
      </c>
      <c r="O87" s="5" t="str">
        <f t="shared" si="5"/>
        <v>Mo</v>
      </c>
      <c r="P87" s="5" t="str">
        <f t="shared" si="5"/>
        <v>Tu</v>
      </c>
      <c r="Q87" s="5" t="str">
        <f t="shared" si="5"/>
        <v>We</v>
      </c>
      <c r="R87" s="5" t="str">
        <f t="shared" si="5"/>
        <v>Th</v>
      </c>
      <c r="S87" s="5" t="str">
        <f t="shared" si="5"/>
        <v>Fr</v>
      </c>
      <c r="T87" s="5" t="str">
        <f t="shared" si="5"/>
        <v>Sa</v>
      </c>
      <c r="U87" s="5" t="str">
        <f t="shared" si="5"/>
        <v>Su</v>
      </c>
      <c r="V87" s="5" t="str">
        <f t="shared" si="5"/>
        <v>Mo</v>
      </c>
      <c r="W87" s="5" t="str">
        <f t="shared" si="5"/>
        <v>Tu</v>
      </c>
      <c r="X87" s="5" t="str">
        <f t="shared" si="5"/>
        <v>We</v>
      </c>
      <c r="Y87" s="5" t="str">
        <f t="shared" si="5"/>
        <v>Th</v>
      </c>
      <c r="Z87" s="5" t="str">
        <f t="shared" si="5"/>
        <v>Fr</v>
      </c>
      <c r="AA87" s="5" t="str">
        <f t="shared" si="5"/>
        <v>Sa</v>
      </c>
      <c r="AB87" s="5" t="str">
        <f t="shared" si="5"/>
        <v>Su</v>
      </c>
      <c r="AC87" s="5" t="str">
        <f t="shared" si="5"/>
        <v>Mo</v>
      </c>
      <c r="AD87" s="5" t="str">
        <f t="shared" si="5"/>
        <v>Tu</v>
      </c>
      <c r="AE87" s="5" t="str">
        <f t="shared" si="5"/>
        <v>We</v>
      </c>
      <c r="AF87" s="5" t="str">
        <f t="shared" si="5"/>
        <v>Th</v>
      </c>
      <c r="AG87" s="5" t="str">
        <f t="shared" si="5"/>
        <v>Fr</v>
      </c>
      <c r="AH87" s="5" t="str">
        <f t="shared" si="5"/>
        <v>Sa</v>
      </c>
    </row>
    <row r="88" spans="2:34">
      <c r="B88" s="91"/>
      <c r="C88" s="87" t="s">
        <v>24</v>
      </c>
      <c r="D88" s="88">
        <v>1</v>
      </c>
      <c r="E88" s="88">
        <v>2</v>
      </c>
      <c r="F88" s="88">
        <v>3</v>
      </c>
      <c r="G88" s="88">
        <v>4</v>
      </c>
      <c r="H88" s="88">
        <v>5</v>
      </c>
      <c r="I88" s="88">
        <v>6</v>
      </c>
      <c r="J88" s="88">
        <v>7</v>
      </c>
      <c r="K88" s="88">
        <v>8</v>
      </c>
      <c r="L88" s="88">
        <v>9</v>
      </c>
      <c r="M88" s="88">
        <v>10</v>
      </c>
      <c r="N88" s="88">
        <v>11</v>
      </c>
      <c r="O88" s="88">
        <v>12</v>
      </c>
      <c r="P88" s="88">
        <v>13</v>
      </c>
      <c r="Q88" s="88">
        <v>14</v>
      </c>
      <c r="R88" s="88">
        <v>15</v>
      </c>
      <c r="S88" s="88">
        <v>16</v>
      </c>
      <c r="T88" s="88">
        <v>17</v>
      </c>
      <c r="U88" s="88">
        <v>18</v>
      </c>
      <c r="V88" s="88">
        <v>19</v>
      </c>
      <c r="W88" s="88">
        <v>20</v>
      </c>
      <c r="X88" s="88">
        <v>21</v>
      </c>
      <c r="Y88" s="88">
        <v>22</v>
      </c>
      <c r="Z88" s="88">
        <v>23</v>
      </c>
      <c r="AA88" s="88">
        <v>24</v>
      </c>
      <c r="AB88" s="88">
        <v>25</v>
      </c>
      <c r="AC88" s="88">
        <v>26</v>
      </c>
      <c r="AD88" s="88">
        <v>27</v>
      </c>
      <c r="AE88" s="88">
        <v>28</v>
      </c>
      <c r="AF88" s="88">
        <v>29</v>
      </c>
      <c r="AG88" s="88">
        <v>30</v>
      </c>
      <c r="AH88" s="88">
        <v>31</v>
      </c>
    </row>
    <row r="89" spans="2:34">
      <c r="B89" s="88">
        <v>1</v>
      </c>
      <c r="C89" s="92" t="str">
        <f>LEFT(EmpGName01)&amp;" " &amp; EmpSName01</f>
        <v>L Marampon</v>
      </c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</row>
    <row r="90" spans="2:34">
      <c r="B90" s="88">
        <v>2</v>
      </c>
      <c r="C90" s="93" t="str">
        <f>LEFT(EmpGName02)&amp;" " &amp;EmpSName02</f>
        <v>K Stone</v>
      </c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spans="2:34">
      <c r="B91" s="88">
        <v>3</v>
      </c>
      <c r="C91" s="92" t="str">
        <f>LEFT(EmpGName03)&amp;" " &amp;EmpSName03</f>
        <v>I Thelning</v>
      </c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</row>
    <row r="92" spans="2:34">
      <c r="B92" s="88">
        <v>4</v>
      </c>
      <c r="C92" s="93" t="str">
        <f>LEFT(EmpGName04)&amp;" " &amp;EmpSName04</f>
        <v>L King</v>
      </c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spans="2:34">
      <c r="B93" s="88">
        <v>5</v>
      </c>
      <c r="C93" s="92" t="str">
        <f>LEFT(EmpGName05)&amp;" " &amp;EmpSName05</f>
        <v>D Castle</v>
      </c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</row>
    <row r="94" spans="2:34">
      <c r="B94" s="88">
        <v>6</v>
      </c>
      <c r="C94" s="93" t="str">
        <f>LEFT(EmpGName06)&amp;" " &amp;EmpSName06</f>
        <v>T Sorensen</v>
      </c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2:34">
      <c r="B95" s="88">
        <v>7</v>
      </c>
      <c r="C95" s="92" t="str">
        <f>LEFT(EmpGName07)&amp;" " &amp;EmpSName07</f>
        <v>R Fielding</v>
      </c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</row>
    <row r="96" spans="2:34">
      <c r="B96" s="88">
        <v>8</v>
      </c>
      <c r="C96" s="9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2:34">
      <c r="B97" s="88">
        <v>9</v>
      </c>
      <c r="C97" s="92" t="str">
        <f>LEFT(EmpGName09)&amp;" " &amp;EmpSName09</f>
        <v>P Hogan</v>
      </c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</row>
    <row r="98" spans="2:34">
      <c r="B98" s="156">
        <v>10</v>
      </c>
      <c r="C98" s="93" t="str">
        <f>LEFT(EmpGName10)&amp;" " &amp;EmpSName10</f>
        <v>J Stretton</v>
      </c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spans="2:34" s="73" customFormat="1">
      <c r="B99" s="156">
        <v>11</v>
      </c>
      <c r="C99" s="92" t="str">
        <f>LEFT(EmpGName11)&amp;" " &amp;EmpSName11</f>
        <v>M Rowe</v>
      </c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</row>
    <row r="100" spans="2:34" s="73" customFormat="1" hidden="1">
      <c r="B100" s="156">
        <v>12</v>
      </c>
      <c r="C100" s="93" t="str">
        <f>LEFT(EmpGName12)&amp;" " &amp;EmpSName12</f>
        <v xml:space="preserve"> </v>
      </c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2:34" s="73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2017:</v>
      </c>
      <c r="D102" s="5" t="str">
        <f>LEFT(TEXT(D103&amp;"-"&amp;$C$103&amp;"-"&amp;CurYear,"ddd"),2)</f>
        <v>Su</v>
      </c>
      <c r="E102" s="5" t="str">
        <f t="shared" ref="E102:AH102" si="6">LEFT(TEXT(E103&amp;"-"&amp;$C$103&amp;"-"&amp;CurYear,"ddd"),2)</f>
        <v>Mo</v>
      </c>
      <c r="F102" s="5" t="str">
        <f t="shared" si="6"/>
        <v>Tu</v>
      </c>
      <c r="G102" s="5" t="str">
        <f t="shared" si="6"/>
        <v>We</v>
      </c>
      <c r="H102" s="5" t="str">
        <f t="shared" si="6"/>
        <v>Th</v>
      </c>
      <c r="I102" s="5" t="str">
        <f t="shared" si="6"/>
        <v>Fr</v>
      </c>
      <c r="J102" s="5" t="str">
        <f t="shared" si="6"/>
        <v>Sa</v>
      </c>
      <c r="K102" s="5" t="str">
        <f t="shared" si="6"/>
        <v>Su</v>
      </c>
      <c r="L102" s="5" t="str">
        <f t="shared" si="6"/>
        <v>Mo</v>
      </c>
      <c r="M102" s="5" t="str">
        <f t="shared" si="6"/>
        <v>Tu</v>
      </c>
      <c r="N102" s="5" t="str">
        <f t="shared" si="6"/>
        <v>We</v>
      </c>
      <c r="O102" s="5" t="str">
        <f t="shared" si="6"/>
        <v>Th</v>
      </c>
      <c r="P102" s="5" t="str">
        <f t="shared" si="6"/>
        <v>Fr</v>
      </c>
      <c r="Q102" s="5" t="str">
        <f t="shared" si="6"/>
        <v>Sa</v>
      </c>
      <c r="R102" s="5" t="str">
        <f t="shared" si="6"/>
        <v>Su</v>
      </c>
      <c r="S102" s="5" t="str">
        <f t="shared" si="6"/>
        <v>Mo</v>
      </c>
      <c r="T102" s="5" t="str">
        <f t="shared" si="6"/>
        <v>Tu</v>
      </c>
      <c r="U102" s="5" t="str">
        <f t="shared" si="6"/>
        <v>We</v>
      </c>
      <c r="V102" s="5" t="str">
        <f t="shared" si="6"/>
        <v>Th</v>
      </c>
      <c r="W102" s="5" t="str">
        <f t="shared" si="6"/>
        <v>Fr</v>
      </c>
      <c r="X102" s="5" t="str">
        <f t="shared" si="6"/>
        <v>Sa</v>
      </c>
      <c r="Y102" s="5" t="str">
        <f t="shared" si="6"/>
        <v>Su</v>
      </c>
      <c r="Z102" s="5" t="str">
        <f t="shared" si="6"/>
        <v>Mo</v>
      </c>
      <c r="AA102" s="5" t="str">
        <f t="shared" si="6"/>
        <v>Tu</v>
      </c>
      <c r="AB102" s="5" t="str">
        <f t="shared" si="6"/>
        <v>We</v>
      </c>
      <c r="AC102" s="5" t="str">
        <f t="shared" si="6"/>
        <v>Th</v>
      </c>
      <c r="AD102" s="5" t="str">
        <f t="shared" si="6"/>
        <v>Fr</v>
      </c>
      <c r="AE102" s="5" t="str">
        <f t="shared" si="6"/>
        <v>Sa</v>
      </c>
      <c r="AF102" s="5" t="str">
        <f t="shared" si="6"/>
        <v>Su</v>
      </c>
      <c r="AG102" s="5" t="str">
        <f t="shared" si="6"/>
        <v>Mo</v>
      </c>
      <c r="AH102" s="5" t="str">
        <f t="shared" si="6"/>
        <v>Tu</v>
      </c>
    </row>
    <row r="103" spans="2:34">
      <c r="B103" s="89"/>
      <c r="C103" s="87" t="s">
        <v>8</v>
      </c>
      <c r="D103" s="88">
        <v>1</v>
      </c>
      <c r="E103" s="88">
        <v>2</v>
      </c>
      <c r="F103" s="88">
        <v>3</v>
      </c>
      <c r="G103" s="88">
        <v>4</v>
      </c>
      <c r="H103" s="88">
        <v>5</v>
      </c>
      <c r="I103" s="88">
        <v>6</v>
      </c>
      <c r="J103" s="88">
        <v>7</v>
      </c>
      <c r="K103" s="88">
        <v>8</v>
      </c>
      <c r="L103" s="88">
        <v>9</v>
      </c>
      <c r="M103" s="88">
        <v>10</v>
      </c>
      <c r="N103" s="88">
        <v>11</v>
      </c>
      <c r="O103" s="88">
        <v>12</v>
      </c>
      <c r="P103" s="88">
        <v>13</v>
      </c>
      <c r="Q103" s="88">
        <v>14</v>
      </c>
      <c r="R103" s="88">
        <v>15</v>
      </c>
      <c r="S103" s="88">
        <v>16</v>
      </c>
      <c r="T103" s="88">
        <v>17</v>
      </c>
      <c r="U103" s="88">
        <v>18</v>
      </c>
      <c r="V103" s="88">
        <v>19</v>
      </c>
      <c r="W103" s="88">
        <v>20</v>
      </c>
      <c r="X103" s="88">
        <v>21</v>
      </c>
      <c r="Y103" s="88">
        <v>22</v>
      </c>
      <c r="Z103" s="88">
        <v>23</v>
      </c>
      <c r="AA103" s="88">
        <v>24</v>
      </c>
      <c r="AB103" s="88">
        <v>25</v>
      </c>
      <c r="AC103" s="88">
        <v>26</v>
      </c>
      <c r="AD103" s="88">
        <v>27</v>
      </c>
      <c r="AE103" s="88">
        <v>28</v>
      </c>
      <c r="AF103" s="88">
        <v>29</v>
      </c>
      <c r="AG103" s="88">
        <v>30</v>
      </c>
      <c r="AH103" s="88">
        <v>31</v>
      </c>
    </row>
    <row r="104" spans="2:34">
      <c r="B104" s="86">
        <v>1</v>
      </c>
      <c r="C104" s="92" t="str">
        <f>LEFT(EmpGName01)&amp;" " &amp; EmpSName01</f>
        <v>L Marampon</v>
      </c>
      <c r="D104" s="85"/>
      <c r="E104" s="85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</row>
    <row r="105" spans="2:34">
      <c r="B105" s="86">
        <v>2</v>
      </c>
      <c r="C105" s="93" t="str">
        <f>LEFT(EmpGName02)&amp;" " &amp;EmpSName02</f>
        <v>K Stone</v>
      </c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spans="2:34">
      <c r="B106" s="86">
        <v>3</v>
      </c>
      <c r="C106" s="92" t="str">
        <f>LEFT(EmpGName03)&amp;" " &amp;EmpSName03</f>
        <v>I Thelning</v>
      </c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</row>
    <row r="107" spans="2:34">
      <c r="B107" s="86">
        <v>4</v>
      </c>
      <c r="C107" s="93" t="str">
        <f>LEFT(EmpGName04)&amp;" " &amp;EmpSName04</f>
        <v>L King</v>
      </c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spans="2:34">
      <c r="B108" s="86">
        <v>5</v>
      </c>
      <c r="C108" s="92" t="str">
        <f>LEFT(EmpGName05)&amp;" " &amp;EmpSName05</f>
        <v>D Castle</v>
      </c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</row>
    <row r="109" spans="2:34">
      <c r="B109" s="86">
        <v>6</v>
      </c>
      <c r="C109" s="93" t="str">
        <f>LEFT(EmpGName06)&amp;" " &amp;EmpSName06</f>
        <v>T Sorensen</v>
      </c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spans="2:34">
      <c r="B110" s="86">
        <v>7</v>
      </c>
      <c r="C110" s="92" t="str">
        <f>LEFT(EmpGName07)&amp;" " &amp;EmpSName07</f>
        <v>R Fielding</v>
      </c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</row>
    <row r="111" spans="2:34">
      <c r="B111" s="86">
        <v>8</v>
      </c>
      <c r="C111" s="93" t="str">
        <f>LEFT(EmpGName08)&amp;" " &amp;EmpSName08</f>
        <v>F Flannery</v>
      </c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spans="2:34">
      <c r="B112" s="86">
        <v>9</v>
      </c>
      <c r="C112" s="92" t="str">
        <f>LEFT(EmpGName09)&amp;" " &amp;EmpSName09</f>
        <v>P Hogan</v>
      </c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</row>
    <row r="113" spans="2:34">
      <c r="B113" s="157">
        <v>10</v>
      </c>
      <c r="C113" s="94" t="str">
        <f>LEFT(EmpGName10)&amp;" " &amp;EmpSName10</f>
        <v>J Stretton</v>
      </c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  <c r="AA113" s="71"/>
      <c r="AB113" s="71"/>
      <c r="AC113" s="71"/>
      <c r="AD113" s="71"/>
      <c r="AE113" s="71"/>
      <c r="AF113" s="71"/>
      <c r="AG113" s="71"/>
      <c r="AH113" s="71"/>
    </row>
    <row r="114" spans="2:34">
      <c r="B114" s="157">
        <v>11</v>
      </c>
      <c r="C114" s="92" t="str">
        <f>LEFT(EmpGName11)&amp;" " &amp;EmpSName11</f>
        <v>M Rowe</v>
      </c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</row>
    <row r="115" spans="2:34" hidden="1">
      <c r="B115" s="157">
        <v>12</v>
      </c>
      <c r="C115" s="94" t="str">
        <f>LEFT(EmpGName12)&amp;" " &amp;EmpSName12</f>
        <v xml:space="preserve"> </v>
      </c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  <c r="AD115" s="71"/>
      <c r="AE115" s="71"/>
      <c r="AF115" s="71"/>
      <c r="AG115" s="71"/>
      <c r="AH115" s="71"/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72"/>
      <c r="AG116" s="8"/>
      <c r="AH116" s="8"/>
    </row>
    <row r="117" spans="2:34">
      <c r="C117" t="str">
        <f>CurYear&amp;":"</f>
        <v>2017:</v>
      </c>
      <c r="D117" s="5" t="str">
        <f>LEFT(TEXT(D118&amp;"-"&amp;$C$118&amp;"-"&amp;CurYear,"ddd"),2)</f>
        <v>We</v>
      </c>
      <c r="E117" s="5" t="str">
        <f t="shared" ref="E117:AF117" si="7">LEFT(TEXT(E118&amp;"-"&amp;$C$118&amp;"-"&amp;CurYear,"ddd"),2)</f>
        <v>Th</v>
      </c>
      <c r="F117" s="5" t="str">
        <f t="shared" si="7"/>
        <v>Fr</v>
      </c>
      <c r="G117" s="5" t="str">
        <f t="shared" si="7"/>
        <v>Sa</v>
      </c>
      <c r="H117" s="5" t="str">
        <f t="shared" si="7"/>
        <v>Su</v>
      </c>
      <c r="I117" s="5" t="str">
        <f t="shared" si="7"/>
        <v>Mo</v>
      </c>
      <c r="J117" s="5" t="str">
        <f t="shared" si="7"/>
        <v>Tu</v>
      </c>
      <c r="K117" s="5" t="str">
        <f t="shared" si="7"/>
        <v>We</v>
      </c>
      <c r="L117" s="5" t="str">
        <f t="shared" si="7"/>
        <v>Th</v>
      </c>
      <c r="M117" s="5" t="str">
        <f t="shared" si="7"/>
        <v>Fr</v>
      </c>
      <c r="N117" s="5" t="str">
        <f t="shared" si="7"/>
        <v>Sa</v>
      </c>
      <c r="O117" s="5" t="str">
        <f t="shared" si="7"/>
        <v>Su</v>
      </c>
      <c r="P117" s="5" t="str">
        <f t="shared" si="7"/>
        <v>Mo</v>
      </c>
      <c r="Q117" s="5" t="str">
        <f t="shared" si="7"/>
        <v>Tu</v>
      </c>
      <c r="R117" s="5" t="str">
        <f t="shared" si="7"/>
        <v>We</v>
      </c>
      <c r="S117" s="5" t="str">
        <f t="shared" si="7"/>
        <v>Th</v>
      </c>
      <c r="T117" s="5" t="str">
        <f t="shared" si="7"/>
        <v>Fr</v>
      </c>
      <c r="U117" s="5" t="str">
        <f t="shared" si="7"/>
        <v>Sa</v>
      </c>
      <c r="V117" s="5" t="str">
        <f t="shared" si="7"/>
        <v>Su</v>
      </c>
      <c r="W117" s="5" t="str">
        <f t="shared" si="7"/>
        <v>Mo</v>
      </c>
      <c r="X117" s="5" t="str">
        <f t="shared" si="7"/>
        <v>Tu</v>
      </c>
      <c r="Y117" s="5" t="str">
        <f t="shared" si="7"/>
        <v>We</v>
      </c>
      <c r="Z117" s="5" t="str">
        <f t="shared" si="7"/>
        <v>Th</v>
      </c>
      <c r="AA117" s="5" t="str">
        <f t="shared" si="7"/>
        <v>Fr</v>
      </c>
      <c r="AB117" s="5" t="str">
        <f t="shared" si="7"/>
        <v>Sa</v>
      </c>
      <c r="AC117" s="5" t="str">
        <f t="shared" si="7"/>
        <v>Su</v>
      </c>
      <c r="AD117" s="5" t="str">
        <f t="shared" si="7"/>
        <v>Mo</v>
      </c>
      <c r="AE117" s="5" t="str">
        <f t="shared" si="7"/>
        <v>Tu</v>
      </c>
      <c r="AF117" s="149" t="str">
        <f t="shared" si="7"/>
        <v>-F</v>
      </c>
    </row>
    <row r="118" spans="2:34">
      <c r="B118" s="89"/>
      <c r="C118" s="87" t="s">
        <v>13</v>
      </c>
      <c r="D118" s="88">
        <v>1</v>
      </c>
      <c r="E118" s="88">
        <v>2</v>
      </c>
      <c r="F118" s="88">
        <v>3</v>
      </c>
      <c r="G118" s="88">
        <v>4</v>
      </c>
      <c r="H118" s="88">
        <v>5</v>
      </c>
      <c r="I118" s="88">
        <v>6</v>
      </c>
      <c r="J118" s="88">
        <v>7</v>
      </c>
      <c r="K118" s="88">
        <v>8</v>
      </c>
      <c r="L118" s="88">
        <v>9</v>
      </c>
      <c r="M118" s="88">
        <v>10</v>
      </c>
      <c r="N118" s="88">
        <v>11</v>
      </c>
      <c r="O118" s="88">
        <v>12</v>
      </c>
      <c r="P118" s="88">
        <v>13</v>
      </c>
      <c r="Q118" s="88">
        <v>14</v>
      </c>
      <c r="R118" s="88">
        <v>15</v>
      </c>
      <c r="S118" s="88">
        <v>16</v>
      </c>
      <c r="T118" s="88">
        <v>17</v>
      </c>
      <c r="U118" s="88">
        <v>18</v>
      </c>
      <c r="V118" s="88">
        <v>19</v>
      </c>
      <c r="W118" s="88">
        <v>20</v>
      </c>
      <c r="X118" s="88">
        <v>21</v>
      </c>
      <c r="Y118" s="88">
        <v>22</v>
      </c>
      <c r="Z118" s="88">
        <v>23</v>
      </c>
      <c r="AA118" s="88">
        <v>24</v>
      </c>
      <c r="AB118" s="88">
        <v>25</v>
      </c>
      <c r="AC118" s="88">
        <v>26</v>
      </c>
      <c r="AD118" s="88">
        <v>27</v>
      </c>
      <c r="AE118" s="98">
        <v>28</v>
      </c>
      <c r="AF118" s="147"/>
      <c r="AG118" s="1"/>
      <c r="AH118" s="1"/>
    </row>
    <row r="119" spans="2:34">
      <c r="B119" s="86">
        <v>1</v>
      </c>
      <c r="C119" s="92" t="str">
        <f>LEFT(EmpGName01)&amp;" " &amp; EmpSName01</f>
        <v>L Marampon</v>
      </c>
      <c r="D119" s="4"/>
      <c r="E119" s="85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99" t="s">
        <v>69</v>
      </c>
      <c r="AF119" s="148"/>
      <c r="AG119" s="2"/>
      <c r="AH119" s="2"/>
    </row>
    <row r="120" spans="2:34">
      <c r="B120" s="86">
        <v>2</v>
      </c>
      <c r="C120" s="93" t="str">
        <f>LEFT(EmpGName02)&amp;" " &amp;EmpSName02</f>
        <v>K Stone</v>
      </c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100"/>
      <c r="AF120" s="148"/>
      <c r="AG120" s="2"/>
      <c r="AH120" s="2"/>
    </row>
    <row r="121" spans="2:34">
      <c r="B121" s="86">
        <v>3</v>
      </c>
      <c r="C121" s="92" t="str">
        <f>LEFT(EmpGName03)&amp;" " &amp;EmpSName03</f>
        <v>I Thelning</v>
      </c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99"/>
      <c r="AF121" s="148"/>
      <c r="AG121" s="2"/>
      <c r="AH121" s="2"/>
    </row>
    <row r="122" spans="2:34">
      <c r="B122" s="86">
        <v>4</v>
      </c>
      <c r="C122" s="93" t="str">
        <f>LEFT(EmpGName04)&amp;" " &amp;EmpSName04</f>
        <v>L King</v>
      </c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100"/>
      <c r="AF122" s="148"/>
      <c r="AG122" s="2"/>
      <c r="AH122" s="2"/>
    </row>
    <row r="123" spans="2:34">
      <c r="B123" s="86">
        <v>5</v>
      </c>
      <c r="C123" s="92" t="str">
        <f>LEFT(EmpGName05)&amp;" " &amp;EmpSName05</f>
        <v>D Castle</v>
      </c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99"/>
      <c r="AF123" s="148"/>
      <c r="AG123" s="2"/>
      <c r="AH123" s="2"/>
    </row>
    <row r="124" spans="2:34">
      <c r="B124" s="86">
        <v>6</v>
      </c>
      <c r="C124" s="93" t="str">
        <f>LEFT(EmpGName06)&amp;" " &amp;EmpSName06</f>
        <v>T Sorensen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100"/>
      <c r="AF124" s="148"/>
      <c r="AG124" s="2"/>
      <c r="AH124" s="2"/>
    </row>
    <row r="125" spans="2:34">
      <c r="B125" s="86">
        <v>7</v>
      </c>
      <c r="C125" s="92" t="str">
        <f>LEFT(EmpGName07)&amp;" " &amp;EmpSName07</f>
        <v>R Fielding</v>
      </c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99"/>
      <c r="AF125" s="148"/>
      <c r="AG125" s="2"/>
      <c r="AH125" s="2"/>
    </row>
    <row r="126" spans="2:34">
      <c r="B126" s="86">
        <v>8</v>
      </c>
      <c r="C126" s="93" t="str">
        <f>LEFT(EmpGName08)&amp;" " &amp;EmpSName08</f>
        <v>F Flannery</v>
      </c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100"/>
      <c r="AF126" s="148"/>
      <c r="AG126" s="2"/>
      <c r="AH126" s="2"/>
    </row>
    <row r="127" spans="2:34">
      <c r="B127" s="86">
        <v>9</v>
      </c>
      <c r="C127" s="92" t="str">
        <f>LEFT(EmpGName09)&amp;" " &amp;EmpSName09</f>
        <v>P Hogan</v>
      </c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99"/>
      <c r="AF127" s="148"/>
      <c r="AG127" s="2"/>
      <c r="AH127" s="2"/>
    </row>
    <row r="128" spans="2:34">
      <c r="B128" s="157">
        <v>10</v>
      </c>
      <c r="C128" s="94" t="str">
        <f>LEFT(EmpGName10)&amp;" " &amp;EmpSName10</f>
        <v>J Stretton</v>
      </c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71"/>
      <c r="AC128" s="71"/>
      <c r="AD128" s="71"/>
      <c r="AE128" s="101"/>
      <c r="AF128" s="148"/>
      <c r="AG128" s="2"/>
      <c r="AH128" s="2"/>
    </row>
    <row r="129" spans="2:34">
      <c r="B129" s="157">
        <v>11</v>
      </c>
      <c r="C129" s="92" t="str">
        <f>LEFT(EmpGName11)&amp;" " &amp;EmpSName11</f>
        <v>M Rowe</v>
      </c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99"/>
      <c r="AF129" s="148"/>
      <c r="AG129" s="2"/>
      <c r="AH129" s="2"/>
    </row>
    <row r="130" spans="2:34" hidden="1">
      <c r="B130" s="157">
        <v>12</v>
      </c>
      <c r="C130" s="94" t="str">
        <f>LEFT(EmpGName12)&amp;" " &amp;EmpSName12</f>
        <v xml:space="preserve"> </v>
      </c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1"/>
      <c r="AE130" s="101"/>
      <c r="AF130" s="148"/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2017:</v>
      </c>
      <c r="D132" s="5" t="str">
        <f>LEFT(TEXT(D133&amp;"-"&amp;$C$133&amp;"-"&amp;CurYear,"ddd"),2)</f>
        <v>We</v>
      </c>
      <c r="E132" s="5" t="str">
        <f t="shared" ref="E132:AH132" si="8">LEFT(TEXT(E133&amp;"-"&amp;$C$133&amp;"-"&amp;CurYear,"ddd"),2)</f>
        <v>Th</v>
      </c>
      <c r="F132" s="5" t="str">
        <f t="shared" si="8"/>
        <v>Fr</v>
      </c>
      <c r="G132" s="5" t="str">
        <f t="shared" si="8"/>
        <v>Sa</v>
      </c>
      <c r="H132" s="5" t="str">
        <f t="shared" si="8"/>
        <v>Su</v>
      </c>
      <c r="I132" s="5" t="str">
        <f t="shared" si="8"/>
        <v>Mo</v>
      </c>
      <c r="J132" s="5" t="str">
        <f t="shared" si="8"/>
        <v>Tu</v>
      </c>
      <c r="K132" s="5" t="str">
        <f t="shared" si="8"/>
        <v>We</v>
      </c>
      <c r="L132" s="5" t="str">
        <f t="shared" si="8"/>
        <v>Th</v>
      </c>
      <c r="M132" s="5" t="str">
        <f t="shared" si="8"/>
        <v>Fr</v>
      </c>
      <c r="N132" s="5" t="str">
        <f t="shared" si="8"/>
        <v>Sa</v>
      </c>
      <c r="O132" s="5" t="str">
        <f t="shared" si="8"/>
        <v>Su</v>
      </c>
      <c r="P132" s="5" t="str">
        <f t="shared" si="8"/>
        <v>Mo</v>
      </c>
      <c r="Q132" s="5" t="str">
        <f t="shared" si="8"/>
        <v>Tu</v>
      </c>
      <c r="R132" s="5" t="str">
        <f t="shared" si="8"/>
        <v>We</v>
      </c>
      <c r="S132" s="5" t="str">
        <f t="shared" si="8"/>
        <v>Th</v>
      </c>
      <c r="T132" s="5" t="str">
        <f t="shared" si="8"/>
        <v>Fr</v>
      </c>
      <c r="U132" s="5" t="str">
        <f t="shared" si="8"/>
        <v>Sa</v>
      </c>
      <c r="V132" s="5" t="str">
        <f t="shared" si="8"/>
        <v>Su</v>
      </c>
      <c r="W132" s="5" t="str">
        <f t="shared" si="8"/>
        <v>Mo</v>
      </c>
      <c r="X132" s="5" t="str">
        <f t="shared" si="8"/>
        <v>Tu</v>
      </c>
      <c r="Y132" s="5" t="str">
        <f t="shared" si="8"/>
        <v>We</v>
      </c>
      <c r="Z132" s="5" t="str">
        <f t="shared" si="8"/>
        <v>Th</v>
      </c>
      <c r="AA132" s="5" t="str">
        <f t="shared" si="8"/>
        <v>Fr</v>
      </c>
      <c r="AB132" s="5" t="str">
        <f t="shared" si="8"/>
        <v>Sa</v>
      </c>
      <c r="AC132" s="5" t="str">
        <f t="shared" si="8"/>
        <v>Su</v>
      </c>
      <c r="AD132" s="5" t="str">
        <f t="shared" si="8"/>
        <v>Mo</v>
      </c>
      <c r="AE132" s="5" t="str">
        <f t="shared" si="8"/>
        <v>Tu</v>
      </c>
      <c r="AF132" s="5" t="str">
        <f t="shared" si="8"/>
        <v>We</v>
      </c>
      <c r="AG132" s="5" t="str">
        <f t="shared" si="8"/>
        <v>Th</v>
      </c>
      <c r="AH132" s="5" t="str">
        <f t="shared" si="8"/>
        <v>Fr</v>
      </c>
    </row>
    <row r="133" spans="2:34">
      <c r="B133" s="91"/>
      <c r="C133" s="87" t="s">
        <v>15</v>
      </c>
      <c r="D133" s="88">
        <v>1</v>
      </c>
      <c r="E133" s="88">
        <v>2</v>
      </c>
      <c r="F133" s="88">
        <v>3</v>
      </c>
      <c r="G133" s="88">
        <v>4</v>
      </c>
      <c r="H133" s="88">
        <v>5</v>
      </c>
      <c r="I133" s="88">
        <v>6</v>
      </c>
      <c r="J133" s="88">
        <v>7</v>
      </c>
      <c r="K133" s="88">
        <v>8</v>
      </c>
      <c r="L133" s="88">
        <v>9</v>
      </c>
      <c r="M133" s="88">
        <v>10</v>
      </c>
      <c r="N133" s="88">
        <v>11</v>
      </c>
      <c r="O133" s="88">
        <v>12</v>
      </c>
      <c r="P133" s="88">
        <v>13</v>
      </c>
      <c r="Q133" s="88">
        <v>14</v>
      </c>
      <c r="R133" s="88">
        <v>15</v>
      </c>
      <c r="S133" s="88">
        <v>16</v>
      </c>
      <c r="T133" s="88">
        <v>17</v>
      </c>
      <c r="U133" s="88">
        <v>18</v>
      </c>
      <c r="V133" s="88">
        <v>19</v>
      </c>
      <c r="W133" s="88">
        <v>20</v>
      </c>
      <c r="X133" s="88">
        <v>21</v>
      </c>
      <c r="Y133" s="88">
        <v>22</v>
      </c>
      <c r="Z133" s="88">
        <v>23</v>
      </c>
      <c r="AA133" s="88">
        <v>24</v>
      </c>
      <c r="AB133" s="88">
        <v>25</v>
      </c>
      <c r="AC133" s="88">
        <v>26</v>
      </c>
      <c r="AD133" s="88">
        <v>27</v>
      </c>
      <c r="AE133" s="88">
        <v>28</v>
      </c>
      <c r="AF133" s="88">
        <v>29</v>
      </c>
      <c r="AG133" s="88">
        <v>30</v>
      </c>
      <c r="AH133" s="88">
        <v>31</v>
      </c>
    </row>
    <row r="134" spans="2:34">
      <c r="B134" s="86">
        <v>1</v>
      </c>
      <c r="C134" s="92" t="str">
        <f>LEFT(EmpGName01)&amp;" " &amp; EmpSName01</f>
        <v>L Marampon</v>
      </c>
      <c r="D134" s="4"/>
      <c r="E134" s="4"/>
      <c r="F134" s="85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</row>
    <row r="135" spans="2:34">
      <c r="B135" s="86">
        <v>2</v>
      </c>
      <c r="C135" s="93" t="str">
        <f>LEFT(EmpGName02)&amp;" " &amp;EmpSName02</f>
        <v>K Stone</v>
      </c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spans="2:34">
      <c r="B136" s="86">
        <v>3</v>
      </c>
      <c r="C136" s="92" t="str">
        <f>LEFT(EmpGName03)&amp;" " &amp;EmpSName03</f>
        <v>I Thelning</v>
      </c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</row>
    <row r="137" spans="2:34">
      <c r="B137" s="86">
        <v>4</v>
      </c>
      <c r="C137" s="93" t="str">
        <f>LEFT(EmpGName04)&amp;" " &amp;EmpSName04</f>
        <v>L King</v>
      </c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spans="2:34">
      <c r="B138" s="86">
        <v>5</v>
      </c>
      <c r="C138" s="92" t="str">
        <f>LEFT(EmpGName05)&amp;" " &amp;EmpSName05</f>
        <v>D Castle</v>
      </c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</row>
    <row r="139" spans="2:34">
      <c r="B139" s="86">
        <v>6</v>
      </c>
      <c r="C139" s="93" t="str">
        <f>LEFT(EmpGName06)&amp;" " &amp;EmpSName06</f>
        <v>T Sorensen</v>
      </c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spans="2:34">
      <c r="B140" s="86">
        <v>7</v>
      </c>
      <c r="C140" s="92" t="str">
        <f>LEFT(EmpGName07)&amp;" " &amp;EmpSName07</f>
        <v>R Fielding</v>
      </c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</row>
    <row r="141" spans="2:34">
      <c r="B141" s="86">
        <v>8</v>
      </c>
      <c r="C141" s="93" t="str">
        <f>LEFT(EmpGName08)&amp;" " &amp;EmpSName08</f>
        <v>F Flannery</v>
      </c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spans="2:34">
      <c r="B142" s="86">
        <v>9</v>
      </c>
      <c r="C142" s="92" t="str">
        <f>LEFT(EmpGName09)&amp;" " &amp;EmpSName09</f>
        <v>P Hogan</v>
      </c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</row>
    <row r="143" spans="2:34">
      <c r="B143" s="157">
        <v>10</v>
      </c>
      <c r="C143" s="94" t="str">
        <f>LEFT(EmpGName10)&amp;" " &amp;EmpSName10</f>
        <v>J Stretton</v>
      </c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</row>
    <row r="144" spans="2:34">
      <c r="B144" s="157">
        <v>11</v>
      </c>
      <c r="C144" s="92" t="str">
        <f>LEFT(EmpGName11)&amp;" " &amp;EmpSName11</f>
        <v>M Rowe</v>
      </c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</row>
    <row r="145" spans="2:34" hidden="1">
      <c r="B145" s="157">
        <v>12</v>
      </c>
      <c r="C145" s="94" t="str">
        <f>LEFT(EmpGName12)&amp;" " &amp;EmpSName12</f>
        <v xml:space="preserve"> </v>
      </c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</row>
    <row r="146" spans="2:34">
      <c r="B146" s="74"/>
      <c r="C146" s="75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</row>
    <row r="147" spans="2:34">
      <c r="C147" t="str">
        <f>CurYear&amp;":"</f>
        <v>2017:</v>
      </c>
      <c r="D147" s="5" t="str">
        <f>LEFT(TEXT(D148&amp;"-"&amp;$C148&amp;"-"&amp;$B$4,"ddd"),2)</f>
        <v>Sa</v>
      </c>
      <c r="E147" s="5" t="str">
        <f t="shared" ref="E147:AG147" si="9">LEFT(TEXT(E148&amp;"-"&amp;$C148&amp;"-"&amp;$B$4,"ddd"),2)</f>
        <v>Su</v>
      </c>
      <c r="F147" s="5" t="str">
        <f t="shared" si="9"/>
        <v>Mo</v>
      </c>
      <c r="G147" s="5" t="str">
        <f t="shared" si="9"/>
        <v>Tu</v>
      </c>
      <c r="H147" s="5" t="str">
        <f t="shared" si="9"/>
        <v>We</v>
      </c>
      <c r="I147" s="5" t="str">
        <f t="shared" si="9"/>
        <v>Th</v>
      </c>
      <c r="J147" s="5" t="str">
        <f t="shared" si="9"/>
        <v>Fr</v>
      </c>
      <c r="K147" s="5" t="str">
        <f t="shared" si="9"/>
        <v>Sa</v>
      </c>
      <c r="L147" s="5" t="str">
        <f t="shared" si="9"/>
        <v>Su</v>
      </c>
      <c r="M147" s="5" t="str">
        <f t="shared" si="9"/>
        <v>Mo</v>
      </c>
      <c r="N147" s="5" t="str">
        <f t="shared" si="9"/>
        <v>Tu</v>
      </c>
      <c r="O147" s="5" t="str">
        <f t="shared" si="9"/>
        <v>We</v>
      </c>
      <c r="P147" s="5" t="str">
        <f t="shared" si="9"/>
        <v>Th</v>
      </c>
      <c r="Q147" s="5" t="str">
        <f t="shared" si="9"/>
        <v>Fr</v>
      </c>
      <c r="R147" s="5" t="str">
        <f t="shared" si="9"/>
        <v>Sa</v>
      </c>
      <c r="S147" s="5" t="str">
        <f t="shared" si="9"/>
        <v>Su</v>
      </c>
      <c r="T147" s="5" t="str">
        <f t="shared" si="9"/>
        <v>Mo</v>
      </c>
      <c r="U147" s="5" t="str">
        <f t="shared" si="9"/>
        <v>Tu</v>
      </c>
      <c r="V147" s="5" t="str">
        <f t="shared" si="9"/>
        <v>We</v>
      </c>
      <c r="W147" s="5" t="str">
        <f t="shared" si="9"/>
        <v>Th</v>
      </c>
      <c r="X147" s="5" t="str">
        <f t="shared" si="9"/>
        <v>Fr</v>
      </c>
      <c r="Y147" s="5" t="str">
        <f t="shared" si="9"/>
        <v>Sa</v>
      </c>
      <c r="Z147" s="5" t="str">
        <f t="shared" si="9"/>
        <v>Su</v>
      </c>
      <c r="AA147" s="5" t="str">
        <f t="shared" si="9"/>
        <v>Mo</v>
      </c>
      <c r="AB147" s="5" t="str">
        <f t="shared" si="9"/>
        <v>Tu</v>
      </c>
      <c r="AC147" s="5" t="str">
        <f t="shared" si="9"/>
        <v>We</v>
      </c>
      <c r="AD147" s="5" t="str">
        <f t="shared" si="9"/>
        <v>Th</v>
      </c>
      <c r="AE147" s="5" t="str">
        <f t="shared" si="9"/>
        <v>Fr</v>
      </c>
      <c r="AF147" s="5" t="str">
        <f t="shared" si="9"/>
        <v>Sa</v>
      </c>
      <c r="AG147" s="5" t="str">
        <f t="shared" si="9"/>
        <v>Su</v>
      </c>
      <c r="AH147" s="1"/>
    </row>
    <row r="148" spans="2:34">
      <c r="B148" s="90"/>
      <c r="C148" s="87" t="s">
        <v>16</v>
      </c>
      <c r="D148" s="88">
        <v>1</v>
      </c>
      <c r="E148" s="88">
        <v>2</v>
      </c>
      <c r="F148" s="88">
        <v>3</v>
      </c>
      <c r="G148" s="88">
        <v>4</v>
      </c>
      <c r="H148" s="88">
        <v>5</v>
      </c>
      <c r="I148" s="88">
        <v>6</v>
      </c>
      <c r="J148" s="88">
        <v>7</v>
      </c>
      <c r="K148" s="88">
        <v>8</v>
      </c>
      <c r="L148" s="88">
        <v>9</v>
      </c>
      <c r="M148" s="88">
        <v>10</v>
      </c>
      <c r="N148" s="88">
        <v>11</v>
      </c>
      <c r="O148" s="88">
        <v>12</v>
      </c>
      <c r="P148" s="88">
        <v>13</v>
      </c>
      <c r="Q148" s="88">
        <v>14</v>
      </c>
      <c r="R148" s="88">
        <v>15</v>
      </c>
      <c r="S148" s="88">
        <v>16</v>
      </c>
      <c r="T148" s="88">
        <v>17</v>
      </c>
      <c r="U148" s="88">
        <v>18</v>
      </c>
      <c r="V148" s="88">
        <v>19</v>
      </c>
      <c r="W148" s="88">
        <v>20</v>
      </c>
      <c r="X148" s="88">
        <v>21</v>
      </c>
      <c r="Y148" s="88">
        <v>22</v>
      </c>
      <c r="Z148" s="88">
        <v>23</v>
      </c>
      <c r="AA148" s="88">
        <v>24</v>
      </c>
      <c r="AB148" s="88">
        <v>25</v>
      </c>
      <c r="AC148" s="88">
        <v>26</v>
      </c>
      <c r="AD148" s="88">
        <v>27</v>
      </c>
      <c r="AE148" s="88">
        <v>28</v>
      </c>
      <c r="AF148" s="88">
        <v>29</v>
      </c>
      <c r="AG148" s="88">
        <v>30</v>
      </c>
      <c r="AH148" s="95"/>
    </row>
    <row r="149" spans="2:34">
      <c r="B149" s="86">
        <v>1</v>
      </c>
      <c r="C149" s="92" t="str">
        <f>LEFT(EmpGName01)&amp;" " &amp; EmpSName01</f>
        <v>L Marampon</v>
      </c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8"/>
    </row>
    <row r="150" spans="2:34">
      <c r="B150" s="86">
        <v>2</v>
      </c>
      <c r="C150" s="93" t="str">
        <f>LEFT(EmpGName02)&amp;" " &amp;EmpSName02</f>
        <v>K Stone</v>
      </c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8"/>
    </row>
    <row r="151" spans="2:34">
      <c r="B151" s="86">
        <v>3</v>
      </c>
      <c r="C151" s="92" t="str">
        <f>LEFT(EmpGName03)&amp;" " &amp;EmpSName03</f>
        <v>I Thelning</v>
      </c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8"/>
    </row>
    <row r="152" spans="2:34">
      <c r="B152" s="86">
        <v>4</v>
      </c>
      <c r="C152" s="93" t="str">
        <f>LEFT(EmpGName04)&amp;" " &amp;EmpSName04</f>
        <v>L King</v>
      </c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8"/>
    </row>
    <row r="153" spans="2:34">
      <c r="B153" s="86">
        <v>5</v>
      </c>
      <c r="C153" s="92" t="str">
        <f>LEFT(EmpGName05)&amp;" " &amp;EmpSName05</f>
        <v>D Castle</v>
      </c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8"/>
    </row>
    <row r="154" spans="2:34">
      <c r="B154" s="86">
        <v>6</v>
      </c>
      <c r="C154" s="93" t="str">
        <f>LEFT(EmpGName06)&amp;" " &amp;EmpSName06</f>
        <v>T Sorensen</v>
      </c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8"/>
    </row>
    <row r="155" spans="2:34">
      <c r="B155" s="86">
        <v>7</v>
      </c>
      <c r="C155" s="92" t="str">
        <f>LEFT(EmpGName07)&amp;" " &amp;EmpSName07</f>
        <v>R Fielding</v>
      </c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8"/>
    </row>
    <row r="156" spans="2:34">
      <c r="B156" s="86">
        <v>8</v>
      </c>
      <c r="C156" s="93" t="str">
        <f>LEFT(EmpGName08)&amp;" " &amp;EmpSName08</f>
        <v>F Flannery</v>
      </c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8"/>
    </row>
    <row r="157" spans="2:34">
      <c r="B157" s="86">
        <v>9</v>
      </c>
      <c r="C157" s="92" t="str">
        <f>LEFT(EmpGName09)&amp;" " &amp;EmpSName09</f>
        <v>P Hogan</v>
      </c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8"/>
    </row>
    <row r="158" spans="2:34">
      <c r="B158" s="157">
        <v>10</v>
      </c>
      <c r="C158" s="93" t="str">
        <f>LEFT(EmpGName10)&amp;" " &amp;EmpSName10</f>
        <v>J Stretton</v>
      </c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77"/>
    </row>
    <row r="159" spans="2:34">
      <c r="B159" s="157">
        <v>11</v>
      </c>
      <c r="C159" s="92" t="str">
        <f>LEFT(EmpGName11)&amp;" " &amp;EmpSName11</f>
        <v>M Rowe</v>
      </c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77"/>
    </row>
    <row r="160" spans="2:34" hidden="1">
      <c r="B160" s="157">
        <v>12</v>
      </c>
      <c r="C160" s="93" t="str">
        <f>LEFT(EmpGName12)&amp;" " &amp;EmpSName12</f>
        <v xml:space="preserve"> </v>
      </c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77"/>
    </row>
    <row r="161" spans="2:34">
      <c r="AH161" s="2"/>
    </row>
    <row r="162" spans="2:34">
      <c r="C162" t="str">
        <f>CurYear&amp;":"</f>
        <v>2017:</v>
      </c>
      <c r="D162" s="5" t="str">
        <f>LEFT(TEXT(D163&amp;"-"&amp;$C163&amp;"-"&amp; CurYear,"ddd"),2)</f>
        <v>Mo</v>
      </c>
      <c r="E162" s="5" t="str">
        <f t="shared" ref="E162:AH162" si="10">LEFT(TEXT(E163&amp;"-"&amp;$C163&amp;"-"&amp; CurYear,"ddd"),2)</f>
        <v>Tu</v>
      </c>
      <c r="F162" s="5" t="str">
        <f t="shared" si="10"/>
        <v>We</v>
      </c>
      <c r="G162" s="5" t="str">
        <f t="shared" si="10"/>
        <v>Th</v>
      </c>
      <c r="H162" s="5" t="str">
        <f t="shared" si="10"/>
        <v>Fr</v>
      </c>
      <c r="I162" s="5" t="str">
        <f t="shared" si="10"/>
        <v>Sa</v>
      </c>
      <c r="J162" s="5" t="str">
        <f t="shared" si="10"/>
        <v>Su</v>
      </c>
      <c r="K162" s="5" t="str">
        <f t="shared" si="10"/>
        <v>Mo</v>
      </c>
      <c r="L162" s="5" t="str">
        <f t="shared" si="10"/>
        <v>Tu</v>
      </c>
      <c r="M162" s="5" t="str">
        <f t="shared" si="10"/>
        <v>We</v>
      </c>
      <c r="N162" s="5" t="str">
        <f t="shared" si="10"/>
        <v>Th</v>
      </c>
      <c r="O162" s="5" t="str">
        <f t="shared" si="10"/>
        <v>Fr</v>
      </c>
      <c r="P162" s="5" t="str">
        <f t="shared" si="10"/>
        <v>Sa</v>
      </c>
      <c r="Q162" s="5" t="str">
        <f t="shared" si="10"/>
        <v>Su</v>
      </c>
      <c r="R162" s="5" t="str">
        <f t="shared" si="10"/>
        <v>Mo</v>
      </c>
      <c r="S162" s="5" t="str">
        <f t="shared" si="10"/>
        <v>Tu</v>
      </c>
      <c r="T162" s="5" t="str">
        <f t="shared" si="10"/>
        <v>We</v>
      </c>
      <c r="U162" s="5" t="str">
        <f t="shared" si="10"/>
        <v>Th</v>
      </c>
      <c r="V162" s="5" t="str">
        <f t="shared" si="10"/>
        <v>Fr</v>
      </c>
      <c r="W162" s="5" t="str">
        <f t="shared" si="10"/>
        <v>Sa</v>
      </c>
      <c r="X162" s="5" t="str">
        <f t="shared" si="10"/>
        <v>Su</v>
      </c>
      <c r="Y162" s="5" t="str">
        <f t="shared" si="10"/>
        <v>Mo</v>
      </c>
      <c r="Z162" s="5" t="str">
        <f t="shared" si="10"/>
        <v>Tu</v>
      </c>
      <c r="AA162" s="5" t="str">
        <f t="shared" si="10"/>
        <v>We</v>
      </c>
      <c r="AB162" s="5" t="str">
        <f t="shared" si="10"/>
        <v>Th</v>
      </c>
      <c r="AC162" s="5" t="str">
        <f t="shared" si="10"/>
        <v>Fr</v>
      </c>
      <c r="AD162" s="5" t="str">
        <f t="shared" si="10"/>
        <v>Sa</v>
      </c>
      <c r="AE162" s="5" t="str">
        <f t="shared" si="10"/>
        <v>Su</v>
      </c>
      <c r="AF162" s="5" t="str">
        <f t="shared" si="10"/>
        <v>Mo</v>
      </c>
      <c r="AG162" s="5" t="str">
        <f t="shared" si="10"/>
        <v>Tu</v>
      </c>
      <c r="AH162" s="5" t="str">
        <f t="shared" si="10"/>
        <v>We</v>
      </c>
    </row>
    <row r="163" spans="2:34">
      <c r="B163" s="91"/>
      <c r="C163" s="87" t="s">
        <v>17</v>
      </c>
      <c r="D163" s="88">
        <v>1</v>
      </c>
      <c r="E163" s="88">
        <v>2</v>
      </c>
      <c r="F163" s="88">
        <v>3</v>
      </c>
      <c r="G163" s="88">
        <v>4</v>
      </c>
      <c r="H163" s="88">
        <v>5</v>
      </c>
      <c r="I163" s="88">
        <v>6</v>
      </c>
      <c r="J163" s="88">
        <v>7</v>
      </c>
      <c r="K163" s="88">
        <v>8</v>
      </c>
      <c r="L163" s="88">
        <v>9</v>
      </c>
      <c r="M163" s="88">
        <v>10</v>
      </c>
      <c r="N163" s="88">
        <v>11</v>
      </c>
      <c r="O163" s="88">
        <v>12</v>
      </c>
      <c r="P163" s="88">
        <v>13</v>
      </c>
      <c r="Q163" s="88">
        <v>14</v>
      </c>
      <c r="R163" s="88">
        <v>15</v>
      </c>
      <c r="S163" s="88">
        <v>16</v>
      </c>
      <c r="T163" s="88">
        <v>17</v>
      </c>
      <c r="U163" s="88">
        <v>18</v>
      </c>
      <c r="V163" s="88">
        <v>19</v>
      </c>
      <c r="W163" s="88">
        <v>20</v>
      </c>
      <c r="X163" s="88">
        <v>21</v>
      </c>
      <c r="Y163" s="88">
        <v>22</v>
      </c>
      <c r="Z163" s="88">
        <v>23</v>
      </c>
      <c r="AA163" s="88">
        <v>24</v>
      </c>
      <c r="AB163" s="88">
        <v>25</v>
      </c>
      <c r="AC163" s="88">
        <v>26</v>
      </c>
      <c r="AD163" s="88">
        <v>27</v>
      </c>
      <c r="AE163" s="88">
        <v>28</v>
      </c>
      <c r="AF163" s="88">
        <v>29</v>
      </c>
      <c r="AG163" s="88">
        <v>30</v>
      </c>
      <c r="AH163" s="88">
        <v>31</v>
      </c>
    </row>
    <row r="164" spans="2:34">
      <c r="B164" s="88">
        <v>1</v>
      </c>
      <c r="C164" s="92" t="str">
        <f>LEFT(EmpGName01)&amp;" " &amp; EmpSName01</f>
        <v>L Marampon</v>
      </c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</row>
    <row r="165" spans="2:34">
      <c r="B165" s="88">
        <v>2</v>
      </c>
      <c r="C165" s="93" t="str">
        <f>LEFT(EmpGName02)&amp;" " &amp;EmpSName02</f>
        <v>K Stone</v>
      </c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spans="2:34">
      <c r="B166" s="88">
        <v>3</v>
      </c>
      <c r="C166" s="92" t="str">
        <f>LEFT(EmpGName03)&amp;" " &amp;EmpSName03</f>
        <v>I Thelning</v>
      </c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</row>
    <row r="167" spans="2:34">
      <c r="B167" s="88">
        <v>4</v>
      </c>
      <c r="C167" s="93" t="str">
        <f>LEFT(EmpGName04)&amp;" " &amp;EmpSName04</f>
        <v>L King</v>
      </c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spans="2:34">
      <c r="B168" s="88">
        <v>5</v>
      </c>
      <c r="C168" s="92" t="str">
        <f>LEFT(EmpGName05)&amp;" " &amp;EmpSName05</f>
        <v>D Castle</v>
      </c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</row>
    <row r="169" spans="2:34">
      <c r="B169" s="88">
        <v>6</v>
      </c>
      <c r="C169" s="93" t="str">
        <f>LEFT(EmpGName06)&amp;" " &amp;EmpSName06</f>
        <v>T Sorensen</v>
      </c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spans="2:34">
      <c r="B170" s="88">
        <v>7</v>
      </c>
      <c r="C170" s="92" t="str">
        <f>LEFT(EmpGName07)&amp;" " &amp;EmpSName07</f>
        <v>R Fielding</v>
      </c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</row>
    <row r="171" spans="2:34">
      <c r="B171" s="88">
        <v>8</v>
      </c>
      <c r="C171" s="93" t="str">
        <f>LEFT(EmpGName08)&amp;" " &amp;EmpSName08</f>
        <v>F Flannery</v>
      </c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spans="2:34">
      <c r="B172" s="88">
        <v>9</v>
      </c>
      <c r="C172" s="92" t="str">
        <f>LEFT(EmpGName09)&amp;" " &amp;EmpSName09</f>
        <v>P Hogan</v>
      </c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</row>
    <row r="173" spans="2:34">
      <c r="B173" s="156">
        <v>10</v>
      </c>
      <c r="C173" s="93" t="str">
        <f>LEFT(EmpGName10)&amp;" " &amp;EmpSName10</f>
        <v>J Stretton</v>
      </c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spans="2:34">
      <c r="B174" s="156">
        <v>11</v>
      </c>
      <c r="C174" s="92" t="str">
        <f>LEFT(EmpGName11)&amp;" " &amp;EmpSName11</f>
        <v>M Rowe</v>
      </c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</row>
    <row r="175" spans="2:34" hidden="1">
      <c r="B175" s="156">
        <v>12</v>
      </c>
      <c r="C175" s="93" t="str">
        <f>LEFT(EmpGName12)&amp;" " &amp;EmpSName12</f>
        <v xml:space="preserve"> </v>
      </c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7" spans="2:34">
      <c r="C177" t="str">
        <f>CurYear&amp;":"</f>
        <v>2017:</v>
      </c>
      <c r="D177" s="5" t="str">
        <f>LEFT(TEXT(D178&amp;"-"&amp;$C178&amp;"-"&amp;CurYear,"ddd"),2)</f>
        <v>Th</v>
      </c>
      <c r="E177" s="5" t="str">
        <f t="shared" ref="E177:AG177" si="11">LEFT(TEXT(E178&amp;"-"&amp;$C178&amp;"-"&amp;CurYear,"ddd"),2)</f>
        <v>Fr</v>
      </c>
      <c r="F177" s="5" t="str">
        <f t="shared" si="11"/>
        <v>Sa</v>
      </c>
      <c r="G177" s="5" t="str">
        <f t="shared" si="11"/>
        <v>Su</v>
      </c>
      <c r="H177" s="5" t="str">
        <f t="shared" si="11"/>
        <v>Mo</v>
      </c>
      <c r="I177" s="5" t="str">
        <f t="shared" si="11"/>
        <v>Tu</v>
      </c>
      <c r="J177" s="5" t="str">
        <f t="shared" si="11"/>
        <v>We</v>
      </c>
      <c r="K177" s="5" t="str">
        <f t="shared" si="11"/>
        <v>Th</v>
      </c>
      <c r="L177" s="5" t="str">
        <f t="shared" si="11"/>
        <v>Fr</v>
      </c>
      <c r="M177" s="5" t="str">
        <f t="shared" si="11"/>
        <v>Sa</v>
      </c>
      <c r="N177" s="5" t="str">
        <f t="shared" si="11"/>
        <v>Su</v>
      </c>
      <c r="O177" s="5" t="str">
        <f t="shared" si="11"/>
        <v>Mo</v>
      </c>
      <c r="P177" s="5" t="str">
        <f t="shared" si="11"/>
        <v>Tu</v>
      </c>
      <c r="Q177" s="5" t="str">
        <f t="shared" si="11"/>
        <v>We</v>
      </c>
      <c r="R177" s="5" t="str">
        <f t="shared" si="11"/>
        <v>Th</v>
      </c>
      <c r="S177" s="5" t="str">
        <f t="shared" si="11"/>
        <v>Fr</v>
      </c>
      <c r="T177" s="5" t="str">
        <f t="shared" si="11"/>
        <v>Sa</v>
      </c>
      <c r="U177" s="5" t="str">
        <f t="shared" si="11"/>
        <v>Su</v>
      </c>
      <c r="V177" s="5" t="str">
        <f t="shared" si="11"/>
        <v>Mo</v>
      </c>
      <c r="W177" s="5" t="str">
        <f t="shared" si="11"/>
        <v>Tu</v>
      </c>
      <c r="X177" s="5" t="str">
        <f t="shared" si="11"/>
        <v>We</v>
      </c>
      <c r="Y177" s="5" t="str">
        <f t="shared" si="11"/>
        <v>Th</v>
      </c>
      <c r="Z177" s="5" t="str">
        <f t="shared" si="11"/>
        <v>Fr</v>
      </c>
      <c r="AA177" s="5" t="str">
        <f t="shared" si="11"/>
        <v>Sa</v>
      </c>
      <c r="AB177" s="5" t="str">
        <f t="shared" si="11"/>
        <v>Su</v>
      </c>
      <c r="AC177" s="5" t="str">
        <f t="shared" si="11"/>
        <v>Mo</v>
      </c>
      <c r="AD177" s="5" t="str">
        <f t="shared" si="11"/>
        <v>Tu</v>
      </c>
      <c r="AE177" s="5" t="str">
        <f t="shared" si="11"/>
        <v>We</v>
      </c>
      <c r="AF177" s="5" t="str">
        <f t="shared" si="11"/>
        <v>Th</v>
      </c>
      <c r="AG177" s="5" t="str">
        <f t="shared" si="11"/>
        <v>Fr</v>
      </c>
      <c r="AH177" s="5"/>
    </row>
    <row r="178" spans="2:34">
      <c r="B178" s="91"/>
      <c r="C178" s="87" t="s">
        <v>18</v>
      </c>
      <c r="D178" s="88">
        <v>1</v>
      </c>
      <c r="E178" s="88">
        <v>2</v>
      </c>
      <c r="F178" s="88">
        <v>3</v>
      </c>
      <c r="G178" s="88">
        <v>4</v>
      </c>
      <c r="H178" s="88">
        <v>5</v>
      </c>
      <c r="I178" s="88">
        <v>6</v>
      </c>
      <c r="J178" s="88">
        <v>7</v>
      </c>
      <c r="K178" s="88">
        <v>8</v>
      </c>
      <c r="L178" s="88">
        <v>9</v>
      </c>
      <c r="M178" s="88">
        <v>10</v>
      </c>
      <c r="N178" s="88">
        <v>11</v>
      </c>
      <c r="O178" s="88">
        <v>12</v>
      </c>
      <c r="P178" s="88">
        <v>13</v>
      </c>
      <c r="Q178" s="88">
        <v>14</v>
      </c>
      <c r="R178" s="88">
        <v>15</v>
      </c>
      <c r="S178" s="88">
        <v>16</v>
      </c>
      <c r="T178" s="88">
        <v>17</v>
      </c>
      <c r="U178" s="88">
        <v>18</v>
      </c>
      <c r="V178" s="88">
        <v>19</v>
      </c>
      <c r="W178" s="88">
        <v>20</v>
      </c>
      <c r="X178" s="88">
        <v>21</v>
      </c>
      <c r="Y178" s="88">
        <v>22</v>
      </c>
      <c r="Z178" s="88">
        <v>23</v>
      </c>
      <c r="AA178" s="88">
        <v>24</v>
      </c>
      <c r="AB178" s="88">
        <v>25</v>
      </c>
      <c r="AC178" s="88">
        <v>26</v>
      </c>
      <c r="AD178" s="88">
        <v>27</v>
      </c>
      <c r="AE178" s="88">
        <v>28</v>
      </c>
      <c r="AF178" s="88">
        <v>29</v>
      </c>
      <c r="AG178" s="88">
        <v>30</v>
      </c>
      <c r="AH178" s="95"/>
    </row>
    <row r="179" spans="2:34">
      <c r="B179" s="88">
        <v>1</v>
      </c>
      <c r="C179" s="92" t="str">
        <f>LEFT(EmpGName01)&amp;" " &amp; EmpSName01</f>
        <v>L Marampon</v>
      </c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8"/>
    </row>
    <row r="180" spans="2:34">
      <c r="B180" s="88">
        <v>2</v>
      </c>
      <c r="C180" s="93" t="str">
        <f>LEFT(EmpGName02)&amp;" " &amp;EmpSName02</f>
        <v>K Stone</v>
      </c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8"/>
    </row>
    <row r="181" spans="2:34">
      <c r="B181" s="88">
        <v>3</v>
      </c>
      <c r="C181" s="92" t="str">
        <f>LEFT(EmpGName03)&amp;" " &amp;EmpSName03</f>
        <v>I Thelning</v>
      </c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8"/>
    </row>
    <row r="182" spans="2:34">
      <c r="B182" s="88">
        <v>4</v>
      </c>
      <c r="C182" s="93" t="str">
        <f>LEFT(EmpGName04)&amp;" " &amp;EmpSName04</f>
        <v>L King</v>
      </c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8"/>
    </row>
    <row r="183" spans="2:34">
      <c r="B183" s="88">
        <v>5</v>
      </c>
      <c r="C183" s="92" t="str">
        <f>LEFT(EmpGName05)&amp;" " &amp;EmpSName05</f>
        <v>D Castle</v>
      </c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8"/>
    </row>
    <row r="184" spans="2:34">
      <c r="B184" s="88">
        <v>6</v>
      </c>
      <c r="C184" s="93" t="str">
        <f>LEFT(EmpGName06)&amp;" " &amp;EmpSName06</f>
        <v>T Sorensen</v>
      </c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8"/>
    </row>
    <row r="185" spans="2:34">
      <c r="B185" s="88">
        <v>7</v>
      </c>
      <c r="C185" s="92" t="str">
        <f>LEFT(EmpGName07)&amp;" " &amp;EmpSName07</f>
        <v>R Fielding</v>
      </c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8"/>
    </row>
    <row r="186" spans="2:34">
      <c r="B186" s="88">
        <v>8</v>
      </c>
      <c r="C186" s="93" t="str">
        <f>LEFT(EmpGName08)&amp;" " &amp;EmpSName08</f>
        <v>F Flannery</v>
      </c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8"/>
    </row>
    <row r="187" spans="2:34">
      <c r="B187" s="88">
        <v>9</v>
      </c>
      <c r="C187" s="92" t="str">
        <f>LEFT(EmpGName09)&amp;" " &amp;EmpSName09</f>
        <v>P Hogan</v>
      </c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8"/>
    </row>
    <row r="188" spans="2:34">
      <c r="B188" s="156">
        <v>10</v>
      </c>
      <c r="C188" s="93" t="str">
        <f>LEFT(EmpGName10)&amp;" " &amp;EmpSName10</f>
        <v>J Stretton</v>
      </c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77"/>
    </row>
    <row r="189" spans="2:34">
      <c r="B189" s="156">
        <v>11</v>
      </c>
      <c r="C189" s="92" t="str">
        <f>LEFT(EmpGName11)&amp;" " &amp;EmpSName11</f>
        <v>M Rowe</v>
      </c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77"/>
    </row>
    <row r="190" spans="2:34" hidden="1">
      <c r="B190" s="156">
        <v>12</v>
      </c>
      <c r="C190" s="93" t="str">
        <f>LEFT(EmpGName12)&amp;" " &amp;EmpSName12</f>
        <v xml:space="preserve"> </v>
      </c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77"/>
    </row>
  </sheetData>
  <sheetProtection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5" priority="2" operator="equal">
      <formula>"AL"</formula>
    </cfRule>
    <cfRule type="cellIs" dxfId="4" priority="3" operator="equal">
      <formula>"NA"</formula>
    </cfRule>
    <cfRule type="cellIs" dxfId="3" priority="4" operator="equal">
      <formula>"SL"</formula>
    </cfRule>
    <cfRule type="cellIs" dxfId="2" priority="6" operator="equal">
      <formula>"RO"</formula>
    </cfRule>
    <cfRule type="cellIs" dxfId="1" priority="7" operator="equal">
      <formula>"H"</formula>
    </cfRule>
  </conditionalFormatting>
  <conditionalFormatting sqref="D12:AH12 D27:AH27 D42:AG42 D57:AH57 D72:AG72 D87:AH87 D102:AH102 D117:AF117 D132:AH132 D147:AG147 D162:AH162 D177:AG177">
    <cfRule type="cellIs" dxfId="0" priority="1" stopIfTrue="1" operator="equal">
      <formula>"Tu"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disabled="1" autoLine="0" r:id="rId6">
            <anchor moveWithCells="1">
              <from>
                <xdr:col>21</xdr:col>
                <xdr:colOff>0</xdr:colOff>
                <xdr:row>4</xdr:row>
                <xdr:rowOff>352425</xdr:rowOff>
              </from>
              <to>
                <xdr:col>26</xdr:col>
                <xdr:colOff>19050</xdr:colOff>
                <xdr:row>4</xdr:row>
                <xdr:rowOff>542925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disabled="1" autoLine="0" r:id="rId8">
            <anchor moveWithCells="1">
              <from>
                <xdr:col>27</xdr:col>
                <xdr:colOff>19050</xdr:colOff>
                <xdr:row>4</xdr:row>
                <xdr:rowOff>47625</xdr:rowOff>
              </from>
              <to>
                <xdr:col>33</xdr:col>
                <xdr:colOff>180975</xdr:colOff>
                <xdr:row>4</xdr:row>
                <xdr:rowOff>228600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disabled="1" autoLine="0" r:id="rId10">
            <anchor moveWithCells="1">
              <from>
                <xdr:col>14</xdr:col>
                <xdr:colOff>200025</xdr:colOff>
                <xdr:row>4</xdr:row>
                <xdr:rowOff>47625</xdr:rowOff>
              </from>
              <to>
                <xdr:col>17</xdr:col>
                <xdr:colOff>180975</xdr:colOff>
                <xdr:row>4</xdr:row>
                <xdr:rowOff>257175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disabled="1" autoLine="0" r:id="rId12">
            <anchor moveWithCells="1">
              <from>
                <xdr:col>21</xdr:col>
                <xdr:colOff>0</xdr:colOff>
                <xdr:row>4</xdr:row>
                <xdr:rowOff>47625</xdr:rowOff>
              </from>
              <to>
                <xdr:col>26</xdr:col>
                <xdr:colOff>19050</xdr:colOff>
                <xdr:row>4</xdr:row>
                <xdr:rowOff>238125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disabled="1" autoLine="0" r:id="rId14">
            <anchor moveWithCells="1">
              <from>
                <xdr:col>9</xdr:col>
                <xdr:colOff>95250</xdr:colOff>
                <xdr:row>4</xdr:row>
                <xdr:rowOff>47625</xdr:rowOff>
              </from>
              <to>
                <xdr:col>12</xdr:col>
                <xdr:colOff>114300</xdr:colOff>
                <xdr:row>4</xdr:row>
                <xdr:rowOff>238125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disabled="1" autoLine="0" r:id="rId16">
            <anchor moveWithCells="1">
              <from>
                <xdr:col>4</xdr:col>
                <xdr:colOff>95250</xdr:colOff>
                <xdr:row>4</xdr:row>
                <xdr:rowOff>352425</xdr:rowOff>
              </from>
              <to>
                <xdr:col>7</xdr:col>
                <xdr:colOff>57150</xdr:colOff>
                <xdr:row>4</xdr:row>
                <xdr:rowOff>542925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28575</xdr:colOff>
                <xdr:row>4</xdr:row>
                <xdr:rowOff>352425</xdr:rowOff>
              </from>
              <to>
                <xdr:col>3</xdr:col>
                <xdr:colOff>66675</xdr:colOff>
                <xdr:row>4</xdr:row>
                <xdr:rowOff>552450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disabled="1" autoLine="0" r:id="rId20">
            <anchor moveWithCells="1">
              <from>
                <xdr:col>4</xdr:col>
                <xdr:colOff>95250</xdr:colOff>
                <xdr:row>4</xdr:row>
                <xdr:rowOff>47625</xdr:rowOff>
              </from>
              <to>
                <xdr:col>7</xdr:col>
                <xdr:colOff>123825</xdr:colOff>
                <xdr:row>4</xdr:row>
                <xdr:rowOff>238125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disabled="1" autoLine="0" r:id="rId22">
            <anchor moveWithCells="1">
              <from>
                <xdr:col>9</xdr:col>
                <xdr:colOff>95250</xdr:colOff>
                <xdr:row>4</xdr:row>
                <xdr:rowOff>352425</xdr:rowOff>
              </from>
              <to>
                <xdr:col>15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disabled="1" autoLine="0" r:id="rId24">
            <anchor moveWithCells="1">
              <from>
                <xdr:col>14</xdr:col>
                <xdr:colOff>200025</xdr:colOff>
                <xdr:row>4</xdr:row>
                <xdr:rowOff>352425</xdr:rowOff>
              </from>
              <to>
                <xdr:col>20</xdr:col>
                <xdr:colOff>190500</xdr:colOff>
                <xdr:row>4</xdr:row>
                <xdr:rowOff>542925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28575</xdr:colOff>
                <xdr:row>4</xdr:row>
                <xdr:rowOff>47625</xdr:rowOff>
              </from>
              <to>
                <xdr:col>2</xdr:col>
                <xdr:colOff>800100</xdr:colOff>
                <xdr:row>4</xdr:row>
                <xdr:rowOff>295275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disabled="1" autoLine="0" r:id="rId28">
            <anchor moveWithCells="1">
              <from>
                <xdr:col>27</xdr:col>
                <xdr:colOff>19050</xdr:colOff>
                <xdr:row>4</xdr:row>
                <xdr:rowOff>352425</xdr:rowOff>
              </from>
              <to>
                <xdr:col>33</xdr:col>
                <xdr:colOff>161925</xdr:colOff>
                <xdr:row>4</xdr:row>
                <xdr:rowOff>542925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workbookViewId="0">
      <selection activeCell="B2" sqref="B2"/>
    </sheetView>
  </sheetViews>
  <sheetFormatPr defaultRowHeight="12.75"/>
  <cols>
    <col min="1" max="1" width="5.42578125" customWidth="1"/>
    <col min="2" max="2" width="7.42578125" customWidth="1"/>
    <col min="3" max="4" width="16.7109375" customWidth="1"/>
    <col min="7" max="7" width="14.5703125" customWidth="1"/>
    <col min="9" max="9" width="12" customWidth="1"/>
  </cols>
  <sheetData>
    <row r="2" spans="2:9" ht="39" customHeight="1"/>
    <row r="3" spans="2:9" ht="18">
      <c r="C3" s="153" t="s">
        <v>25</v>
      </c>
      <c r="D3" s="154" t="s">
        <v>56</v>
      </c>
    </row>
    <row r="5" spans="2:9" ht="13.5" thickBot="1"/>
    <row r="6" spans="2:9" ht="15.75" thickBot="1">
      <c r="B6" s="183" t="s">
        <v>0</v>
      </c>
      <c r="C6" s="184"/>
      <c r="D6" s="184"/>
      <c r="E6" s="185"/>
      <c r="G6" s="181" t="s">
        <v>7</v>
      </c>
      <c r="I6" s="181" t="s">
        <v>12</v>
      </c>
    </row>
    <row r="7" spans="2:9" ht="15.75" thickBot="1">
      <c r="B7" s="67"/>
      <c r="C7" s="68" t="s">
        <v>1</v>
      </c>
      <c r="D7" s="68" t="s">
        <v>2</v>
      </c>
      <c r="E7" s="68" t="s">
        <v>3</v>
      </c>
      <c r="G7" s="182"/>
      <c r="I7" s="182"/>
    </row>
    <row r="8" spans="2:9" ht="14.25">
      <c r="B8" s="50" t="s">
        <v>32</v>
      </c>
      <c r="C8" s="58" t="s">
        <v>4</v>
      </c>
      <c r="D8" s="58" t="s">
        <v>29</v>
      </c>
      <c r="E8" s="65" t="str">
        <f>LEFT(EmpGName01)&amp;" " &amp; LEFT(EmpSName01)</f>
        <v>L M</v>
      </c>
      <c r="G8" s="59">
        <v>2016</v>
      </c>
      <c r="I8" s="62" t="s">
        <v>10</v>
      </c>
    </row>
    <row r="9" spans="2:9" ht="14.25">
      <c r="B9" s="50" t="s">
        <v>33</v>
      </c>
      <c r="C9" s="58" t="s">
        <v>6</v>
      </c>
      <c r="D9" s="58" t="s">
        <v>27</v>
      </c>
      <c r="E9" s="65" t="str">
        <f>LEFT(EmpGName02)&amp;" " &amp; LEFT(EmpSName02)</f>
        <v>K S</v>
      </c>
      <c r="G9" s="60">
        <v>2017</v>
      </c>
      <c r="I9" s="63" t="s">
        <v>11</v>
      </c>
    </row>
    <row r="10" spans="2:9" ht="14.25">
      <c r="B10" s="50" t="s">
        <v>34</v>
      </c>
      <c r="C10" s="58" t="s">
        <v>5</v>
      </c>
      <c r="D10" s="58" t="s">
        <v>28</v>
      </c>
      <c r="E10" s="65" t="str">
        <f>LEFT(EmpGName03)&amp;" " &amp; LEFT(EmpSName03)</f>
        <v>I T</v>
      </c>
      <c r="G10" s="60">
        <v>2018</v>
      </c>
      <c r="I10" s="63" t="s">
        <v>9</v>
      </c>
    </row>
    <row r="11" spans="2:9" ht="14.25">
      <c r="B11" s="50" t="s">
        <v>35</v>
      </c>
      <c r="C11" s="58" t="s">
        <v>44</v>
      </c>
      <c r="D11" s="58" t="s">
        <v>43</v>
      </c>
      <c r="E11" s="65" t="str">
        <f>LEFT(EmpGName04)&amp;" " &amp; LEFT(EmpSName04)</f>
        <v>L K</v>
      </c>
      <c r="G11" s="60">
        <v>2019</v>
      </c>
      <c r="I11" s="66" t="s">
        <v>69</v>
      </c>
    </row>
    <row r="12" spans="2:9" ht="14.25">
      <c r="B12" s="50" t="s">
        <v>36</v>
      </c>
      <c r="C12" s="58" t="s">
        <v>46</v>
      </c>
      <c r="D12" s="58" t="s">
        <v>45</v>
      </c>
      <c r="E12" s="65" t="str">
        <f>LEFT(EmpGName05)&amp;" " &amp; LEFT(EmpSName05)</f>
        <v>D C</v>
      </c>
      <c r="G12" s="60">
        <v>2020</v>
      </c>
      <c r="I12" s="63" t="s">
        <v>41</v>
      </c>
    </row>
    <row r="13" spans="2:9" ht="14.25">
      <c r="B13" s="50" t="s">
        <v>37</v>
      </c>
      <c r="C13" s="58" t="s">
        <v>57</v>
      </c>
      <c r="D13" s="58" t="s">
        <v>58</v>
      </c>
      <c r="E13" s="65" t="str">
        <f>LEFT(EmpGName06)&amp;" " &amp; LEFT(EmpSName06)</f>
        <v>T S</v>
      </c>
      <c r="G13" s="60">
        <v>2021</v>
      </c>
      <c r="I13" s="63" t="s">
        <v>42</v>
      </c>
    </row>
    <row r="14" spans="2:9" ht="15" thickBot="1">
      <c r="B14" s="50" t="s">
        <v>38</v>
      </c>
      <c r="C14" s="58" t="s">
        <v>59</v>
      </c>
      <c r="D14" s="58" t="s">
        <v>60</v>
      </c>
      <c r="E14" s="65" t="str">
        <f>LEFT(EmpGName07)&amp;" " &amp; LEFT(EmpSName07)</f>
        <v>R F</v>
      </c>
      <c r="G14" s="61">
        <v>2022</v>
      </c>
      <c r="I14" s="66" t="s">
        <v>47</v>
      </c>
    </row>
    <row r="15" spans="2:9" ht="14.25">
      <c r="B15" s="50" t="s">
        <v>39</v>
      </c>
      <c r="C15" s="58" t="s">
        <v>61</v>
      </c>
      <c r="D15" s="58" t="s">
        <v>62</v>
      </c>
      <c r="E15" s="65" t="str">
        <f>LEFT(EmpGName08)&amp;" " &amp; LEFT(EmpSName08)</f>
        <v>F F</v>
      </c>
      <c r="I15" s="66" t="s">
        <v>48</v>
      </c>
    </row>
    <row r="16" spans="2:9" ht="14.25">
      <c r="B16" s="50" t="s">
        <v>40</v>
      </c>
      <c r="C16" s="58" t="s">
        <v>63</v>
      </c>
      <c r="D16" s="58" t="s">
        <v>64</v>
      </c>
      <c r="E16" s="65" t="str">
        <f>LEFT(EmpGName09)&amp;" " &amp; LEFT(EmpSName09)</f>
        <v>P H</v>
      </c>
      <c r="I16" s="66" t="s">
        <v>53</v>
      </c>
    </row>
    <row r="17" spans="2:9" ht="15" thickBot="1">
      <c r="B17" s="69" t="s">
        <v>49</v>
      </c>
      <c r="C17" s="58" t="s">
        <v>65</v>
      </c>
      <c r="D17" s="58" t="s">
        <v>66</v>
      </c>
      <c r="E17" s="65" t="str">
        <f>LEFT(EmpGName10)&amp;" " &amp; LEFT(EmpSName10)</f>
        <v>J S</v>
      </c>
      <c r="I17" s="155"/>
    </row>
    <row r="18" spans="2:9" ht="14.25">
      <c r="B18" s="69" t="s">
        <v>50</v>
      </c>
      <c r="C18" s="58" t="s">
        <v>67</v>
      </c>
      <c r="D18" s="58" t="s">
        <v>68</v>
      </c>
      <c r="E18" s="65" t="str">
        <f>LEFT(EmpGName11)&amp;" " &amp; LEFT(EmpSName11)</f>
        <v>M R</v>
      </c>
    </row>
    <row r="19" spans="2:9" ht="15" thickBot="1">
      <c r="B19" s="70" t="s">
        <v>51</v>
      </c>
      <c r="C19" s="96"/>
      <c r="D19" s="96"/>
      <c r="E19" s="97" t="str">
        <f>LEFT(EmpGName12)&amp;" " &amp; LEFT(EmpSName12)</f>
        <v xml:space="preserve"> </v>
      </c>
    </row>
    <row r="25" spans="2:9">
      <c r="B25" s="20" t="s">
        <v>54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style="20" customWidth="1"/>
    <col min="2" max="2" width="10.140625" style="46" customWidth="1"/>
    <col min="3" max="33" width="4.140625" style="20" customWidth="1"/>
    <col min="34" max="16384" width="9.140625" style="20"/>
  </cols>
  <sheetData>
    <row r="1" spans="2:33" s="26" customFormat="1">
      <c r="B1" s="47"/>
    </row>
    <row r="2" spans="2:33" s="26" customFormat="1" ht="24.75" customHeight="1">
      <c r="B2" s="47"/>
      <c r="I2" s="130" t="str">
        <f>Location</f>
        <v>Oodlawirra Quarantine Station</v>
      </c>
      <c r="J2" s="113"/>
      <c r="K2" s="113"/>
      <c r="L2" s="113"/>
      <c r="M2" s="113"/>
      <c r="N2" s="113"/>
      <c r="O2" s="113"/>
      <c r="P2" s="113"/>
      <c r="Q2" s="113"/>
      <c r="R2" s="130" t="str">
        <f xml:space="preserve"> "Financial Year Commencing 1st July, " &amp; CurYear -1</f>
        <v>Financial Year Commencing 1st July, 2016</v>
      </c>
      <c r="S2" s="34"/>
      <c r="T2" s="113"/>
      <c r="U2" s="113"/>
      <c r="V2" s="34"/>
      <c r="W2" s="113"/>
      <c r="X2" s="113"/>
      <c r="Y2" s="113"/>
      <c r="Z2" s="113"/>
      <c r="AA2" s="113"/>
      <c r="AB2" s="113"/>
      <c r="AC2" s="113"/>
      <c r="AD2" s="113"/>
      <c r="AE2" s="113"/>
      <c r="AF2" s="113"/>
    </row>
    <row r="3" spans="2:33" s="26" customFormat="1" ht="27" customHeight="1">
      <c r="B3" s="47"/>
      <c r="I3" s="131" t="s">
        <v>26</v>
      </c>
      <c r="R3" s="131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10" customFormat="1" ht="13.5" thickBot="1">
      <c r="B4" s="111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0" t="str">
        <f t="shared" si="0"/>
        <v>Su</v>
      </c>
    </row>
    <row r="5" spans="2:33" ht="14.25" thickTop="1" thickBot="1">
      <c r="B5" s="114" t="str">
        <f>Roster!C13</f>
        <v>July</v>
      </c>
      <c r="C5" s="115">
        <v>1</v>
      </c>
      <c r="D5" s="116">
        <v>2</v>
      </c>
      <c r="E5" s="116">
        <v>3</v>
      </c>
      <c r="F5" s="116">
        <v>4</v>
      </c>
      <c r="G5" s="116">
        <v>5</v>
      </c>
      <c r="H5" s="116">
        <v>6</v>
      </c>
      <c r="I5" s="116">
        <v>7</v>
      </c>
      <c r="J5" s="116">
        <v>8</v>
      </c>
      <c r="K5" s="116">
        <v>9</v>
      </c>
      <c r="L5" s="116">
        <v>10</v>
      </c>
      <c r="M5" s="116">
        <v>11</v>
      </c>
      <c r="N5" s="116">
        <v>12</v>
      </c>
      <c r="O5" s="116">
        <v>13</v>
      </c>
      <c r="P5" s="116">
        <v>14</v>
      </c>
      <c r="Q5" s="116">
        <v>15</v>
      </c>
      <c r="R5" s="116">
        <v>16</v>
      </c>
      <c r="S5" s="116">
        <v>17</v>
      </c>
      <c r="T5" s="116">
        <v>18</v>
      </c>
      <c r="U5" s="116">
        <v>19</v>
      </c>
      <c r="V5" s="116">
        <v>20</v>
      </c>
      <c r="W5" s="116">
        <v>21</v>
      </c>
      <c r="X5" s="116">
        <v>22</v>
      </c>
      <c r="Y5" s="116">
        <v>23</v>
      </c>
      <c r="Z5" s="116">
        <v>24</v>
      </c>
      <c r="AA5" s="116">
        <v>25</v>
      </c>
      <c r="AB5" s="116">
        <v>26</v>
      </c>
      <c r="AC5" s="116">
        <v>27</v>
      </c>
      <c r="AD5" s="116">
        <v>28</v>
      </c>
      <c r="AE5" s="116">
        <v>29</v>
      </c>
      <c r="AF5" s="116">
        <v>30</v>
      </c>
      <c r="AG5" s="117">
        <v>31</v>
      </c>
    </row>
    <row r="6" spans="2:33" ht="14.25" thickTop="1" thickBot="1">
      <c r="B6" s="114">
        <f>CurYear-1</f>
        <v>2016</v>
      </c>
      <c r="C6" s="36">
        <f>Roster!D14</f>
        <v>0</v>
      </c>
      <c r="D6" s="37">
        <f>Roster!E14</f>
        <v>0</v>
      </c>
      <c r="E6" s="37">
        <f>Roster!F14</f>
        <v>0</v>
      </c>
      <c r="F6" s="37">
        <f>Roster!G14</f>
        <v>0</v>
      </c>
      <c r="G6" s="37">
        <f>Roster!H14</f>
        <v>0</v>
      </c>
      <c r="H6" s="37">
        <f>Roster!I14</f>
        <v>0</v>
      </c>
      <c r="I6" s="37">
        <f>Roster!J14</f>
        <v>0</v>
      </c>
      <c r="J6" s="37">
        <f>Roster!K14</f>
        <v>0</v>
      </c>
      <c r="K6" s="37">
        <f>Roster!L14</f>
        <v>0</v>
      </c>
      <c r="L6" s="37">
        <f>Roster!M14</f>
        <v>0</v>
      </c>
      <c r="M6" s="37">
        <f>Roster!N14</f>
        <v>0</v>
      </c>
      <c r="N6" s="37">
        <f>Roster!O14</f>
        <v>0</v>
      </c>
      <c r="O6" s="37">
        <f>Roster!P14</f>
        <v>0</v>
      </c>
      <c r="P6" s="37">
        <f>Roster!Q14</f>
        <v>0</v>
      </c>
      <c r="Q6" s="37">
        <f>Roster!R14</f>
        <v>0</v>
      </c>
      <c r="R6" s="37">
        <f>Roster!S14</f>
        <v>0</v>
      </c>
      <c r="S6" s="37">
        <f>Roster!T14</f>
        <v>0</v>
      </c>
      <c r="T6" s="37">
        <f>Roster!U14</f>
        <v>0</v>
      </c>
      <c r="U6" s="37">
        <f>Roster!V14</f>
        <v>0</v>
      </c>
      <c r="V6" s="37">
        <f>Roster!W14</f>
        <v>0</v>
      </c>
      <c r="W6" s="37">
        <f>Roster!X14</f>
        <v>0</v>
      </c>
      <c r="X6" s="37">
        <f>Roster!Y14</f>
        <v>0</v>
      </c>
      <c r="Y6" s="37">
        <f>Roster!Z14</f>
        <v>0</v>
      </c>
      <c r="Z6" s="37">
        <f>Roster!AA14</f>
        <v>0</v>
      </c>
      <c r="AA6" s="37">
        <f>Roster!AB14</f>
        <v>0</v>
      </c>
      <c r="AB6" s="37">
        <f>Roster!AC14</f>
        <v>0</v>
      </c>
      <c r="AC6" s="37">
        <f>Roster!AD14</f>
        <v>0</v>
      </c>
      <c r="AD6" s="37">
        <f>Roster!AE14</f>
        <v>0</v>
      </c>
      <c r="AE6" s="37">
        <f>Roster!AF14</f>
        <v>0</v>
      </c>
      <c r="AF6" s="37">
        <f>Roster!AG14</f>
        <v>0</v>
      </c>
      <c r="AG6" s="38">
        <f>Roster!AH14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114" t="str">
        <f>Roster!C28</f>
        <v>August</v>
      </c>
      <c r="C8" s="115">
        <v>1</v>
      </c>
      <c r="D8" s="116">
        <v>2</v>
      </c>
      <c r="E8" s="116">
        <v>3</v>
      </c>
      <c r="F8" s="116">
        <v>4</v>
      </c>
      <c r="G8" s="116">
        <v>5</v>
      </c>
      <c r="H8" s="116">
        <v>6</v>
      </c>
      <c r="I8" s="116">
        <v>7</v>
      </c>
      <c r="J8" s="116">
        <v>8</v>
      </c>
      <c r="K8" s="116">
        <v>9</v>
      </c>
      <c r="L8" s="116">
        <v>10</v>
      </c>
      <c r="M8" s="116">
        <v>11</v>
      </c>
      <c r="N8" s="116">
        <v>12</v>
      </c>
      <c r="O8" s="116">
        <v>13</v>
      </c>
      <c r="P8" s="116">
        <v>14</v>
      </c>
      <c r="Q8" s="116">
        <v>15</v>
      </c>
      <c r="R8" s="116">
        <v>16</v>
      </c>
      <c r="S8" s="116">
        <v>17</v>
      </c>
      <c r="T8" s="116">
        <v>18</v>
      </c>
      <c r="U8" s="116">
        <v>19</v>
      </c>
      <c r="V8" s="116">
        <v>20</v>
      </c>
      <c r="W8" s="116">
        <v>21</v>
      </c>
      <c r="X8" s="116">
        <v>22</v>
      </c>
      <c r="Y8" s="116">
        <v>23</v>
      </c>
      <c r="Z8" s="116">
        <v>24</v>
      </c>
      <c r="AA8" s="116">
        <v>25</v>
      </c>
      <c r="AB8" s="116">
        <v>26</v>
      </c>
      <c r="AC8" s="116">
        <v>27</v>
      </c>
      <c r="AD8" s="119">
        <v>28</v>
      </c>
      <c r="AE8" s="116">
        <v>29</v>
      </c>
      <c r="AF8" s="120">
        <v>30</v>
      </c>
      <c r="AG8" s="117">
        <v>31</v>
      </c>
    </row>
    <row r="9" spans="2:33" ht="14.25" thickTop="1" thickBot="1">
      <c r="B9" s="114">
        <f>CurYear-1</f>
        <v>2016</v>
      </c>
      <c r="C9" s="36" t="str">
        <f>Roster!D29</f>
        <v>AL</v>
      </c>
      <c r="D9" s="39" t="str">
        <f>Roster!E29</f>
        <v>D</v>
      </c>
      <c r="E9" s="37" t="str">
        <f>Roster!F29</f>
        <v>D</v>
      </c>
      <c r="F9" s="37" t="str">
        <f>Roster!G29</f>
        <v>D</v>
      </c>
      <c r="G9" s="37" t="str">
        <f>Roster!H29</f>
        <v>AL</v>
      </c>
      <c r="H9" s="37">
        <f>Roster!I29</f>
        <v>0</v>
      </c>
      <c r="I9" s="37">
        <f>Roster!J29</f>
        <v>0</v>
      </c>
      <c r="J9" s="37" t="str">
        <f>Roster!K29</f>
        <v>AL</v>
      </c>
      <c r="K9" s="37" t="str">
        <f>Roster!L29</f>
        <v>AL</v>
      </c>
      <c r="L9" s="37" t="str">
        <f>Roster!M29</f>
        <v>AL</v>
      </c>
      <c r="M9" s="37" t="str">
        <f>Roster!N29</f>
        <v>D</v>
      </c>
      <c r="N9" s="37" t="str">
        <f>Roster!O29</f>
        <v>D</v>
      </c>
      <c r="O9" s="37">
        <f>Roster!P29</f>
        <v>0</v>
      </c>
      <c r="P9" s="37">
        <f>Roster!Q29</f>
        <v>0</v>
      </c>
      <c r="Q9" s="37" t="str">
        <f>Roster!R29</f>
        <v>D</v>
      </c>
      <c r="R9" s="37" t="str">
        <f>Roster!S29</f>
        <v>D</v>
      </c>
      <c r="S9" s="37" t="str">
        <f>Roster!T29</f>
        <v>D</v>
      </c>
      <c r="T9" s="37" t="str">
        <f>Roster!U29</f>
        <v>D</v>
      </c>
      <c r="U9" s="37" t="str">
        <f>Roster!V29</f>
        <v>D</v>
      </c>
      <c r="V9" s="37">
        <f>Roster!W29</f>
        <v>0</v>
      </c>
      <c r="W9" s="37">
        <f>Roster!X29</f>
        <v>0</v>
      </c>
      <c r="X9" s="37" t="str">
        <f>Roster!Y29</f>
        <v>SL</v>
      </c>
      <c r="Y9" s="37" t="str">
        <f>Roster!Z29</f>
        <v>D</v>
      </c>
      <c r="Z9" s="37" t="str">
        <f>Roster!AA29</f>
        <v>D</v>
      </c>
      <c r="AA9" s="37" t="str">
        <f>Roster!AB29</f>
        <v>D</v>
      </c>
      <c r="AB9" s="37" t="str">
        <f>Roster!AC29</f>
        <v>D</v>
      </c>
      <c r="AC9" s="37">
        <f>Roster!AD29</f>
        <v>0</v>
      </c>
      <c r="AD9" s="43">
        <f>Roster!AE29</f>
        <v>0</v>
      </c>
      <c r="AE9" s="37" t="str">
        <f>Roster!AF29</f>
        <v>D</v>
      </c>
      <c r="AF9" s="39" t="str">
        <f>Roster!AG29</f>
        <v>D</v>
      </c>
      <c r="AG9" s="38" t="str">
        <f>Roster!AH29</f>
        <v>D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21"/>
    </row>
    <row r="11" spans="2:33" ht="14.25" thickTop="1" thickBot="1">
      <c r="B11" s="114" t="str">
        <f>Roster!C43</f>
        <v>September</v>
      </c>
      <c r="C11" s="122">
        <v>1</v>
      </c>
      <c r="D11" s="123">
        <v>2</v>
      </c>
      <c r="E11" s="123">
        <v>3</v>
      </c>
      <c r="F11" s="123">
        <v>4</v>
      </c>
      <c r="G11" s="123">
        <v>5</v>
      </c>
      <c r="H11" s="123">
        <v>6</v>
      </c>
      <c r="I11" s="123">
        <v>7</v>
      </c>
      <c r="J11" s="123">
        <v>8</v>
      </c>
      <c r="K11" s="123">
        <v>9</v>
      </c>
      <c r="L11" s="123">
        <v>10</v>
      </c>
      <c r="M11" s="123">
        <v>11</v>
      </c>
      <c r="N11" s="123">
        <v>12</v>
      </c>
      <c r="O11" s="123">
        <v>13</v>
      </c>
      <c r="P11" s="123">
        <v>14</v>
      </c>
      <c r="Q11" s="123">
        <v>15</v>
      </c>
      <c r="R11" s="123">
        <v>16</v>
      </c>
      <c r="S11" s="123">
        <v>17</v>
      </c>
      <c r="T11" s="123">
        <v>18</v>
      </c>
      <c r="U11" s="123">
        <v>19</v>
      </c>
      <c r="V11" s="123">
        <v>20</v>
      </c>
      <c r="W11" s="123">
        <v>21</v>
      </c>
      <c r="X11" s="123">
        <v>22</v>
      </c>
      <c r="Y11" s="123">
        <v>23</v>
      </c>
      <c r="Z11" s="123">
        <v>24</v>
      </c>
      <c r="AA11" s="123">
        <v>25</v>
      </c>
      <c r="AB11" s="123">
        <v>26</v>
      </c>
      <c r="AC11" s="123">
        <v>27</v>
      </c>
      <c r="AD11" s="123">
        <v>28</v>
      </c>
      <c r="AE11" s="123">
        <v>29</v>
      </c>
      <c r="AF11" s="124">
        <v>30</v>
      </c>
    </row>
    <row r="12" spans="2:33" ht="14.25" thickTop="1" thickBot="1">
      <c r="B12" s="114">
        <f>CurYear-1</f>
        <v>2016</v>
      </c>
      <c r="C12" s="36" t="str">
        <f>Roster!D44</f>
        <v>D</v>
      </c>
      <c r="D12" s="37" t="str">
        <f>Roster!E44</f>
        <v>D</v>
      </c>
      <c r="E12" s="37" t="str">
        <f>Roster!F44</f>
        <v>D</v>
      </c>
      <c r="F12" s="37" t="str">
        <f>Roster!G44</f>
        <v>D</v>
      </c>
      <c r="G12" s="37" t="str">
        <f>Roster!H44</f>
        <v>RO</v>
      </c>
      <c r="H12" s="37" t="str">
        <f>Roster!I44</f>
        <v>D</v>
      </c>
      <c r="I12" s="37">
        <f>Roster!J44</f>
        <v>0</v>
      </c>
      <c r="J12" s="37">
        <f>Roster!K44</f>
        <v>0</v>
      </c>
      <c r="K12" s="37" t="str">
        <f>Roster!L44</f>
        <v>A</v>
      </c>
      <c r="L12" s="37" t="str">
        <f>Roster!M44</f>
        <v>A</v>
      </c>
      <c r="M12" s="37" t="str">
        <f>Roster!N44</f>
        <v>A</v>
      </c>
      <c r="N12" s="37" t="str">
        <f>Roster!O44</f>
        <v>A</v>
      </c>
      <c r="O12" s="37" t="str">
        <f>Roster!P44</f>
        <v>D</v>
      </c>
      <c r="P12" s="37">
        <f>Roster!Q44</f>
        <v>0</v>
      </c>
      <c r="Q12" s="37">
        <f>Roster!R44</f>
        <v>0</v>
      </c>
      <c r="R12" s="37" t="str">
        <f>Roster!S44</f>
        <v>D</v>
      </c>
      <c r="S12" s="37" t="str">
        <f>Roster!T44</f>
        <v>D</v>
      </c>
      <c r="T12" s="37" t="str">
        <f>Roster!U44</f>
        <v>D</v>
      </c>
      <c r="U12" s="37" t="str">
        <f>Roster!V44</f>
        <v>D</v>
      </c>
      <c r="V12" s="37" t="str">
        <f>Roster!W44</f>
        <v>D</v>
      </c>
      <c r="W12" s="37">
        <f>Roster!X44</f>
        <v>0</v>
      </c>
      <c r="X12" s="37">
        <f>Roster!Y44</f>
        <v>0</v>
      </c>
      <c r="Y12" s="37" t="str">
        <f>Roster!Z44</f>
        <v>A</v>
      </c>
      <c r="Z12" s="37" t="str">
        <f>Roster!AA44</f>
        <v>A</v>
      </c>
      <c r="AA12" s="37" t="str">
        <f>Roster!AB44</f>
        <v>A</v>
      </c>
      <c r="AB12" s="37" t="str">
        <f>Roster!AC44</f>
        <v>A</v>
      </c>
      <c r="AC12" s="37" t="str">
        <f>Roster!AD44</f>
        <v>D</v>
      </c>
      <c r="AD12" s="37">
        <f>Roster!AE44</f>
        <v>0</v>
      </c>
      <c r="AE12" s="37">
        <f>Roster!AF44</f>
        <v>0</v>
      </c>
      <c r="AF12" s="38" t="str">
        <f>Roster!AG44</f>
        <v>RO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114" t="str">
        <f>Roster!C58</f>
        <v>October</v>
      </c>
      <c r="C14" s="115">
        <v>1</v>
      </c>
      <c r="D14" s="116">
        <v>2</v>
      </c>
      <c r="E14" s="116">
        <v>3</v>
      </c>
      <c r="F14" s="116">
        <v>4</v>
      </c>
      <c r="G14" s="116">
        <v>5</v>
      </c>
      <c r="H14" s="116">
        <v>6</v>
      </c>
      <c r="I14" s="116">
        <v>7</v>
      </c>
      <c r="J14" s="116">
        <v>8</v>
      </c>
      <c r="K14" s="116">
        <v>9</v>
      </c>
      <c r="L14" s="116">
        <v>10</v>
      </c>
      <c r="M14" s="116">
        <v>11</v>
      </c>
      <c r="N14" s="116">
        <v>12</v>
      </c>
      <c r="O14" s="116">
        <v>13</v>
      </c>
      <c r="P14" s="116">
        <v>14</v>
      </c>
      <c r="Q14" s="116">
        <v>15</v>
      </c>
      <c r="R14" s="116">
        <v>16</v>
      </c>
      <c r="S14" s="116">
        <v>17</v>
      </c>
      <c r="T14" s="116">
        <v>18</v>
      </c>
      <c r="U14" s="116">
        <v>19</v>
      </c>
      <c r="V14" s="116">
        <v>20</v>
      </c>
      <c r="W14" s="116">
        <v>21</v>
      </c>
      <c r="X14" s="116">
        <v>22</v>
      </c>
      <c r="Y14" s="116">
        <v>23</v>
      </c>
      <c r="Z14" s="116">
        <v>24</v>
      </c>
      <c r="AA14" s="116">
        <v>25</v>
      </c>
      <c r="AB14" s="116">
        <v>26</v>
      </c>
      <c r="AC14" s="116">
        <v>27</v>
      </c>
      <c r="AD14" s="116">
        <v>28</v>
      </c>
      <c r="AE14" s="116">
        <v>29</v>
      </c>
      <c r="AF14" s="116">
        <v>30</v>
      </c>
      <c r="AG14" s="117">
        <v>31</v>
      </c>
    </row>
    <row r="15" spans="2:33" ht="14.25" thickTop="1" thickBot="1">
      <c r="B15" s="114">
        <f>CurYear-1</f>
        <v>2016</v>
      </c>
      <c r="C15" s="36" t="str">
        <f>Roster!D59</f>
        <v>D</v>
      </c>
      <c r="D15" s="37" t="str">
        <f>Roster!E59</f>
        <v>D</v>
      </c>
      <c r="E15" s="37" t="str">
        <f>Roster!F59</f>
        <v>D</v>
      </c>
      <c r="F15" s="37" t="str">
        <f>Roster!G59</f>
        <v>D</v>
      </c>
      <c r="G15" s="37">
        <f>Roster!H59</f>
        <v>0</v>
      </c>
      <c r="H15" s="37">
        <f>Roster!I59</f>
        <v>0</v>
      </c>
      <c r="I15" s="37" t="str">
        <f>Roster!J59</f>
        <v>A</v>
      </c>
      <c r="J15" s="37" t="str">
        <f>Roster!K59</f>
        <v>A</v>
      </c>
      <c r="K15" s="37" t="str">
        <f>Roster!L59</f>
        <v>A</v>
      </c>
      <c r="L15" s="37" t="str">
        <f>Roster!M59</f>
        <v>A</v>
      </c>
      <c r="M15" s="37" t="str">
        <f>Roster!N59</f>
        <v>D</v>
      </c>
      <c r="N15" s="37">
        <f>Roster!O59</f>
        <v>0</v>
      </c>
      <c r="O15" s="37">
        <f>Roster!P59</f>
        <v>0</v>
      </c>
      <c r="P15" s="37" t="str">
        <f>Roster!Q59</f>
        <v>D</v>
      </c>
      <c r="Q15" s="37" t="str">
        <f>Roster!R59</f>
        <v>D</v>
      </c>
      <c r="R15" s="37" t="str">
        <f>Roster!S59</f>
        <v>D</v>
      </c>
      <c r="S15" s="37" t="str">
        <f>Roster!T59</f>
        <v>D</v>
      </c>
      <c r="T15" s="37" t="str">
        <f>Roster!U59</f>
        <v>D</v>
      </c>
      <c r="U15" s="37">
        <f>Roster!V59</f>
        <v>0</v>
      </c>
      <c r="V15" s="37">
        <f>Roster!W59</f>
        <v>0</v>
      </c>
      <c r="W15" s="37" t="str">
        <f>Roster!X59</f>
        <v>RO</v>
      </c>
      <c r="X15" s="37" t="str">
        <f>Roster!Y59</f>
        <v>A</v>
      </c>
      <c r="Y15" s="37" t="str">
        <f>Roster!Z59</f>
        <v>A</v>
      </c>
      <c r="Z15" s="37" t="str">
        <f>Roster!AA59</f>
        <v>A</v>
      </c>
      <c r="AA15" s="37" t="str">
        <f>Roster!AB59</f>
        <v>D</v>
      </c>
      <c r="AB15" s="37">
        <f>Roster!AC59</f>
        <v>0</v>
      </c>
      <c r="AC15" s="37">
        <f>Roster!AD59</f>
        <v>0</v>
      </c>
      <c r="AD15" s="37" t="str">
        <f>Roster!AE59</f>
        <v>D</v>
      </c>
      <c r="AE15" s="37" t="str">
        <f>Roster!AF59</f>
        <v>D</v>
      </c>
      <c r="AF15" s="37" t="str">
        <f>Roster!AG59</f>
        <v>D</v>
      </c>
      <c r="AG15" s="38" t="str">
        <f>Roster!AH59</f>
        <v>D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21"/>
    </row>
    <row r="17" spans="2:33" ht="14.25" thickTop="1" thickBot="1">
      <c r="B17" s="114" t="str">
        <f>Roster!C73</f>
        <v>November</v>
      </c>
      <c r="C17" s="122">
        <v>1</v>
      </c>
      <c r="D17" s="123">
        <v>2</v>
      </c>
      <c r="E17" s="123">
        <v>3</v>
      </c>
      <c r="F17" s="123">
        <v>4</v>
      </c>
      <c r="G17" s="123">
        <v>5</v>
      </c>
      <c r="H17" s="123">
        <v>6</v>
      </c>
      <c r="I17" s="123">
        <v>7</v>
      </c>
      <c r="J17" s="123">
        <v>8</v>
      </c>
      <c r="K17" s="123">
        <v>9</v>
      </c>
      <c r="L17" s="123">
        <v>10</v>
      </c>
      <c r="M17" s="123">
        <v>11</v>
      </c>
      <c r="N17" s="123">
        <v>12</v>
      </c>
      <c r="O17" s="123">
        <v>13</v>
      </c>
      <c r="P17" s="123">
        <v>14</v>
      </c>
      <c r="Q17" s="123">
        <v>15</v>
      </c>
      <c r="R17" s="123">
        <v>16</v>
      </c>
      <c r="S17" s="123">
        <v>17</v>
      </c>
      <c r="T17" s="123">
        <v>18</v>
      </c>
      <c r="U17" s="123">
        <v>19</v>
      </c>
      <c r="V17" s="123">
        <v>20</v>
      </c>
      <c r="W17" s="123">
        <v>21</v>
      </c>
      <c r="X17" s="123">
        <v>22</v>
      </c>
      <c r="Y17" s="123">
        <v>23</v>
      </c>
      <c r="Z17" s="123">
        <v>24</v>
      </c>
      <c r="AA17" s="123">
        <v>25</v>
      </c>
      <c r="AB17" s="123">
        <v>26</v>
      </c>
      <c r="AC17" s="123">
        <v>27</v>
      </c>
      <c r="AD17" s="123">
        <v>28</v>
      </c>
      <c r="AE17" s="123">
        <v>29</v>
      </c>
      <c r="AF17" s="124">
        <v>30</v>
      </c>
    </row>
    <row r="18" spans="2:33" ht="14.25" thickTop="1" thickBot="1">
      <c r="B18" s="114">
        <f>CurYear-1</f>
        <v>2016</v>
      </c>
      <c r="C18" s="36" t="str">
        <f>Roster!D74</f>
        <v>D</v>
      </c>
      <c r="D18" s="37">
        <f>Roster!E74</f>
        <v>0</v>
      </c>
      <c r="E18" s="37">
        <f>Roster!F74</f>
        <v>0</v>
      </c>
      <c r="F18" s="37" t="str">
        <f>Roster!G74</f>
        <v>A</v>
      </c>
      <c r="G18" s="37" t="str">
        <f>Roster!H74</f>
        <v>A</v>
      </c>
      <c r="H18" s="37" t="str">
        <f>Roster!I74</f>
        <v>A</v>
      </c>
      <c r="I18" s="37" t="str">
        <f>Roster!J74</f>
        <v>A</v>
      </c>
      <c r="J18" s="37" t="str">
        <f>Roster!K74</f>
        <v>D</v>
      </c>
      <c r="K18" s="37">
        <f>Roster!L74</f>
        <v>0</v>
      </c>
      <c r="L18" s="37">
        <f>Roster!M74</f>
        <v>0</v>
      </c>
      <c r="M18" s="37" t="str">
        <f>Roster!N74</f>
        <v>RO</v>
      </c>
      <c r="N18" s="37" t="str">
        <f>Roster!O74</f>
        <v>D</v>
      </c>
      <c r="O18" s="37" t="str">
        <f>Roster!P74</f>
        <v>D</v>
      </c>
      <c r="P18" s="37" t="str">
        <f>Roster!Q74</f>
        <v>D</v>
      </c>
      <c r="Q18" s="37" t="str">
        <f>Roster!R74</f>
        <v>D</v>
      </c>
      <c r="R18" s="37">
        <f>Roster!S74</f>
        <v>0</v>
      </c>
      <c r="S18" s="37">
        <f>Roster!T74</f>
        <v>0</v>
      </c>
      <c r="T18" s="37" t="str">
        <f>Roster!U74</f>
        <v>A</v>
      </c>
      <c r="U18" s="37" t="str">
        <f>Roster!V74</f>
        <v>A</v>
      </c>
      <c r="V18" s="37" t="str">
        <f>Roster!W74</f>
        <v>A</v>
      </c>
      <c r="W18" s="37" t="str">
        <f>Roster!X74</f>
        <v>A</v>
      </c>
      <c r="X18" s="37" t="str">
        <f>Roster!Y74</f>
        <v>D</v>
      </c>
      <c r="Y18" s="37">
        <f>Roster!Z74</f>
        <v>0</v>
      </c>
      <c r="Z18" s="37">
        <f>Roster!AA74</f>
        <v>0</v>
      </c>
      <c r="AA18" s="37" t="str">
        <f>Roster!AB74</f>
        <v>D</v>
      </c>
      <c r="AB18" s="37" t="str">
        <f>Roster!AC74</f>
        <v>D</v>
      </c>
      <c r="AC18" s="37" t="str">
        <f>Roster!AD74</f>
        <v>D</v>
      </c>
      <c r="AD18" s="37" t="str">
        <f>Roster!AE74</f>
        <v>D</v>
      </c>
      <c r="AE18" s="37" t="str">
        <f>Roster!AF74</f>
        <v>D</v>
      </c>
      <c r="AF18" s="38">
        <f>Roster!AG74</f>
        <v>0</v>
      </c>
      <c r="AG18" s="125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4" t="str">
        <f>Roster!C88</f>
        <v>December</v>
      </c>
      <c r="C20" s="115">
        <v>1</v>
      </c>
      <c r="D20" s="116">
        <v>2</v>
      </c>
      <c r="E20" s="116">
        <v>3</v>
      </c>
      <c r="F20" s="116">
        <v>4</v>
      </c>
      <c r="G20" s="116">
        <v>5</v>
      </c>
      <c r="H20" s="116">
        <v>6</v>
      </c>
      <c r="I20" s="116">
        <v>7</v>
      </c>
      <c r="J20" s="116">
        <v>8</v>
      </c>
      <c r="K20" s="116">
        <v>9</v>
      </c>
      <c r="L20" s="116">
        <v>10</v>
      </c>
      <c r="M20" s="116">
        <v>11</v>
      </c>
      <c r="N20" s="116">
        <v>12</v>
      </c>
      <c r="O20" s="116">
        <v>13</v>
      </c>
      <c r="P20" s="116">
        <v>14</v>
      </c>
      <c r="Q20" s="116">
        <v>15</v>
      </c>
      <c r="R20" s="116">
        <v>16</v>
      </c>
      <c r="S20" s="116">
        <v>17</v>
      </c>
      <c r="T20" s="116">
        <v>18</v>
      </c>
      <c r="U20" s="116">
        <v>19</v>
      </c>
      <c r="V20" s="116">
        <v>20</v>
      </c>
      <c r="W20" s="116">
        <v>21</v>
      </c>
      <c r="X20" s="116">
        <v>22</v>
      </c>
      <c r="Y20" s="116">
        <v>23</v>
      </c>
      <c r="Z20" s="116">
        <v>24</v>
      </c>
      <c r="AA20" s="116">
        <v>25</v>
      </c>
      <c r="AB20" s="116">
        <v>26</v>
      </c>
      <c r="AC20" s="116">
        <v>27</v>
      </c>
      <c r="AD20" s="116">
        <v>28</v>
      </c>
      <c r="AE20" s="116">
        <v>29</v>
      </c>
      <c r="AF20" s="116">
        <v>30</v>
      </c>
      <c r="AG20" s="117">
        <v>31</v>
      </c>
    </row>
    <row r="21" spans="2:33" ht="14.25" thickTop="1" thickBot="1">
      <c r="B21" s="114">
        <f>CurYear-1</f>
        <v>2016</v>
      </c>
      <c r="C21" s="36">
        <f>Roster!D89</f>
        <v>0</v>
      </c>
      <c r="D21" s="37">
        <f>Roster!E89</f>
        <v>0</v>
      </c>
      <c r="E21" s="37">
        <f>Roster!F89</f>
        <v>0</v>
      </c>
      <c r="F21" s="37">
        <f>Roster!G89</f>
        <v>0</v>
      </c>
      <c r="G21" s="37">
        <f>Roster!H89</f>
        <v>0</v>
      </c>
      <c r="H21" s="37">
        <f>Roster!I89</f>
        <v>0</v>
      </c>
      <c r="I21" s="37">
        <f>Roster!J89</f>
        <v>0</v>
      </c>
      <c r="J21" s="37">
        <f>Roster!K89</f>
        <v>0</v>
      </c>
      <c r="K21" s="37">
        <f>Roster!L89</f>
        <v>0</v>
      </c>
      <c r="L21" s="37">
        <f>Roster!M89</f>
        <v>0</v>
      </c>
      <c r="M21" s="37">
        <f>Roster!N89</f>
        <v>0</v>
      </c>
      <c r="N21" s="37">
        <f>Roster!O89</f>
        <v>0</v>
      </c>
      <c r="O21" s="37">
        <f>Roster!P89</f>
        <v>0</v>
      </c>
      <c r="P21" s="37">
        <f>Roster!Q89</f>
        <v>0</v>
      </c>
      <c r="Q21" s="37">
        <f>Roster!R89</f>
        <v>0</v>
      </c>
      <c r="R21" s="37">
        <f>Roster!S89</f>
        <v>0</v>
      </c>
      <c r="S21" s="37">
        <f>Roster!T89</f>
        <v>0</v>
      </c>
      <c r="T21" s="37">
        <f>Roster!U89</f>
        <v>0</v>
      </c>
      <c r="U21" s="37">
        <f>Roster!V89</f>
        <v>0</v>
      </c>
      <c r="V21" s="37">
        <f>Roster!W89</f>
        <v>0</v>
      </c>
      <c r="W21" s="37">
        <f>Roster!X89</f>
        <v>0</v>
      </c>
      <c r="X21" s="37">
        <f>Roster!Y89</f>
        <v>0</v>
      </c>
      <c r="Y21" s="37">
        <f>Roster!Z89</f>
        <v>0</v>
      </c>
      <c r="Z21" s="37">
        <f>Roster!AA89</f>
        <v>0</v>
      </c>
      <c r="AA21" s="37">
        <f>Roster!AB89</f>
        <v>0</v>
      </c>
      <c r="AB21" s="37">
        <f>Roster!AC89</f>
        <v>0</v>
      </c>
      <c r="AC21" s="37">
        <f>Roster!AD89</f>
        <v>0</v>
      </c>
      <c r="AD21" s="37">
        <f>Roster!AE89</f>
        <v>0</v>
      </c>
      <c r="AE21" s="37">
        <f>Roster!AF89</f>
        <v>0</v>
      </c>
      <c r="AF21" s="37">
        <f>Roster!AG89</f>
        <v>0</v>
      </c>
      <c r="AG21" s="38">
        <f>Roster!AH89</f>
        <v>0</v>
      </c>
    </row>
    <row r="22" spans="2:33" s="26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4" t="str">
        <f>Roster!$C$103</f>
        <v>January</v>
      </c>
      <c r="C23" s="115">
        <v>1</v>
      </c>
      <c r="D23" s="116">
        <v>2</v>
      </c>
      <c r="E23" s="116">
        <v>3</v>
      </c>
      <c r="F23" s="116">
        <v>4</v>
      </c>
      <c r="G23" s="116">
        <v>5</v>
      </c>
      <c r="H23" s="116">
        <v>6</v>
      </c>
      <c r="I23" s="116">
        <v>7</v>
      </c>
      <c r="J23" s="116">
        <v>8</v>
      </c>
      <c r="K23" s="116">
        <v>9</v>
      </c>
      <c r="L23" s="116">
        <v>10</v>
      </c>
      <c r="M23" s="116">
        <v>11</v>
      </c>
      <c r="N23" s="116">
        <v>12</v>
      </c>
      <c r="O23" s="116">
        <v>13</v>
      </c>
      <c r="P23" s="116">
        <v>14</v>
      </c>
      <c r="Q23" s="116">
        <v>15</v>
      </c>
      <c r="R23" s="116">
        <v>16</v>
      </c>
      <c r="S23" s="116">
        <v>17</v>
      </c>
      <c r="T23" s="116">
        <v>18</v>
      </c>
      <c r="U23" s="116">
        <v>19</v>
      </c>
      <c r="V23" s="116">
        <v>20</v>
      </c>
      <c r="W23" s="116">
        <v>21</v>
      </c>
      <c r="X23" s="116">
        <v>22</v>
      </c>
      <c r="Y23" s="116">
        <v>23</v>
      </c>
      <c r="Z23" s="116">
        <v>24</v>
      </c>
      <c r="AA23" s="116">
        <v>25</v>
      </c>
      <c r="AB23" s="116">
        <v>26</v>
      </c>
      <c r="AC23" s="116">
        <v>27</v>
      </c>
      <c r="AD23" s="116">
        <v>28</v>
      </c>
      <c r="AE23" s="116">
        <v>29</v>
      </c>
      <c r="AF23" s="116">
        <v>30</v>
      </c>
      <c r="AG23" s="117">
        <v>31</v>
      </c>
    </row>
    <row r="24" spans="2:33" ht="14.25" thickTop="1" thickBot="1">
      <c r="B24" s="114" t="str">
        <f>CurYear</f>
        <v>2017</v>
      </c>
      <c r="C24" s="36">
        <f>Roster!D$104</f>
        <v>0</v>
      </c>
      <c r="D24" s="37">
        <f>Roster!E$104</f>
        <v>0</v>
      </c>
      <c r="E24" s="37">
        <f>Roster!F$104</f>
        <v>0</v>
      </c>
      <c r="F24" s="37">
        <f>Roster!G$104</f>
        <v>0</v>
      </c>
      <c r="G24" s="37">
        <f>Roster!H$104</f>
        <v>0</v>
      </c>
      <c r="H24" s="37">
        <f>Roster!I104</f>
        <v>0</v>
      </c>
      <c r="I24" s="37">
        <f>Roster!J104</f>
        <v>0</v>
      </c>
      <c r="J24" s="37">
        <f>Roster!K104</f>
        <v>0</v>
      </c>
      <c r="K24" s="37">
        <f>Roster!L104</f>
        <v>0</v>
      </c>
      <c r="L24" s="37">
        <f>Roster!M104</f>
        <v>0</v>
      </c>
      <c r="M24" s="37">
        <f>Roster!N104</f>
        <v>0</v>
      </c>
      <c r="N24" s="37">
        <f>Roster!O104</f>
        <v>0</v>
      </c>
      <c r="O24" s="37">
        <f>Roster!P104</f>
        <v>0</v>
      </c>
      <c r="P24" s="37">
        <f>Roster!Q104</f>
        <v>0</v>
      </c>
      <c r="Q24" s="37">
        <f>Roster!R104</f>
        <v>0</v>
      </c>
      <c r="R24" s="37">
        <f>Roster!S104</f>
        <v>0</v>
      </c>
      <c r="S24" s="37">
        <f>Roster!T104</f>
        <v>0</v>
      </c>
      <c r="T24" s="37">
        <f>Roster!U104</f>
        <v>0</v>
      </c>
      <c r="U24" s="37">
        <f>Roster!V104</f>
        <v>0</v>
      </c>
      <c r="V24" s="37">
        <f>Roster!W104</f>
        <v>0</v>
      </c>
      <c r="W24" s="37">
        <f>Roster!X104</f>
        <v>0</v>
      </c>
      <c r="X24" s="37">
        <f>Roster!Y104</f>
        <v>0</v>
      </c>
      <c r="Y24" s="37">
        <f>Roster!Z104</f>
        <v>0</v>
      </c>
      <c r="Z24" s="37">
        <f>Roster!AA104</f>
        <v>0</v>
      </c>
      <c r="AA24" s="37">
        <f>Roster!AB104</f>
        <v>0</v>
      </c>
      <c r="AB24" s="37">
        <f>Roster!AC104</f>
        <v>0</v>
      </c>
      <c r="AC24" s="37">
        <f>Roster!AD104</f>
        <v>0</v>
      </c>
      <c r="AD24" s="37">
        <f>Roster!AE104</f>
        <v>0</v>
      </c>
      <c r="AE24" s="37">
        <f>Roster!AF104</f>
        <v>0</v>
      </c>
      <c r="AF24" s="37">
        <f>Roster!AG104</f>
        <v>0</v>
      </c>
      <c r="AG24" s="38">
        <f>Roster!AH104</f>
        <v>0</v>
      </c>
    </row>
    <row r="25" spans="2:33" s="26" customFormat="1" ht="14.25" thickTop="1" thickBot="1">
      <c r="B25" s="47"/>
      <c r="C25" s="47" t="str">
        <f t="shared" ref="C25:AE25" si="7">LEFT(TEXT(C26&amp;"-"&amp;$B26&amp;"-"&amp;CurYear,"ddd"),2)</f>
        <v>We</v>
      </c>
      <c r="D25" s="132" t="str">
        <f t="shared" si="7"/>
        <v>Th</v>
      </c>
      <c r="E25" s="132" t="str">
        <f t="shared" si="7"/>
        <v>Fr</v>
      </c>
      <c r="F25" s="132" t="str">
        <f t="shared" si="7"/>
        <v>Sa</v>
      </c>
      <c r="G25" s="132" t="str">
        <f t="shared" si="7"/>
        <v>Su</v>
      </c>
      <c r="H25" s="132" t="str">
        <f t="shared" si="7"/>
        <v>Mo</v>
      </c>
      <c r="I25" s="132" t="str">
        <f t="shared" si="7"/>
        <v>Tu</v>
      </c>
      <c r="J25" s="132" t="str">
        <f t="shared" si="7"/>
        <v>We</v>
      </c>
      <c r="K25" s="132" t="str">
        <f t="shared" si="7"/>
        <v>Th</v>
      </c>
      <c r="L25" s="132" t="str">
        <f t="shared" si="7"/>
        <v>Fr</v>
      </c>
      <c r="M25" s="132" t="str">
        <f t="shared" si="7"/>
        <v>Sa</v>
      </c>
      <c r="N25" s="132" t="str">
        <f t="shared" si="7"/>
        <v>Su</v>
      </c>
      <c r="O25" s="132" t="str">
        <f t="shared" si="7"/>
        <v>Mo</v>
      </c>
      <c r="P25" s="132" t="str">
        <f t="shared" si="7"/>
        <v>Tu</v>
      </c>
      <c r="Q25" s="132" t="str">
        <f t="shared" si="7"/>
        <v>We</v>
      </c>
      <c r="R25" s="132" t="str">
        <f t="shared" si="7"/>
        <v>Th</v>
      </c>
      <c r="S25" s="132" t="str">
        <f t="shared" si="7"/>
        <v>Fr</v>
      </c>
      <c r="T25" s="132" t="str">
        <f t="shared" si="7"/>
        <v>Sa</v>
      </c>
      <c r="U25" s="132" t="str">
        <f t="shared" si="7"/>
        <v>Su</v>
      </c>
      <c r="V25" s="132" t="str">
        <f t="shared" si="7"/>
        <v>Mo</v>
      </c>
      <c r="W25" s="132" t="str">
        <f t="shared" si="7"/>
        <v>Tu</v>
      </c>
      <c r="X25" s="132" t="str">
        <f t="shared" si="7"/>
        <v>We</v>
      </c>
      <c r="Y25" s="132" t="str">
        <f t="shared" si="7"/>
        <v>Th</v>
      </c>
      <c r="Z25" s="132" t="str">
        <f t="shared" si="7"/>
        <v>Fr</v>
      </c>
      <c r="AA25" s="132" t="str">
        <f t="shared" si="7"/>
        <v>Sa</v>
      </c>
      <c r="AB25" s="132" t="str">
        <f t="shared" si="7"/>
        <v>Su</v>
      </c>
      <c r="AC25" s="132" t="str">
        <f t="shared" si="7"/>
        <v>Mo</v>
      </c>
      <c r="AD25" s="132" t="str">
        <f t="shared" si="7"/>
        <v>Tu</v>
      </c>
      <c r="AE25" s="151" t="str">
        <f t="shared" si="7"/>
        <v>29</v>
      </c>
      <c r="AF25" s="127"/>
      <c r="AG25" s="127"/>
    </row>
    <row r="26" spans="2:33" ht="14.25" thickTop="1" thickBot="1">
      <c r="B26" s="114" t="str">
        <f>Roster!$C$118</f>
        <v>February</v>
      </c>
      <c r="C26" s="115">
        <v>1</v>
      </c>
      <c r="D26" s="123">
        <v>2</v>
      </c>
      <c r="E26" s="123">
        <v>3</v>
      </c>
      <c r="F26" s="123">
        <v>4</v>
      </c>
      <c r="G26" s="123">
        <v>5</v>
      </c>
      <c r="H26" s="123">
        <v>6</v>
      </c>
      <c r="I26" s="123">
        <v>7</v>
      </c>
      <c r="J26" s="123">
        <v>8</v>
      </c>
      <c r="K26" s="123">
        <v>9</v>
      </c>
      <c r="L26" s="123">
        <v>10</v>
      </c>
      <c r="M26" s="123">
        <v>11</v>
      </c>
      <c r="N26" s="123">
        <v>12</v>
      </c>
      <c r="O26" s="123">
        <v>13</v>
      </c>
      <c r="P26" s="123">
        <v>14</v>
      </c>
      <c r="Q26" s="123">
        <v>15</v>
      </c>
      <c r="R26" s="123">
        <v>16</v>
      </c>
      <c r="S26" s="123">
        <v>17</v>
      </c>
      <c r="T26" s="123">
        <v>18</v>
      </c>
      <c r="U26" s="123">
        <v>19</v>
      </c>
      <c r="V26" s="123">
        <v>20</v>
      </c>
      <c r="W26" s="123">
        <v>21</v>
      </c>
      <c r="X26" s="123">
        <v>22</v>
      </c>
      <c r="Y26" s="123">
        <v>23</v>
      </c>
      <c r="Z26" s="123">
        <v>24</v>
      </c>
      <c r="AA26" s="123">
        <v>25</v>
      </c>
      <c r="AB26" s="123">
        <v>26</v>
      </c>
      <c r="AC26" s="123">
        <v>27</v>
      </c>
      <c r="AD26" s="128">
        <v>28</v>
      </c>
      <c r="AE26" s="133">
        <v>29</v>
      </c>
      <c r="AF26" s="110"/>
    </row>
    <row r="27" spans="2:33" ht="14.25" thickTop="1" thickBot="1">
      <c r="B27" s="114" t="str">
        <f>CurYear</f>
        <v>2017</v>
      </c>
      <c r="C27" s="36">
        <f>Roster!$D$119</f>
        <v>0</v>
      </c>
      <c r="D27" s="37">
        <f>Roster!E119</f>
        <v>0</v>
      </c>
      <c r="E27" s="37">
        <f>Roster!F119</f>
        <v>0</v>
      </c>
      <c r="F27" s="37">
        <f>Roster!G119</f>
        <v>0</v>
      </c>
      <c r="G27" s="37">
        <f>Roster!H119</f>
        <v>0</v>
      </c>
      <c r="H27" s="37">
        <f>Roster!I119</f>
        <v>0</v>
      </c>
      <c r="I27" s="37">
        <f>Roster!J119</f>
        <v>0</v>
      </c>
      <c r="J27" s="37">
        <f>Roster!K119</f>
        <v>0</v>
      </c>
      <c r="K27" s="37">
        <f>Roster!L119</f>
        <v>0</v>
      </c>
      <c r="L27" s="37">
        <f>Roster!M119</f>
        <v>0</v>
      </c>
      <c r="M27" s="37">
        <f>Roster!N119</f>
        <v>0</v>
      </c>
      <c r="N27" s="37">
        <f>Roster!O119</f>
        <v>0</v>
      </c>
      <c r="O27" s="37">
        <f>Roster!P119</f>
        <v>0</v>
      </c>
      <c r="P27" s="37">
        <f>Roster!Q119</f>
        <v>0</v>
      </c>
      <c r="Q27" s="37">
        <f>Roster!R119</f>
        <v>0</v>
      </c>
      <c r="R27" s="37">
        <f>Roster!S119</f>
        <v>0</v>
      </c>
      <c r="S27" s="37">
        <f>Roster!T119</f>
        <v>0</v>
      </c>
      <c r="T27" s="37">
        <f>Roster!U119</f>
        <v>0</v>
      </c>
      <c r="U27" s="37">
        <f>Roster!V119</f>
        <v>0</v>
      </c>
      <c r="V27" s="37">
        <f>Roster!W119</f>
        <v>0</v>
      </c>
      <c r="W27" s="37">
        <f>Roster!X119</f>
        <v>0</v>
      </c>
      <c r="X27" s="37">
        <f>Roster!Y119</f>
        <v>0</v>
      </c>
      <c r="Y27" s="37">
        <f>Roster!Z119</f>
        <v>0</v>
      </c>
      <c r="Z27" s="37">
        <f>Roster!AA119</f>
        <v>0</v>
      </c>
      <c r="AA27" s="37">
        <f>Roster!AB119</f>
        <v>0</v>
      </c>
      <c r="AB27" s="37">
        <f>Roster!AC119</f>
        <v>0</v>
      </c>
      <c r="AC27" s="37">
        <f>Roster!AD119</f>
        <v>0</v>
      </c>
      <c r="AD27" s="43" t="str">
        <f>Roster!AE119</f>
        <v>X</v>
      </c>
      <c r="AE27" s="134">
        <f>Roster!AF119</f>
        <v>0</v>
      </c>
    </row>
    <row r="28" spans="2:33" s="26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114" t="str">
        <f>Roster!$C$133</f>
        <v>March</v>
      </c>
      <c r="C29" s="115">
        <v>1</v>
      </c>
      <c r="D29" s="116">
        <v>2</v>
      </c>
      <c r="E29" s="116">
        <v>3</v>
      </c>
      <c r="F29" s="116">
        <v>4</v>
      </c>
      <c r="G29" s="116">
        <v>5</v>
      </c>
      <c r="H29" s="116">
        <v>6</v>
      </c>
      <c r="I29" s="116">
        <v>7</v>
      </c>
      <c r="J29" s="116">
        <v>8</v>
      </c>
      <c r="K29" s="116">
        <v>9</v>
      </c>
      <c r="L29" s="116">
        <v>10</v>
      </c>
      <c r="M29" s="116">
        <v>11</v>
      </c>
      <c r="N29" s="116">
        <v>12</v>
      </c>
      <c r="O29" s="116">
        <v>13</v>
      </c>
      <c r="P29" s="116">
        <v>14</v>
      </c>
      <c r="Q29" s="116">
        <v>15</v>
      </c>
      <c r="R29" s="116">
        <v>16</v>
      </c>
      <c r="S29" s="116">
        <v>17</v>
      </c>
      <c r="T29" s="116">
        <v>18</v>
      </c>
      <c r="U29" s="116">
        <v>19</v>
      </c>
      <c r="V29" s="116">
        <v>20</v>
      </c>
      <c r="W29" s="116">
        <v>21</v>
      </c>
      <c r="X29" s="116">
        <v>22</v>
      </c>
      <c r="Y29" s="116">
        <v>23</v>
      </c>
      <c r="Z29" s="116">
        <v>24</v>
      </c>
      <c r="AA29" s="116">
        <v>25</v>
      </c>
      <c r="AB29" s="116">
        <v>26</v>
      </c>
      <c r="AC29" s="116">
        <v>27</v>
      </c>
      <c r="AD29" s="116">
        <v>28</v>
      </c>
      <c r="AE29" s="116">
        <v>29</v>
      </c>
      <c r="AF29" s="116">
        <v>30</v>
      </c>
      <c r="AG29" s="117">
        <v>31</v>
      </c>
    </row>
    <row r="30" spans="2:33" ht="14.25" thickTop="1" thickBot="1">
      <c r="B30" s="114" t="str">
        <f>CurYear</f>
        <v>2017</v>
      </c>
      <c r="C30" s="36">
        <f>Roster!D134</f>
        <v>0</v>
      </c>
      <c r="D30" s="37">
        <f>Roster!E134</f>
        <v>0</v>
      </c>
      <c r="E30" s="37">
        <f>Roster!F134</f>
        <v>0</v>
      </c>
      <c r="F30" s="37">
        <f>Roster!G134</f>
        <v>0</v>
      </c>
      <c r="G30" s="37">
        <f>Roster!H134</f>
        <v>0</v>
      </c>
      <c r="H30" s="37">
        <f>Roster!I134</f>
        <v>0</v>
      </c>
      <c r="I30" s="37">
        <f>Roster!J134</f>
        <v>0</v>
      </c>
      <c r="J30" s="37">
        <f>Roster!K134</f>
        <v>0</v>
      </c>
      <c r="K30" s="37">
        <f>Roster!L134</f>
        <v>0</v>
      </c>
      <c r="L30" s="37">
        <f>Roster!M134</f>
        <v>0</v>
      </c>
      <c r="M30" s="37">
        <f>Roster!N134</f>
        <v>0</v>
      </c>
      <c r="N30" s="37">
        <f>Roster!O134</f>
        <v>0</v>
      </c>
      <c r="O30" s="37">
        <f>Roster!P134</f>
        <v>0</v>
      </c>
      <c r="P30" s="37">
        <f>Roster!Q134</f>
        <v>0</v>
      </c>
      <c r="Q30" s="37">
        <f>Roster!R134</f>
        <v>0</v>
      </c>
      <c r="R30" s="37">
        <f>Roster!S134</f>
        <v>0</v>
      </c>
      <c r="S30" s="37">
        <f>Roster!T134</f>
        <v>0</v>
      </c>
      <c r="T30" s="37">
        <f>Roster!U134</f>
        <v>0</v>
      </c>
      <c r="U30" s="37">
        <f>Roster!V134</f>
        <v>0</v>
      </c>
      <c r="V30" s="37">
        <f>Roster!W134</f>
        <v>0</v>
      </c>
      <c r="W30" s="37">
        <f>Roster!X134</f>
        <v>0</v>
      </c>
      <c r="X30" s="37">
        <f>Roster!Y134</f>
        <v>0</v>
      </c>
      <c r="Y30" s="37">
        <f>Roster!Z134</f>
        <v>0</v>
      </c>
      <c r="Z30" s="37">
        <f>Roster!AA134</f>
        <v>0</v>
      </c>
      <c r="AA30" s="37">
        <f>Roster!AB134</f>
        <v>0</v>
      </c>
      <c r="AB30" s="37">
        <f>Roster!AC134</f>
        <v>0</v>
      </c>
      <c r="AC30" s="37">
        <f>Roster!AD134</f>
        <v>0</v>
      </c>
      <c r="AD30" s="37">
        <f>Roster!AE134</f>
        <v>0</v>
      </c>
      <c r="AE30" s="37">
        <f>Roster!AF134</f>
        <v>0</v>
      </c>
      <c r="AF30" s="37">
        <f>Roster!AG134</f>
        <v>0</v>
      </c>
      <c r="AG30" s="38">
        <f>Roster!AH134</f>
        <v>0</v>
      </c>
    </row>
    <row r="31" spans="2:33" s="26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9"/>
    </row>
    <row r="32" spans="2:33" ht="14.25" thickTop="1" thickBot="1">
      <c r="B32" s="114" t="str">
        <f>Roster!$C$148</f>
        <v>April</v>
      </c>
      <c r="C32" s="115">
        <v>1</v>
      </c>
      <c r="D32" s="116">
        <v>2</v>
      </c>
      <c r="E32" s="116">
        <v>3</v>
      </c>
      <c r="F32" s="116">
        <v>4</v>
      </c>
      <c r="G32" s="116">
        <v>5</v>
      </c>
      <c r="H32" s="116">
        <v>6</v>
      </c>
      <c r="I32" s="116">
        <v>7</v>
      </c>
      <c r="J32" s="116">
        <v>8</v>
      </c>
      <c r="K32" s="116">
        <v>9</v>
      </c>
      <c r="L32" s="116">
        <v>10</v>
      </c>
      <c r="M32" s="116">
        <v>11</v>
      </c>
      <c r="N32" s="116">
        <v>12</v>
      </c>
      <c r="O32" s="116">
        <v>13</v>
      </c>
      <c r="P32" s="116">
        <v>14</v>
      </c>
      <c r="Q32" s="116">
        <v>15</v>
      </c>
      <c r="R32" s="116">
        <v>16</v>
      </c>
      <c r="S32" s="116">
        <v>17</v>
      </c>
      <c r="T32" s="116">
        <v>18</v>
      </c>
      <c r="U32" s="116">
        <v>19</v>
      </c>
      <c r="V32" s="116">
        <v>20</v>
      </c>
      <c r="W32" s="116">
        <v>21</v>
      </c>
      <c r="X32" s="116">
        <v>22</v>
      </c>
      <c r="Y32" s="116">
        <v>23</v>
      </c>
      <c r="Z32" s="116">
        <v>24</v>
      </c>
      <c r="AA32" s="116">
        <v>25</v>
      </c>
      <c r="AB32" s="116">
        <v>26</v>
      </c>
      <c r="AC32" s="116">
        <v>27</v>
      </c>
      <c r="AD32" s="116">
        <v>28</v>
      </c>
      <c r="AE32" s="116">
        <v>29</v>
      </c>
      <c r="AF32" s="117">
        <v>30</v>
      </c>
    </row>
    <row r="33" spans="2:33" ht="14.25" thickTop="1" thickBot="1">
      <c r="B33" s="114" t="str">
        <f>CurYear</f>
        <v>2017</v>
      </c>
      <c r="C33" s="36">
        <f>Roster!D149</f>
        <v>0</v>
      </c>
      <c r="D33" s="37">
        <f>Roster!E149</f>
        <v>0</v>
      </c>
      <c r="E33" s="37">
        <f>Roster!F149</f>
        <v>0</v>
      </c>
      <c r="F33" s="37">
        <f>Roster!G149</f>
        <v>0</v>
      </c>
      <c r="G33" s="37">
        <f>Roster!H149</f>
        <v>0</v>
      </c>
      <c r="H33" s="37">
        <f>Roster!I149</f>
        <v>0</v>
      </c>
      <c r="I33" s="37">
        <f>Roster!J149</f>
        <v>0</v>
      </c>
      <c r="J33" s="37">
        <f>Roster!K149</f>
        <v>0</v>
      </c>
      <c r="K33" s="37">
        <f>Roster!L149</f>
        <v>0</v>
      </c>
      <c r="L33" s="37">
        <f>Roster!M149</f>
        <v>0</v>
      </c>
      <c r="M33" s="37">
        <f>Roster!N149</f>
        <v>0</v>
      </c>
      <c r="N33" s="37">
        <f>Roster!O149</f>
        <v>0</v>
      </c>
      <c r="O33" s="37">
        <f>Roster!P149</f>
        <v>0</v>
      </c>
      <c r="P33" s="37">
        <f>Roster!Q149</f>
        <v>0</v>
      </c>
      <c r="Q33" s="37">
        <f>Roster!R149</f>
        <v>0</v>
      </c>
      <c r="R33" s="37">
        <f>Roster!S149</f>
        <v>0</v>
      </c>
      <c r="S33" s="37">
        <f>Roster!T149</f>
        <v>0</v>
      </c>
      <c r="T33" s="37">
        <f>Roster!U149</f>
        <v>0</v>
      </c>
      <c r="U33" s="37">
        <f>Roster!V149</f>
        <v>0</v>
      </c>
      <c r="V33" s="37">
        <f>Roster!W149</f>
        <v>0</v>
      </c>
      <c r="W33" s="37">
        <f>Roster!X149</f>
        <v>0</v>
      </c>
      <c r="X33" s="37">
        <f>Roster!Y149</f>
        <v>0</v>
      </c>
      <c r="Y33" s="37">
        <f>Roster!Z149</f>
        <v>0</v>
      </c>
      <c r="Z33" s="37">
        <f>Roster!AA149</f>
        <v>0</v>
      </c>
      <c r="AA33" s="37">
        <f>Roster!AB149</f>
        <v>0</v>
      </c>
      <c r="AB33" s="37">
        <f>Roster!AC149</f>
        <v>0</v>
      </c>
      <c r="AC33" s="37">
        <f>Roster!AD149</f>
        <v>0</v>
      </c>
      <c r="AD33" s="37">
        <f>Roster!AE149</f>
        <v>0</v>
      </c>
      <c r="AE33" s="37">
        <f>Roster!AF149</f>
        <v>0</v>
      </c>
      <c r="AF33" s="38">
        <f>Roster!AG149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114" t="str">
        <f>Roster!$C$163</f>
        <v>May</v>
      </c>
      <c r="C35" s="115">
        <v>1</v>
      </c>
      <c r="D35" s="116">
        <v>2</v>
      </c>
      <c r="E35" s="116">
        <v>3</v>
      </c>
      <c r="F35" s="116">
        <v>4</v>
      </c>
      <c r="G35" s="116">
        <v>5</v>
      </c>
      <c r="H35" s="116">
        <v>6</v>
      </c>
      <c r="I35" s="116">
        <v>7</v>
      </c>
      <c r="J35" s="116">
        <v>8</v>
      </c>
      <c r="K35" s="116">
        <v>9</v>
      </c>
      <c r="L35" s="116">
        <v>10</v>
      </c>
      <c r="M35" s="116">
        <v>11</v>
      </c>
      <c r="N35" s="116">
        <v>12</v>
      </c>
      <c r="O35" s="116">
        <v>13</v>
      </c>
      <c r="P35" s="116">
        <v>14</v>
      </c>
      <c r="Q35" s="116">
        <v>15</v>
      </c>
      <c r="R35" s="116">
        <v>16</v>
      </c>
      <c r="S35" s="116">
        <v>17</v>
      </c>
      <c r="T35" s="116">
        <v>18</v>
      </c>
      <c r="U35" s="116">
        <v>19</v>
      </c>
      <c r="V35" s="116">
        <v>20</v>
      </c>
      <c r="W35" s="116">
        <v>21</v>
      </c>
      <c r="X35" s="116">
        <v>22</v>
      </c>
      <c r="Y35" s="116">
        <v>23</v>
      </c>
      <c r="Z35" s="116">
        <v>24</v>
      </c>
      <c r="AA35" s="116">
        <v>25</v>
      </c>
      <c r="AB35" s="116">
        <v>26</v>
      </c>
      <c r="AC35" s="116">
        <v>27</v>
      </c>
      <c r="AD35" s="116">
        <v>28</v>
      </c>
      <c r="AE35" s="116">
        <v>29</v>
      </c>
      <c r="AF35" s="116">
        <v>30</v>
      </c>
      <c r="AG35" s="117">
        <v>31</v>
      </c>
    </row>
    <row r="36" spans="2:33" ht="14.25" thickTop="1" thickBot="1">
      <c r="B36" s="114" t="str">
        <f>CurYear</f>
        <v>2017</v>
      </c>
      <c r="C36" s="36">
        <f>Roster!D164</f>
        <v>0</v>
      </c>
      <c r="D36" s="37">
        <f>Roster!E164</f>
        <v>0</v>
      </c>
      <c r="E36" s="37">
        <f>Roster!F164</f>
        <v>0</v>
      </c>
      <c r="F36" s="37">
        <f>Roster!G164</f>
        <v>0</v>
      </c>
      <c r="G36" s="37">
        <f>Roster!H164</f>
        <v>0</v>
      </c>
      <c r="H36" s="37">
        <f>Roster!I164</f>
        <v>0</v>
      </c>
      <c r="I36" s="37">
        <f>Roster!J164</f>
        <v>0</v>
      </c>
      <c r="J36" s="37">
        <f>Roster!K164</f>
        <v>0</v>
      </c>
      <c r="K36" s="37">
        <f>Roster!L164</f>
        <v>0</v>
      </c>
      <c r="L36" s="37">
        <f>Roster!M164</f>
        <v>0</v>
      </c>
      <c r="M36" s="37">
        <f>Roster!N164</f>
        <v>0</v>
      </c>
      <c r="N36" s="37">
        <f>Roster!O164</f>
        <v>0</v>
      </c>
      <c r="O36" s="37">
        <f>Roster!P164</f>
        <v>0</v>
      </c>
      <c r="P36" s="37">
        <f>Roster!Q164</f>
        <v>0</v>
      </c>
      <c r="Q36" s="37">
        <f>Roster!R164</f>
        <v>0</v>
      </c>
      <c r="R36" s="37">
        <f>Roster!S164</f>
        <v>0</v>
      </c>
      <c r="S36" s="37">
        <f>Roster!T164</f>
        <v>0</v>
      </c>
      <c r="T36" s="37">
        <f>Roster!U164</f>
        <v>0</v>
      </c>
      <c r="U36" s="37">
        <f>Roster!V164</f>
        <v>0</v>
      </c>
      <c r="V36" s="37">
        <f>Roster!W164</f>
        <v>0</v>
      </c>
      <c r="W36" s="37">
        <f>Roster!X164</f>
        <v>0</v>
      </c>
      <c r="X36" s="37">
        <f>Roster!Y164</f>
        <v>0</v>
      </c>
      <c r="Y36" s="37">
        <f>Roster!Z164</f>
        <v>0</v>
      </c>
      <c r="Z36" s="37">
        <f>Roster!AA164</f>
        <v>0</v>
      </c>
      <c r="AA36" s="37">
        <f>Roster!AB164</f>
        <v>0</v>
      </c>
      <c r="AB36" s="37">
        <f>Roster!AC164</f>
        <v>0</v>
      </c>
      <c r="AC36" s="37">
        <f>Roster!AD164</f>
        <v>0</v>
      </c>
      <c r="AD36" s="37">
        <f>Roster!AE164</f>
        <v>0</v>
      </c>
      <c r="AE36" s="37">
        <f>Roster!AF164</f>
        <v>0</v>
      </c>
      <c r="AF36" s="37">
        <f>Roster!AG164</f>
        <v>0</v>
      </c>
      <c r="AG36" s="38">
        <f>Roster!AH164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21"/>
    </row>
    <row r="38" spans="2:33" ht="14.25" thickTop="1" thickBot="1">
      <c r="B38" s="114" t="str">
        <f>Roster!C178</f>
        <v>June</v>
      </c>
      <c r="C38" s="115">
        <v>1</v>
      </c>
      <c r="D38" s="116">
        <v>2</v>
      </c>
      <c r="E38" s="116">
        <v>3</v>
      </c>
      <c r="F38" s="116">
        <v>4</v>
      </c>
      <c r="G38" s="116">
        <v>5</v>
      </c>
      <c r="H38" s="116">
        <v>6</v>
      </c>
      <c r="I38" s="116">
        <v>7</v>
      </c>
      <c r="J38" s="116">
        <v>8</v>
      </c>
      <c r="K38" s="116">
        <v>9</v>
      </c>
      <c r="L38" s="116">
        <v>10</v>
      </c>
      <c r="M38" s="116">
        <v>11</v>
      </c>
      <c r="N38" s="116">
        <v>12</v>
      </c>
      <c r="O38" s="116">
        <v>13</v>
      </c>
      <c r="P38" s="116">
        <v>14</v>
      </c>
      <c r="Q38" s="116">
        <v>15</v>
      </c>
      <c r="R38" s="116">
        <v>16</v>
      </c>
      <c r="S38" s="116">
        <v>17</v>
      </c>
      <c r="T38" s="116">
        <v>18</v>
      </c>
      <c r="U38" s="116">
        <v>19</v>
      </c>
      <c r="V38" s="116">
        <v>20</v>
      </c>
      <c r="W38" s="116">
        <v>21</v>
      </c>
      <c r="X38" s="116">
        <v>22</v>
      </c>
      <c r="Y38" s="116">
        <v>23</v>
      </c>
      <c r="Z38" s="116">
        <v>24</v>
      </c>
      <c r="AA38" s="116">
        <v>25</v>
      </c>
      <c r="AB38" s="116">
        <v>26</v>
      </c>
      <c r="AC38" s="116">
        <v>27</v>
      </c>
      <c r="AD38" s="116">
        <v>28</v>
      </c>
      <c r="AE38" s="116">
        <v>29</v>
      </c>
      <c r="AF38" s="117">
        <v>30</v>
      </c>
    </row>
    <row r="39" spans="2:33" ht="14.25" thickTop="1" thickBot="1">
      <c r="B39" s="114" t="str">
        <f>CurYear</f>
        <v>2017</v>
      </c>
      <c r="C39" s="36">
        <f>Roster!D179</f>
        <v>0</v>
      </c>
      <c r="D39" s="37">
        <f>Roster!E179</f>
        <v>0</v>
      </c>
      <c r="E39" s="37">
        <f>Roster!F179</f>
        <v>0</v>
      </c>
      <c r="F39" s="37">
        <f>Roster!G179</f>
        <v>0</v>
      </c>
      <c r="G39" s="37">
        <f>Roster!H179</f>
        <v>0</v>
      </c>
      <c r="H39" s="37">
        <f>Roster!I179</f>
        <v>0</v>
      </c>
      <c r="I39" s="37">
        <f>Roster!J179</f>
        <v>0</v>
      </c>
      <c r="J39" s="37">
        <f>Roster!K179</f>
        <v>0</v>
      </c>
      <c r="K39" s="37">
        <f>Roster!L179</f>
        <v>0</v>
      </c>
      <c r="L39" s="37">
        <f>Roster!M179</f>
        <v>0</v>
      </c>
      <c r="M39" s="37">
        <f>Roster!N179</f>
        <v>0</v>
      </c>
      <c r="N39" s="37">
        <f>Roster!O179</f>
        <v>0</v>
      </c>
      <c r="O39" s="37">
        <f>Roster!P179</f>
        <v>0</v>
      </c>
      <c r="P39" s="37">
        <f>Roster!Q179</f>
        <v>0</v>
      </c>
      <c r="Q39" s="37">
        <f>Roster!R179</f>
        <v>0</v>
      </c>
      <c r="R39" s="37">
        <f>Roster!S179</f>
        <v>0</v>
      </c>
      <c r="S39" s="37">
        <f>Roster!T179</f>
        <v>0</v>
      </c>
      <c r="T39" s="37">
        <f>Roster!U179</f>
        <v>0</v>
      </c>
      <c r="U39" s="37">
        <f>Roster!V179</f>
        <v>0</v>
      </c>
      <c r="V39" s="37">
        <f>Roster!W179</f>
        <v>0</v>
      </c>
      <c r="W39" s="37">
        <f>Roster!X179</f>
        <v>0</v>
      </c>
      <c r="X39" s="37">
        <f>Roster!Y179</f>
        <v>0</v>
      </c>
      <c r="Y39" s="37">
        <f>Roster!Z179</f>
        <v>0</v>
      </c>
      <c r="Z39" s="37">
        <f>Roster!AA179</f>
        <v>0</v>
      </c>
      <c r="AA39" s="37">
        <f>Roster!AB179</f>
        <v>0</v>
      </c>
      <c r="AB39" s="37">
        <f>Roster!AC179</f>
        <v>0</v>
      </c>
      <c r="AC39" s="37">
        <f>Roster!AD179</f>
        <v>0</v>
      </c>
      <c r="AD39" s="37">
        <f>Roster!AE179</f>
        <v>0</v>
      </c>
      <c r="AE39" s="37">
        <f>Roster!AF179</f>
        <v>0</v>
      </c>
      <c r="AF39" s="38">
        <f>Roster!AG179</f>
        <v>0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5" s="138" customFormat="1" ht="18">
      <c r="B1" s="137"/>
    </row>
    <row r="2" spans="2:35" s="138" customFormat="1" ht="24.75" customHeight="1">
      <c r="B2" s="137"/>
      <c r="I2" s="142" t="str">
        <f>Location</f>
        <v>Oodlawirra Quarantine Station</v>
      </c>
      <c r="J2" s="140"/>
      <c r="K2" s="140"/>
      <c r="L2" s="140"/>
      <c r="M2" s="140"/>
      <c r="N2" s="140"/>
      <c r="O2" s="140"/>
      <c r="P2" s="140"/>
      <c r="Q2" s="140"/>
      <c r="R2" s="142" t="str">
        <f xml:space="preserve"> "Financial Year Commencing 1st July, " &amp; CurYear -1</f>
        <v>Financial Year Commencing 1st July, 2016</v>
      </c>
      <c r="S2" s="139"/>
      <c r="T2" s="140"/>
      <c r="U2" s="140"/>
      <c r="V2" s="139"/>
      <c r="W2" s="140"/>
      <c r="X2" s="140"/>
      <c r="Y2" s="140"/>
      <c r="Z2" s="140"/>
      <c r="AA2" s="140"/>
      <c r="AB2" s="140"/>
      <c r="AC2" s="140"/>
      <c r="AD2" s="140"/>
      <c r="AE2" s="140"/>
      <c r="AF2" s="140"/>
    </row>
    <row r="3" spans="2:35" s="138" customFormat="1" ht="27" customHeight="1">
      <c r="B3" s="137"/>
      <c r="I3" s="143" t="s">
        <v>26</v>
      </c>
      <c r="R3" s="143" t="str">
        <f>EmpGName02 &amp;" " &amp; EmpSName02</f>
        <v>Kevin Stone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5" s="44" customFormat="1" ht="13.5" thickBot="1">
      <c r="B4" s="111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1" t="str">
        <f t="shared" si="0"/>
        <v>Su</v>
      </c>
    </row>
    <row r="5" spans="2:35" ht="14.25" thickTop="1" thickBot="1">
      <c r="B5" s="114" t="str">
        <f>Roster!C13</f>
        <v>July</v>
      </c>
      <c r="C5" s="115">
        <v>1</v>
      </c>
      <c r="D5" s="116">
        <v>2</v>
      </c>
      <c r="E5" s="116">
        <v>3</v>
      </c>
      <c r="F5" s="116">
        <v>4</v>
      </c>
      <c r="G5" s="116">
        <v>5</v>
      </c>
      <c r="H5" s="116">
        <v>6</v>
      </c>
      <c r="I5" s="116">
        <v>7</v>
      </c>
      <c r="J5" s="116">
        <v>8</v>
      </c>
      <c r="K5" s="116">
        <v>9</v>
      </c>
      <c r="L5" s="116">
        <v>10</v>
      </c>
      <c r="M5" s="116">
        <v>11</v>
      </c>
      <c r="N5" s="116">
        <v>12</v>
      </c>
      <c r="O5" s="116">
        <v>13</v>
      </c>
      <c r="P5" s="116">
        <v>14</v>
      </c>
      <c r="Q5" s="116">
        <v>15</v>
      </c>
      <c r="R5" s="116">
        <v>16</v>
      </c>
      <c r="S5" s="116">
        <v>17</v>
      </c>
      <c r="T5" s="116">
        <v>18</v>
      </c>
      <c r="U5" s="116">
        <v>19</v>
      </c>
      <c r="V5" s="116">
        <v>20</v>
      </c>
      <c r="W5" s="116">
        <v>21</v>
      </c>
      <c r="X5" s="116">
        <v>22</v>
      </c>
      <c r="Y5" s="116">
        <v>23</v>
      </c>
      <c r="Z5" s="116">
        <v>24</v>
      </c>
      <c r="AA5" s="116">
        <v>25</v>
      </c>
      <c r="AB5" s="116">
        <v>26</v>
      </c>
      <c r="AC5" s="116">
        <v>27</v>
      </c>
      <c r="AD5" s="116">
        <v>28</v>
      </c>
      <c r="AE5" s="116">
        <v>29</v>
      </c>
      <c r="AF5" s="116">
        <v>30</v>
      </c>
      <c r="AG5" s="117">
        <v>31</v>
      </c>
    </row>
    <row r="6" spans="2:35" ht="14.25" thickTop="1" thickBot="1">
      <c r="B6" s="114">
        <f>CurYear-1</f>
        <v>2016</v>
      </c>
      <c r="C6" s="36">
        <f>Roster!D15</f>
        <v>0</v>
      </c>
      <c r="D6" s="37">
        <f>Roster!E15</f>
        <v>0</v>
      </c>
      <c r="E6" s="37">
        <f>Roster!F15</f>
        <v>0</v>
      </c>
      <c r="F6" s="37">
        <f>Roster!G15</f>
        <v>0</v>
      </c>
      <c r="G6" s="37">
        <f>Roster!H15</f>
        <v>0</v>
      </c>
      <c r="H6" s="37">
        <f>Roster!I15</f>
        <v>0</v>
      </c>
      <c r="I6" s="37">
        <f>Roster!J15</f>
        <v>0</v>
      </c>
      <c r="J6" s="37" t="str">
        <f>Roster!K15</f>
        <v>X</v>
      </c>
      <c r="K6" s="37">
        <f>Roster!L15</f>
        <v>0</v>
      </c>
      <c r="L6" s="37">
        <f>Roster!M15</f>
        <v>0</v>
      </c>
      <c r="M6" s="37">
        <f>Roster!N15</f>
        <v>0</v>
      </c>
      <c r="N6" s="37">
        <f>Roster!O15</f>
        <v>0</v>
      </c>
      <c r="O6" s="37">
        <f>Roster!P15</f>
        <v>0</v>
      </c>
      <c r="P6" s="37">
        <f>Roster!Q15</f>
        <v>0</v>
      </c>
      <c r="Q6" s="37">
        <f>Roster!R15</f>
        <v>0</v>
      </c>
      <c r="R6" s="37">
        <f>Roster!S15</f>
        <v>0</v>
      </c>
      <c r="S6" s="37">
        <f>Roster!T15</f>
        <v>0</v>
      </c>
      <c r="T6" s="37">
        <f>Roster!U15</f>
        <v>0</v>
      </c>
      <c r="U6" s="37">
        <f>Roster!V15</f>
        <v>0</v>
      </c>
      <c r="V6" s="37">
        <f>Roster!W15</f>
        <v>0</v>
      </c>
      <c r="W6" s="37">
        <f>Roster!X15</f>
        <v>0</v>
      </c>
      <c r="X6" s="37">
        <f>Roster!Y15</f>
        <v>0</v>
      </c>
      <c r="Y6" s="37">
        <f>Roster!Z15</f>
        <v>0</v>
      </c>
      <c r="Z6" s="37">
        <f>Roster!AA15</f>
        <v>0</v>
      </c>
      <c r="AA6" s="37">
        <f>Roster!AB15</f>
        <v>0</v>
      </c>
      <c r="AB6" s="37">
        <f>Roster!AC15</f>
        <v>0</v>
      </c>
      <c r="AC6" s="37">
        <f>Roster!AD15</f>
        <v>0</v>
      </c>
      <c r="AD6" s="37">
        <f>Roster!AE15</f>
        <v>0</v>
      </c>
      <c r="AE6" s="37">
        <f>Roster!AF15</f>
        <v>0</v>
      </c>
      <c r="AF6" s="37">
        <f>Roster!AG15</f>
        <v>0</v>
      </c>
      <c r="AG6" s="38">
        <f>Roster!AH15</f>
        <v>0</v>
      </c>
    </row>
    <row r="7" spans="2:35" ht="14.25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8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25" thickTop="1" thickBot="1">
      <c r="B8" s="114" t="str">
        <f>Roster!C28</f>
        <v>August</v>
      </c>
      <c r="C8" s="115">
        <v>1</v>
      </c>
      <c r="D8" s="116">
        <v>2</v>
      </c>
      <c r="E8" s="116">
        <v>3</v>
      </c>
      <c r="F8" s="116">
        <v>4</v>
      </c>
      <c r="G8" s="116">
        <v>5</v>
      </c>
      <c r="H8" s="116">
        <v>6</v>
      </c>
      <c r="I8" s="116">
        <v>7</v>
      </c>
      <c r="J8" s="116">
        <v>8</v>
      </c>
      <c r="K8" s="116">
        <v>9</v>
      </c>
      <c r="L8" s="116">
        <v>10</v>
      </c>
      <c r="M8" s="116">
        <v>11</v>
      </c>
      <c r="N8" s="116">
        <v>12</v>
      </c>
      <c r="O8" s="116">
        <v>13</v>
      </c>
      <c r="P8" s="116">
        <v>14</v>
      </c>
      <c r="Q8" s="116">
        <v>15</v>
      </c>
      <c r="R8" s="116">
        <v>16</v>
      </c>
      <c r="S8" s="116">
        <v>17</v>
      </c>
      <c r="T8" s="116">
        <v>18</v>
      </c>
      <c r="U8" s="116">
        <v>19</v>
      </c>
      <c r="V8" s="116">
        <v>20</v>
      </c>
      <c r="W8" s="116">
        <v>21</v>
      </c>
      <c r="X8" s="116">
        <v>22</v>
      </c>
      <c r="Y8" s="116">
        <v>23</v>
      </c>
      <c r="Z8" s="116">
        <v>24</v>
      </c>
      <c r="AA8" s="116">
        <v>25</v>
      </c>
      <c r="AB8" s="116">
        <v>26</v>
      </c>
      <c r="AC8" s="116">
        <v>27</v>
      </c>
      <c r="AD8" s="119">
        <v>28</v>
      </c>
      <c r="AE8" s="116">
        <v>29</v>
      </c>
      <c r="AF8" s="120">
        <v>30</v>
      </c>
      <c r="AG8" s="117">
        <v>31</v>
      </c>
    </row>
    <row r="9" spans="2:35" ht="14.25" thickTop="1" thickBot="1">
      <c r="B9" s="114">
        <f>CurYear-1</f>
        <v>2016</v>
      </c>
      <c r="C9" s="36">
        <f>Roster!D30</f>
        <v>0</v>
      </c>
      <c r="D9" s="39">
        <f>Roster!E30</f>
        <v>0</v>
      </c>
      <c r="E9" s="37">
        <f>Roster!F30</f>
        <v>0</v>
      </c>
      <c r="F9" s="37">
        <f>Roster!G30</f>
        <v>0</v>
      </c>
      <c r="G9" s="37">
        <f>Roster!H30</f>
        <v>0</v>
      </c>
      <c r="H9" s="37">
        <f>Roster!I30</f>
        <v>0</v>
      </c>
      <c r="I9" s="37">
        <f>Roster!J30</f>
        <v>0</v>
      </c>
      <c r="J9" s="37">
        <f>Roster!K30</f>
        <v>0</v>
      </c>
      <c r="K9" s="37">
        <f>Roster!L30</f>
        <v>0</v>
      </c>
      <c r="L9" s="37">
        <f>Roster!M30</f>
        <v>0</v>
      </c>
      <c r="M9" s="37">
        <f>Roster!N30</f>
        <v>0</v>
      </c>
      <c r="N9" s="37">
        <f>Roster!O30</f>
        <v>0</v>
      </c>
      <c r="O9" s="37">
        <f>Roster!P30</f>
        <v>0</v>
      </c>
      <c r="P9" s="37">
        <f>Roster!Q30</f>
        <v>0</v>
      </c>
      <c r="Q9" s="37">
        <f>Roster!R30</f>
        <v>0</v>
      </c>
      <c r="R9" s="37">
        <f>Roster!S30</f>
        <v>0</v>
      </c>
      <c r="S9" s="37">
        <f>Roster!T30</f>
        <v>0</v>
      </c>
      <c r="T9" s="37">
        <f>Roster!U30</f>
        <v>0</v>
      </c>
      <c r="U9" s="37">
        <f>Roster!V30</f>
        <v>0</v>
      </c>
      <c r="V9" s="37">
        <f>Roster!W30</f>
        <v>0</v>
      </c>
      <c r="W9" s="37">
        <f>Roster!X30</f>
        <v>0</v>
      </c>
      <c r="X9" s="37">
        <f>Roster!Y30</f>
        <v>0</v>
      </c>
      <c r="Y9" s="37">
        <f>Roster!Z30</f>
        <v>0</v>
      </c>
      <c r="Z9" s="37">
        <f>Roster!AA30</f>
        <v>0</v>
      </c>
      <c r="AA9" s="37">
        <f>Roster!AB30</f>
        <v>0</v>
      </c>
      <c r="AB9" s="37">
        <f>Roster!AC30</f>
        <v>0</v>
      </c>
      <c r="AC9" s="37">
        <f>Roster!AD30</f>
        <v>0</v>
      </c>
      <c r="AD9" s="43">
        <f>Roster!AE30</f>
        <v>0</v>
      </c>
      <c r="AE9" s="37">
        <f>Roster!AF30</f>
        <v>0</v>
      </c>
      <c r="AF9" s="39">
        <f>Roster!AG30</f>
        <v>0</v>
      </c>
      <c r="AG9" s="38">
        <f>Roster!AH30</f>
        <v>0</v>
      </c>
    </row>
    <row r="10" spans="2:35" ht="14.25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21"/>
      <c r="AI10" s="112"/>
    </row>
    <row r="11" spans="2:35" ht="14.25" thickTop="1" thickBot="1">
      <c r="B11" s="114" t="str">
        <f>Roster!C43</f>
        <v>September</v>
      </c>
      <c r="C11" s="122">
        <v>1</v>
      </c>
      <c r="D11" s="123">
        <v>2</v>
      </c>
      <c r="E11" s="123">
        <v>3</v>
      </c>
      <c r="F11" s="123">
        <v>4</v>
      </c>
      <c r="G11" s="123">
        <v>5</v>
      </c>
      <c r="H11" s="123">
        <v>6</v>
      </c>
      <c r="I11" s="123">
        <v>7</v>
      </c>
      <c r="J11" s="123">
        <v>8</v>
      </c>
      <c r="K11" s="123">
        <v>9</v>
      </c>
      <c r="L11" s="123">
        <v>10</v>
      </c>
      <c r="M11" s="123">
        <v>11</v>
      </c>
      <c r="N11" s="123">
        <v>12</v>
      </c>
      <c r="O11" s="123">
        <v>13</v>
      </c>
      <c r="P11" s="123">
        <v>14</v>
      </c>
      <c r="Q11" s="123">
        <v>15</v>
      </c>
      <c r="R11" s="123">
        <v>16</v>
      </c>
      <c r="S11" s="123">
        <v>17</v>
      </c>
      <c r="T11" s="123">
        <v>18</v>
      </c>
      <c r="U11" s="123">
        <v>19</v>
      </c>
      <c r="V11" s="123">
        <v>20</v>
      </c>
      <c r="W11" s="123">
        <v>21</v>
      </c>
      <c r="X11" s="123">
        <v>22</v>
      </c>
      <c r="Y11" s="123">
        <v>23</v>
      </c>
      <c r="Z11" s="123">
        <v>24</v>
      </c>
      <c r="AA11" s="123">
        <v>25</v>
      </c>
      <c r="AB11" s="123">
        <v>26</v>
      </c>
      <c r="AC11" s="123">
        <v>27</v>
      </c>
      <c r="AD11" s="123">
        <v>28</v>
      </c>
      <c r="AE11" s="123">
        <v>29</v>
      </c>
      <c r="AF11" s="124">
        <v>30</v>
      </c>
      <c r="AG11" s="20"/>
    </row>
    <row r="12" spans="2:35" ht="14.25" thickTop="1" thickBot="1">
      <c r="B12" s="114">
        <f>CurYear-1</f>
        <v>2016</v>
      </c>
      <c r="C12" s="36" t="str">
        <f>Roster!D45</f>
        <v>D</v>
      </c>
      <c r="D12" s="37">
        <f>Roster!E45</f>
        <v>0</v>
      </c>
      <c r="E12" s="37">
        <f>Roster!F45</f>
        <v>0</v>
      </c>
      <c r="F12" s="37" t="str">
        <f>Roster!G45</f>
        <v>A</v>
      </c>
      <c r="G12" s="37" t="str">
        <f>Roster!H45</f>
        <v>A</v>
      </c>
      <c r="H12" s="37" t="str">
        <f>Roster!I45</f>
        <v>A</v>
      </c>
      <c r="I12" s="37" t="str">
        <f>Roster!J45</f>
        <v>A</v>
      </c>
      <c r="J12" s="37" t="str">
        <f>Roster!K45</f>
        <v>A</v>
      </c>
      <c r="K12" s="37">
        <f>Roster!L45</f>
        <v>0</v>
      </c>
      <c r="L12" s="37">
        <f>Roster!M45</f>
        <v>0</v>
      </c>
      <c r="M12" s="37" t="str">
        <f>Roster!N45</f>
        <v>D</v>
      </c>
      <c r="N12" s="37" t="str">
        <f>Roster!O45</f>
        <v>D</v>
      </c>
      <c r="O12" s="37" t="str">
        <f>Roster!P45</f>
        <v>D</v>
      </c>
      <c r="P12" s="37" t="str">
        <f>Roster!Q45</f>
        <v>D</v>
      </c>
      <c r="Q12" s="37" t="str">
        <f>Roster!R45</f>
        <v>D</v>
      </c>
      <c r="R12" s="37">
        <f>Roster!S45</f>
        <v>0</v>
      </c>
      <c r="S12" s="37">
        <f>Roster!T45</f>
        <v>0</v>
      </c>
      <c r="T12" s="37" t="str">
        <f>Roster!U45</f>
        <v>A</v>
      </c>
      <c r="U12" s="37" t="str">
        <f>Roster!V45</f>
        <v>A</v>
      </c>
      <c r="V12" s="37" t="str">
        <f>Roster!W45</f>
        <v>A</v>
      </c>
      <c r="W12" s="37" t="str">
        <f>Roster!X45</f>
        <v>A</v>
      </c>
      <c r="X12" s="37" t="str">
        <f>Roster!Y45</f>
        <v>RO</v>
      </c>
      <c r="Y12" s="37">
        <f>Roster!Z45</f>
        <v>0</v>
      </c>
      <c r="Z12" s="37">
        <f>Roster!AA45</f>
        <v>0</v>
      </c>
      <c r="AA12" s="37" t="str">
        <f>Roster!AB45</f>
        <v>D</v>
      </c>
      <c r="AB12" s="37" t="str">
        <f>Roster!AC45</f>
        <v>D</v>
      </c>
      <c r="AC12" s="37" t="str">
        <f>Roster!AD45</f>
        <v>D</v>
      </c>
      <c r="AD12" s="37" t="str">
        <f>Roster!AE45</f>
        <v>D</v>
      </c>
      <c r="AE12" s="37" t="str">
        <f>Roster!AF45</f>
        <v>D</v>
      </c>
      <c r="AF12" s="38">
        <f>Roster!AG45</f>
        <v>0</v>
      </c>
      <c r="AG12" s="20"/>
    </row>
    <row r="13" spans="2:35" ht="14.25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25" thickTop="1" thickBot="1">
      <c r="B14" s="114" t="str">
        <f>Roster!C58</f>
        <v>October</v>
      </c>
      <c r="C14" s="115">
        <v>1</v>
      </c>
      <c r="D14" s="116">
        <v>2</v>
      </c>
      <c r="E14" s="116">
        <v>3</v>
      </c>
      <c r="F14" s="116">
        <v>4</v>
      </c>
      <c r="G14" s="116">
        <v>5</v>
      </c>
      <c r="H14" s="116">
        <v>6</v>
      </c>
      <c r="I14" s="116">
        <v>7</v>
      </c>
      <c r="J14" s="116">
        <v>8</v>
      </c>
      <c r="K14" s="116">
        <v>9</v>
      </c>
      <c r="L14" s="116">
        <v>10</v>
      </c>
      <c r="M14" s="116">
        <v>11</v>
      </c>
      <c r="N14" s="116">
        <v>12</v>
      </c>
      <c r="O14" s="116">
        <v>13</v>
      </c>
      <c r="P14" s="116">
        <v>14</v>
      </c>
      <c r="Q14" s="116">
        <v>15</v>
      </c>
      <c r="R14" s="116">
        <v>16</v>
      </c>
      <c r="S14" s="116">
        <v>17</v>
      </c>
      <c r="T14" s="116">
        <v>18</v>
      </c>
      <c r="U14" s="116">
        <v>19</v>
      </c>
      <c r="V14" s="116">
        <v>20</v>
      </c>
      <c r="W14" s="116">
        <v>21</v>
      </c>
      <c r="X14" s="116">
        <v>22</v>
      </c>
      <c r="Y14" s="116">
        <v>23</v>
      </c>
      <c r="Z14" s="116">
        <v>24</v>
      </c>
      <c r="AA14" s="116">
        <v>25</v>
      </c>
      <c r="AB14" s="116">
        <v>26</v>
      </c>
      <c r="AC14" s="116">
        <v>27</v>
      </c>
      <c r="AD14" s="116">
        <v>28</v>
      </c>
      <c r="AE14" s="116">
        <v>29</v>
      </c>
      <c r="AF14" s="116">
        <v>30</v>
      </c>
      <c r="AG14" s="117">
        <v>31</v>
      </c>
    </row>
    <row r="15" spans="2:35" ht="14.25" thickTop="1" thickBot="1">
      <c r="B15" s="114">
        <f>CurYear-1</f>
        <v>2016</v>
      </c>
      <c r="C15" s="36">
        <f>Roster!D60</f>
        <v>0</v>
      </c>
      <c r="D15" s="37" t="str">
        <f>Roster!E60</f>
        <v>A</v>
      </c>
      <c r="E15" s="37" t="str">
        <f>Roster!F60</f>
        <v>A</v>
      </c>
      <c r="F15" s="37" t="str">
        <f>Roster!G60</f>
        <v>A</v>
      </c>
      <c r="G15" s="37" t="str">
        <f>Roster!H60</f>
        <v>A</v>
      </c>
      <c r="H15" s="37" t="str">
        <f>Roster!I60</f>
        <v>A</v>
      </c>
      <c r="I15" s="37">
        <f>Roster!J60</f>
        <v>0</v>
      </c>
      <c r="J15" s="37">
        <f>Roster!K60</f>
        <v>0</v>
      </c>
      <c r="K15" s="37" t="str">
        <f>Roster!L60</f>
        <v>D</v>
      </c>
      <c r="L15" s="37" t="str">
        <f>Roster!M60</f>
        <v>D</v>
      </c>
      <c r="M15" s="37" t="str">
        <f>Roster!N60</f>
        <v>D</v>
      </c>
      <c r="N15" s="37" t="str">
        <f>Roster!O60</f>
        <v>D</v>
      </c>
      <c r="O15" s="37" t="str">
        <f>Roster!P60</f>
        <v>D</v>
      </c>
      <c r="P15" s="37">
        <f>Roster!Q60</f>
        <v>0</v>
      </c>
      <c r="Q15" s="37">
        <f>Roster!R60</f>
        <v>0</v>
      </c>
      <c r="R15" s="37" t="str">
        <f>Roster!S60</f>
        <v>RO</v>
      </c>
      <c r="S15" s="37" t="str">
        <f>Roster!T60</f>
        <v>A</v>
      </c>
      <c r="T15" s="37" t="str">
        <f>Roster!U60</f>
        <v>A</v>
      </c>
      <c r="U15" s="37" t="str">
        <f>Roster!V60</f>
        <v>A</v>
      </c>
      <c r="V15" s="37" t="str">
        <f>Roster!W60</f>
        <v>A</v>
      </c>
      <c r="W15" s="37">
        <f>Roster!X60</f>
        <v>0</v>
      </c>
      <c r="X15" s="37">
        <f>Roster!Y60</f>
        <v>0</v>
      </c>
      <c r="Y15" s="37" t="str">
        <f>Roster!Z60</f>
        <v>D</v>
      </c>
      <c r="Z15" s="37" t="str">
        <f>Roster!AA60</f>
        <v>D</v>
      </c>
      <c r="AA15" s="37" t="str">
        <f>Roster!AB60</f>
        <v>D</v>
      </c>
      <c r="AB15" s="37" t="str">
        <f>Roster!AC60</f>
        <v>D</v>
      </c>
      <c r="AC15" s="37" t="str">
        <f>Roster!AD60</f>
        <v>D</v>
      </c>
      <c r="AD15" s="37">
        <f>Roster!AE60</f>
        <v>0</v>
      </c>
      <c r="AE15" s="37">
        <f>Roster!AF60</f>
        <v>0</v>
      </c>
      <c r="AF15" s="37" t="str">
        <f>Roster!AG60</f>
        <v>A</v>
      </c>
      <c r="AG15" s="38" t="str">
        <f>Roster!AH60</f>
        <v>A</v>
      </c>
    </row>
    <row r="16" spans="2:35" ht="14.25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21"/>
    </row>
    <row r="17" spans="2:33" ht="14.25" thickTop="1" thickBot="1">
      <c r="B17" s="114" t="str">
        <f>Roster!C73</f>
        <v>November</v>
      </c>
      <c r="C17" s="122">
        <v>1</v>
      </c>
      <c r="D17" s="123">
        <v>2</v>
      </c>
      <c r="E17" s="123">
        <v>3</v>
      </c>
      <c r="F17" s="123">
        <v>4</v>
      </c>
      <c r="G17" s="123">
        <v>5</v>
      </c>
      <c r="H17" s="123">
        <v>6</v>
      </c>
      <c r="I17" s="123">
        <v>7</v>
      </c>
      <c r="J17" s="123">
        <v>8</v>
      </c>
      <c r="K17" s="123">
        <v>9</v>
      </c>
      <c r="L17" s="123">
        <v>10</v>
      </c>
      <c r="M17" s="123">
        <v>11</v>
      </c>
      <c r="N17" s="123">
        <v>12</v>
      </c>
      <c r="O17" s="123">
        <v>13</v>
      </c>
      <c r="P17" s="123">
        <v>14</v>
      </c>
      <c r="Q17" s="123">
        <v>15</v>
      </c>
      <c r="R17" s="123">
        <v>16</v>
      </c>
      <c r="S17" s="123">
        <v>17</v>
      </c>
      <c r="T17" s="123">
        <v>18</v>
      </c>
      <c r="U17" s="123">
        <v>19</v>
      </c>
      <c r="V17" s="123">
        <v>20</v>
      </c>
      <c r="W17" s="123">
        <v>21</v>
      </c>
      <c r="X17" s="123">
        <v>22</v>
      </c>
      <c r="Y17" s="123">
        <v>23</v>
      </c>
      <c r="Z17" s="123">
        <v>24</v>
      </c>
      <c r="AA17" s="123">
        <v>25</v>
      </c>
      <c r="AB17" s="123">
        <v>26</v>
      </c>
      <c r="AC17" s="123">
        <v>27</v>
      </c>
      <c r="AD17" s="123">
        <v>28</v>
      </c>
      <c r="AE17" s="123">
        <v>29</v>
      </c>
      <c r="AF17" s="124">
        <v>30</v>
      </c>
      <c r="AG17" s="20"/>
    </row>
    <row r="18" spans="2:33" ht="14.25" thickTop="1" thickBot="1">
      <c r="B18" s="114">
        <f>CurYear-1</f>
        <v>2016</v>
      </c>
      <c r="C18" s="36" t="str">
        <f>Roster!D75</f>
        <v>A</v>
      </c>
      <c r="D18" s="37" t="str">
        <f>Roster!E75</f>
        <v>A</v>
      </c>
      <c r="E18" s="37" t="str">
        <f>Roster!F75</f>
        <v>A</v>
      </c>
      <c r="F18" s="37">
        <f>Roster!G75</f>
        <v>0</v>
      </c>
      <c r="G18" s="37">
        <f>Roster!H75</f>
        <v>0</v>
      </c>
      <c r="H18" s="37" t="str">
        <f>Roster!I75</f>
        <v>D</v>
      </c>
      <c r="I18" s="37" t="str">
        <f>Roster!J75</f>
        <v>RO</v>
      </c>
      <c r="J18" s="37" t="str">
        <f>Roster!K75</f>
        <v>D</v>
      </c>
      <c r="K18" s="37" t="str">
        <f>Roster!L75</f>
        <v>D</v>
      </c>
      <c r="L18" s="37" t="str">
        <f>Roster!M75</f>
        <v>D</v>
      </c>
      <c r="M18" s="37">
        <f>Roster!N75</f>
        <v>0</v>
      </c>
      <c r="N18" s="37">
        <f>Roster!O75</f>
        <v>0</v>
      </c>
      <c r="O18" s="37" t="str">
        <f>Roster!P75</f>
        <v>A</v>
      </c>
      <c r="P18" s="37" t="str">
        <f>Roster!Q75</f>
        <v>A</v>
      </c>
      <c r="Q18" s="37" t="str">
        <f>Roster!R75</f>
        <v>A</v>
      </c>
      <c r="R18" s="37" t="str">
        <f>Roster!S75</f>
        <v>A</v>
      </c>
      <c r="S18" s="37" t="str">
        <f>Roster!T75</f>
        <v>A</v>
      </c>
      <c r="T18" s="37">
        <f>Roster!U75</f>
        <v>0</v>
      </c>
      <c r="U18" s="37">
        <f>Roster!V75</f>
        <v>0</v>
      </c>
      <c r="V18" s="37" t="str">
        <f>Roster!W75</f>
        <v>D</v>
      </c>
      <c r="W18" s="37" t="str">
        <f>Roster!X75</f>
        <v>D</v>
      </c>
      <c r="X18" s="37" t="str">
        <f>Roster!Y75</f>
        <v>D</v>
      </c>
      <c r="Y18" s="37" t="str">
        <f>Roster!Z75</f>
        <v>D</v>
      </c>
      <c r="Z18" s="37" t="str">
        <f>Roster!AA75</f>
        <v>D</v>
      </c>
      <c r="AA18" s="37">
        <f>Roster!AB75</f>
        <v>0</v>
      </c>
      <c r="AB18" s="37">
        <f>Roster!AC75</f>
        <v>0</v>
      </c>
      <c r="AC18" s="37" t="str">
        <f>Roster!AD75</f>
        <v>A</v>
      </c>
      <c r="AD18" s="37" t="str">
        <f>Roster!AE75</f>
        <v>A</v>
      </c>
      <c r="AE18" s="37" t="str">
        <f>Roster!AF75</f>
        <v>RO</v>
      </c>
      <c r="AF18" s="38" t="str">
        <f>Roster!AG75</f>
        <v>A</v>
      </c>
      <c r="AG18" s="125"/>
    </row>
    <row r="19" spans="2:33" ht="14.25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4" t="str">
        <f>Roster!C88</f>
        <v>December</v>
      </c>
      <c r="C20" s="115">
        <v>1</v>
      </c>
      <c r="D20" s="116">
        <v>2</v>
      </c>
      <c r="E20" s="116">
        <v>3</v>
      </c>
      <c r="F20" s="116">
        <v>4</v>
      </c>
      <c r="G20" s="116">
        <v>5</v>
      </c>
      <c r="H20" s="116">
        <v>6</v>
      </c>
      <c r="I20" s="116">
        <v>7</v>
      </c>
      <c r="J20" s="116">
        <v>8</v>
      </c>
      <c r="K20" s="116">
        <v>9</v>
      </c>
      <c r="L20" s="116">
        <v>10</v>
      </c>
      <c r="M20" s="116">
        <v>11</v>
      </c>
      <c r="N20" s="116">
        <v>12</v>
      </c>
      <c r="O20" s="116">
        <v>13</v>
      </c>
      <c r="P20" s="116">
        <v>14</v>
      </c>
      <c r="Q20" s="116">
        <v>15</v>
      </c>
      <c r="R20" s="116">
        <v>16</v>
      </c>
      <c r="S20" s="116">
        <v>17</v>
      </c>
      <c r="T20" s="116">
        <v>18</v>
      </c>
      <c r="U20" s="116">
        <v>19</v>
      </c>
      <c r="V20" s="116">
        <v>20</v>
      </c>
      <c r="W20" s="116">
        <v>21</v>
      </c>
      <c r="X20" s="116">
        <v>22</v>
      </c>
      <c r="Y20" s="116">
        <v>23</v>
      </c>
      <c r="Z20" s="116">
        <v>24</v>
      </c>
      <c r="AA20" s="116">
        <v>25</v>
      </c>
      <c r="AB20" s="116">
        <v>26</v>
      </c>
      <c r="AC20" s="116">
        <v>27</v>
      </c>
      <c r="AD20" s="116">
        <v>28</v>
      </c>
      <c r="AE20" s="116">
        <v>29</v>
      </c>
      <c r="AF20" s="116">
        <v>30</v>
      </c>
      <c r="AG20" s="117">
        <v>31</v>
      </c>
    </row>
    <row r="21" spans="2:33" ht="14.25" thickTop="1" thickBot="1">
      <c r="B21" s="114">
        <f>CurYear-1</f>
        <v>2016</v>
      </c>
      <c r="C21" s="36">
        <f>Roster!D90</f>
        <v>0</v>
      </c>
      <c r="D21" s="37">
        <f>Roster!E90</f>
        <v>0</v>
      </c>
      <c r="E21" s="37">
        <f>Roster!F90</f>
        <v>0</v>
      </c>
      <c r="F21" s="37">
        <f>Roster!G90</f>
        <v>0</v>
      </c>
      <c r="G21" s="37">
        <f>Roster!H90</f>
        <v>0</v>
      </c>
      <c r="H21" s="37">
        <f>Roster!I90</f>
        <v>0</v>
      </c>
      <c r="I21" s="37">
        <f>Roster!J90</f>
        <v>0</v>
      </c>
      <c r="J21" s="37">
        <f>Roster!K90</f>
        <v>0</v>
      </c>
      <c r="K21" s="37">
        <f>Roster!L90</f>
        <v>0</v>
      </c>
      <c r="L21" s="37">
        <f>Roster!M90</f>
        <v>0</v>
      </c>
      <c r="M21" s="37">
        <f>Roster!N90</f>
        <v>0</v>
      </c>
      <c r="N21" s="37">
        <f>Roster!O90</f>
        <v>0</v>
      </c>
      <c r="O21" s="37">
        <f>Roster!P90</f>
        <v>0</v>
      </c>
      <c r="P21" s="37">
        <f>Roster!Q90</f>
        <v>0</v>
      </c>
      <c r="Q21" s="37">
        <f>Roster!R90</f>
        <v>0</v>
      </c>
      <c r="R21" s="37">
        <f>Roster!S90</f>
        <v>0</v>
      </c>
      <c r="S21" s="37">
        <f>Roster!T90</f>
        <v>0</v>
      </c>
      <c r="T21" s="37">
        <f>Roster!U90</f>
        <v>0</v>
      </c>
      <c r="U21" s="37">
        <f>Roster!V90</f>
        <v>0</v>
      </c>
      <c r="V21" s="37">
        <f>Roster!W90</f>
        <v>0</v>
      </c>
      <c r="W21" s="37">
        <f>Roster!X90</f>
        <v>0</v>
      </c>
      <c r="X21" s="37">
        <f>Roster!Y90</f>
        <v>0</v>
      </c>
      <c r="Y21" s="37">
        <f>Roster!Z90</f>
        <v>0</v>
      </c>
      <c r="Z21" s="37">
        <f>Roster!AA90</f>
        <v>0</v>
      </c>
      <c r="AA21" s="37">
        <f>Roster!AB90</f>
        <v>0</v>
      </c>
      <c r="AB21" s="37">
        <f>Roster!AC90</f>
        <v>0</v>
      </c>
      <c r="AC21" s="37">
        <f>Roster!AD90</f>
        <v>0</v>
      </c>
      <c r="AD21" s="37">
        <f>Roster!AE90</f>
        <v>0</v>
      </c>
      <c r="AE21" s="37">
        <f>Roster!AF90</f>
        <v>0</v>
      </c>
      <c r="AF21" s="37">
        <f>Roster!AG90</f>
        <v>0</v>
      </c>
      <c r="AG21" s="38">
        <f>Roster!AH90</f>
        <v>0</v>
      </c>
    </row>
    <row r="22" spans="2:33" s="10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4" t="str">
        <f>Roster!$C$103</f>
        <v>January</v>
      </c>
      <c r="C23" s="115">
        <v>1</v>
      </c>
      <c r="D23" s="116">
        <v>2</v>
      </c>
      <c r="E23" s="116">
        <v>3</v>
      </c>
      <c r="F23" s="116">
        <v>4</v>
      </c>
      <c r="G23" s="116">
        <v>5</v>
      </c>
      <c r="H23" s="116">
        <v>6</v>
      </c>
      <c r="I23" s="116">
        <v>7</v>
      </c>
      <c r="J23" s="116">
        <v>8</v>
      </c>
      <c r="K23" s="116">
        <v>9</v>
      </c>
      <c r="L23" s="116">
        <v>10</v>
      </c>
      <c r="M23" s="116">
        <v>11</v>
      </c>
      <c r="N23" s="116">
        <v>12</v>
      </c>
      <c r="O23" s="116">
        <v>13</v>
      </c>
      <c r="P23" s="116">
        <v>14</v>
      </c>
      <c r="Q23" s="116">
        <v>15</v>
      </c>
      <c r="R23" s="116">
        <v>16</v>
      </c>
      <c r="S23" s="116">
        <v>17</v>
      </c>
      <c r="T23" s="116">
        <v>18</v>
      </c>
      <c r="U23" s="116">
        <v>19</v>
      </c>
      <c r="V23" s="116">
        <v>20</v>
      </c>
      <c r="W23" s="116">
        <v>21</v>
      </c>
      <c r="X23" s="116">
        <v>22</v>
      </c>
      <c r="Y23" s="116">
        <v>23</v>
      </c>
      <c r="Z23" s="116">
        <v>24</v>
      </c>
      <c r="AA23" s="116">
        <v>25</v>
      </c>
      <c r="AB23" s="116">
        <v>26</v>
      </c>
      <c r="AC23" s="116">
        <v>27</v>
      </c>
      <c r="AD23" s="116">
        <v>28</v>
      </c>
      <c r="AE23" s="116">
        <v>29</v>
      </c>
      <c r="AF23" s="116">
        <v>30</v>
      </c>
      <c r="AG23" s="117">
        <v>31</v>
      </c>
    </row>
    <row r="24" spans="2:33" ht="14.25" thickTop="1" thickBot="1">
      <c r="B24" s="114" t="str">
        <f>CurYear</f>
        <v>2017</v>
      </c>
      <c r="C24" s="48">
        <f>Roster!D105</f>
        <v>0</v>
      </c>
      <c r="D24" s="49">
        <f>Roster!E105</f>
        <v>0</v>
      </c>
      <c r="E24" s="40">
        <f>Roster!F105</f>
        <v>0</v>
      </c>
      <c r="F24" s="40">
        <f>Roster!G105</f>
        <v>0</v>
      </c>
      <c r="G24" s="40">
        <f>Roster!H105</f>
        <v>0</v>
      </c>
      <c r="H24" s="40">
        <f>Roster!I105</f>
        <v>0</v>
      </c>
      <c r="I24" s="40">
        <f>Roster!J105</f>
        <v>0</v>
      </c>
      <c r="J24" s="40">
        <f>Roster!K105</f>
        <v>0</v>
      </c>
      <c r="K24" s="40">
        <f>Roster!L105</f>
        <v>0</v>
      </c>
      <c r="L24" s="40">
        <f>Roster!M105</f>
        <v>0</v>
      </c>
      <c r="M24" s="40">
        <f>Roster!N105</f>
        <v>0</v>
      </c>
      <c r="N24" s="40">
        <f>Roster!O105</f>
        <v>0</v>
      </c>
      <c r="O24" s="40">
        <f>Roster!P105</f>
        <v>0</v>
      </c>
      <c r="P24" s="40">
        <f>Roster!Q105</f>
        <v>0</v>
      </c>
      <c r="Q24" s="40">
        <f>Roster!R105</f>
        <v>0</v>
      </c>
      <c r="R24" s="40">
        <f>Roster!S105</f>
        <v>0</v>
      </c>
      <c r="S24" s="40">
        <f>Roster!T105</f>
        <v>0</v>
      </c>
      <c r="T24" s="40">
        <f>Roster!U105</f>
        <v>0</v>
      </c>
      <c r="U24" s="40">
        <f>Roster!V105</f>
        <v>0</v>
      </c>
      <c r="V24" s="40">
        <f>Roster!W105</f>
        <v>0</v>
      </c>
      <c r="W24" s="40">
        <f>Roster!X105</f>
        <v>0</v>
      </c>
      <c r="X24" s="40">
        <f>Roster!Y105</f>
        <v>0</v>
      </c>
      <c r="Y24" s="40">
        <f>Roster!Z105</f>
        <v>0</v>
      </c>
      <c r="Z24" s="40">
        <f>Roster!AA105</f>
        <v>0</v>
      </c>
      <c r="AA24" s="40">
        <f>Roster!AB105</f>
        <v>0</v>
      </c>
      <c r="AB24" s="40">
        <f>Roster!AC105</f>
        <v>0</v>
      </c>
      <c r="AC24" s="40">
        <f>Roster!AD105</f>
        <v>0</v>
      </c>
      <c r="AD24" s="40">
        <f>Roster!AE105</f>
        <v>0</v>
      </c>
      <c r="AE24" s="40">
        <f>Roster!AF105</f>
        <v>0</v>
      </c>
      <c r="AF24" s="40">
        <f>Roster!AG105</f>
        <v>0</v>
      </c>
      <c r="AG24" s="41">
        <f>Roster!AH105</f>
        <v>0</v>
      </c>
    </row>
    <row r="25" spans="2:33" s="10" customFormat="1" ht="14.25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126"/>
      <c r="AG25" s="127"/>
    </row>
    <row r="26" spans="2:33" ht="14.25" thickTop="1" thickBot="1">
      <c r="B26" s="114" t="str">
        <f>Roster!$C$118</f>
        <v>February</v>
      </c>
      <c r="C26" s="115">
        <v>1</v>
      </c>
      <c r="D26" s="123">
        <v>2</v>
      </c>
      <c r="E26" s="123">
        <v>3</v>
      </c>
      <c r="F26" s="123">
        <v>4</v>
      </c>
      <c r="G26" s="123">
        <v>5</v>
      </c>
      <c r="H26" s="123">
        <v>6</v>
      </c>
      <c r="I26" s="123">
        <v>7</v>
      </c>
      <c r="J26" s="123">
        <v>8</v>
      </c>
      <c r="K26" s="123">
        <v>9</v>
      </c>
      <c r="L26" s="123">
        <v>10</v>
      </c>
      <c r="M26" s="123">
        <v>11</v>
      </c>
      <c r="N26" s="123">
        <v>12</v>
      </c>
      <c r="O26" s="123">
        <v>13</v>
      </c>
      <c r="P26" s="123">
        <v>14</v>
      </c>
      <c r="Q26" s="123">
        <v>15</v>
      </c>
      <c r="R26" s="123">
        <v>16</v>
      </c>
      <c r="S26" s="123">
        <v>17</v>
      </c>
      <c r="T26" s="123">
        <v>18</v>
      </c>
      <c r="U26" s="123">
        <v>19</v>
      </c>
      <c r="V26" s="123">
        <v>20</v>
      </c>
      <c r="W26" s="123">
        <v>21</v>
      </c>
      <c r="X26" s="123">
        <v>22</v>
      </c>
      <c r="Y26" s="123">
        <v>23</v>
      </c>
      <c r="Z26" s="123">
        <v>24</v>
      </c>
      <c r="AA26" s="123">
        <v>25</v>
      </c>
      <c r="AB26" s="123">
        <v>26</v>
      </c>
      <c r="AC26" s="123">
        <v>27</v>
      </c>
      <c r="AD26" s="128">
        <v>28</v>
      </c>
      <c r="AE26" s="133">
        <v>29</v>
      </c>
      <c r="AF26" s="110"/>
      <c r="AG26" s="20"/>
    </row>
    <row r="27" spans="2:33" ht="14.25" thickTop="1" thickBot="1">
      <c r="B27" s="114" t="str">
        <f>CurYear</f>
        <v>2017</v>
      </c>
      <c r="C27" s="36">
        <f>Roster!D120</f>
        <v>0</v>
      </c>
      <c r="D27" s="37">
        <f>Roster!E120</f>
        <v>0</v>
      </c>
      <c r="E27" s="37">
        <f>Roster!F120</f>
        <v>0</v>
      </c>
      <c r="F27" s="37">
        <f>Roster!G120</f>
        <v>0</v>
      </c>
      <c r="G27" s="37">
        <f>Roster!H120</f>
        <v>0</v>
      </c>
      <c r="H27" s="37">
        <f>Roster!I120</f>
        <v>0</v>
      </c>
      <c r="I27" s="37">
        <f>Roster!J120</f>
        <v>0</v>
      </c>
      <c r="J27" s="37">
        <f>Roster!K120</f>
        <v>0</v>
      </c>
      <c r="K27" s="37">
        <f>Roster!L120</f>
        <v>0</v>
      </c>
      <c r="L27" s="37">
        <f>Roster!M120</f>
        <v>0</v>
      </c>
      <c r="M27" s="37">
        <f>Roster!N120</f>
        <v>0</v>
      </c>
      <c r="N27" s="37">
        <f>Roster!O120</f>
        <v>0</v>
      </c>
      <c r="O27" s="37">
        <f>Roster!P120</f>
        <v>0</v>
      </c>
      <c r="P27" s="37">
        <f>Roster!Q120</f>
        <v>0</v>
      </c>
      <c r="Q27" s="37">
        <f>Roster!R120</f>
        <v>0</v>
      </c>
      <c r="R27" s="37">
        <f>Roster!S120</f>
        <v>0</v>
      </c>
      <c r="S27" s="37">
        <f>Roster!T120</f>
        <v>0</v>
      </c>
      <c r="T27" s="37">
        <f>Roster!U120</f>
        <v>0</v>
      </c>
      <c r="U27" s="37">
        <f>Roster!V120</f>
        <v>0</v>
      </c>
      <c r="V27" s="37">
        <f>Roster!W120</f>
        <v>0</v>
      </c>
      <c r="W27" s="37">
        <f>Roster!X120</f>
        <v>0</v>
      </c>
      <c r="X27" s="37">
        <f>Roster!Y120</f>
        <v>0</v>
      </c>
      <c r="Y27" s="37">
        <f>Roster!Z120</f>
        <v>0</v>
      </c>
      <c r="Z27" s="37">
        <f>Roster!AA120</f>
        <v>0</v>
      </c>
      <c r="AA27" s="37">
        <f>Roster!AB120</f>
        <v>0</v>
      </c>
      <c r="AB27" s="37">
        <f>Roster!AC120</f>
        <v>0</v>
      </c>
      <c r="AC27" s="37">
        <f>Roster!AD120</f>
        <v>0</v>
      </c>
      <c r="AD27" s="43">
        <f>Roster!AE120</f>
        <v>0</v>
      </c>
      <c r="AE27" s="134">
        <f>Roster!AF120</f>
        <v>0</v>
      </c>
      <c r="AF27" s="20"/>
      <c r="AG27" s="20"/>
    </row>
    <row r="28" spans="2:33" s="10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25" thickTop="1" thickBot="1">
      <c r="B29" s="114" t="str">
        <f>Roster!$C$133</f>
        <v>March</v>
      </c>
      <c r="C29" s="115">
        <v>1</v>
      </c>
      <c r="D29" s="116">
        <v>2</v>
      </c>
      <c r="E29" s="116">
        <v>3</v>
      </c>
      <c r="F29" s="116">
        <v>4</v>
      </c>
      <c r="G29" s="116">
        <v>5</v>
      </c>
      <c r="H29" s="116">
        <v>6</v>
      </c>
      <c r="I29" s="116">
        <v>7</v>
      </c>
      <c r="J29" s="116">
        <v>8</v>
      </c>
      <c r="K29" s="116">
        <v>9</v>
      </c>
      <c r="L29" s="116">
        <v>10</v>
      </c>
      <c r="M29" s="116">
        <v>11</v>
      </c>
      <c r="N29" s="116">
        <v>12</v>
      </c>
      <c r="O29" s="116">
        <v>13</v>
      </c>
      <c r="P29" s="116">
        <v>14</v>
      </c>
      <c r="Q29" s="116">
        <v>15</v>
      </c>
      <c r="R29" s="116">
        <v>16</v>
      </c>
      <c r="S29" s="116">
        <v>17</v>
      </c>
      <c r="T29" s="116">
        <v>18</v>
      </c>
      <c r="U29" s="116">
        <v>19</v>
      </c>
      <c r="V29" s="116">
        <v>20</v>
      </c>
      <c r="W29" s="116">
        <v>21</v>
      </c>
      <c r="X29" s="116">
        <v>22</v>
      </c>
      <c r="Y29" s="116">
        <v>23</v>
      </c>
      <c r="Z29" s="116">
        <v>24</v>
      </c>
      <c r="AA29" s="116">
        <v>25</v>
      </c>
      <c r="AB29" s="116">
        <v>26</v>
      </c>
      <c r="AC29" s="116">
        <v>27</v>
      </c>
      <c r="AD29" s="116">
        <v>28</v>
      </c>
      <c r="AE29" s="116">
        <v>29</v>
      </c>
      <c r="AF29" s="116">
        <v>30</v>
      </c>
      <c r="AG29" s="117">
        <v>31</v>
      </c>
    </row>
    <row r="30" spans="2:33" ht="14.25" thickTop="1" thickBot="1">
      <c r="B30" s="114" t="str">
        <f>CurYear</f>
        <v>2017</v>
      </c>
      <c r="C30" s="36">
        <f>Roster!D135</f>
        <v>0</v>
      </c>
      <c r="D30" s="37">
        <f>Roster!E135</f>
        <v>0</v>
      </c>
      <c r="E30" s="37">
        <f>Roster!F135</f>
        <v>0</v>
      </c>
      <c r="F30" s="37">
        <f>Roster!G135</f>
        <v>0</v>
      </c>
      <c r="G30" s="37">
        <f>Roster!H135</f>
        <v>0</v>
      </c>
      <c r="H30" s="37">
        <f>Roster!I135</f>
        <v>0</v>
      </c>
      <c r="I30" s="37">
        <f>Roster!J135</f>
        <v>0</v>
      </c>
      <c r="J30" s="37">
        <f>Roster!K135</f>
        <v>0</v>
      </c>
      <c r="K30" s="37">
        <f>Roster!L135</f>
        <v>0</v>
      </c>
      <c r="L30" s="37">
        <f>Roster!M135</f>
        <v>0</v>
      </c>
      <c r="M30" s="37">
        <f>Roster!N135</f>
        <v>0</v>
      </c>
      <c r="N30" s="37">
        <f>Roster!O135</f>
        <v>0</v>
      </c>
      <c r="O30" s="37">
        <f>Roster!P135</f>
        <v>0</v>
      </c>
      <c r="P30" s="37">
        <f>Roster!Q135</f>
        <v>0</v>
      </c>
      <c r="Q30" s="37">
        <f>Roster!R135</f>
        <v>0</v>
      </c>
      <c r="R30" s="37">
        <f>Roster!S135</f>
        <v>0</v>
      </c>
      <c r="S30" s="37">
        <f>Roster!T135</f>
        <v>0</v>
      </c>
      <c r="T30" s="37">
        <f>Roster!U135</f>
        <v>0</v>
      </c>
      <c r="U30" s="37">
        <f>Roster!V135</f>
        <v>0</v>
      </c>
      <c r="V30" s="37">
        <f>Roster!W135</f>
        <v>0</v>
      </c>
      <c r="W30" s="37">
        <f>Roster!X135</f>
        <v>0</v>
      </c>
      <c r="X30" s="37">
        <f>Roster!Y135</f>
        <v>0</v>
      </c>
      <c r="Y30" s="37">
        <f>Roster!Z135</f>
        <v>0</v>
      </c>
      <c r="Z30" s="37">
        <f>Roster!AA135</f>
        <v>0</v>
      </c>
      <c r="AA30" s="37">
        <f>Roster!AB135</f>
        <v>0</v>
      </c>
      <c r="AB30" s="37">
        <f>Roster!AC135</f>
        <v>0</v>
      </c>
      <c r="AC30" s="37">
        <f>Roster!AD135</f>
        <v>0</v>
      </c>
      <c r="AD30" s="37">
        <f>Roster!AE135</f>
        <v>0</v>
      </c>
      <c r="AE30" s="37">
        <f>Roster!AF135</f>
        <v>0</v>
      </c>
      <c r="AF30" s="37">
        <f>Roster!AG135</f>
        <v>0</v>
      </c>
      <c r="AG30" s="38">
        <f>Roster!AH135</f>
        <v>0</v>
      </c>
    </row>
    <row r="31" spans="2:33" s="10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9"/>
    </row>
    <row r="32" spans="2:33" ht="14.25" thickTop="1" thickBot="1">
      <c r="B32" s="114" t="str">
        <f>Roster!$C$148</f>
        <v>April</v>
      </c>
      <c r="C32" s="115">
        <v>1</v>
      </c>
      <c r="D32" s="116">
        <v>2</v>
      </c>
      <c r="E32" s="116">
        <v>3</v>
      </c>
      <c r="F32" s="116">
        <v>4</v>
      </c>
      <c r="G32" s="116">
        <v>5</v>
      </c>
      <c r="H32" s="116">
        <v>6</v>
      </c>
      <c r="I32" s="116">
        <v>7</v>
      </c>
      <c r="J32" s="116">
        <v>8</v>
      </c>
      <c r="K32" s="116">
        <v>9</v>
      </c>
      <c r="L32" s="116">
        <v>10</v>
      </c>
      <c r="M32" s="116">
        <v>11</v>
      </c>
      <c r="N32" s="116">
        <v>12</v>
      </c>
      <c r="O32" s="116">
        <v>13</v>
      </c>
      <c r="P32" s="116">
        <v>14</v>
      </c>
      <c r="Q32" s="116">
        <v>15</v>
      </c>
      <c r="R32" s="116">
        <v>16</v>
      </c>
      <c r="S32" s="116">
        <v>17</v>
      </c>
      <c r="T32" s="116">
        <v>18</v>
      </c>
      <c r="U32" s="116">
        <v>19</v>
      </c>
      <c r="V32" s="116">
        <v>20</v>
      </c>
      <c r="W32" s="116">
        <v>21</v>
      </c>
      <c r="X32" s="116">
        <v>22</v>
      </c>
      <c r="Y32" s="116">
        <v>23</v>
      </c>
      <c r="Z32" s="116">
        <v>24</v>
      </c>
      <c r="AA32" s="116">
        <v>25</v>
      </c>
      <c r="AB32" s="116">
        <v>26</v>
      </c>
      <c r="AC32" s="116">
        <v>27</v>
      </c>
      <c r="AD32" s="116">
        <v>28</v>
      </c>
      <c r="AE32" s="116">
        <v>29</v>
      </c>
      <c r="AF32" s="117">
        <v>30</v>
      </c>
      <c r="AG32" s="20"/>
    </row>
    <row r="33" spans="2:33" ht="14.25" thickTop="1" thickBot="1">
      <c r="B33" s="114" t="str">
        <f>CurYear</f>
        <v>2017</v>
      </c>
      <c r="C33" s="36">
        <f>Roster!D150</f>
        <v>0</v>
      </c>
      <c r="D33" s="37">
        <f>Roster!E150</f>
        <v>0</v>
      </c>
      <c r="E33" s="37">
        <f>Roster!F150</f>
        <v>0</v>
      </c>
      <c r="F33" s="37">
        <f>Roster!G150</f>
        <v>0</v>
      </c>
      <c r="G33" s="37">
        <f>Roster!H150</f>
        <v>0</v>
      </c>
      <c r="H33" s="37">
        <f>Roster!I150</f>
        <v>0</v>
      </c>
      <c r="I33" s="37">
        <f>Roster!J150</f>
        <v>0</v>
      </c>
      <c r="J33" s="37">
        <f>Roster!K150</f>
        <v>0</v>
      </c>
      <c r="K33" s="37">
        <f>Roster!L150</f>
        <v>0</v>
      </c>
      <c r="L33" s="37">
        <f>Roster!M150</f>
        <v>0</v>
      </c>
      <c r="M33" s="37">
        <f>Roster!N150</f>
        <v>0</v>
      </c>
      <c r="N33" s="37">
        <f>Roster!O150</f>
        <v>0</v>
      </c>
      <c r="O33" s="37">
        <f>Roster!P150</f>
        <v>0</v>
      </c>
      <c r="P33" s="37">
        <f>Roster!Q150</f>
        <v>0</v>
      </c>
      <c r="Q33" s="37">
        <f>Roster!R150</f>
        <v>0</v>
      </c>
      <c r="R33" s="37">
        <f>Roster!S150</f>
        <v>0</v>
      </c>
      <c r="S33" s="37">
        <f>Roster!T150</f>
        <v>0</v>
      </c>
      <c r="T33" s="37">
        <f>Roster!U150</f>
        <v>0</v>
      </c>
      <c r="U33" s="37">
        <f>Roster!V150</f>
        <v>0</v>
      </c>
      <c r="V33" s="37">
        <f>Roster!W150</f>
        <v>0</v>
      </c>
      <c r="W33" s="37">
        <f>Roster!X150</f>
        <v>0</v>
      </c>
      <c r="X33" s="37">
        <f>Roster!Y150</f>
        <v>0</v>
      </c>
      <c r="Y33" s="37">
        <f>Roster!Z150</f>
        <v>0</v>
      </c>
      <c r="Z33" s="37">
        <f>Roster!AA150</f>
        <v>0</v>
      </c>
      <c r="AA33" s="37">
        <f>Roster!AB150</f>
        <v>0</v>
      </c>
      <c r="AB33" s="37">
        <f>Roster!AC150</f>
        <v>0</v>
      </c>
      <c r="AC33" s="37">
        <f>Roster!AD150</f>
        <v>0</v>
      </c>
      <c r="AD33" s="37">
        <f>Roster!AE150</f>
        <v>0</v>
      </c>
      <c r="AE33" s="37">
        <f>Roster!AF150</f>
        <v>0</v>
      </c>
      <c r="AF33" s="38">
        <f>Roster!AG150</f>
        <v>0</v>
      </c>
      <c r="AG33" s="20"/>
    </row>
    <row r="34" spans="2:33" ht="14.25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114" t="str">
        <f>Roster!$C$163</f>
        <v>May</v>
      </c>
      <c r="C35" s="115">
        <v>1</v>
      </c>
      <c r="D35" s="116">
        <v>2</v>
      </c>
      <c r="E35" s="116">
        <v>3</v>
      </c>
      <c r="F35" s="116">
        <v>4</v>
      </c>
      <c r="G35" s="116">
        <v>5</v>
      </c>
      <c r="H35" s="116">
        <v>6</v>
      </c>
      <c r="I35" s="116">
        <v>7</v>
      </c>
      <c r="J35" s="116">
        <v>8</v>
      </c>
      <c r="K35" s="116">
        <v>9</v>
      </c>
      <c r="L35" s="116">
        <v>10</v>
      </c>
      <c r="M35" s="116">
        <v>11</v>
      </c>
      <c r="N35" s="116">
        <v>12</v>
      </c>
      <c r="O35" s="116">
        <v>13</v>
      </c>
      <c r="P35" s="116">
        <v>14</v>
      </c>
      <c r="Q35" s="116">
        <v>15</v>
      </c>
      <c r="R35" s="116">
        <v>16</v>
      </c>
      <c r="S35" s="116">
        <v>17</v>
      </c>
      <c r="T35" s="116">
        <v>18</v>
      </c>
      <c r="U35" s="116">
        <v>19</v>
      </c>
      <c r="V35" s="116">
        <v>20</v>
      </c>
      <c r="W35" s="116">
        <v>21</v>
      </c>
      <c r="X35" s="116">
        <v>22</v>
      </c>
      <c r="Y35" s="116">
        <v>23</v>
      </c>
      <c r="Z35" s="116">
        <v>24</v>
      </c>
      <c r="AA35" s="116">
        <v>25</v>
      </c>
      <c r="AB35" s="116">
        <v>26</v>
      </c>
      <c r="AC35" s="116">
        <v>27</v>
      </c>
      <c r="AD35" s="116">
        <v>28</v>
      </c>
      <c r="AE35" s="116">
        <v>29</v>
      </c>
      <c r="AF35" s="116">
        <v>30</v>
      </c>
      <c r="AG35" s="117">
        <v>31</v>
      </c>
    </row>
    <row r="36" spans="2:33" ht="14.25" thickTop="1" thickBot="1">
      <c r="B36" s="114" t="str">
        <f>CurYear</f>
        <v>2017</v>
      </c>
      <c r="C36" s="36">
        <f>Roster!D165</f>
        <v>0</v>
      </c>
      <c r="D36" s="37">
        <f>Roster!E165</f>
        <v>0</v>
      </c>
      <c r="E36" s="37">
        <f>Roster!F165</f>
        <v>0</v>
      </c>
      <c r="F36" s="37">
        <f>Roster!G165</f>
        <v>0</v>
      </c>
      <c r="G36" s="37">
        <f>Roster!H165</f>
        <v>0</v>
      </c>
      <c r="H36" s="37">
        <f>Roster!I165</f>
        <v>0</v>
      </c>
      <c r="I36" s="37">
        <f>Roster!J165</f>
        <v>0</v>
      </c>
      <c r="J36" s="37">
        <f>Roster!K165</f>
        <v>0</v>
      </c>
      <c r="K36" s="37">
        <f>Roster!L165</f>
        <v>0</v>
      </c>
      <c r="L36" s="37">
        <f>Roster!M165</f>
        <v>0</v>
      </c>
      <c r="M36" s="37">
        <f>Roster!N165</f>
        <v>0</v>
      </c>
      <c r="N36" s="37">
        <f>Roster!O165</f>
        <v>0</v>
      </c>
      <c r="O36" s="37">
        <f>Roster!P165</f>
        <v>0</v>
      </c>
      <c r="P36" s="37">
        <f>Roster!Q165</f>
        <v>0</v>
      </c>
      <c r="Q36" s="37">
        <f>Roster!R165</f>
        <v>0</v>
      </c>
      <c r="R36" s="37">
        <f>Roster!S165</f>
        <v>0</v>
      </c>
      <c r="S36" s="37">
        <f>Roster!T165</f>
        <v>0</v>
      </c>
      <c r="T36" s="37">
        <f>Roster!U165</f>
        <v>0</v>
      </c>
      <c r="U36" s="37">
        <f>Roster!V165</f>
        <v>0</v>
      </c>
      <c r="V36" s="37">
        <f>Roster!W165</f>
        <v>0</v>
      </c>
      <c r="W36" s="37">
        <f>Roster!X165</f>
        <v>0</v>
      </c>
      <c r="X36" s="37">
        <f>Roster!Y165</f>
        <v>0</v>
      </c>
      <c r="Y36" s="37">
        <f>Roster!Z165</f>
        <v>0</v>
      </c>
      <c r="Z36" s="37">
        <f>Roster!AA165</f>
        <v>0</v>
      </c>
      <c r="AA36" s="37">
        <f>Roster!AB165</f>
        <v>0</v>
      </c>
      <c r="AB36" s="37">
        <f>Roster!AC165</f>
        <v>0</v>
      </c>
      <c r="AC36" s="37">
        <f>Roster!AD165</f>
        <v>0</v>
      </c>
      <c r="AD36" s="37">
        <f>Roster!AE165</f>
        <v>0</v>
      </c>
      <c r="AE36" s="37">
        <f>Roster!AF165</f>
        <v>0</v>
      </c>
      <c r="AF36" s="37">
        <f>Roster!AG165</f>
        <v>0</v>
      </c>
      <c r="AG36" s="38">
        <f>Roster!AH165</f>
        <v>0</v>
      </c>
    </row>
    <row r="37" spans="2:33" ht="14.25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21"/>
    </row>
    <row r="38" spans="2:33" ht="14.25" thickTop="1" thickBot="1">
      <c r="B38" s="114" t="str">
        <f>Roster!C178</f>
        <v>June</v>
      </c>
      <c r="C38" s="115">
        <v>1</v>
      </c>
      <c r="D38" s="116">
        <v>2</v>
      </c>
      <c r="E38" s="116">
        <v>3</v>
      </c>
      <c r="F38" s="116">
        <v>4</v>
      </c>
      <c r="G38" s="116">
        <v>5</v>
      </c>
      <c r="H38" s="116">
        <v>6</v>
      </c>
      <c r="I38" s="116">
        <v>7</v>
      </c>
      <c r="J38" s="116">
        <v>8</v>
      </c>
      <c r="K38" s="116">
        <v>9</v>
      </c>
      <c r="L38" s="116">
        <v>10</v>
      </c>
      <c r="M38" s="116">
        <v>11</v>
      </c>
      <c r="N38" s="116">
        <v>12</v>
      </c>
      <c r="O38" s="116">
        <v>13</v>
      </c>
      <c r="P38" s="116">
        <v>14</v>
      </c>
      <c r="Q38" s="116">
        <v>15</v>
      </c>
      <c r="R38" s="116">
        <v>16</v>
      </c>
      <c r="S38" s="116">
        <v>17</v>
      </c>
      <c r="T38" s="116">
        <v>18</v>
      </c>
      <c r="U38" s="116">
        <v>19</v>
      </c>
      <c r="V38" s="116">
        <v>20</v>
      </c>
      <c r="W38" s="116">
        <v>21</v>
      </c>
      <c r="X38" s="116">
        <v>22</v>
      </c>
      <c r="Y38" s="116">
        <v>23</v>
      </c>
      <c r="Z38" s="116">
        <v>24</v>
      </c>
      <c r="AA38" s="116">
        <v>25</v>
      </c>
      <c r="AB38" s="116">
        <v>26</v>
      </c>
      <c r="AC38" s="116">
        <v>27</v>
      </c>
      <c r="AD38" s="116">
        <v>28</v>
      </c>
      <c r="AE38" s="116">
        <v>29</v>
      </c>
      <c r="AF38" s="117">
        <v>30</v>
      </c>
      <c r="AG38" s="20"/>
    </row>
    <row r="39" spans="2:33" ht="14.25" thickTop="1" thickBot="1">
      <c r="B39" s="114" t="str">
        <f>CurYear</f>
        <v>2017</v>
      </c>
      <c r="C39" s="36">
        <f>Roster!D180</f>
        <v>0</v>
      </c>
      <c r="D39" s="37">
        <f>Roster!E180</f>
        <v>0</v>
      </c>
      <c r="E39" s="37">
        <f>Roster!F180</f>
        <v>0</v>
      </c>
      <c r="F39" s="37">
        <f>Roster!G180</f>
        <v>0</v>
      </c>
      <c r="G39" s="37">
        <f>Roster!H180</f>
        <v>0</v>
      </c>
      <c r="H39" s="37">
        <f>Roster!I180</f>
        <v>0</v>
      </c>
      <c r="I39" s="37">
        <f>Roster!J180</f>
        <v>0</v>
      </c>
      <c r="J39" s="37">
        <f>Roster!K180</f>
        <v>0</v>
      </c>
      <c r="K39" s="37">
        <f>Roster!L180</f>
        <v>0</v>
      </c>
      <c r="L39" s="37">
        <f>Roster!M180</f>
        <v>0</v>
      </c>
      <c r="M39" s="37">
        <f>Roster!N180</f>
        <v>0</v>
      </c>
      <c r="N39" s="37">
        <f>Roster!O180</f>
        <v>0</v>
      </c>
      <c r="O39" s="37">
        <f>Roster!P180</f>
        <v>0</v>
      </c>
      <c r="P39" s="37">
        <f>Roster!Q180</f>
        <v>0</v>
      </c>
      <c r="Q39" s="37">
        <f>Roster!R180</f>
        <v>0</v>
      </c>
      <c r="R39" s="37">
        <f>Roster!S180</f>
        <v>0</v>
      </c>
      <c r="S39" s="37">
        <f>Roster!T180</f>
        <v>0</v>
      </c>
      <c r="T39" s="37">
        <f>Roster!U180</f>
        <v>0</v>
      </c>
      <c r="U39" s="37">
        <f>Roster!V180</f>
        <v>0</v>
      </c>
      <c r="V39" s="37">
        <f>Roster!W180</f>
        <v>0</v>
      </c>
      <c r="W39" s="37">
        <f>Roster!X180</f>
        <v>0</v>
      </c>
      <c r="X39" s="37">
        <f>Roster!Y180</f>
        <v>0</v>
      </c>
      <c r="Y39" s="37">
        <f>Roster!Z180</f>
        <v>0</v>
      </c>
      <c r="Z39" s="37">
        <f>Roster!AA180</f>
        <v>0</v>
      </c>
      <c r="AA39" s="37">
        <f>Roster!AB180</f>
        <v>0</v>
      </c>
      <c r="AB39" s="37">
        <f>Roster!AC180</f>
        <v>0</v>
      </c>
      <c r="AC39" s="37">
        <f>Roster!AD180</f>
        <v>0</v>
      </c>
      <c r="AD39" s="37">
        <f>Roster!AE180</f>
        <v>0</v>
      </c>
      <c r="AE39" s="37">
        <f>Roster!AF180</f>
        <v>0</v>
      </c>
      <c r="AF39" s="38">
        <f>Roster!AG180</f>
        <v>0</v>
      </c>
      <c r="AG39" s="20"/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136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EmpGName03 &amp;" " &amp; EmpSName03</f>
        <v>Ian Thelning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Roster!D16</f>
        <v>0</v>
      </c>
      <c r="D6" s="37">
        <f>Roster!E16</f>
        <v>0</v>
      </c>
      <c r="E6" s="37">
        <f>Roster!F16</f>
        <v>0</v>
      </c>
      <c r="F6" s="37">
        <f>Roster!G16</f>
        <v>0</v>
      </c>
      <c r="G6" s="37">
        <f>Roster!H16</f>
        <v>0</v>
      </c>
      <c r="H6" s="37">
        <f>Roster!I16</f>
        <v>0</v>
      </c>
      <c r="I6" s="37">
        <f>Roster!J16</f>
        <v>0</v>
      </c>
      <c r="J6" s="37">
        <f>Roster!K16</f>
        <v>0</v>
      </c>
      <c r="K6" s="37">
        <f>Roster!L16</f>
        <v>0</v>
      </c>
      <c r="L6" s="37">
        <f>Roster!M16</f>
        <v>0</v>
      </c>
      <c r="M6" s="37">
        <f>Roster!N16</f>
        <v>0</v>
      </c>
      <c r="N6" s="37">
        <f>Roster!O16</f>
        <v>0</v>
      </c>
      <c r="O6" s="37">
        <f>Roster!P16</f>
        <v>0</v>
      </c>
      <c r="P6" s="37">
        <f>Roster!Q16</f>
        <v>0</v>
      </c>
      <c r="Q6" s="37">
        <f>Roster!R16</f>
        <v>0</v>
      </c>
      <c r="R6" s="37">
        <f>Roster!S16</f>
        <v>0</v>
      </c>
      <c r="S6" s="37">
        <f>Roster!T16</f>
        <v>0</v>
      </c>
      <c r="T6" s="37">
        <f>Roster!U16</f>
        <v>0</v>
      </c>
      <c r="U6" s="37">
        <f>Roster!V16</f>
        <v>0</v>
      </c>
      <c r="V6" s="37">
        <f>Roster!W16</f>
        <v>0</v>
      </c>
      <c r="W6" s="37">
        <f>Roster!X16</f>
        <v>0</v>
      </c>
      <c r="X6" s="37">
        <f>Roster!Y16</f>
        <v>0</v>
      </c>
      <c r="Y6" s="37">
        <f>Roster!Z16</f>
        <v>0</v>
      </c>
      <c r="Z6" s="37">
        <f>Roster!AA16</f>
        <v>0</v>
      </c>
      <c r="AA6" s="37">
        <f>Roster!AB16</f>
        <v>0</v>
      </c>
      <c r="AB6" s="37">
        <f>Roster!AC16</f>
        <v>0</v>
      </c>
      <c r="AC6" s="37">
        <f>Roster!AD16</f>
        <v>0</v>
      </c>
      <c r="AD6" s="37">
        <f>Roster!AE16</f>
        <v>0</v>
      </c>
      <c r="AE6" s="37">
        <f>Roster!AF16</f>
        <v>0</v>
      </c>
      <c r="AF6" s="37">
        <f>Roster!AG16</f>
        <v>0</v>
      </c>
      <c r="AG6" s="38">
        <f>Roster!AH16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Roster!D31</f>
        <v>0</v>
      </c>
      <c r="D9" s="39">
        <f>Roster!E31</f>
        <v>0</v>
      </c>
      <c r="E9" s="37">
        <f>Roster!F31</f>
        <v>0</v>
      </c>
      <c r="F9" s="37">
        <f>Roster!G31</f>
        <v>0</v>
      </c>
      <c r="G9" s="37">
        <f>Roster!H31</f>
        <v>0</v>
      </c>
      <c r="H9" s="37">
        <f>Roster!I31</f>
        <v>0</v>
      </c>
      <c r="I9" s="37">
        <f>Roster!J31</f>
        <v>0</v>
      </c>
      <c r="J9" s="37">
        <f>Roster!K31</f>
        <v>0</v>
      </c>
      <c r="K9" s="37">
        <f>Roster!L31</f>
        <v>0</v>
      </c>
      <c r="L9" s="37">
        <f>Roster!M31</f>
        <v>0</v>
      </c>
      <c r="M9" s="37">
        <f>Roster!N31</f>
        <v>0</v>
      </c>
      <c r="N9" s="37">
        <f>Roster!O31</f>
        <v>0</v>
      </c>
      <c r="O9" s="37">
        <f>Roster!P31</f>
        <v>0</v>
      </c>
      <c r="P9" s="37">
        <f>Roster!Q31</f>
        <v>0</v>
      </c>
      <c r="Q9" s="37">
        <f>Roster!R31</f>
        <v>0</v>
      </c>
      <c r="R9" s="37">
        <f>Roster!S31</f>
        <v>0</v>
      </c>
      <c r="S9" s="37">
        <f>Roster!T31</f>
        <v>0</v>
      </c>
      <c r="T9" s="37">
        <f>Roster!U31</f>
        <v>0</v>
      </c>
      <c r="U9" s="37">
        <f>Roster!V31</f>
        <v>0</v>
      </c>
      <c r="V9" s="37">
        <f>Roster!W31</f>
        <v>0</v>
      </c>
      <c r="W9" s="37">
        <f>Roster!X31</f>
        <v>0</v>
      </c>
      <c r="X9" s="37">
        <f>Roster!Y31</f>
        <v>0</v>
      </c>
      <c r="Y9" s="37">
        <f>Roster!Z31</f>
        <v>0</v>
      </c>
      <c r="Z9" s="37">
        <f>Roster!AA31</f>
        <v>0</v>
      </c>
      <c r="AA9" s="37">
        <f>Roster!AB31</f>
        <v>0</v>
      </c>
      <c r="AB9" s="37">
        <f>Roster!AC31</f>
        <v>0</v>
      </c>
      <c r="AC9" s="37">
        <f>Roster!AD31</f>
        <v>0</v>
      </c>
      <c r="AD9" s="37">
        <f>Roster!AE31</f>
        <v>0</v>
      </c>
      <c r="AE9" s="37">
        <f>Roster!AF31</f>
        <v>0</v>
      </c>
      <c r="AF9" s="37">
        <f>Roster!AG31</f>
        <v>0</v>
      </c>
      <c r="AG9" s="38">
        <f>Roster!AH31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Roster!D46</f>
        <v>D</v>
      </c>
      <c r="D12" s="37" t="str">
        <f>Roster!E46</f>
        <v>A</v>
      </c>
      <c r="E12" s="37">
        <f>Roster!F46</f>
        <v>0</v>
      </c>
      <c r="F12" s="37">
        <f>Roster!G46</f>
        <v>0</v>
      </c>
      <c r="G12" s="37" t="str">
        <f>Roster!H46</f>
        <v>D</v>
      </c>
      <c r="H12" s="37" t="str">
        <f>Roster!I46</f>
        <v>NA</v>
      </c>
      <c r="I12" s="37" t="str">
        <f>Roster!J46</f>
        <v>D</v>
      </c>
      <c r="J12" s="37" t="str">
        <f>Roster!K46</f>
        <v>D</v>
      </c>
      <c r="K12" s="37">
        <f>Roster!L46</f>
        <v>0</v>
      </c>
      <c r="L12" s="37">
        <f>Roster!M46</f>
        <v>0</v>
      </c>
      <c r="M12" s="37">
        <f>Roster!N46</f>
        <v>0</v>
      </c>
      <c r="N12" s="37">
        <f>Roster!O46</f>
        <v>0</v>
      </c>
      <c r="O12" s="37" t="str">
        <f>Roster!P46</f>
        <v>A</v>
      </c>
      <c r="P12" s="37">
        <f>Roster!Q46</f>
        <v>0</v>
      </c>
      <c r="Q12" s="37">
        <f>Roster!R46</f>
        <v>0</v>
      </c>
      <c r="R12" s="37">
        <f>Roster!S46</f>
        <v>0</v>
      </c>
      <c r="S12" s="37">
        <f>Roster!T46</f>
        <v>0</v>
      </c>
      <c r="T12" s="37">
        <f>Roster!U46</f>
        <v>0</v>
      </c>
      <c r="U12" s="37">
        <f>Roster!V46</f>
        <v>0</v>
      </c>
      <c r="V12" s="37">
        <f>Roster!W46</f>
        <v>0</v>
      </c>
      <c r="W12" s="37">
        <f>Roster!X46</f>
        <v>0</v>
      </c>
      <c r="X12" s="37">
        <f>Roster!Y46</f>
        <v>0</v>
      </c>
      <c r="Y12" s="37">
        <f>Roster!Z46</f>
        <v>0</v>
      </c>
      <c r="Z12" s="37">
        <f>Roster!AA46</f>
        <v>0</v>
      </c>
      <c r="AA12" s="37">
        <f>Roster!AB46</f>
        <v>0</v>
      </c>
      <c r="AB12" s="37">
        <f>Roster!AC46</f>
        <v>0</v>
      </c>
      <c r="AC12" s="37">
        <f>Roster!AD46</f>
        <v>0</v>
      </c>
      <c r="AD12" s="37">
        <f>Roster!AE46</f>
        <v>0</v>
      </c>
      <c r="AE12" s="37">
        <f>Roster!AF46</f>
        <v>0</v>
      </c>
      <c r="AF12" s="38">
        <f>Roster!AG46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Roster!D61</f>
        <v>0</v>
      </c>
      <c r="D15" s="37">
        <f>Roster!E61</f>
        <v>0</v>
      </c>
      <c r="E15" s="37">
        <f>Roster!F61</f>
        <v>0</v>
      </c>
      <c r="F15" s="37">
        <f>Roster!G61</f>
        <v>0</v>
      </c>
      <c r="G15" s="37">
        <f>Roster!H61</f>
        <v>0</v>
      </c>
      <c r="H15" s="37">
        <f>Roster!I61</f>
        <v>0</v>
      </c>
      <c r="I15" s="37">
        <f>Roster!J61</f>
        <v>0</v>
      </c>
      <c r="J15" s="37">
        <f>Roster!K61</f>
        <v>0</v>
      </c>
      <c r="K15" s="37">
        <f>Roster!L61</f>
        <v>0</v>
      </c>
      <c r="L15" s="37">
        <f>Roster!M61</f>
        <v>0</v>
      </c>
      <c r="M15" s="37">
        <f>Roster!N61</f>
        <v>0</v>
      </c>
      <c r="N15" s="37">
        <f>Roster!O61</f>
        <v>0</v>
      </c>
      <c r="O15" s="37">
        <f>Roster!P61</f>
        <v>0</v>
      </c>
      <c r="P15" s="37">
        <f>Roster!Q61</f>
        <v>0</v>
      </c>
      <c r="Q15" s="37">
        <f>Roster!R61</f>
        <v>0</v>
      </c>
      <c r="R15" s="37">
        <f>Roster!S61</f>
        <v>0</v>
      </c>
      <c r="S15" s="37">
        <f>Roster!T61</f>
        <v>0</v>
      </c>
      <c r="T15" s="37">
        <f>Roster!U61</f>
        <v>0</v>
      </c>
      <c r="U15" s="37">
        <f>Roster!V61</f>
        <v>0</v>
      </c>
      <c r="V15" s="37">
        <f>Roster!W61</f>
        <v>0</v>
      </c>
      <c r="W15" s="37">
        <f>Roster!X61</f>
        <v>0</v>
      </c>
      <c r="X15" s="37">
        <f>Roster!Y61</f>
        <v>0</v>
      </c>
      <c r="Y15" s="37">
        <f>Roster!Z61</f>
        <v>0</v>
      </c>
      <c r="Z15" s="37">
        <f>Roster!AA61</f>
        <v>0</v>
      </c>
      <c r="AA15" s="37">
        <f>Roster!AB61</f>
        <v>0</v>
      </c>
      <c r="AB15" s="37">
        <f>Roster!AC61</f>
        <v>0</v>
      </c>
      <c r="AC15" s="37">
        <f>Roster!AD61</f>
        <v>0</v>
      </c>
      <c r="AD15" s="37">
        <f>Roster!AE61</f>
        <v>0</v>
      </c>
      <c r="AE15" s="37">
        <f>Roster!AF61</f>
        <v>0</v>
      </c>
      <c r="AF15" s="37">
        <f>Roster!AG61</f>
        <v>0</v>
      </c>
      <c r="AG15" s="38">
        <f>Roster!AH61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Roster!D76</f>
        <v>0</v>
      </c>
      <c r="D18" s="37">
        <f>Roster!E76</f>
        <v>0</v>
      </c>
      <c r="E18" s="37">
        <f>Roster!F76</f>
        <v>0</v>
      </c>
      <c r="F18" s="37">
        <f>Roster!G76</f>
        <v>0</v>
      </c>
      <c r="G18" s="37">
        <f>Roster!H76</f>
        <v>0</v>
      </c>
      <c r="H18" s="37">
        <f>Roster!I76</f>
        <v>0</v>
      </c>
      <c r="I18" s="37">
        <f>Roster!J76</f>
        <v>0</v>
      </c>
      <c r="J18" s="37">
        <f>Roster!K76</f>
        <v>0</v>
      </c>
      <c r="K18" s="37">
        <f>Roster!L76</f>
        <v>0</v>
      </c>
      <c r="L18" s="37">
        <f>Roster!M76</f>
        <v>0</v>
      </c>
      <c r="M18" s="37">
        <f>Roster!N76</f>
        <v>0</v>
      </c>
      <c r="N18" s="37">
        <f>Roster!O76</f>
        <v>0</v>
      </c>
      <c r="O18" s="37">
        <f>Roster!P76</f>
        <v>0</v>
      </c>
      <c r="P18" s="37">
        <f>Roster!Q76</f>
        <v>0</v>
      </c>
      <c r="Q18" s="37">
        <f>Roster!R76</f>
        <v>0</v>
      </c>
      <c r="R18" s="37">
        <f>Roster!S76</f>
        <v>0</v>
      </c>
      <c r="S18" s="37">
        <f>Roster!T76</f>
        <v>0</v>
      </c>
      <c r="T18" s="37">
        <f>Roster!U76</f>
        <v>0</v>
      </c>
      <c r="U18" s="37">
        <f>Roster!V76</f>
        <v>0</v>
      </c>
      <c r="V18" s="37">
        <f>Roster!W76</f>
        <v>0</v>
      </c>
      <c r="W18" s="37">
        <f>Roster!X76</f>
        <v>0</v>
      </c>
      <c r="X18" s="37">
        <f>Roster!Y76</f>
        <v>0</v>
      </c>
      <c r="Y18" s="37">
        <f>Roster!Z76</f>
        <v>0</v>
      </c>
      <c r="Z18" s="37">
        <f>Roster!AA76</f>
        <v>0</v>
      </c>
      <c r="AA18" s="37">
        <f>Roster!AB76</f>
        <v>0</v>
      </c>
      <c r="AB18" s="37">
        <f>Roster!AC76</f>
        <v>0</v>
      </c>
      <c r="AC18" s="37">
        <f>Roster!AD76</f>
        <v>0</v>
      </c>
      <c r="AD18" s="37">
        <f>Roster!AE76</f>
        <v>0</v>
      </c>
      <c r="AE18" s="37">
        <f>Roster!AF76</f>
        <v>0</v>
      </c>
      <c r="AF18" s="38">
        <f>Roster!AG76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Roster!D91</f>
        <v>0</v>
      </c>
      <c r="D21" s="37">
        <f>Roster!E91</f>
        <v>0</v>
      </c>
      <c r="E21" s="37">
        <f>Roster!F91</f>
        <v>0</v>
      </c>
      <c r="F21" s="37">
        <f>Roster!G91</f>
        <v>0</v>
      </c>
      <c r="G21" s="37">
        <f>Roster!H91</f>
        <v>0</v>
      </c>
      <c r="H21" s="37">
        <f>Roster!I91</f>
        <v>0</v>
      </c>
      <c r="I21" s="37">
        <f>Roster!J91</f>
        <v>0</v>
      </c>
      <c r="J21" s="37">
        <f>Roster!K91</f>
        <v>0</v>
      </c>
      <c r="K21" s="37">
        <f>Roster!L91</f>
        <v>0</v>
      </c>
      <c r="L21" s="37">
        <f>Roster!M91</f>
        <v>0</v>
      </c>
      <c r="M21" s="37">
        <f>Roster!N91</f>
        <v>0</v>
      </c>
      <c r="N21" s="37">
        <f>Roster!O91</f>
        <v>0</v>
      </c>
      <c r="O21" s="37">
        <f>Roster!P91</f>
        <v>0</v>
      </c>
      <c r="P21" s="37">
        <f>Roster!Q91</f>
        <v>0</v>
      </c>
      <c r="Q21" s="37">
        <f>Roster!R91</f>
        <v>0</v>
      </c>
      <c r="R21" s="37">
        <f>Roster!S91</f>
        <v>0</v>
      </c>
      <c r="S21" s="37">
        <f>Roster!T91</f>
        <v>0</v>
      </c>
      <c r="T21" s="37">
        <f>Roster!U91</f>
        <v>0</v>
      </c>
      <c r="U21" s="37">
        <f>Roster!V91</f>
        <v>0</v>
      </c>
      <c r="V21" s="37">
        <f>Roster!W91</f>
        <v>0</v>
      </c>
      <c r="W21" s="37">
        <f>Roster!X91</f>
        <v>0</v>
      </c>
      <c r="X21" s="37">
        <f>Roster!Y91</f>
        <v>0</v>
      </c>
      <c r="Y21" s="37">
        <f>Roster!Z91</f>
        <v>0</v>
      </c>
      <c r="Z21" s="37">
        <f>Roster!AA91</f>
        <v>0</v>
      </c>
      <c r="AA21" s="37">
        <f>Roster!AB91</f>
        <v>0</v>
      </c>
      <c r="AB21" s="37">
        <f>Roster!AC91</f>
        <v>0</v>
      </c>
      <c r="AC21" s="37">
        <f>Roster!AD91</f>
        <v>0</v>
      </c>
      <c r="AD21" s="37">
        <f>Roster!AE91</f>
        <v>0</v>
      </c>
      <c r="AE21" s="37">
        <f>Roster!AF91</f>
        <v>0</v>
      </c>
      <c r="AF21" s="37">
        <f>Roster!AG91</f>
        <v>0</v>
      </c>
      <c r="AG21" s="38">
        <f>Roster!AH91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Roster!D106</f>
        <v>0</v>
      </c>
      <c r="D24" s="49">
        <f>Roster!E106</f>
        <v>0</v>
      </c>
      <c r="E24" s="40">
        <f>Roster!F106</f>
        <v>0</v>
      </c>
      <c r="F24" s="40">
        <f>Roster!G106</f>
        <v>0</v>
      </c>
      <c r="G24" s="40">
        <f>Roster!H106</f>
        <v>0</v>
      </c>
      <c r="H24" s="40">
        <f>Roster!I106</f>
        <v>0</v>
      </c>
      <c r="I24" s="40">
        <f>Roster!J106</f>
        <v>0</v>
      </c>
      <c r="J24" s="40">
        <f>Roster!K106</f>
        <v>0</v>
      </c>
      <c r="K24" s="40">
        <f>Roster!L106</f>
        <v>0</v>
      </c>
      <c r="L24" s="40">
        <f>Roster!M106</f>
        <v>0</v>
      </c>
      <c r="M24" s="40">
        <f>Roster!N106</f>
        <v>0</v>
      </c>
      <c r="N24" s="40">
        <f>Roster!O106</f>
        <v>0</v>
      </c>
      <c r="O24" s="40">
        <f>Roster!P106</f>
        <v>0</v>
      </c>
      <c r="P24" s="40">
        <f>Roster!Q106</f>
        <v>0</v>
      </c>
      <c r="Q24" s="40">
        <f>Roster!R106</f>
        <v>0</v>
      </c>
      <c r="R24" s="40">
        <f>Roster!S106</f>
        <v>0</v>
      </c>
      <c r="S24" s="40">
        <f>Roster!T106</f>
        <v>0</v>
      </c>
      <c r="T24" s="40">
        <f>Roster!U106</f>
        <v>0</v>
      </c>
      <c r="U24" s="40">
        <f>Roster!V106</f>
        <v>0</v>
      </c>
      <c r="V24" s="40">
        <f>Roster!W106</f>
        <v>0</v>
      </c>
      <c r="W24" s="40">
        <f>Roster!X106</f>
        <v>0</v>
      </c>
      <c r="X24" s="40">
        <f>Roster!Y106</f>
        <v>0</v>
      </c>
      <c r="Y24" s="40">
        <f>Roster!Z106</f>
        <v>0</v>
      </c>
      <c r="Z24" s="40">
        <f>Roster!AA106</f>
        <v>0</v>
      </c>
      <c r="AA24" s="40">
        <f>Roster!AB106</f>
        <v>0</v>
      </c>
      <c r="AB24" s="40">
        <f>Roster!AC106</f>
        <v>0</v>
      </c>
      <c r="AC24" s="40">
        <f>Roster!AD106</f>
        <v>0</v>
      </c>
      <c r="AD24" s="40">
        <f>Roster!AE106</f>
        <v>0</v>
      </c>
      <c r="AE24" s="40">
        <f>Roster!AF106</f>
        <v>0</v>
      </c>
      <c r="AF24" s="40">
        <f>Roster!AG106</f>
        <v>0</v>
      </c>
      <c r="AG24" s="41">
        <f>Roster!AH106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Roster!D121</f>
        <v>0</v>
      </c>
      <c r="D27" s="37">
        <f>Roster!E121</f>
        <v>0</v>
      </c>
      <c r="E27" s="37">
        <f>Roster!F121</f>
        <v>0</v>
      </c>
      <c r="F27" s="37">
        <f>Roster!G121</f>
        <v>0</v>
      </c>
      <c r="G27" s="37">
        <f>Roster!H121</f>
        <v>0</v>
      </c>
      <c r="H27" s="37">
        <f>Roster!I121</f>
        <v>0</v>
      </c>
      <c r="I27" s="37">
        <f>Roster!J121</f>
        <v>0</v>
      </c>
      <c r="J27" s="37">
        <f>Roster!K121</f>
        <v>0</v>
      </c>
      <c r="K27" s="37">
        <f>Roster!L121</f>
        <v>0</v>
      </c>
      <c r="L27" s="37">
        <f>Roster!M121</f>
        <v>0</v>
      </c>
      <c r="M27" s="37">
        <f>Roster!N121</f>
        <v>0</v>
      </c>
      <c r="N27" s="37">
        <f>Roster!O121</f>
        <v>0</v>
      </c>
      <c r="O27" s="37">
        <f>Roster!P121</f>
        <v>0</v>
      </c>
      <c r="P27" s="37">
        <f>Roster!Q121</f>
        <v>0</v>
      </c>
      <c r="Q27" s="37">
        <f>Roster!R121</f>
        <v>0</v>
      </c>
      <c r="R27" s="37">
        <f>Roster!S121</f>
        <v>0</v>
      </c>
      <c r="S27" s="37">
        <f>Roster!T121</f>
        <v>0</v>
      </c>
      <c r="T27" s="37">
        <f>Roster!U121</f>
        <v>0</v>
      </c>
      <c r="U27" s="37">
        <f>Roster!V121</f>
        <v>0</v>
      </c>
      <c r="V27" s="37">
        <f>Roster!W121</f>
        <v>0</v>
      </c>
      <c r="W27" s="37">
        <f>Roster!X121</f>
        <v>0</v>
      </c>
      <c r="X27" s="37">
        <f>Roster!Y121</f>
        <v>0</v>
      </c>
      <c r="Y27" s="37">
        <f>Roster!Z121</f>
        <v>0</v>
      </c>
      <c r="Z27" s="37">
        <f>Roster!AA121</f>
        <v>0</v>
      </c>
      <c r="AA27" s="37">
        <f>Roster!AB121</f>
        <v>0</v>
      </c>
      <c r="AB27" s="37">
        <f>Roster!AC121</f>
        <v>0</v>
      </c>
      <c r="AC27" s="37">
        <f>Roster!AD121</f>
        <v>0</v>
      </c>
      <c r="AD27" s="43">
        <f>Roster!AE121</f>
        <v>0</v>
      </c>
      <c r="AE27" s="134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Roster!D136</f>
        <v>0</v>
      </c>
      <c r="D30" s="37">
        <f>Roster!E136</f>
        <v>0</v>
      </c>
      <c r="E30" s="37">
        <f>Roster!F136</f>
        <v>0</v>
      </c>
      <c r="F30" s="37">
        <f>Roster!G136</f>
        <v>0</v>
      </c>
      <c r="G30" s="37">
        <f>Roster!H136</f>
        <v>0</v>
      </c>
      <c r="H30" s="37">
        <f>Roster!I136</f>
        <v>0</v>
      </c>
      <c r="I30" s="37">
        <f>Roster!J136</f>
        <v>0</v>
      </c>
      <c r="J30" s="37">
        <f>Roster!K136</f>
        <v>0</v>
      </c>
      <c r="K30" s="37">
        <f>Roster!L136</f>
        <v>0</v>
      </c>
      <c r="L30" s="37">
        <f>Roster!M136</f>
        <v>0</v>
      </c>
      <c r="M30" s="37">
        <f>Roster!N136</f>
        <v>0</v>
      </c>
      <c r="N30" s="37">
        <f>Roster!O136</f>
        <v>0</v>
      </c>
      <c r="O30" s="37">
        <f>Roster!P136</f>
        <v>0</v>
      </c>
      <c r="P30" s="37">
        <f>Roster!Q136</f>
        <v>0</v>
      </c>
      <c r="Q30" s="37">
        <f>Roster!R136</f>
        <v>0</v>
      </c>
      <c r="R30" s="37">
        <f>Roster!S136</f>
        <v>0</v>
      </c>
      <c r="S30" s="37">
        <f>Roster!T136</f>
        <v>0</v>
      </c>
      <c r="T30" s="37">
        <f>Roster!U136</f>
        <v>0</v>
      </c>
      <c r="U30" s="37">
        <f>Roster!V136</f>
        <v>0</v>
      </c>
      <c r="V30" s="37">
        <f>Roster!W136</f>
        <v>0</v>
      </c>
      <c r="W30" s="37">
        <f>Roster!X136</f>
        <v>0</v>
      </c>
      <c r="X30" s="37">
        <f>Roster!Y136</f>
        <v>0</v>
      </c>
      <c r="Y30" s="37">
        <f>Roster!Z136</f>
        <v>0</v>
      </c>
      <c r="Z30" s="37">
        <f>Roster!AA136</f>
        <v>0</v>
      </c>
      <c r="AA30" s="37">
        <f>Roster!AB136</f>
        <v>0</v>
      </c>
      <c r="AB30" s="37">
        <f>Roster!AC136</f>
        <v>0</v>
      </c>
      <c r="AC30" s="37">
        <f>Roster!AD136</f>
        <v>0</v>
      </c>
      <c r="AD30" s="37">
        <f>Roster!AE136</f>
        <v>0</v>
      </c>
      <c r="AE30" s="37">
        <f>Roster!AF136</f>
        <v>0</v>
      </c>
      <c r="AF30" s="37">
        <f>Roster!AG136</f>
        <v>0</v>
      </c>
      <c r="AG30" s="41">
        <f>Roster!AH136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Roster!D151</f>
        <v>0</v>
      </c>
      <c r="D33" s="37">
        <f>Roster!E151</f>
        <v>0</v>
      </c>
      <c r="E33" s="37">
        <f>Roster!F151</f>
        <v>0</v>
      </c>
      <c r="F33" s="37">
        <f>Roster!G151</f>
        <v>0</v>
      </c>
      <c r="G33" s="37">
        <f>Roster!H151</f>
        <v>0</v>
      </c>
      <c r="H33" s="37">
        <f>Roster!I151</f>
        <v>0</v>
      </c>
      <c r="I33" s="37">
        <f>Roster!J151</f>
        <v>0</v>
      </c>
      <c r="J33" s="37">
        <f>Roster!K151</f>
        <v>0</v>
      </c>
      <c r="K33" s="37">
        <f>Roster!L151</f>
        <v>0</v>
      </c>
      <c r="L33" s="37">
        <f>Roster!M151</f>
        <v>0</v>
      </c>
      <c r="M33" s="37">
        <f>Roster!N151</f>
        <v>0</v>
      </c>
      <c r="N33" s="37">
        <f>Roster!O151</f>
        <v>0</v>
      </c>
      <c r="O33" s="37">
        <f>Roster!P151</f>
        <v>0</v>
      </c>
      <c r="P33" s="37">
        <f>Roster!Q151</f>
        <v>0</v>
      </c>
      <c r="Q33" s="37">
        <f>Roster!R151</f>
        <v>0</v>
      </c>
      <c r="R33" s="37">
        <f>Roster!S151</f>
        <v>0</v>
      </c>
      <c r="S33" s="37">
        <f>Roster!T151</f>
        <v>0</v>
      </c>
      <c r="T33" s="37">
        <f>Roster!U151</f>
        <v>0</v>
      </c>
      <c r="U33" s="37">
        <f>Roster!V151</f>
        <v>0</v>
      </c>
      <c r="V33" s="37">
        <f>Roster!W151</f>
        <v>0</v>
      </c>
      <c r="W33" s="37">
        <f>Roster!X151</f>
        <v>0</v>
      </c>
      <c r="X33" s="37">
        <f>Roster!Y151</f>
        <v>0</v>
      </c>
      <c r="Y33" s="37">
        <f>Roster!Z151</f>
        <v>0</v>
      </c>
      <c r="Z33" s="37">
        <f>Roster!AA151</f>
        <v>0</v>
      </c>
      <c r="AA33" s="37">
        <f>Roster!AB151</f>
        <v>0</v>
      </c>
      <c r="AB33" s="37">
        <f>Roster!AC151</f>
        <v>0</v>
      </c>
      <c r="AC33" s="37">
        <f>Roster!AD151</f>
        <v>0</v>
      </c>
      <c r="AD33" s="37">
        <f>Roster!AE151</f>
        <v>0</v>
      </c>
      <c r="AE33" s="37">
        <f>Roster!AF151</f>
        <v>0</v>
      </c>
      <c r="AF33" s="38">
        <f>Roster!AG151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Roster!D166</f>
        <v>0</v>
      </c>
      <c r="D36" s="37">
        <f>Roster!E166</f>
        <v>0</v>
      </c>
      <c r="E36" s="37">
        <f>Roster!F166</f>
        <v>0</v>
      </c>
      <c r="F36" s="37">
        <f>Roster!G166</f>
        <v>0</v>
      </c>
      <c r="G36" s="37">
        <f>Roster!H166</f>
        <v>0</v>
      </c>
      <c r="H36" s="37">
        <f>Roster!I166</f>
        <v>0</v>
      </c>
      <c r="I36" s="37">
        <f>Roster!J166</f>
        <v>0</v>
      </c>
      <c r="J36" s="37">
        <f>Roster!K166</f>
        <v>0</v>
      </c>
      <c r="K36" s="37">
        <f>Roster!L166</f>
        <v>0</v>
      </c>
      <c r="L36" s="37">
        <f>Roster!M166</f>
        <v>0</v>
      </c>
      <c r="M36" s="37">
        <f>Roster!N166</f>
        <v>0</v>
      </c>
      <c r="N36" s="37">
        <f>Roster!O166</f>
        <v>0</v>
      </c>
      <c r="O36" s="37">
        <f>Roster!P166</f>
        <v>0</v>
      </c>
      <c r="P36" s="37">
        <f>Roster!Q166</f>
        <v>0</v>
      </c>
      <c r="Q36" s="37">
        <f>Roster!R166</f>
        <v>0</v>
      </c>
      <c r="R36" s="37">
        <f>Roster!S166</f>
        <v>0</v>
      </c>
      <c r="S36" s="37">
        <f>Roster!T166</f>
        <v>0</v>
      </c>
      <c r="T36" s="37">
        <f>Roster!U166</f>
        <v>0</v>
      </c>
      <c r="U36" s="37">
        <f>Roster!V166</f>
        <v>0</v>
      </c>
      <c r="V36" s="37">
        <f>Roster!W166</f>
        <v>0</v>
      </c>
      <c r="W36" s="37">
        <f>Roster!X166</f>
        <v>0</v>
      </c>
      <c r="X36" s="37">
        <f>Roster!Y166</f>
        <v>0</v>
      </c>
      <c r="Y36" s="37">
        <f>Roster!Z166</f>
        <v>0</v>
      </c>
      <c r="Z36" s="37">
        <f>Roster!AA166</f>
        <v>0</v>
      </c>
      <c r="AA36" s="37">
        <f>Roster!AB166</f>
        <v>0</v>
      </c>
      <c r="AB36" s="37">
        <f>Roster!AC166</f>
        <v>0</v>
      </c>
      <c r="AC36" s="37">
        <f>Roster!AD166</f>
        <v>0</v>
      </c>
      <c r="AD36" s="37">
        <f>Roster!AE166</f>
        <v>0</v>
      </c>
      <c r="AE36" s="37">
        <f>Roster!AF166</f>
        <v>0</v>
      </c>
      <c r="AF36" s="37">
        <f>Roster!AG166</f>
        <v>0</v>
      </c>
      <c r="AG36" s="38">
        <f>Roster!AH166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Roster!D181</f>
        <v>0</v>
      </c>
      <c r="D39" s="37">
        <f>Roster!E181</f>
        <v>0</v>
      </c>
      <c r="E39" s="37">
        <f>Roster!F181</f>
        <v>0</v>
      </c>
      <c r="F39" s="37">
        <f>Roster!G181</f>
        <v>0</v>
      </c>
      <c r="G39" s="37">
        <f>Roster!H181</f>
        <v>0</v>
      </c>
      <c r="H39" s="37">
        <f>Roster!I181</f>
        <v>0</v>
      </c>
      <c r="I39" s="37">
        <f>Roster!J181</f>
        <v>0</v>
      </c>
      <c r="J39" s="37">
        <f>Roster!K181</f>
        <v>0</v>
      </c>
      <c r="K39" s="37">
        <f>Roster!L181</f>
        <v>0</v>
      </c>
      <c r="L39" s="37">
        <f>Roster!M181</f>
        <v>0</v>
      </c>
      <c r="M39" s="37">
        <f>Roster!N181</f>
        <v>0</v>
      </c>
      <c r="N39" s="37">
        <f>Roster!O181</f>
        <v>0</v>
      </c>
      <c r="O39" s="37">
        <f>Roster!P181</f>
        <v>0</v>
      </c>
      <c r="P39" s="37">
        <f>Roster!Q181</f>
        <v>0</v>
      </c>
      <c r="Q39" s="37">
        <f>Roster!R181</f>
        <v>0</v>
      </c>
      <c r="R39" s="37">
        <f>Roster!S181</f>
        <v>0</v>
      </c>
      <c r="S39" s="37">
        <f>Roster!T181</f>
        <v>0</v>
      </c>
      <c r="T39" s="37">
        <f>Roster!U181</f>
        <v>0</v>
      </c>
      <c r="U39" s="37">
        <f>Roster!V181</f>
        <v>0</v>
      </c>
      <c r="V39" s="37">
        <f>Roster!W181</f>
        <v>0</v>
      </c>
      <c r="W39" s="37">
        <f>Roster!X181</f>
        <v>0</v>
      </c>
      <c r="X39" s="37">
        <f>Roster!Y181</f>
        <v>0</v>
      </c>
      <c r="Y39" s="37">
        <f>Roster!Z181</f>
        <v>0</v>
      </c>
      <c r="Z39" s="37">
        <f>Roster!AA181</f>
        <v>0</v>
      </c>
      <c r="AA39" s="37">
        <f>Roster!AB181</f>
        <v>0</v>
      </c>
      <c r="AB39" s="37">
        <f>Roster!AC181</f>
        <v>0</v>
      </c>
      <c r="AC39" s="37">
        <f>Roster!AD181</f>
        <v>0</v>
      </c>
      <c r="AD39" s="37">
        <f>Roster!AE181</f>
        <v>0</v>
      </c>
      <c r="AE39" s="37">
        <f>Roster!AF181</f>
        <v>0</v>
      </c>
      <c r="AF39" s="38">
        <f>Roster!AG181</f>
        <v>0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Roster!D17</f>
        <v>0</v>
      </c>
      <c r="D6" s="37">
        <f>Roster!E17</f>
        <v>0</v>
      </c>
      <c r="E6" s="37">
        <f>Roster!F17</f>
        <v>0</v>
      </c>
      <c r="F6" s="37">
        <f>Roster!G17</f>
        <v>0</v>
      </c>
      <c r="G6" s="37">
        <f>Roster!H17</f>
        <v>0</v>
      </c>
      <c r="H6" s="37">
        <f>Roster!I17</f>
        <v>0</v>
      </c>
      <c r="I6" s="37">
        <f>Roster!J17</f>
        <v>0</v>
      </c>
      <c r="J6" s="37">
        <f>Roster!K17</f>
        <v>0</v>
      </c>
      <c r="K6" s="37">
        <f>Roster!L17</f>
        <v>0</v>
      </c>
      <c r="L6" s="37">
        <f>Roster!M17</f>
        <v>0</v>
      </c>
      <c r="M6" s="37">
        <f>Roster!N17</f>
        <v>0</v>
      </c>
      <c r="N6" s="37">
        <f>Roster!O17</f>
        <v>0</v>
      </c>
      <c r="O6" s="37">
        <f>Roster!P17</f>
        <v>0</v>
      </c>
      <c r="P6" s="37">
        <f>Roster!Q17</f>
        <v>0</v>
      </c>
      <c r="Q6" s="37">
        <f>Roster!R17</f>
        <v>0</v>
      </c>
      <c r="R6" s="37">
        <f>Roster!S17</f>
        <v>0</v>
      </c>
      <c r="S6" s="37">
        <f>Roster!T17</f>
        <v>0</v>
      </c>
      <c r="T6" s="37">
        <f>Roster!U17</f>
        <v>0</v>
      </c>
      <c r="U6" s="37">
        <f>Roster!V17</f>
        <v>0</v>
      </c>
      <c r="V6" s="37">
        <f>Roster!W17</f>
        <v>0</v>
      </c>
      <c r="W6" s="37">
        <f>Roster!X17</f>
        <v>0</v>
      </c>
      <c r="X6" s="37">
        <f>Roster!Y17</f>
        <v>0</v>
      </c>
      <c r="Y6" s="37">
        <f>Roster!Z17</f>
        <v>0</v>
      </c>
      <c r="Z6" s="37">
        <f>Roster!AA17</f>
        <v>0</v>
      </c>
      <c r="AA6" s="37">
        <f>Roster!AB17</f>
        <v>0</v>
      </c>
      <c r="AB6" s="37">
        <f>Roster!AC17</f>
        <v>0</v>
      </c>
      <c r="AC6" s="37">
        <f>Roster!AD17</f>
        <v>0</v>
      </c>
      <c r="AD6" s="37">
        <f>Roster!AE17</f>
        <v>0</v>
      </c>
      <c r="AE6" s="37">
        <f>Roster!AF17</f>
        <v>0</v>
      </c>
      <c r="AF6" s="37">
        <f>Roster!AG17</f>
        <v>0</v>
      </c>
      <c r="AG6" s="38">
        <f>Roster!AH17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Roster!D32</f>
        <v>0</v>
      </c>
      <c r="D9" s="39">
        <f>Roster!E32</f>
        <v>0</v>
      </c>
      <c r="E9" s="37">
        <f>Roster!F32</f>
        <v>0</v>
      </c>
      <c r="F9" s="37">
        <f>Roster!G32</f>
        <v>0</v>
      </c>
      <c r="G9" s="37">
        <f>Roster!H32</f>
        <v>0</v>
      </c>
      <c r="H9" s="37">
        <f>Roster!I32</f>
        <v>0</v>
      </c>
      <c r="I9" s="37">
        <f>Roster!J32</f>
        <v>0</v>
      </c>
      <c r="J9" s="37">
        <f>Roster!K32</f>
        <v>0</v>
      </c>
      <c r="K9" s="37">
        <f>Roster!L32</f>
        <v>0</v>
      </c>
      <c r="L9" s="37">
        <f>Roster!M32</f>
        <v>0</v>
      </c>
      <c r="M9" s="37">
        <f>Roster!N32</f>
        <v>0</v>
      </c>
      <c r="N9" s="37">
        <f>Roster!O32</f>
        <v>0</v>
      </c>
      <c r="O9" s="37">
        <f>Roster!P32</f>
        <v>0</v>
      </c>
      <c r="P9" s="37">
        <f>Roster!Q32</f>
        <v>0</v>
      </c>
      <c r="Q9" s="37">
        <f>Roster!R32</f>
        <v>0</v>
      </c>
      <c r="R9" s="37">
        <f>Roster!S32</f>
        <v>0</v>
      </c>
      <c r="S9" s="37">
        <f>Roster!T32</f>
        <v>0</v>
      </c>
      <c r="T9" s="37">
        <f>Roster!U32</f>
        <v>0</v>
      </c>
      <c r="U9" s="37">
        <f>Roster!V32</f>
        <v>0</v>
      </c>
      <c r="V9" s="37">
        <f>Roster!W32</f>
        <v>0</v>
      </c>
      <c r="W9" s="37">
        <f>Roster!X32</f>
        <v>0</v>
      </c>
      <c r="X9" s="37">
        <f>Roster!Y32</f>
        <v>0</v>
      </c>
      <c r="Y9" s="37">
        <f>Roster!Z32</f>
        <v>0</v>
      </c>
      <c r="Z9" s="37">
        <f>Roster!AA32</f>
        <v>0</v>
      </c>
      <c r="AA9" s="37">
        <f>Roster!AB32</f>
        <v>0</v>
      </c>
      <c r="AB9" s="37">
        <f>Roster!AC32</f>
        <v>0</v>
      </c>
      <c r="AC9" s="37">
        <f>Roster!AD32</f>
        <v>0</v>
      </c>
      <c r="AD9" s="37">
        <f>Roster!AE32</f>
        <v>0</v>
      </c>
      <c r="AE9" s="37">
        <f>Roster!AF32</f>
        <v>0</v>
      </c>
      <c r="AF9" s="37">
        <f>Roster!AG32</f>
        <v>0</v>
      </c>
      <c r="AG9" s="38">
        <f>Roster!AH32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Roster!D47</f>
        <v>D</v>
      </c>
      <c r="D12" s="37">
        <f>Roster!E47</f>
        <v>0</v>
      </c>
      <c r="E12" s="37" t="str">
        <f>Roster!F47</f>
        <v>A</v>
      </c>
      <c r="F12" s="37">
        <f>Roster!G47</f>
        <v>0</v>
      </c>
      <c r="G12" s="37">
        <f>Roster!H47</f>
        <v>0</v>
      </c>
      <c r="H12" s="37" t="str">
        <f>Roster!I47</f>
        <v>D</v>
      </c>
      <c r="I12" s="37">
        <f>Roster!J47</f>
        <v>0</v>
      </c>
      <c r="J12" s="37">
        <f>Roster!K47</f>
        <v>0</v>
      </c>
      <c r="K12" s="37" t="str">
        <f>Roster!L47</f>
        <v>D</v>
      </c>
      <c r="L12" s="37" t="str">
        <f>Roster!M47</f>
        <v>D</v>
      </c>
      <c r="M12" s="37">
        <f>Roster!N47</f>
        <v>0</v>
      </c>
      <c r="N12" s="37">
        <f>Roster!O47</f>
        <v>0</v>
      </c>
      <c r="O12" s="37">
        <f>Roster!P47</f>
        <v>0</v>
      </c>
      <c r="P12" s="37" t="str">
        <f>Roster!Q47</f>
        <v>A</v>
      </c>
      <c r="Q12" s="37" t="str">
        <f>Roster!R47</f>
        <v>A</v>
      </c>
      <c r="R12" s="37">
        <f>Roster!S47</f>
        <v>0</v>
      </c>
      <c r="S12" s="37">
        <f>Roster!T47</f>
        <v>0</v>
      </c>
      <c r="T12" s="37">
        <f>Roster!U47</f>
        <v>0</v>
      </c>
      <c r="U12" s="37">
        <f>Roster!V47</f>
        <v>0</v>
      </c>
      <c r="V12" s="37">
        <f>Roster!W47</f>
        <v>0</v>
      </c>
      <c r="W12" s="37">
        <f>Roster!X47</f>
        <v>0</v>
      </c>
      <c r="X12" s="37">
        <f>Roster!Y47</f>
        <v>0</v>
      </c>
      <c r="Y12" s="37">
        <f>Roster!Z47</f>
        <v>0</v>
      </c>
      <c r="Z12" s="37">
        <f>Roster!AA47</f>
        <v>0</v>
      </c>
      <c r="AA12" s="37">
        <f>Roster!AB47</f>
        <v>0</v>
      </c>
      <c r="AB12" s="37">
        <f>Roster!AC47</f>
        <v>0</v>
      </c>
      <c r="AC12" s="37">
        <f>Roster!AD47</f>
        <v>0</v>
      </c>
      <c r="AD12" s="37">
        <f>Roster!AE47</f>
        <v>0</v>
      </c>
      <c r="AE12" s="37">
        <f>Roster!AF47</f>
        <v>0</v>
      </c>
      <c r="AF12" s="38">
        <f>Roster!AG47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Roster!D62</f>
        <v>0</v>
      </c>
      <c r="D15" s="37">
        <f>Roster!E62</f>
        <v>0</v>
      </c>
      <c r="E15" s="37">
        <f>Roster!F62</f>
        <v>0</v>
      </c>
      <c r="F15" s="37">
        <f>Roster!L62</f>
        <v>0</v>
      </c>
      <c r="G15" s="37">
        <f>Roster!H62</f>
        <v>0</v>
      </c>
      <c r="H15" s="37">
        <f>Roster!I62</f>
        <v>0</v>
      </c>
      <c r="I15" s="37">
        <f>Roster!J62</f>
        <v>0</v>
      </c>
      <c r="J15" s="37">
        <f>Roster!K62</f>
        <v>0</v>
      </c>
      <c r="K15" s="37">
        <f>Roster!L62</f>
        <v>0</v>
      </c>
      <c r="L15" s="37">
        <f>Roster!M62</f>
        <v>0</v>
      </c>
      <c r="M15" s="37">
        <f>Roster!N62</f>
        <v>0</v>
      </c>
      <c r="N15" s="37">
        <f>Roster!O62</f>
        <v>0</v>
      </c>
      <c r="O15" s="37">
        <f>Roster!P62</f>
        <v>0</v>
      </c>
      <c r="P15" s="37">
        <f>Roster!Q62</f>
        <v>0</v>
      </c>
      <c r="Q15" s="37">
        <f>Roster!R62</f>
        <v>0</v>
      </c>
      <c r="R15" s="37">
        <f>Roster!S62</f>
        <v>0</v>
      </c>
      <c r="S15" s="37">
        <f>Roster!T62</f>
        <v>0</v>
      </c>
      <c r="T15" s="37">
        <f>Roster!U62</f>
        <v>0</v>
      </c>
      <c r="U15" s="37">
        <f>Roster!V62</f>
        <v>0</v>
      </c>
      <c r="V15" s="37">
        <f>Roster!W62</f>
        <v>0</v>
      </c>
      <c r="W15" s="37">
        <f>Roster!X62</f>
        <v>0</v>
      </c>
      <c r="X15" s="37">
        <f>Roster!Y62</f>
        <v>0</v>
      </c>
      <c r="Y15" s="37">
        <f>Roster!Z62</f>
        <v>0</v>
      </c>
      <c r="Z15" s="37">
        <f>Roster!AA62</f>
        <v>0</v>
      </c>
      <c r="AA15" s="37">
        <f>Roster!AB62</f>
        <v>0</v>
      </c>
      <c r="AB15" s="37">
        <f>Roster!AC62</f>
        <v>0</v>
      </c>
      <c r="AC15" s="37">
        <f>Roster!AD62</f>
        <v>0</v>
      </c>
      <c r="AD15" s="37">
        <f>Roster!AE62</f>
        <v>0</v>
      </c>
      <c r="AE15" s="37">
        <f>Roster!AF62</f>
        <v>0</v>
      </c>
      <c r="AF15" s="37">
        <f>Roster!AG62</f>
        <v>0</v>
      </c>
      <c r="AG15" s="38">
        <f>Roster!AH62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Roster!D77</f>
        <v>0</v>
      </c>
      <c r="D18" s="37">
        <f>Roster!E77</f>
        <v>0</v>
      </c>
      <c r="E18" s="37">
        <f>Roster!F77</f>
        <v>0</v>
      </c>
      <c r="F18" s="37">
        <f>Roster!G77</f>
        <v>0</v>
      </c>
      <c r="G18" s="37">
        <f>Roster!H77</f>
        <v>0</v>
      </c>
      <c r="H18" s="37">
        <f>Roster!I77</f>
        <v>0</v>
      </c>
      <c r="I18" s="37">
        <f>Roster!J77</f>
        <v>0</v>
      </c>
      <c r="J18" s="37">
        <f>Roster!K77</f>
        <v>0</v>
      </c>
      <c r="K18" s="37">
        <f>Roster!L77</f>
        <v>0</v>
      </c>
      <c r="L18" s="37">
        <f>Roster!M77</f>
        <v>0</v>
      </c>
      <c r="M18" s="37">
        <f>Roster!N77</f>
        <v>0</v>
      </c>
      <c r="N18" s="37">
        <f>Roster!O77</f>
        <v>0</v>
      </c>
      <c r="O18" s="37">
        <f>Roster!P77</f>
        <v>0</v>
      </c>
      <c r="P18" s="37">
        <f>Roster!Q77</f>
        <v>0</v>
      </c>
      <c r="Q18" s="37">
        <f>Roster!R77</f>
        <v>0</v>
      </c>
      <c r="R18" s="37">
        <f>Roster!S77</f>
        <v>0</v>
      </c>
      <c r="S18" s="37">
        <f>Roster!T77</f>
        <v>0</v>
      </c>
      <c r="T18" s="37">
        <f>Roster!U77</f>
        <v>0</v>
      </c>
      <c r="U18" s="37">
        <f>Roster!V77</f>
        <v>0</v>
      </c>
      <c r="V18" s="37">
        <f>Roster!W77</f>
        <v>0</v>
      </c>
      <c r="W18" s="37">
        <f>Roster!X77</f>
        <v>0</v>
      </c>
      <c r="X18" s="37">
        <f>Roster!Y77</f>
        <v>0</v>
      </c>
      <c r="Y18" s="37">
        <f>Roster!Z77</f>
        <v>0</v>
      </c>
      <c r="Z18" s="37">
        <f>Roster!AA77</f>
        <v>0</v>
      </c>
      <c r="AA18" s="37">
        <f>Roster!AB77</f>
        <v>0</v>
      </c>
      <c r="AB18" s="37">
        <f>Roster!AC77</f>
        <v>0</v>
      </c>
      <c r="AC18" s="37">
        <f>Roster!AD77</f>
        <v>0</v>
      </c>
      <c r="AD18" s="37">
        <f>Roster!AE77</f>
        <v>0</v>
      </c>
      <c r="AE18" s="37">
        <f>Roster!AF77</f>
        <v>0</v>
      </c>
      <c r="AF18" s="38">
        <f>Roster!AG77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Roster!D92</f>
        <v>0</v>
      </c>
      <c r="D21" s="37">
        <f>Roster!E92</f>
        <v>0</v>
      </c>
      <c r="E21" s="37">
        <f>Roster!F92</f>
        <v>0</v>
      </c>
      <c r="F21" s="37">
        <f>Roster!G92</f>
        <v>0</v>
      </c>
      <c r="G21" s="37">
        <f>Roster!H92</f>
        <v>0</v>
      </c>
      <c r="H21" s="37">
        <f>Roster!I92</f>
        <v>0</v>
      </c>
      <c r="I21" s="37">
        <f>Roster!J92</f>
        <v>0</v>
      </c>
      <c r="J21" s="37">
        <f>Roster!K92</f>
        <v>0</v>
      </c>
      <c r="K21" s="37">
        <f>Roster!L92</f>
        <v>0</v>
      </c>
      <c r="L21" s="37">
        <f>Roster!M92</f>
        <v>0</v>
      </c>
      <c r="M21" s="37">
        <f>Roster!N92</f>
        <v>0</v>
      </c>
      <c r="N21" s="37">
        <f>Roster!O92</f>
        <v>0</v>
      </c>
      <c r="O21" s="37">
        <f>Roster!P92</f>
        <v>0</v>
      </c>
      <c r="P21" s="37">
        <f>Roster!Q92</f>
        <v>0</v>
      </c>
      <c r="Q21" s="37">
        <f>Roster!R92</f>
        <v>0</v>
      </c>
      <c r="R21" s="37">
        <f>Roster!S92</f>
        <v>0</v>
      </c>
      <c r="S21" s="37">
        <f>Roster!T92</f>
        <v>0</v>
      </c>
      <c r="T21" s="37">
        <f>Roster!U92</f>
        <v>0</v>
      </c>
      <c r="U21" s="37">
        <f>Roster!V92</f>
        <v>0</v>
      </c>
      <c r="V21" s="37">
        <f>Roster!W92</f>
        <v>0</v>
      </c>
      <c r="W21" s="37">
        <f>Roster!X92</f>
        <v>0</v>
      </c>
      <c r="X21" s="37">
        <f>Roster!Y92</f>
        <v>0</v>
      </c>
      <c r="Y21" s="37">
        <f>Roster!Z92</f>
        <v>0</v>
      </c>
      <c r="Z21" s="37">
        <f>Roster!AA92</f>
        <v>0</v>
      </c>
      <c r="AA21" s="37">
        <f>Roster!AB92</f>
        <v>0</v>
      </c>
      <c r="AB21" s="37">
        <f>Roster!AC92</f>
        <v>0</v>
      </c>
      <c r="AC21" s="37">
        <f>Roster!AD92</f>
        <v>0</v>
      </c>
      <c r="AD21" s="37">
        <f>Roster!AE92</f>
        <v>0</v>
      </c>
      <c r="AE21" s="37">
        <f>Roster!AF92</f>
        <v>0</v>
      </c>
      <c r="AF21" s="37">
        <f>Roster!AG92</f>
        <v>0</v>
      </c>
      <c r="AG21" s="38">
        <f>Roster!AH92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Roster!D107</f>
        <v>0</v>
      </c>
      <c r="D24" s="49">
        <f>Roster!E107</f>
        <v>0</v>
      </c>
      <c r="E24" s="40">
        <f>Roster!F107</f>
        <v>0</v>
      </c>
      <c r="F24" s="40">
        <f>Roster!G107</f>
        <v>0</v>
      </c>
      <c r="G24" s="40">
        <f>Roster!H107</f>
        <v>0</v>
      </c>
      <c r="H24" s="40">
        <f>Roster!I107</f>
        <v>0</v>
      </c>
      <c r="I24" s="40">
        <f>Roster!J107</f>
        <v>0</v>
      </c>
      <c r="J24" s="40">
        <f>Roster!K107</f>
        <v>0</v>
      </c>
      <c r="K24" s="40">
        <f>Roster!L107</f>
        <v>0</v>
      </c>
      <c r="L24" s="40">
        <f>Roster!M107</f>
        <v>0</v>
      </c>
      <c r="M24" s="40">
        <f>Roster!N107</f>
        <v>0</v>
      </c>
      <c r="N24" s="40">
        <f>Roster!O107</f>
        <v>0</v>
      </c>
      <c r="O24" s="40">
        <f>Roster!P107</f>
        <v>0</v>
      </c>
      <c r="P24" s="40">
        <f>Roster!Q107</f>
        <v>0</v>
      </c>
      <c r="Q24" s="40">
        <f>Roster!R107</f>
        <v>0</v>
      </c>
      <c r="R24" s="40">
        <f>Roster!S107</f>
        <v>0</v>
      </c>
      <c r="S24" s="40">
        <f>Roster!T107</f>
        <v>0</v>
      </c>
      <c r="T24" s="40">
        <f>Roster!U107</f>
        <v>0</v>
      </c>
      <c r="U24" s="40">
        <f>Roster!V107</f>
        <v>0</v>
      </c>
      <c r="V24" s="40">
        <f>Roster!W107</f>
        <v>0</v>
      </c>
      <c r="W24" s="40">
        <f>Roster!X107</f>
        <v>0</v>
      </c>
      <c r="X24" s="40">
        <f>Roster!Y107</f>
        <v>0</v>
      </c>
      <c r="Y24" s="40">
        <f>Roster!Z107</f>
        <v>0</v>
      </c>
      <c r="Z24" s="40">
        <f>Roster!AA107</f>
        <v>0</v>
      </c>
      <c r="AA24" s="40">
        <f>Roster!AB107</f>
        <v>0</v>
      </c>
      <c r="AB24" s="40">
        <f>Roster!AC107</f>
        <v>0</v>
      </c>
      <c r="AC24" s="40">
        <f>Roster!AD107</f>
        <v>0</v>
      </c>
      <c r="AD24" s="40">
        <f>Roster!AE107</f>
        <v>0</v>
      </c>
      <c r="AE24" s="40">
        <f>Roster!AF107</f>
        <v>0</v>
      </c>
      <c r="AF24" s="40">
        <f>Roster!AG107</f>
        <v>0</v>
      </c>
      <c r="AG24" s="41">
        <f>Roster!AH107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Roster!D122</f>
        <v>0</v>
      </c>
      <c r="D27" s="37">
        <f>Roster!E122</f>
        <v>0</v>
      </c>
      <c r="E27" s="37">
        <f>Roster!F122</f>
        <v>0</v>
      </c>
      <c r="F27" s="37">
        <f>Roster!G122</f>
        <v>0</v>
      </c>
      <c r="G27" s="37">
        <f>Roster!H122</f>
        <v>0</v>
      </c>
      <c r="H27" s="37">
        <f>Roster!I122</f>
        <v>0</v>
      </c>
      <c r="I27" s="37">
        <f>Roster!J122</f>
        <v>0</v>
      </c>
      <c r="J27" s="37">
        <f>Roster!K122</f>
        <v>0</v>
      </c>
      <c r="K27" s="37">
        <f>Roster!L122</f>
        <v>0</v>
      </c>
      <c r="L27" s="37">
        <f>Roster!M122</f>
        <v>0</v>
      </c>
      <c r="M27" s="37">
        <f>Roster!N122</f>
        <v>0</v>
      </c>
      <c r="N27" s="37">
        <f>Roster!O122</f>
        <v>0</v>
      </c>
      <c r="O27" s="37">
        <f>Roster!P122</f>
        <v>0</v>
      </c>
      <c r="P27" s="37">
        <f>Roster!Q122</f>
        <v>0</v>
      </c>
      <c r="Q27" s="37">
        <f>Roster!R122</f>
        <v>0</v>
      </c>
      <c r="R27" s="37">
        <f>Roster!S122</f>
        <v>0</v>
      </c>
      <c r="S27" s="37">
        <f>Roster!T122</f>
        <v>0</v>
      </c>
      <c r="T27" s="37">
        <f>Roster!U122</f>
        <v>0</v>
      </c>
      <c r="U27" s="37">
        <f>Roster!V122</f>
        <v>0</v>
      </c>
      <c r="V27" s="37">
        <f>Roster!W122</f>
        <v>0</v>
      </c>
      <c r="W27" s="37">
        <f>Roster!X122</f>
        <v>0</v>
      </c>
      <c r="X27" s="37">
        <f>Roster!Y122</f>
        <v>0</v>
      </c>
      <c r="Y27" s="37">
        <f>Roster!Z122</f>
        <v>0</v>
      </c>
      <c r="Z27" s="37">
        <f>Roster!AA122</f>
        <v>0</v>
      </c>
      <c r="AA27" s="37">
        <f>Roster!AB122</f>
        <v>0</v>
      </c>
      <c r="AB27" s="37">
        <f>Roster!AC122</f>
        <v>0</v>
      </c>
      <c r="AC27" s="37">
        <f>Roster!AD122</f>
        <v>0</v>
      </c>
      <c r="AD27" s="43">
        <f>Roster!AE122</f>
        <v>0</v>
      </c>
      <c r="AE27" s="134">
        <f>Roster!AF122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Roster!D137</f>
        <v>0</v>
      </c>
      <c r="D30" s="37">
        <f>Roster!E137</f>
        <v>0</v>
      </c>
      <c r="E30" s="37">
        <f>Roster!F137</f>
        <v>0</v>
      </c>
      <c r="F30" s="37">
        <f>Roster!G137</f>
        <v>0</v>
      </c>
      <c r="G30" s="37">
        <f>Roster!H137</f>
        <v>0</v>
      </c>
      <c r="H30" s="37">
        <f>Roster!I137</f>
        <v>0</v>
      </c>
      <c r="I30" s="37">
        <f>Roster!J137</f>
        <v>0</v>
      </c>
      <c r="J30" s="37">
        <f>Roster!K137</f>
        <v>0</v>
      </c>
      <c r="K30" s="37">
        <f>Roster!L137</f>
        <v>0</v>
      </c>
      <c r="L30" s="37">
        <f>Roster!M137</f>
        <v>0</v>
      </c>
      <c r="M30" s="37">
        <f>Roster!N137</f>
        <v>0</v>
      </c>
      <c r="N30" s="37">
        <f>Roster!O137</f>
        <v>0</v>
      </c>
      <c r="O30" s="37">
        <f>Roster!P137</f>
        <v>0</v>
      </c>
      <c r="P30" s="37">
        <f>Roster!Q137</f>
        <v>0</v>
      </c>
      <c r="Q30" s="37">
        <f>Roster!R137</f>
        <v>0</v>
      </c>
      <c r="R30" s="37">
        <f>Roster!S137</f>
        <v>0</v>
      </c>
      <c r="S30" s="37">
        <f>Roster!T137</f>
        <v>0</v>
      </c>
      <c r="T30" s="37">
        <f>Roster!U137</f>
        <v>0</v>
      </c>
      <c r="U30" s="37">
        <f>Roster!V137</f>
        <v>0</v>
      </c>
      <c r="V30" s="37">
        <f>Roster!W137</f>
        <v>0</v>
      </c>
      <c r="W30" s="37">
        <f>Roster!X137</f>
        <v>0</v>
      </c>
      <c r="X30" s="37">
        <f>Roster!Y137</f>
        <v>0</v>
      </c>
      <c r="Y30" s="37">
        <f>Roster!Z137</f>
        <v>0</v>
      </c>
      <c r="Z30" s="37">
        <f>Roster!AA137</f>
        <v>0</v>
      </c>
      <c r="AA30" s="37">
        <f>Roster!AB137</f>
        <v>0</v>
      </c>
      <c r="AB30" s="37">
        <f>Roster!AC137</f>
        <v>0</v>
      </c>
      <c r="AC30" s="37">
        <f>Roster!AD137</f>
        <v>0</v>
      </c>
      <c r="AD30" s="37">
        <f>Roster!AE137</f>
        <v>0</v>
      </c>
      <c r="AE30" s="37">
        <f>Roster!AF137</f>
        <v>0</v>
      </c>
      <c r="AF30" s="37">
        <f>Roster!AG137</f>
        <v>0</v>
      </c>
      <c r="AG30" s="38">
        <f>Roster!AH137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Roster!D152</f>
        <v>0</v>
      </c>
      <c r="D33" s="37">
        <f>Roster!E152</f>
        <v>0</v>
      </c>
      <c r="E33" s="37">
        <f>Roster!F152</f>
        <v>0</v>
      </c>
      <c r="F33" s="37">
        <f>Roster!G152</f>
        <v>0</v>
      </c>
      <c r="G33" s="37">
        <f>Roster!H152</f>
        <v>0</v>
      </c>
      <c r="H33" s="37">
        <f>Roster!I152</f>
        <v>0</v>
      </c>
      <c r="I33" s="37">
        <f>Roster!J152</f>
        <v>0</v>
      </c>
      <c r="J33" s="37">
        <f>Roster!K152</f>
        <v>0</v>
      </c>
      <c r="K33" s="37">
        <f>Roster!L152</f>
        <v>0</v>
      </c>
      <c r="L33" s="37">
        <f>Roster!M152</f>
        <v>0</v>
      </c>
      <c r="M33" s="37">
        <f>Roster!N152</f>
        <v>0</v>
      </c>
      <c r="N33" s="37">
        <f>Roster!O152</f>
        <v>0</v>
      </c>
      <c r="O33" s="37">
        <f>Roster!P152</f>
        <v>0</v>
      </c>
      <c r="P33" s="37">
        <f>Roster!Q152</f>
        <v>0</v>
      </c>
      <c r="Q33" s="37">
        <f>Roster!R152</f>
        <v>0</v>
      </c>
      <c r="R33" s="37">
        <f>Roster!S152</f>
        <v>0</v>
      </c>
      <c r="S33" s="37">
        <f>Roster!T152</f>
        <v>0</v>
      </c>
      <c r="T33" s="37">
        <f>Roster!U152</f>
        <v>0</v>
      </c>
      <c r="U33" s="37">
        <f>Roster!V152</f>
        <v>0</v>
      </c>
      <c r="V33" s="37">
        <f>Roster!W152</f>
        <v>0</v>
      </c>
      <c r="W33" s="37">
        <f>Roster!X152</f>
        <v>0</v>
      </c>
      <c r="X33" s="37">
        <f>Roster!Y152</f>
        <v>0</v>
      </c>
      <c r="Y33" s="37">
        <f>Roster!Z152</f>
        <v>0</v>
      </c>
      <c r="Z33" s="37">
        <f>Roster!AA152</f>
        <v>0</v>
      </c>
      <c r="AA33" s="37">
        <f>Roster!AB152</f>
        <v>0</v>
      </c>
      <c r="AB33" s="37">
        <f>Roster!AC152</f>
        <v>0</v>
      </c>
      <c r="AC33" s="37">
        <f>Roster!AD152</f>
        <v>0</v>
      </c>
      <c r="AD33" s="37">
        <f>Roster!AE152</f>
        <v>0</v>
      </c>
      <c r="AE33" s="37">
        <f>Roster!AF152</f>
        <v>0</v>
      </c>
      <c r="AF33" s="38">
        <f>Roster!AG152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Roster!D167</f>
        <v>0</v>
      </c>
      <c r="D36" s="37">
        <f>Roster!E167</f>
        <v>0</v>
      </c>
      <c r="E36" s="37">
        <f>Roster!F167</f>
        <v>0</v>
      </c>
      <c r="F36" s="37">
        <f>Roster!G167</f>
        <v>0</v>
      </c>
      <c r="G36" s="37">
        <f>Roster!H167</f>
        <v>0</v>
      </c>
      <c r="H36" s="37">
        <f>Roster!I167</f>
        <v>0</v>
      </c>
      <c r="I36" s="37">
        <f>Roster!J167</f>
        <v>0</v>
      </c>
      <c r="J36" s="37">
        <f>Roster!K167</f>
        <v>0</v>
      </c>
      <c r="K36" s="37">
        <f>Roster!L167</f>
        <v>0</v>
      </c>
      <c r="L36" s="37">
        <f>Roster!M167</f>
        <v>0</v>
      </c>
      <c r="M36" s="37">
        <f>Roster!N167</f>
        <v>0</v>
      </c>
      <c r="N36" s="37">
        <f>Roster!O167</f>
        <v>0</v>
      </c>
      <c r="O36" s="37">
        <f>Roster!P167</f>
        <v>0</v>
      </c>
      <c r="P36" s="37">
        <f>Roster!Q167</f>
        <v>0</v>
      </c>
      <c r="Q36" s="37">
        <f>Roster!R167</f>
        <v>0</v>
      </c>
      <c r="R36" s="37">
        <f>Roster!S167</f>
        <v>0</v>
      </c>
      <c r="S36" s="37">
        <f>Roster!T167</f>
        <v>0</v>
      </c>
      <c r="T36" s="37">
        <f>Roster!U167</f>
        <v>0</v>
      </c>
      <c r="U36" s="37">
        <f>Roster!V167</f>
        <v>0</v>
      </c>
      <c r="V36" s="37">
        <f>Roster!W167</f>
        <v>0</v>
      </c>
      <c r="W36" s="37">
        <f>Roster!X167</f>
        <v>0</v>
      </c>
      <c r="X36" s="37">
        <f>Roster!Y167</f>
        <v>0</v>
      </c>
      <c r="Y36" s="37">
        <f>Roster!Z167</f>
        <v>0</v>
      </c>
      <c r="Z36" s="37">
        <f>Roster!AA167</f>
        <v>0</v>
      </c>
      <c r="AA36" s="37">
        <f>Roster!AB167</f>
        <v>0</v>
      </c>
      <c r="AB36" s="37">
        <f>Roster!AC167</f>
        <v>0</v>
      </c>
      <c r="AC36" s="37">
        <f>Roster!AD167</f>
        <v>0</v>
      </c>
      <c r="AD36" s="37">
        <f>Roster!AE167</f>
        <v>0</v>
      </c>
      <c r="AE36" s="37">
        <f>Roster!AF167</f>
        <v>0</v>
      </c>
      <c r="AF36" s="37">
        <f>Roster!AG167</f>
        <v>0</v>
      </c>
      <c r="AG36" s="38">
        <f>Roster!AH167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Roster!D182</f>
        <v>0</v>
      </c>
      <c r="D39" s="37">
        <f>Roster!E182</f>
        <v>0</v>
      </c>
      <c r="E39" s="37">
        <f>Roster!F182</f>
        <v>0</v>
      </c>
      <c r="F39" s="37">
        <f>Roster!G182</f>
        <v>0</v>
      </c>
      <c r="G39" s="37">
        <f>Roster!H182</f>
        <v>0</v>
      </c>
      <c r="H39" s="37">
        <f>Roster!I182</f>
        <v>0</v>
      </c>
      <c r="I39" s="37">
        <f>Roster!J182</f>
        <v>0</v>
      </c>
      <c r="J39" s="37">
        <f>Roster!K182</f>
        <v>0</v>
      </c>
      <c r="K39" s="37">
        <f>Roster!L182</f>
        <v>0</v>
      </c>
      <c r="L39" s="37">
        <f>Roster!M182</f>
        <v>0</v>
      </c>
      <c r="M39" s="37">
        <f>Roster!N182</f>
        <v>0</v>
      </c>
      <c r="N39" s="37">
        <f>Roster!O182</f>
        <v>0</v>
      </c>
      <c r="O39" s="37">
        <f>Roster!P182</f>
        <v>0</v>
      </c>
      <c r="P39" s="37">
        <f>Roster!Q182</f>
        <v>0</v>
      </c>
      <c r="Q39" s="37">
        <f>Roster!R182</f>
        <v>0</v>
      </c>
      <c r="R39" s="37">
        <f>Roster!S182</f>
        <v>0</v>
      </c>
      <c r="S39" s="37">
        <f>Roster!T182</f>
        <v>0</v>
      </c>
      <c r="T39" s="37">
        <f>Roster!U182</f>
        <v>0</v>
      </c>
      <c r="U39" s="37">
        <f>Roster!V182</f>
        <v>0</v>
      </c>
      <c r="V39" s="37">
        <f>Roster!W182</f>
        <v>0</v>
      </c>
      <c r="W39" s="37">
        <f>Roster!X182</f>
        <v>0</v>
      </c>
      <c r="X39" s="37">
        <f>Roster!Y182</f>
        <v>0</v>
      </c>
      <c r="Y39" s="37">
        <f>Roster!Z182</f>
        <v>0</v>
      </c>
      <c r="Z39" s="37">
        <f>Roster!AA182</f>
        <v>0</v>
      </c>
      <c r="AA39" s="37">
        <f>Roster!AB182</f>
        <v>0</v>
      </c>
      <c r="AB39" s="37">
        <f>Roster!AC182</f>
        <v>0</v>
      </c>
      <c r="AC39" s="37">
        <f>Roster!AD182</f>
        <v>0</v>
      </c>
      <c r="AD39" s="37">
        <f>Roster!AE182</f>
        <v>0</v>
      </c>
      <c r="AE39" s="37">
        <f>Roster!AF182</f>
        <v>0</v>
      </c>
      <c r="AF39" s="38">
        <f>Roster!AG182</f>
        <v>0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EmpGName05 &amp;" " &amp; EmpSName05</f>
        <v>David Castle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Roster!D18</f>
        <v>0</v>
      </c>
      <c r="D6" s="37">
        <f>Roster!E18</f>
        <v>0</v>
      </c>
      <c r="E6" s="37">
        <f>Roster!F18</f>
        <v>0</v>
      </c>
      <c r="F6" s="37">
        <f>Roster!G18</f>
        <v>0</v>
      </c>
      <c r="G6" s="37">
        <f>Roster!H18</f>
        <v>0</v>
      </c>
      <c r="H6" s="37">
        <f>Roster!I18</f>
        <v>0</v>
      </c>
      <c r="I6" s="37">
        <f>Roster!J18</f>
        <v>0</v>
      </c>
      <c r="J6" s="37">
        <f>Roster!K18</f>
        <v>0</v>
      </c>
      <c r="K6" s="37">
        <f>Roster!L18</f>
        <v>0</v>
      </c>
      <c r="L6" s="37">
        <f>Roster!M18</f>
        <v>0</v>
      </c>
      <c r="M6" s="37">
        <f>Roster!N18</f>
        <v>0</v>
      </c>
      <c r="N6" s="37">
        <f>Roster!O18</f>
        <v>0</v>
      </c>
      <c r="O6" s="37">
        <f>Roster!P18</f>
        <v>0</v>
      </c>
      <c r="P6" s="37">
        <f>Roster!Q18</f>
        <v>0</v>
      </c>
      <c r="Q6" s="37">
        <f>Roster!R18</f>
        <v>0</v>
      </c>
      <c r="R6" s="37">
        <f>Roster!S18</f>
        <v>0</v>
      </c>
      <c r="S6" s="37">
        <f>Roster!T18</f>
        <v>0</v>
      </c>
      <c r="T6" s="37">
        <f>Roster!U18</f>
        <v>0</v>
      </c>
      <c r="U6" s="37">
        <f>Roster!V18</f>
        <v>0</v>
      </c>
      <c r="V6" s="37">
        <f>Roster!W18</f>
        <v>0</v>
      </c>
      <c r="W6" s="37">
        <f>Roster!X18</f>
        <v>0</v>
      </c>
      <c r="X6" s="37">
        <f>Roster!Y18</f>
        <v>0</v>
      </c>
      <c r="Y6" s="37">
        <f>Roster!Z18</f>
        <v>0</v>
      </c>
      <c r="Z6" s="37">
        <f>Roster!AA18</f>
        <v>0</v>
      </c>
      <c r="AA6" s="37">
        <f>Roster!AB18</f>
        <v>0</v>
      </c>
      <c r="AB6" s="37">
        <f>Roster!AC18</f>
        <v>0</v>
      </c>
      <c r="AC6" s="37">
        <f>Roster!AD18</f>
        <v>0</v>
      </c>
      <c r="AD6" s="37">
        <f>Roster!AE18</f>
        <v>0</v>
      </c>
      <c r="AE6" s="37">
        <f>Roster!AF18</f>
        <v>0</v>
      </c>
      <c r="AF6" s="37">
        <f>Roster!AG18</f>
        <v>0</v>
      </c>
      <c r="AG6" s="38">
        <f>Roster!AH18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Roster!D33</f>
        <v>0</v>
      </c>
      <c r="D9" s="39">
        <f>Roster!E33</f>
        <v>0</v>
      </c>
      <c r="E9" s="37">
        <f>Roster!F33</f>
        <v>0</v>
      </c>
      <c r="F9" s="37">
        <f>Roster!G33</f>
        <v>0</v>
      </c>
      <c r="G9" s="37">
        <f>Roster!H33</f>
        <v>0</v>
      </c>
      <c r="H9" s="37">
        <f>Roster!I33</f>
        <v>0</v>
      </c>
      <c r="I9" s="37">
        <f>Roster!J33</f>
        <v>0</v>
      </c>
      <c r="J9" s="37">
        <f>Roster!K33</f>
        <v>0</v>
      </c>
      <c r="K9" s="37">
        <f>Roster!L33</f>
        <v>0</v>
      </c>
      <c r="L9" s="37">
        <f>Roster!M33</f>
        <v>0</v>
      </c>
      <c r="M9" s="37">
        <f>Roster!N33</f>
        <v>0</v>
      </c>
      <c r="N9" s="37">
        <f>Roster!O33</f>
        <v>0</v>
      </c>
      <c r="O9" s="37">
        <f>Roster!P33</f>
        <v>0</v>
      </c>
      <c r="P9" s="37">
        <f>Roster!Q33</f>
        <v>0</v>
      </c>
      <c r="Q9" s="37">
        <f>Roster!R33</f>
        <v>0</v>
      </c>
      <c r="R9" s="37">
        <f>Roster!S33</f>
        <v>0</v>
      </c>
      <c r="S9" s="37">
        <f>Roster!T33</f>
        <v>0</v>
      </c>
      <c r="T9" s="37">
        <f>Roster!U33</f>
        <v>0</v>
      </c>
      <c r="U9" s="37">
        <f>Roster!V33</f>
        <v>0</v>
      </c>
      <c r="V9" s="37">
        <f>Roster!W33</f>
        <v>0</v>
      </c>
      <c r="W9" s="37">
        <f>Roster!X33</f>
        <v>0</v>
      </c>
      <c r="X9" s="37">
        <f>Roster!Y33</f>
        <v>0</v>
      </c>
      <c r="Y9" s="37">
        <f>Roster!Z33</f>
        <v>0</v>
      </c>
      <c r="Z9" s="37">
        <f>Roster!AA33</f>
        <v>0</v>
      </c>
      <c r="AA9" s="37">
        <f>Roster!AB33</f>
        <v>0</v>
      </c>
      <c r="AB9" s="37">
        <f>Roster!AC33</f>
        <v>0</v>
      </c>
      <c r="AC9" s="37">
        <f>Roster!AD33</f>
        <v>0</v>
      </c>
      <c r="AD9" s="37">
        <f>Roster!AE33</f>
        <v>0</v>
      </c>
      <c r="AE9" s="37">
        <f>Roster!AF33</f>
        <v>0</v>
      </c>
      <c r="AF9" s="37">
        <f>Roster!AG33</f>
        <v>0</v>
      </c>
      <c r="AG9" s="38">
        <f>Roster!AH33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Roster!D48</f>
        <v>0</v>
      </c>
      <c r="D12" s="37">
        <f>Roster!E48</f>
        <v>0</v>
      </c>
      <c r="E12" s="37">
        <f>Roster!F48</f>
        <v>0</v>
      </c>
      <c r="F12" s="37">
        <f>Roster!G48</f>
        <v>0</v>
      </c>
      <c r="G12" s="37">
        <f>Roster!H48</f>
        <v>0</v>
      </c>
      <c r="H12" s="37">
        <f>Roster!I48</f>
        <v>0</v>
      </c>
      <c r="I12" s="37">
        <f>Roster!J48</f>
        <v>0</v>
      </c>
      <c r="J12" s="37">
        <f>Roster!K48</f>
        <v>0</v>
      </c>
      <c r="K12" s="37">
        <f>Roster!L48</f>
        <v>0</v>
      </c>
      <c r="L12" s="37">
        <f>Roster!M48</f>
        <v>0</v>
      </c>
      <c r="M12" s="37">
        <f>Roster!N48</f>
        <v>0</v>
      </c>
      <c r="N12" s="37">
        <f>Roster!O48</f>
        <v>0</v>
      </c>
      <c r="O12" s="37">
        <f>Roster!P48</f>
        <v>0</v>
      </c>
      <c r="P12" s="37">
        <f>Roster!Q48</f>
        <v>0</v>
      </c>
      <c r="Q12" s="37">
        <f>Roster!R48</f>
        <v>0</v>
      </c>
      <c r="R12" s="37">
        <f>Roster!S48</f>
        <v>0</v>
      </c>
      <c r="S12" s="37">
        <f>Roster!T48</f>
        <v>0</v>
      </c>
      <c r="T12" s="37">
        <f>Roster!U48</f>
        <v>0</v>
      </c>
      <c r="U12" s="37">
        <f>Roster!V48</f>
        <v>0</v>
      </c>
      <c r="V12" s="37">
        <f>Roster!W48</f>
        <v>0</v>
      </c>
      <c r="W12" s="37">
        <f>Roster!X48</f>
        <v>0</v>
      </c>
      <c r="X12" s="37">
        <f>Roster!Y48</f>
        <v>0</v>
      </c>
      <c r="Y12" s="37">
        <f>Roster!Z48</f>
        <v>0</v>
      </c>
      <c r="Z12" s="37">
        <f>Roster!AA48</f>
        <v>0</v>
      </c>
      <c r="AA12" s="37">
        <f>Roster!AB48</f>
        <v>0</v>
      </c>
      <c r="AB12" s="37">
        <f>Roster!AC48</f>
        <v>0</v>
      </c>
      <c r="AC12" s="37">
        <f>Roster!AD48</f>
        <v>0</v>
      </c>
      <c r="AD12" s="37">
        <f>Roster!AE48</f>
        <v>0</v>
      </c>
      <c r="AE12" s="37">
        <f>Roster!AF48</f>
        <v>0</v>
      </c>
      <c r="AF12" s="38">
        <f>Roster!AG48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Roster!D63</f>
        <v>0</v>
      </c>
      <c r="D15" s="37">
        <f>Roster!E63</f>
        <v>0</v>
      </c>
      <c r="E15" s="37">
        <f>Roster!F63</f>
        <v>0</v>
      </c>
      <c r="F15" s="37">
        <f>Roster!G63</f>
        <v>0</v>
      </c>
      <c r="G15" s="37">
        <f>Roster!H63</f>
        <v>0</v>
      </c>
      <c r="H15" s="37">
        <f>Roster!I63</f>
        <v>0</v>
      </c>
      <c r="I15" s="37">
        <f>Roster!J63</f>
        <v>0</v>
      </c>
      <c r="J15" s="37">
        <f>Roster!K63</f>
        <v>0</v>
      </c>
      <c r="K15" s="37">
        <f>Roster!L63</f>
        <v>0</v>
      </c>
      <c r="L15" s="37">
        <f>Roster!M63</f>
        <v>0</v>
      </c>
      <c r="M15" s="37">
        <f>Roster!N63</f>
        <v>0</v>
      </c>
      <c r="N15" s="37">
        <f>Roster!O63</f>
        <v>0</v>
      </c>
      <c r="O15" s="37">
        <f>Roster!P63</f>
        <v>0</v>
      </c>
      <c r="P15" s="37">
        <f>Roster!Q63</f>
        <v>0</v>
      </c>
      <c r="Q15" s="37">
        <f>Roster!R63</f>
        <v>0</v>
      </c>
      <c r="R15" s="37">
        <f>Roster!S63</f>
        <v>0</v>
      </c>
      <c r="S15" s="37">
        <f>Roster!T63</f>
        <v>0</v>
      </c>
      <c r="T15" s="37">
        <f>Roster!U63</f>
        <v>0</v>
      </c>
      <c r="U15" s="37">
        <f>Roster!V63</f>
        <v>0</v>
      </c>
      <c r="V15" s="37">
        <f>Roster!W63</f>
        <v>0</v>
      </c>
      <c r="W15" s="37">
        <f>Roster!X63</f>
        <v>0</v>
      </c>
      <c r="X15" s="37">
        <f>Roster!Y63</f>
        <v>0</v>
      </c>
      <c r="Y15" s="37">
        <f>Roster!Z63</f>
        <v>0</v>
      </c>
      <c r="Z15" s="37">
        <f>Roster!AA63</f>
        <v>0</v>
      </c>
      <c r="AA15" s="37">
        <f>Roster!AB63</f>
        <v>0</v>
      </c>
      <c r="AB15" s="37">
        <f>Roster!AC63</f>
        <v>0</v>
      </c>
      <c r="AC15" s="37">
        <f>Roster!AD63</f>
        <v>0</v>
      </c>
      <c r="AD15" s="37">
        <f>Roster!AE63</f>
        <v>0</v>
      </c>
      <c r="AE15" s="37">
        <f>Roster!AF63</f>
        <v>0</v>
      </c>
      <c r="AF15" s="37">
        <f>Roster!AG63</f>
        <v>0</v>
      </c>
      <c r="AG15" s="38">
        <f>Roster!AH63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Roster!D78</f>
        <v>0</v>
      </c>
      <c r="D18" s="37">
        <f>Roster!E78</f>
        <v>0</v>
      </c>
      <c r="E18" s="37">
        <f>Roster!F78</f>
        <v>0</v>
      </c>
      <c r="F18" s="37">
        <f>Roster!G78</f>
        <v>0</v>
      </c>
      <c r="G18" s="37">
        <f>Roster!H78</f>
        <v>0</v>
      </c>
      <c r="H18" s="37">
        <f>Roster!I78</f>
        <v>0</v>
      </c>
      <c r="I18" s="37">
        <f>Roster!J78</f>
        <v>0</v>
      </c>
      <c r="J18" s="37">
        <f>Roster!K78</f>
        <v>0</v>
      </c>
      <c r="K18" s="37">
        <f>Roster!L78</f>
        <v>0</v>
      </c>
      <c r="L18" s="37">
        <f>Roster!M78</f>
        <v>0</v>
      </c>
      <c r="M18" s="37">
        <f>Roster!N78</f>
        <v>0</v>
      </c>
      <c r="N18" s="37">
        <f>Roster!O78</f>
        <v>0</v>
      </c>
      <c r="O18" s="37">
        <f>Roster!P78</f>
        <v>0</v>
      </c>
      <c r="P18" s="37">
        <f>Roster!Q78</f>
        <v>0</v>
      </c>
      <c r="Q18" s="37">
        <f>Roster!R78</f>
        <v>0</v>
      </c>
      <c r="R18" s="37">
        <f>Roster!S78</f>
        <v>0</v>
      </c>
      <c r="S18" s="37">
        <f>Roster!T78</f>
        <v>0</v>
      </c>
      <c r="T18" s="37">
        <f>Roster!U78</f>
        <v>0</v>
      </c>
      <c r="U18" s="37">
        <f>Roster!V78</f>
        <v>0</v>
      </c>
      <c r="V18" s="37">
        <f>Roster!W78</f>
        <v>0</v>
      </c>
      <c r="W18" s="37">
        <f>Roster!X78</f>
        <v>0</v>
      </c>
      <c r="X18" s="37">
        <f>Roster!Y78</f>
        <v>0</v>
      </c>
      <c r="Y18" s="37">
        <f>Roster!Z78</f>
        <v>0</v>
      </c>
      <c r="Z18" s="37">
        <f>Roster!AA78</f>
        <v>0</v>
      </c>
      <c r="AA18" s="37">
        <f>Roster!AB78</f>
        <v>0</v>
      </c>
      <c r="AB18" s="37">
        <f>Roster!AC78</f>
        <v>0</v>
      </c>
      <c r="AC18" s="37">
        <f>Roster!AD78</f>
        <v>0</v>
      </c>
      <c r="AD18" s="37">
        <f>Roster!AE78</f>
        <v>0</v>
      </c>
      <c r="AE18" s="37">
        <f>Roster!AF78</f>
        <v>0</v>
      </c>
      <c r="AF18" s="38">
        <f>Roster!AG78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Roster!D93</f>
        <v>0</v>
      </c>
      <c r="D21" s="37">
        <f>Roster!E93</f>
        <v>0</v>
      </c>
      <c r="E21" s="37">
        <f>Roster!F93</f>
        <v>0</v>
      </c>
      <c r="F21" s="37">
        <f>Roster!G93</f>
        <v>0</v>
      </c>
      <c r="G21" s="37">
        <f>Roster!H93</f>
        <v>0</v>
      </c>
      <c r="H21" s="37">
        <f>Roster!I93</f>
        <v>0</v>
      </c>
      <c r="I21" s="37">
        <f>Roster!J93</f>
        <v>0</v>
      </c>
      <c r="J21" s="37">
        <f>Roster!K93</f>
        <v>0</v>
      </c>
      <c r="K21" s="37">
        <f>Roster!L93</f>
        <v>0</v>
      </c>
      <c r="L21" s="37">
        <f>Roster!M93</f>
        <v>0</v>
      </c>
      <c r="M21" s="37">
        <f>Roster!N93</f>
        <v>0</v>
      </c>
      <c r="N21" s="37">
        <f>Roster!O93</f>
        <v>0</v>
      </c>
      <c r="O21" s="37">
        <f>Roster!P93</f>
        <v>0</v>
      </c>
      <c r="P21" s="37">
        <f>Roster!Q93</f>
        <v>0</v>
      </c>
      <c r="Q21" s="37">
        <f>Roster!R93</f>
        <v>0</v>
      </c>
      <c r="R21" s="37">
        <f>Roster!S93</f>
        <v>0</v>
      </c>
      <c r="S21" s="37">
        <f>Roster!T93</f>
        <v>0</v>
      </c>
      <c r="T21" s="37">
        <f>Roster!U93</f>
        <v>0</v>
      </c>
      <c r="U21" s="37">
        <f>Roster!V93</f>
        <v>0</v>
      </c>
      <c r="V21" s="37">
        <f>Roster!W93</f>
        <v>0</v>
      </c>
      <c r="W21" s="37">
        <f>Roster!X93</f>
        <v>0</v>
      </c>
      <c r="X21" s="37">
        <f>Roster!Y93</f>
        <v>0</v>
      </c>
      <c r="Y21" s="37">
        <f>Roster!Z93</f>
        <v>0</v>
      </c>
      <c r="Z21" s="37">
        <f>Roster!AA93</f>
        <v>0</v>
      </c>
      <c r="AA21" s="37">
        <f>Roster!AB93</f>
        <v>0</v>
      </c>
      <c r="AB21" s="37">
        <f>Roster!AC93</f>
        <v>0</v>
      </c>
      <c r="AC21" s="37">
        <f>Roster!AD93</f>
        <v>0</v>
      </c>
      <c r="AD21" s="37">
        <f>Roster!AE93</f>
        <v>0</v>
      </c>
      <c r="AE21" s="37">
        <f>Roster!AF93</f>
        <v>0</v>
      </c>
      <c r="AF21" s="37">
        <f>Roster!AG93</f>
        <v>0</v>
      </c>
      <c r="AG21" s="38">
        <f>Roster!AH93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Roster!D108</f>
        <v>0</v>
      </c>
      <c r="D24" s="49">
        <f>Roster!E108</f>
        <v>0</v>
      </c>
      <c r="E24" s="40">
        <f>Roster!F108</f>
        <v>0</v>
      </c>
      <c r="F24" s="40">
        <f>Roster!G108</f>
        <v>0</v>
      </c>
      <c r="G24" s="40">
        <f>Roster!H108</f>
        <v>0</v>
      </c>
      <c r="H24" s="40">
        <f>Roster!I108</f>
        <v>0</v>
      </c>
      <c r="I24" s="40">
        <f>Roster!J108</f>
        <v>0</v>
      </c>
      <c r="J24" s="40">
        <f>Roster!K108</f>
        <v>0</v>
      </c>
      <c r="K24" s="40">
        <f>Roster!L108</f>
        <v>0</v>
      </c>
      <c r="L24" s="40">
        <f>Roster!M108</f>
        <v>0</v>
      </c>
      <c r="M24" s="40">
        <f>Roster!N108</f>
        <v>0</v>
      </c>
      <c r="N24" s="40">
        <f>Roster!O108</f>
        <v>0</v>
      </c>
      <c r="O24" s="40">
        <f>Roster!P108</f>
        <v>0</v>
      </c>
      <c r="P24" s="40">
        <f>Roster!Q108</f>
        <v>0</v>
      </c>
      <c r="Q24" s="40">
        <f>Roster!R108</f>
        <v>0</v>
      </c>
      <c r="R24" s="40">
        <f>Roster!S108</f>
        <v>0</v>
      </c>
      <c r="S24" s="40">
        <f>Roster!T108</f>
        <v>0</v>
      </c>
      <c r="T24" s="40">
        <f>Roster!U108</f>
        <v>0</v>
      </c>
      <c r="U24" s="40">
        <f>Roster!V108</f>
        <v>0</v>
      </c>
      <c r="V24" s="40">
        <f>Roster!W108</f>
        <v>0</v>
      </c>
      <c r="W24" s="40">
        <f>Roster!X108</f>
        <v>0</v>
      </c>
      <c r="X24" s="40">
        <f>Roster!Y108</f>
        <v>0</v>
      </c>
      <c r="Y24" s="40">
        <f>Roster!Z108</f>
        <v>0</v>
      </c>
      <c r="Z24" s="40">
        <f>Roster!AA108</f>
        <v>0</v>
      </c>
      <c r="AA24" s="40">
        <f>Roster!AB108</f>
        <v>0</v>
      </c>
      <c r="AB24" s="40">
        <f>Roster!AC108</f>
        <v>0</v>
      </c>
      <c r="AC24" s="40">
        <f>Roster!AD108</f>
        <v>0</v>
      </c>
      <c r="AD24" s="40">
        <f>Roster!AE108</f>
        <v>0</v>
      </c>
      <c r="AE24" s="40">
        <f>Roster!AF108</f>
        <v>0</v>
      </c>
      <c r="AF24" s="40">
        <f>Roster!AG108</f>
        <v>0</v>
      </c>
      <c r="AG24" s="41">
        <f>Roster!AH108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Roster!D123</f>
        <v>0</v>
      </c>
      <c r="D27" s="37"/>
      <c r="E27" s="37">
        <f>Roster!F123</f>
        <v>0</v>
      </c>
      <c r="F27" s="37">
        <f>Roster!G123</f>
        <v>0</v>
      </c>
      <c r="G27" s="37">
        <f>Roster!H123</f>
        <v>0</v>
      </c>
      <c r="H27" s="37">
        <f>Roster!I123</f>
        <v>0</v>
      </c>
      <c r="I27" s="37">
        <f>Roster!J123</f>
        <v>0</v>
      </c>
      <c r="J27" s="37">
        <f>Roster!K123</f>
        <v>0</v>
      </c>
      <c r="K27" s="37">
        <f>Roster!L123</f>
        <v>0</v>
      </c>
      <c r="L27" s="37">
        <f>Roster!M123</f>
        <v>0</v>
      </c>
      <c r="M27" s="37">
        <f>Roster!N123</f>
        <v>0</v>
      </c>
      <c r="N27" s="37">
        <f>Roster!O123</f>
        <v>0</v>
      </c>
      <c r="O27" s="37">
        <f>Roster!P123</f>
        <v>0</v>
      </c>
      <c r="P27" s="37">
        <f>Roster!Q123</f>
        <v>0</v>
      </c>
      <c r="Q27" s="37">
        <f>Roster!R123</f>
        <v>0</v>
      </c>
      <c r="R27" s="37">
        <f>Roster!S123</f>
        <v>0</v>
      </c>
      <c r="S27" s="37">
        <f>Roster!T123</f>
        <v>0</v>
      </c>
      <c r="T27" s="37">
        <f>Roster!U123</f>
        <v>0</v>
      </c>
      <c r="U27" s="37">
        <f>Roster!V123</f>
        <v>0</v>
      </c>
      <c r="V27" s="37">
        <f>Roster!W123</f>
        <v>0</v>
      </c>
      <c r="W27" s="37">
        <f>Roster!X123</f>
        <v>0</v>
      </c>
      <c r="X27" s="37">
        <f>Roster!Y123</f>
        <v>0</v>
      </c>
      <c r="Y27" s="37">
        <f>Roster!Z123</f>
        <v>0</v>
      </c>
      <c r="Z27" s="37">
        <f>Roster!AA123</f>
        <v>0</v>
      </c>
      <c r="AA27" s="37">
        <f>Roster!AB123</f>
        <v>0</v>
      </c>
      <c r="AB27" s="37">
        <f>Roster!AC123</f>
        <v>0</v>
      </c>
      <c r="AC27" s="37">
        <f>Roster!AD123</f>
        <v>0</v>
      </c>
      <c r="AD27" s="43">
        <f>Roster!AE123</f>
        <v>0</v>
      </c>
      <c r="AE27" s="134">
        <f>Roster!AF123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Roster!D138</f>
        <v>0</v>
      </c>
      <c r="D30" s="37">
        <f>Roster!E138</f>
        <v>0</v>
      </c>
      <c r="E30" s="37">
        <f>Roster!F138</f>
        <v>0</v>
      </c>
      <c r="F30" s="37">
        <f>Roster!G138</f>
        <v>0</v>
      </c>
      <c r="G30" s="37">
        <f>Roster!H138</f>
        <v>0</v>
      </c>
      <c r="H30" s="37">
        <f>Roster!I138</f>
        <v>0</v>
      </c>
      <c r="I30" s="37">
        <f>Roster!J138</f>
        <v>0</v>
      </c>
      <c r="J30" s="37">
        <f>Roster!K138</f>
        <v>0</v>
      </c>
      <c r="K30" s="37">
        <f>Roster!L138</f>
        <v>0</v>
      </c>
      <c r="L30" s="37">
        <f>Roster!M138</f>
        <v>0</v>
      </c>
      <c r="M30" s="37">
        <f>Roster!N138</f>
        <v>0</v>
      </c>
      <c r="N30" s="37">
        <f>Roster!O138</f>
        <v>0</v>
      </c>
      <c r="O30" s="37">
        <f>Roster!P138</f>
        <v>0</v>
      </c>
      <c r="P30" s="37">
        <f>Roster!Q138</f>
        <v>0</v>
      </c>
      <c r="Q30" s="37">
        <f>Roster!R138</f>
        <v>0</v>
      </c>
      <c r="R30" s="37">
        <f>Roster!S138</f>
        <v>0</v>
      </c>
      <c r="S30" s="37">
        <f>Roster!T138</f>
        <v>0</v>
      </c>
      <c r="T30" s="37">
        <f>Roster!U138</f>
        <v>0</v>
      </c>
      <c r="U30" s="37">
        <f>Roster!V138</f>
        <v>0</v>
      </c>
      <c r="V30" s="37">
        <f>Roster!W138</f>
        <v>0</v>
      </c>
      <c r="W30" s="37">
        <f>Roster!X138</f>
        <v>0</v>
      </c>
      <c r="X30" s="37">
        <f>Roster!Y138</f>
        <v>0</v>
      </c>
      <c r="Y30" s="37">
        <f>Roster!Z138</f>
        <v>0</v>
      </c>
      <c r="Z30" s="37">
        <f>Roster!AA138</f>
        <v>0</v>
      </c>
      <c r="AA30" s="37">
        <f>Roster!AB138</f>
        <v>0</v>
      </c>
      <c r="AB30" s="37">
        <f>Roster!AC138</f>
        <v>0</v>
      </c>
      <c r="AC30" s="37">
        <f>Roster!AD138</f>
        <v>0</v>
      </c>
      <c r="AD30" s="37">
        <f>Roster!AE138</f>
        <v>0</v>
      </c>
      <c r="AE30" s="37">
        <f>Roster!AF138</f>
        <v>0</v>
      </c>
      <c r="AF30" s="37">
        <f>Roster!AG138</f>
        <v>0</v>
      </c>
      <c r="AG30" s="38">
        <f>Roster!AH138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Roster!D153</f>
        <v>0</v>
      </c>
      <c r="D33" s="37">
        <f>Roster!E153</f>
        <v>0</v>
      </c>
      <c r="E33" s="37">
        <f>Roster!F153</f>
        <v>0</v>
      </c>
      <c r="F33" s="37">
        <f>Roster!G153</f>
        <v>0</v>
      </c>
      <c r="G33" s="37">
        <f>Roster!H153</f>
        <v>0</v>
      </c>
      <c r="H33" s="37">
        <f>Roster!I153</f>
        <v>0</v>
      </c>
      <c r="I33" s="37">
        <f>Roster!J153</f>
        <v>0</v>
      </c>
      <c r="J33" s="37">
        <f>Roster!K153</f>
        <v>0</v>
      </c>
      <c r="K33" s="37">
        <f>Roster!L153</f>
        <v>0</v>
      </c>
      <c r="L33" s="37">
        <f>Roster!M153</f>
        <v>0</v>
      </c>
      <c r="M33" s="37">
        <f>Roster!N153</f>
        <v>0</v>
      </c>
      <c r="N33" s="37">
        <f>Roster!O153</f>
        <v>0</v>
      </c>
      <c r="O33" s="37">
        <f>Roster!P153</f>
        <v>0</v>
      </c>
      <c r="P33" s="37">
        <f>Roster!Q153</f>
        <v>0</v>
      </c>
      <c r="Q33" s="37">
        <f>Roster!R153</f>
        <v>0</v>
      </c>
      <c r="R33" s="37">
        <f>Roster!S153</f>
        <v>0</v>
      </c>
      <c r="S33" s="37">
        <f>Roster!T153</f>
        <v>0</v>
      </c>
      <c r="T33" s="37">
        <f>Roster!U153</f>
        <v>0</v>
      </c>
      <c r="U33" s="37">
        <f>Roster!V153</f>
        <v>0</v>
      </c>
      <c r="V33" s="37">
        <f>Roster!W153</f>
        <v>0</v>
      </c>
      <c r="W33" s="37">
        <f>Roster!X153</f>
        <v>0</v>
      </c>
      <c r="X33" s="37">
        <f>Roster!Y153</f>
        <v>0</v>
      </c>
      <c r="Y33" s="37">
        <f>Roster!Z153</f>
        <v>0</v>
      </c>
      <c r="Z33" s="37">
        <f>Roster!AA153</f>
        <v>0</v>
      </c>
      <c r="AA33" s="37">
        <f>Roster!AB153</f>
        <v>0</v>
      </c>
      <c r="AB33" s="37">
        <f>Roster!AC153</f>
        <v>0</v>
      </c>
      <c r="AC33" s="37">
        <f>Roster!AD153</f>
        <v>0</v>
      </c>
      <c r="AD33" s="37">
        <f>Roster!AE153</f>
        <v>0</v>
      </c>
      <c r="AE33" s="37">
        <f>Roster!AF153</f>
        <v>0</v>
      </c>
      <c r="AF33" s="38">
        <f>Roster!AG153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Roster!D168</f>
        <v>0</v>
      </c>
      <c r="D36" s="37">
        <f>Roster!E168</f>
        <v>0</v>
      </c>
      <c r="E36" s="37">
        <f>Roster!F168</f>
        <v>0</v>
      </c>
      <c r="F36" s="37">
        <f>Roster!G168</f>
        <v>0</v>
      </c>
      <c r="G36" s="37">
        <f>Roster!H168</f>
        <v>0</v>
      </c>
      <c r="H36" s="37">
        <f>Roster!I168</f>
        <v>0</v>
      </c>
      <c r="I36" s="37">
        <f>Roster!J168</f>
        <v>0</v>
      </c>
      <c r="J36" s="37">
        <f>Roster!K168</f>
        <v>0</v>
      </c>
      <c r="K36" s="37">
        <f>Roster!L168</f>
        <v>0</v>
      </c>
      <c r="L36" s="37">
        <f>Roster!M168</f>
        <v>0</v>
      </c>
      <c r="M36" s="37">
        <f>Roster!N168</f>
        <v>0</v>
      </c>
      <c r="N36" s="37">
        <f>Roster!O168</f>
        <v>0</v>
      </c>
      <c r="O36" s="37">
        <f>Roster!P168</f>
        <v>0</v>
      </c>
      <c r="P36" s="37">
        <f>Roster!Q168</f>
        <v>0</v>
      </c>
      <c r="Q36" s="37">
        <f>Roster!R168</f>
        <v>0</v>
      </c>
      <c r="R36" s="37">
        <f>Roster!S168</f>
        <v>0</v>
      </c>
      <c r="S36" s="37">
        <f>Roster!T168</f>
        <v>0</v>
      </c>
      <c r="T36" s="37">
        <f>Roster!U168</f>
        <v>0</v>
      </c>
      <c r="U36" s="37">
        <f>Roster!V168</f>
        <v>0</v>
      </c>
      <c r="V36" s="37">
        <f>Roster!W168</f>
        <v>0</v>
      </c>
      <c r="W36" s="37">
        <f>Roster!X168</f>
        <v>0</v>
      </c>
      <c r="X36" s="37">
        <f>Roster!Y168</f>
        <v>0</v>
      </c>
      <c r="Y36" s="37">
        <f>Roster!Z168</f>
        <v>0</v>
      </c>
      <c r="Z36" s="37">
        <f>Roster!AA168</f>
        <v>0</v>
      </c>
      <c r="AA36" s="37">
        <f>Roster!AB168</f>
        <v>0</v>
      </c>
      <c r="AB36" s="37">
        <f>Roster!AC168</f>
        <v>0</v>
      </c>
      <c r="AC36" s="37">
        <f>Roster!AD168</f>
        <v>0</v>
      </c>
      <c r="AD36" s="37">
        <f>Roster!AE168</f>
        <v>0</v>
      </c>
      <c r="AE36" s="37">
        <f>Roster!AF168</f>
        <v>0</v>
      </c>
      <c r="AF36" s="37">
        <f>Roster!AG168</f>
        <v>0</v>
      </c>
      <c r="AG36" s="38">
        <f>Roster!AH168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Roster!D183</f>
        <v>0</v>
      </c>
      <c r="D39" s="37">
        <f>Roster!E183</f>
        <v>0</v>
      </c>
      <c r="E39" s="37">
        <f>Roster!F183</f>
        <v>0</v>
      </c>
      <c r="F39" s="37">
        <f>Roster!G183</f>
        <v>0</v>
      </c>
      <c r="G39" s="37">
        <f>Roster!H183</f>
        <v>0</v>
      </c>
      <c r="H39" s="37">
        <f>Roster!I183</f>
        <v>0</v>
      </c>
      <c r="I39" s="37">
        <f>Roster!J183</f>
        <v>0</v>
      </c>
      <c r="J39" s="37">
        <f>Roster!K183</f>
        <v>0</v>
      </c>
      <c r="K39" s="37">
        <f>Roster!L183</f>
        <v>0</v>
      </c>
      <c r="L39" s="37">
        <f>Roster!M183</f>
        <v>0</v>
      </c>
      <c r="M39" s="37">
        <f>Roster!N183</f>
        <v>0</v>
      </c>
      <c r="N39" s="37">
        <f>Roster!O183</f>
        <v>0</v>
      </c>
      <c r="O39" s="37">
        <f>Roster!P183</f>
        <v>0</v>
      </c>
      <c r="P39" s="37">
        <f>Roster!Q183</f>
        <v>0</v>
      </c>
      <c r="Q39" s="37">
        <f>Roster!R183</f>
        <v>0</v>
      </c>
      <c r="R39" s="37">
        <f>Roster!S183</f>
        <v>0</v>
      </c>
      <c r="S39" s="37">
        <f>Roster!T183</f>
        <v>0</v>
      </c>
      <c r="T39" s="37">
        <f>Roster!U183</f>
        <v>0</v>
      </c>
      <c r="U39" s="37">
        <f>Roster!V183</f>
        <v>0</v>
      </c>
      <c r="V39" s="37">
        <f>Roster!W183</f>
        <v>0</v>
      </c>
      <c r="W39" s="37">
        <f>Roster!X183</f>
        <v>0</v>
      </c>
      <c r="X39" s="37">
        <f>Roster!Y183</f>
        <v>0</v>
      </c>
      <c r="Y39" s="37">
        <f>Roster!Z183</f>
        <v>0</v>
      </c>
      <c r="Z39" s="37">
        <f>Roster!AA183</f>
        <v>0</v>
      </c>
      <c r="AA39" s="37">
        <f>Roster!AB183</f>
        <v>0</v>
      </c>
      <c r="AB39" s="37">
        <f>Roster!AC183</f>
        <v>0</v>
      </c>
      <c r="AC39" s="37">
        <f>Roster!AD183</f>
        <v>0</v>
      </c>
      <c r="AD39" s="37">
        <f>Roster!AE183</f>
        <v>0</v>
      </c>
      <c r="AE39" s="37">
        <f>Roster!AF183</f>
        <v>0</v>
      </c>
      <c r="AF39" s="38">
        <f>Roster!AG183</f>
        <v>0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EmpGName06 &amp;" " &amp; EmpSName06</f>
        <v>Troy Sorensen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Roster!D19</f>
        <v>0</v>
      </c>
      <c r="D6" s="37">
        <f>Roster!E19</f>
        <v>0</v>
      </c>
      <c r="E6" s="37">
        <f>Roster!F19</f>
        <v>0</v>
      </c>
      <c r="F6" s="37">
        <f>Roster!G19</f>
        <v>0</v>
      </c>
      <c r="G6" s="37" t="str">
        <f>Roster!H19</f>
        <v>X</v>
      </c>
      <c r="H6" s="37">
        <f>Roster!I19</f>
        <v>0</v>
      </c>
      <c r="I6" s="37">
        <f>Roster!J19</f>
        <v>0</v>
      </c>
      <c r="J6" s="37">
        <f>Roster!K19</f>
        <v>0</v>
      </c>
      <c r="K6" s="37">
        <f>Roster!L19</f>
        <v>0</v>
      </c>
      <c r="L6" s="37" t="str">
        <f>Roster!M19</f>
        <v>X</v>
      </c>
      <c r="M6" s="37">
        <f>Roster!N19</f>
        <v>0</v>
      </c>
      <c r="N6" s="37">
        <f>Roster!O19</f>
        <v>0</v>
      </c>
      <c r="O6" s="37">
        <f>Roster!P19</f>
        <v>0</v>
      </c>
      <c r="P6" s="37">
        <f>Roster!Q19</f>
        <v>0</v>
      </c>
      <c r="Q6" s="37">
        <f>Roster!R19</f>
        <v>0</v>
      </c>
      <c r="R6" s="37">
        <f>Roster!S19</f>
        <v>0</v>
      </c>
      <c r="S6" s="37">
        <f>Roster!T19</f>
        <v>0</v>
      </c>
      <c r="T6" s="37">
        <f>Roster!U19</f>
        <v>0</v>
      </c>
      <c r="U6" s="37">
        <f>Roster!V19</f>
        <v>0</v>
      </c>
      <c r="V6" s="37">
        <f>Roster!W19</f>
        <v>0</v>
      </c>
      <c r="W6" s="37">
        <f>Roster!X19</f>
        <v>0</v>
      </c>
      <c r="X6" s="37">
        <f>Roster!Y19</f>
        <v>0</v>
      </c>
      <c r="Y6" s="37">
        <f>Roster!Z19</f>
        <v>0</v>
      </c>
      <c r="Z6" s="37">
        <f>Roster!AA19</f>
        <v>0</v>
      </c>
      <c r="AA6" s="37">
        <f>Roster!AB19</f>
        <v>0</v>
      </c>
      <c r="AB6" s="37">
        <f>Roster!AC19</f>
        <v>0</v>
      </c>
      <c r="AC6" s="37">
        <f>Roster!AD19</f>
        <v>0</v>
      </c>
      <c r="AD6" s="37">
        <f>Roster!AE19</f>
        <v>0</v>
      </c>
      <c r="AE6" s="37">
        <f>Roster!AF19</f>
        <v>0</v>
      </c>
      <c r="AF6" s="37">
        <f>Roster!AG19</f>
        <v>0</v>
      </c>
      <c r="AG6" s="38">
        <f>Roster!AH19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Roster!D34</f>
        <v>0</v>
      </c>
      <c r="D9" s="39">
        <f>Roster!E34</f>
        <v>0</v>
      </c>
      <c r="E9" s="37">
        <f>Roster!F34</f>
        <v>0</v>
      </c>
      <c r="F9" s="37">
        <f>Roster!G34</f>
        <v>0</v>
      </c>
      <c r="G9" s="37">
        <f>Roster!H34</f>
        <v>0</v>
      </c>
      <c r="H9" s="37">
        <f>Roster!I34</f>
        <v>0</v>
      </c>
      <c r="I9" s="37">
        <f>Roster!J34</f>
        <v>0</v>
      </c>
      <c r="J9" s="37">
        <f>Roster!K34</f>
        <v>0</v>
      </c>
      <c r="K9" s="37">
        <f>Roster!L34</f>
        <v>0</v>
      </c>
      <c r="L9" s="37">
        <f>Roster!M34</f>
        <v>0</v>
      </c>
      <c r="M9" s="37">
        <f>Roster!N34</f>
        <v>0</v>
      </c>
      <c r="N9" s="37">
        <f>Roster!O34</f>
        <v>0</v>
      </c>
      <c r="O9" s="37">
        <f>Roster!P34</f>
        <v>0</v>
      </c>
      <c r="P9" s="37">
        <f>Roster!Q34</f>
        <v>0</v>
      </c>
      <c r="Q9" s="37">
        <f>Roster!R34</f>
        <v>0</v>
      </c>
      <c r="R9" s="37">
        <f>Roster!S34</f>
        <v>0</v>
      </c>
      <c r="S9" s="37">
        <f>Roster!T34</f>
        <v>0</v>
      </c>
      <c r="T9" s="37">
        <f>Roster!U34</f>
        <v>0</v>
      </c>
      <c r="U9" s="37">
        <f>Roster!V34</f>
        <v>0</v>
      </c>
      <c r="V9" s="37">
        <f>Roster!W34</f>
        <v>0</v>
      </c>
      <c r="W9" s="37">
        <f>Roster!X34</f>
        <v>0</v>
      </c>
      <c r="X9" s="37">
        <f>Roster!Y34</f>
        <v>0</v>
      </c>
      <c r="Y9" s="37">
        <f>Roster!Z34</f>
        <v>0</v>
      </c>
      <c r="Z9" s="37">
        <f>Roster!AA34</f>
        <v>0</v>
      </c>
      <c r="AA9" s="37">
        <f>Roster!AB34</f>
        <v>0</v>
      </c>
      <c r="AB9" s="37">
        <f>Roster!AC34</f>
        <v>0</v>
      </c>
      <c r="AC9" s="37">
        <f>Roster!AD34</f>
        <v>0</v>
      </c>
      <c r="AD9" s="37">
        <f>Roster!AE34</f>
        <v>0</v>
      </c>
      <c r="AE9" s="37">
        <f>Roster!AF34</f>
        <v>0</v>
      </c>
      <c r="AF9" s="37">
        <f>Roster!AG34</f>
        <v>0</v>
      </c>
      <c r="AG9" s="38">
        <f>Roster!AH34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Roster!D49</f>
        <v>0</v>
      </c>
      <c r="D12" s="37">
        <f>Roster!E49</f>
        <v>0</v>
      </c>
      <c r="E12" s="37">
        <f>Roster!F49</f>
        <v>0</v>
      </c>
      <c r="F12" s="37">
        <f>Roster!G49</f>
        <v>0</v>
      </c>
      <c r="G12" s="37">
        <f>Roster!H49</f>
        <v>0</v>
      </c>
      <c r="H12" s="37">
        <f>Roster!I49</f>
        <v>0</v>
      </c>
      <c r="I12" s="37">
        <f>Roster!J49</f>
        <v>0</v>
      </c>
      <c r="J12" s="37">
        <f>Roster!K49</f>
        <v>0</v>
      </c>
      <c r="K12" s="37">
        <f>Roster!L49</f>
        <v>0</v>
      </c>
      <c r="L12" s="37">
        <f>Roster!M49</f>
        <v>0</v>
      </c>
      <c r="M12" s="37">
        <f>Roster!N49</f>
        <v>0</v>
      </c>
      <c r="N12" s="37">
        <f>Roster!O49</f>
        <v>0</v>
      </c>
      <c r="O12" s="37">
        <f>Roster!P49</f>
        <v>0</v>
      </c>
      <c r="P12" s="37">
        <f>Roster!Q49</f>
        <v>0</v>
      </c>
      <c r="Q12" s="37">
        <f>Roster!R49</f>
        <v>0</v>
      </c>
      <c r="R12" s="37">
        <f>Roster!S49</f>
        <v>0</v>
      </c>
      <c r="S12" s="37">
        <f>Roster!T49</f>
        <v>0</v>
      </c>
      <c r="T12" s="37">
        <f>Roster!U49</f>
        <v>0</v>
      </c>
      <c r="U12" s="37">
        <f>Roster!V49</f>
        <v>0</v>
      </c>
      <c r="V12" s="37">
        <f>Roster!W49</f>
        <v>0</v>
      </c>
      <c r="W12" s="37">
        <f>Roster!X49</f>
        <v>0</v>
      </c>
      <c r="X12" s="37">
        <f>Roster!Y49</f>
        <v>0</v>
      </c>
      <c r="Y12" s="37">
        <f>Roster!Z49</f>
        <v>0</v>
      </c>
      <c r="Z12" s="37">
        <f>Roster!AA49</f>
        <v>0</v>
      </c>
      <c r="AA12" s="37">
        <f>Roster!AB49</f>
        <v>0</v>
      </c>
      <c r="AB12" s="37">
        <f>Roster!AC49</f>
        <v>0</v>
      </c>
      <c r="AC12" s="37">
        <f>Roster!AD49</f>
        <v>0</v>
      </c>
      <c r="AD12" s="37">
        <f>Roster!AE49</f>
        <v>0</v>
      </c>
      <c r="AE12" s="37">
        <f>Roster!AF49</f>
        <v>0</v>
      </c>
      <c r="AF12" s="38">
        <f>Roster!AG49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Roster!D64</f>
        <v>0</v>
      </c>
      <c r="D15" s="37">
        <f>Roster!E64</f>
        <v>0</v>
      </c>
      <c r="E15" s="37">
        <f>Roster!F64</f>
        <v>0</v>
      </c>
      <c r="F15" s="37">
        <f>Roster!G64</f>
        <v>0</v>
      </c>
      <c r="G15" s="37">
        <f>Roster!H64</f>
        <v>0</v>
      </c>
      <c r="H15" s="37">
        <f>Roster!I64</f>
        <v>0</v>
      </c>
      <c r="I15" s="37">
        <f>Roster!J64</f>
        <v>0</v>
      </c>
      <c r="J15" s="37">
        <f>Roster!K64</f>
        <v>0</v>
      </c>
      <c r="K15" s="37">
        <f>Roster!L64</f>
        <v>0</v>
      </c>
      <c r="L15" s="37">
        <f>Roster!M64</f>
        <v>0</v>
      </c>
      <c r="M15" s="37">
        <f>Roster!N64</f>
        <v>0</v>
      </c>
      <c r="N15" s="37">
        <f>Roster!O64</f>
        <v>0</v>
      </c>
      <c r="O15" s="37">
        <f>Roster!P64</f>
        <v>0</v>
      </c>
      <c r="P15" s="37">
        <f>Roster!Q64</f>
        <v>0</v>
      </c>
      <c r="Q15" s="37">
        <f>Roster!R64</f>
        <v>0</v>
      </c>
      <c r="R15" s="37">
        <f>Roster!S64</f>
        <v>0</v>
      </c>
      <c r="S15" s="37">
        <f>Roster!T64</f>
        <v>0</v>
      </c>
      <c r="T15" s="37">
        <f>Roster!U64</f>
        <v>0</v>
      </c>
      <c r="U15" s="37">
        <f>Roster!V64</f>
        <v>0</v>
      </c>
      <c r="V15" s="37">
        <f>Roster!W64</f>
        <v>0</v>
      </c>
      <c r="W15" s="37">
        <f>Roster!X64</f>
        <v>0</v>
      </c>
      <c r="X15" s="37">
        <f>Roster!Y64</f>
        <v>0</v>
      </c>
      <c r="Y15" s="37">
        <f>Roster!Z64</f>
        <v>0</v>
      </c>
      <c r="Z15" s="37">
        <f>Roster!AA64</f>
        <v>0</v>
      </c>
      <c r="AA15" s="37">
        <f>Roster!AB64</f>
        <v>0</v>
      </c>
      <c r="AB15" s="37">
        <f>Roster!AC64</f>
        <v>0</v>
      </c>
      <c r="AC15" s="37">
        <f>Roster!AD64</f>
        <v>0</v>
      </c>
      <c r="AD15" s="37">
        <f>Roster!AE64</f>
        <v>0</v>
      </c>
      <c r="AE15" s="37">
        <f>Roster!AF64</f>
        <v>0</v>
      </c>
      <c r="AF15" s="37">
        <f>Roster!AG64</f>
        <v>0</v>
      </c>
      <c r="AG15" s="38">
        <f>Roster!AH64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Roster!D79</f>
        <v>0</v>
      </c>
      <c r="D18" s="37">
        <f>Roster!E79</f>
        <v>0</v>
      </c>
      <c r="E18" s="37">
        <f>Roster!F79</f>
        <v>0</v>
      </c>
      <c r="F18" s="37">
        <f>Roster!G79</f>
        <v>0</v>
      </c>
      <c r="G18" s="37">
        <f>Roster!H79</f>
        <v>0</v>
      </c>
      <c r="H18" s="37">
        <f>Roster!I79</f>
        <v>0</v>
      </c>
      <c r="I18" s="37">
        <f>Roster!J79</f>
        <v>0</v>
      </c>
      <c r="J18" s="37">
        <f>Roster!K79</f>
        <v>0</v>
      </c>
      <c r="K18" s="37">
        <f>Roster!L79</f>
        <v>0</v>
      </c>
      <c r="L18" s="37">
        <f>Roster!M79</f>
        <v>0</v>
      </c>
      <c r="M18" s="37">
        <f>Roster!N79</f>
        <v>0</v>
      </c>
      <c r="N18" s="37">
        <f>Roster!O79</f>
        <v>0</v>
      </c>
      <c r="O18" s="37">
        <f>Roster!P79</f>
        <v>0</v>
      </c>
      <c r="P18" s="37">
        <f>Roster!Q79</f>
        <v>0</v>
      </c>
      <c r="Q18" s="37">
        <f>Roster!R79</f>
        <v>0</v>
      </c>
      <c r="R18" s="37">
        <f>Roster!S79</f>
        <v>0</v>
      </c>
      <c r="S18" s="37">
        <f>Roster!T79</f>
        <v>0</v>
      </c>
      <c r="T18" s="37">
        <f>Roster!U79</f>
        <v>0</v>
      </c>
      <c r="U18" s="37">
        <f>Roster!V79</f>
        <v>0</v>
      </c>
      <c r="V18" s="37">
        <f>Roster!W79</f>
        <v>0</v>
      </c>
      <c r="W18" s="37">
        <f>Roster!X79</f>
        <v>0</v>
      </c>
      <c r="X18" s="37">
        <f>Roster!Y79</f>
        <v>0</v>
      </c>
      <c r="Y18" s="37">
        <f>Roster!Z79</f>
        <v>0</v>
      </c>
      <c r="Z18" s="37">
        <f>Roster!AA79</f>
        <v>0</v>
      </c>
      <c r="AA18" s="37">
        <f>Roster!AB79</f>
        <v>0</v>
      </c>
      <c r="AB18" s="37">
        <f>Roster!AC79</f>
        <v>0</v>
      </c>
      <c r="AC18" s="37">
        <f>Roster!AD79</f>
        <v>0</v>
      </c>
      <c r="AD18" s="37">
        <f>Roster!AE79</f>
        <v>0</v>
      </c>
      <c r="AE18" s="37">
        <f>Roster!AF79</f>
        <v>0</v>
      </c>
      <c r="AF18" s="38">
        <f>Roster!AG79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Roster!D94</f>
        <v>0</v>
      </c>
      <c r="D21" s="37">
        <f>Roster!E94</f>
        <v>0</v>
      </c>
      <c r="E21" s="37">
        <f>Roster!F94</f>
        <v>0</v>
      </c>
      <c r="F21" s="37">
        <f>Roster!G94</f>
        <v>0</v>
      </c>
      <c r="G21" s="37">
        <f>Roster!H94</f>
        <v>0</v>
      </c>
      <c r="H21" s="37">
        <f>Roster!I94</f>
        <v>0</v>
      </c>
      <c r="I21" s="37">
        <f>Roster!J94</f>
        <v>0</v>
      </c>
      <c r="J21" s="37">
        <f>Roster!K94</f>
        <v>0</v>
      </c>
      <c r="K21" s="37">
        <f>Roster!L94</f>
        <v>0</v>
      </c>
      <c r="L21" s="37">
        <f>Roster!M94</f>
        <v>0</v>
      </c>
      <c r="M21" s="37">
        <f>Roster!N94</f>
        <v>0</v>
      </c>
      <c r="N21" s="37">
        <f>Roster!O94</f>
        <v>0</v>
      </c>
      <c r="O21" s="37">
        <f>Roster!P94</f>
        <v>0</v>
      </c>
      <c r="P21" s="37">
        <f>Roster!Q94</f>
        <v>0</v>
      </c>
      <c r="Q21" s="37">
        <f>Roster!R94</f>
        <v>0</v>
      </c>
      <c r="R21" s="37">
        <f>Roster!S94</f>
        <v>0</v>
      </c>
      <c r="S21" s="37">
        <f>Roster!T94</f>
        <v>0</v>
      </c>
      <c r="T21" s="37">
        <f>Roster!U94</f>
        <v>0</v>
      </c>
      <c r="U21" s="37">
        <f>Roster!V94</f>
        <v>0</v>
      </c>
      <c r="V21" s="37">
        <f>Roster!W94</f>
        <v>0</v>
      </c>
      <c r="W21" s="37">
        <f>Roster!X94</f>
        <v>0</v>
      </c>
      <c r="X21" s="37">
        <f>Roster!Y94</f>
        <v>0</v>
      </c>
      <c r="Y21" s="37">
        <f>Roster!Z94</f>
        <v>0</v>
      </c>
      <c r="Z21" s="37">
        <f>Roster!AA94</f>
        <v>0</v>
      </c>
      <c r="AA21" s="37">
        <f>Roster!AB94</f>
        <v>0</v>
      </c>
      <c r="AB21" s="37">
        <f>Roster!AC94</f>
        <v>0</v>
      </c>
      <c r="AC21" s="37">
        <f>Roster!AD94</f>
        <v>0</v>
      </c>
      <c r="AD21" s="37">
        <f>Roster!AE94</f>
        <v>0</v>
      </c>
      <c r="AE21" s="37">
        <f>Roster!AF94</f>
        <v>0</v>
      </c>
      <c r="AF21" s="37">
        <f>Roster!AG94</f>
        <v>0</v>
      </c>
      <c r="AG21" s="38">
        <f>Roster!AH94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>
        <f>Roster!D109</f>
        <v>0</v>
      </c>
      <c r="D24" s="49">
        <f>Roster!E109</f>
        <v>0</v>
      </c>
      <c r="E24" s="40">
        <f>Roster!F109</f>
        <v>0</v>
      </c>
      <c r="F24" s="40">
        <f>Roster!G109</f>
        <v>0</v>
      </c>
      <c r="G24" s="40">
        <f>Roster!H109</f>
        <v>0</v>
      </c>
      <c r="H24" s="40">
        <f>Roster!I109</f>
        <v>0</v>
      </c>
      <c r="I24" s="40">
        <f>Roster!J109</f>
        <v>0</v>
      </c>
      <c r="J24" s="40">
        <f>Roster!K109</f>
        <v>0</v>
      </c>
      <c r="K24" s="40">
        <f>Roster!L109</f>
        <v>0</v>
      </c>
      <c r="L24" s="40">
        <f>Roster!M109</f>
        <v>0</v>
      </c>
      <c r="M24" s="40">
        <f>Roster!N109</f>
        <v>0</v>
      </c>
      <c r="N24" s="40">
        <f>Roster!O109</f>
        <v>0</v>
      </c>
      <c r="O24" s="40">
        <f>Roster!P109</f>
        <v>0</v>
      </c>
      <c r="P24" s="40">
        <f>Roster!Q109</f>
        <v>0</v>
      </c>
      <c r="Q24" s="40">
        <f>Roster!R109</f>
        <v>0</v>
      </c>
      <c r="R24" s="40">
        <f>Roster!S109</f>
        <v>0</v>
      </c>
      <c r="S24" s="40">
        <f>Roster!T109</f>
        <v>0</v>
      </c>
      <c r="T24" s="40">
        <f>Roster!U109</f>
        <v>0</v>
      </c>
      <c r="U24" s="40">
        <f>Roster!V109</f>
        <v>0</v>
      </c>
      <c r="V24" s="40">
        <f>Roster!W109</f>
        <v>0</v>
      </c>
      <c r="W24" s="40">
        <f>Roster!X109</f>
        <v>0</v>
      </c>
      <c r="X24" s="40">
        <f>Roster!Y109</f>
        <v>0</v>
      </c>
      <c r="Y24" s="40">
        <f>Roster!Z109</f>
        <v>0</v>
      </c>
      <c r="Z24" s="40">
        <f>Roster!AA109</f>
        <v>0</v>
      </c>
      <c r="AA24" s="40">
        <f>Roster!AB109</f>
        <v>0</v>
      </c>
      <c r="AB24" s="40">
        <f>Roster!AC109</f>
        <v>0</v>
      </c>
      <c r="AC24" s="40">
        <f>Roster!AD109</f>
        <v>0</v>
      </c>
      <c r="AD24" s="40">
        <f>Roster!AE109</f>
        <v>0</v>
      </c>
      <c r="AE24" s="40">
        <f>Roster!AF109</f>
        <v>0</v>
      </c>
      <c r="AF24" s="40">
        <f>Roster!AG109</f>
        <v>0</v>
      </c>
      <c r="AG24" s="41">
        <f>Roster!AH109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3">
        <v>29</v>
      </c>
      <c r="AF26" s="44"/>
    </row>
    <row r="27" spans="2:33" ht="14.25" thickTop="1" thickBot="1">
      <c r="B27" s="32" t="str">
        <f>CurYear</f>
        <v>2017</v>
      </c>
      <c r="C27" s="36">
        <f>Roster!D124</f>
        <v>0</v>
      </c>
      <c r="D27" s="37">
        <f>Roster!E124</f>
        <v>0</v>
      </c>
      <c r="E27" s="37">
        <f>Roster!F124</f>
        <v>0</v>
      </c>
      <c r="F27" s="37">
        <f>Roster!G124</f>
        <v>0</v>
      </c>
      <c r="G27" s="37">
        <f>Roster!H124</f>
        <v>0</v>
      </c>
      <c r="H27" s="37">
        <f>Roster!I124</f>
        <v>0</v>
      </c>
      <c r="I27" s="37">
        <f>Roster!J124</f>
        <v>0</v>
      </c>
      <c r="J27" s="37">
        <f>Roster!K124</f>
        <v>0</v>
      </c>
      <c r="K27" s="37">
        <f>Roster!L124</f>
        <v>0</v>
      </c>
      <c r="L27" s="37">
        <f>Roster!M124</f>
        <v>0</v>
      </c>
      <c r="M27" s="37">
        <f>Roster!N124</f>
        <v>0</v>
      </c>
      <c r="N27" s="37">
        <f>Roster!O124</f>
        <v>0</v>
      </c>
      <c r="O27" s="37">
        <f>Roster!P124</f>
        <v>0</v>
      </c>
      <c r="P27" s="37">
        <f>Roster!Q124</f>
        <v>0</v>
      </c>
      <c r="Q27" s="37">
        <f>Roster!Q123</f>
        <v>0</v>
      </c>
      <c r="R27" s="37">
        <f>Roster!S124</f>
        <v>0</v>
      </c>
      <c r="S27" s="37">
        <f>Roster!T124</f>
        <v>0</v>
      </c>
      <c r="T27" s="37">
        <f>Roster!U124</f>
        <v>0</v>
      </c>
      <c r="U27" s="37">
        <f>Roster!V124</f>
        <v>0</v>
      </c>
      <c r="V27" s="37">
        <f>Roster!W124</f>
        <v>0</v>
      </c>
      <c r="W27" s="37">
        <f>Roster!X124</f>
        <v>0</v>
      </c>
      <c r="X27" s="37">
        <f>Roster!Y124</f>
        <v>0</v>
      </c>
      <c r="Y27" s="37">
        <f>Roster!Z124</f>
        <v>0</v>
      </c>
      <c r="Z27" s="37">
        <f>Roster!AA124</f>
        <v>0</v>
      </c>
      <c r="AA27" s="37">
        <f>Roster!AB124</f>
        <v>0</v>
      </c>
      <c r="AB27" s="37">
        <f>Roster!AC124</f>
        <v>0</v>
      </c>
      <c r="AC27" s="37">
        <f>Roster!AD124</f>
        <v>0</v>
      </c>
      <c r="AD27" s="43">
        <f>Roster!AE124</f>
        <v>0</v>
      </c>
      <c r="AE27" s="134">
        <f>Roster!AF124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Roster!D139</f>
        <v>0</v>
      </c>
      <c r="D30" s="37">
        <f>Roster!E139</f>
        <v>0</v>
      </c>
      <c r="E30" s="37">
        <f>Roster!F139</f>
        <v>0</v>
      </c>
      <c r="F30" s="37">
        <f>Roster!G139</f>
        <v>0</v>
      </c>
      <c r="G30" s="37">
        <f>Roster!H139</f>
        <v>0</v>
      </c>
      <c r="H30" s="37">
        <f>Roster!I139</f>
        <v>0</v>
      </c>
      <c r="I30" s="37">
        <f>Roster!J139</f>
        <v>0</v>
      </c>
      <c r="J30" s="37">
        <f>Roster!K139</f>
        <v>0</v>
      </c>
      <c r="K30" s="37">
        <f>Roster!L139</f>
        <v>0</v>
      </c>
      <c r="L30" s="37">
        <f>Roster!M139</f>
        <v>0</v>
      </c>
      <c r="M30" s="37">
        <f>Roster!N139</f>
        <v>0</v>
      </c>
      <c r="N30" s="37">
        <f>Roster!O139</f>
        <v>0</v>
      </c>
      <c r="O30" s="37">
        <f>Roster!P139</f>
        <v>0</v>
      </c>
      <c r="P30" s="37">
        <f>Roster!Q139</f>
        <v>0</v>
      </c>
      <c r="Q30" s="37">
        <f>Roster!R139</f>
        <v>0</v>
      </c>
      <c r="R30" s="37">
        <f>Roster!S139</f>
        <v>0</v>
      </c>
      <c r="S30" s="37">
        <f>Roster!T139</f>
        <v>0</v>
      </c>
      <c r="T30" s="37">
        <f>Roster!U139</f>
        <v>0</v>
      </c>
      <c r="U30" s="37">
        <f>Roster!V139</f>
        <v>0</v>
      </c>
      <c r="V30" s="37">
        <f>Roster!W139</f>
        <v>0</v>
      </c>
      <c r="W30" s="37">
        <f>Roster!X139</f>
        <v>0</v>
      </c>
      <c r="X30" s="37">
        <f>Roster!Y139</f>
        <v>0</v>
      </c>
      <c r="Y30" s="37">
        <f>Roster!Z139</f>
        <v>0</v>
      </c>
      <c r="Z30" s="37">
        <f>Roster!AA139</f>
        <v>0</v>
      </c>
      <c r="AA30" s="37">
        <f>Roster!AB139</f>
        <v>0</v>
      </c>
      <c r="AB30" s="37">
        <f>Roster!AC139</f>
        <v>0</v>
      </c>
      <c r="AC30" s="37">
        <f>Roster!AD139</f>
        <v>0</v>
      </c>
      <c r="AD30" s="37">
        <f>Roster!AE139</f>
        <v>0</v>
      </c>
      <c r="AE30" s="37">
        <f>Roster!AF139</f>
        <v>0</v>
      </c>
      <c r="AF30" s="37">
        <f>Roster!AG139</f>
        <v>0</v>
      </c>
      <c r="AG30" s="38">
        <f>Roster!AH139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Roster!D154</f>
        <v>0</v>
      </c>
      <c r="D33" s="37">
        <f>Roster!E154</f>
        <v>0</v>
      </c>
      <c r="E33" s="37">
        <f>Roster!F154</f>
        <v>0</v>
      </c>
      <c r="F33" s="37">
        <f>Roster!G154</f>
        <v>0</v>
      </c>
      <c r="G33" s="37">
        <f>Roster!H154</f>
        <v>0</v>
      </c>
      <c r="H33" s="37">
        <f>Roster!I154</f>
        <v>0</v>
      </c>
      <c r="I33" s="37">
        <f>Roster!J154</f>
        <v>0</v>
      </c>
      <c r="J33" s="37">
        <f>Roster!K154</f>
        <v>0</v>
      </c>
      <c r="K33" s="37">
        <f>Roster!L154</f>
        <v>0</v>
      </c>
      <c r="L33" s="37">
        <f>Roster!M154</f>
        <v>0</v>
      </c>
      <c r="M33" s="37">
        <f>Roster!N154</f>
        <v>0</v>
      </c>
      <c r="N33" s="37">
        <f>Roster!O154</f>
        <v>0</v>
      </c>
      <c r="O33" s="37">
        <f>Roster!P154</f>
        <v>0</v>
      </c>
      <c r="P33" s="37">
        <f>Roster!Q154</f>
        <v>0</v>
      </c>
      <c r="Q33" s="37">
        <f>Roster!R154</f>
        <v>0</v>
      </c>
      <c r="R33" s="37">
        <f>Roster!S154</f>
        <v>0</v>
      </c>
      <c r="S33" s="37">
        <f>Roster!T154</f>
        <v>0</v>
      </c>
      <c r="T33" s="37">
        <f>Roster!U154</f>
        <v>0</v>
      </c>
      <c r="U33" s="37">
        <f>Roster!V154</f>
        <v>0</v>
      </c>
      <c r="V33" s="37">
        <f>Roster!W154</f>
        <v>0</v>
      </c>
      <c r="W33" s="37">
        <f>Roster!X154</f>
        <v>0</v>
      </c>
      <c r="X33" s="37">
        <f>Roster!Y154</f>
        <v>0</v>
      </c>
      <c r="Y33" s="37">
        <f>Roster!Z154</f>
        <v>0</v>
      </c>
      <c r="Z33" s="37">
        <f>Roster!AA154</f>
        <v>0</v>
      </c>
      <c r="AA33" s="37">
        <f>Roster!AB154</f>
        <v>0</v>
      </c>
      <c r="AB33" s="37">
        <f>Roster!AC154</f>
        <v>0</v>
      </c>
      <c r="AC33" s="37">
        <f>Roster!AD154</f>
        <v>0</v>
      </c>
      <c r="AD33" s="37">
        <f>Roster!AE154</f>
        <v>0</v>
      </c>
      <c r="AE33" s="37">
        <f>Roster!AF154</f>
        <v>0</v>
      </c>
      <c r="AF33" s="38">
        <f>Roster!AG154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Roster!D169</f>
        <v>0</v>
      </c>
      <c r="D36" s="37">
        <f>Roster!E169</f>
        <v>0</v>
      </c>
      <c r="E36" s="37">
        <f>Roster!F169</f>
        <v>0</v>
      </c>
      <c r="F36" s="37">
        <f>Roster!G169</f>
        <v>0</v>
      </c>
      <c r="G36" s="37">
        <f>Roster!H169</f>
        <v>0</v>
      </c>
      <c r="H36" s="37">
        <f>Roster!I169</f>
        <v>0</v>
      </c>
      <c r="I36" s="37">
        <f>Roster!J169</f>
        <v>0</v>
      </c>
      <c r="J36" s="37">
        <f>Roster!K169</f>
        <v>0</v>
      </c>
      <c r="K36" s="37">
        <f>Roster!L169</f>
        <v>0</v>
      </c>
      <c r="L36" s="37">
        <f>Roster!M169</f>
        <v>0</v>
      </c>
      <c r="M36" s="37">
        <f>Roster!N169</f>
        <v>0</v>
      </c>
      <c r="N36" s="37">
        <f>Roster!O169</f>
        <v>0</v>
      </c>
      <c r="O36" s="37">
        <f>Roster!P169</f>
        <v>0</v>
      </c>
      <c r="P36" s="37">
        <f>Roster!Q169</f>
        <v>0</v>
      </c>
      <c r="Q36" s="37">
        <f>Roster!R169</f>
        <v>0</v>
      </c>
      <c r="R36" s="37">
        <f>Roster!S169</f>
        <v>0</v>
      </c>
      <c r="S36" s="37">
        <f>Roster!T169</f>
        <v>0</v>
      </c>
      <c r="T36" s="37">
        <f>Roster!U169</f>
        <v>0</v>
      </c>
      <c r="U36" s="37">
        <f>Roster!V169</f>
        <v>0</v>
      </c>
      <c r="V36" s="37">
        <f>Roster!W169</f>
        <v>0</v>
      </c>
      <c r="W36" s="37">
        <f>Roster!X169</f>
        <v>0</v>
      </c>
      <c r="X36" s="37">
        <f>Roster!Y169</f>
        <v>0</v>
      </c>
      <c r="Y36" s="37">
        <f>Roster!Z169</f>
        <v>0</v>
      </c>
      <c r="Z36" s="37">
        <f>Roster!AA169</f>
        <v>0</v>
      </c>
      <c r="AA36" s="37">
        <f>Roster!AB169</f>
        <v>0</v>
      </c>
      <c r="AB36" s="37">
        <f>Roster!AC169</f>
        <v>0</v>
      </c>
      <c r="AC36" s="37">
        <f>Roster!AD169</f>
        <v>0</v>
      </c>
      <c r="AD36" s="37">
        <f>Roster!AE169</f>
        <v>0</v>
      </c>
      <c r="AE36" s="37">
        <f>Roster!AF169</f>
        <v>0</v>
      </c>
      <c r="AF36" s="37">
        <f>Roster!AG169</f>
        <v>0</v>
      </c>
      <c r="AG36" s="38">
        <f>Roster!AH169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Roster!D184</f>
        <v>0</v>
      </c>
      <c r="D39" s="37">
        <f>Roster!E184</f>
        <v>0</v>
      </c>
      <c r="E39" s="37">
        <f>Roster!F184</f>
        <v>0</v>
      </c>
      <c r="F39" s="37">
        <f>Roster!G184</f>
        <v>0</v>
      </c>
      <c r="G39" s="37">
        <f>Roster!H184</f>
        <v>0</v>
      </c>
      <c r="H39" s="37">
        <f>Roster!I184</f>
        <v>0</v>
      </c>
      <c r="I39" s="37">
        <f>Roster!J184</f>
        <v>0</v>
      </c>
      <c r="J39" s="37">
        <f>Roster!K184</f>
        <v>0</v>
      </c>
      <c r="K39" s="37">
        <f>Roster!L184</f>
        <v>0</v>
      </c>
      <c r="L39" s="37">
        <f>Roster!M184</f>
        <v>0</v>
      </c>
      <c r="M39" s="37">
        <f>Roster!N184</f>
        <v>0</v>
      </c>
      <c r="N39" s="37">
        <f>Roster!O184</f>
        <v>0</v>
      </c>
      <c r="O39" s="37">
        <f>Roster!P184</f>
        <v>0</v>
      </c>
      <c r="P39" s="37">
        <f>Roster!Q184</f>
        <v>0</v>
      </c>
      <c r="Q39" s="37">
        <f>Roster!R184</f>
        <v>0</v>
      </c>
      <c r="R39" s="37">
        <f>Roster!S184</f>
        <v>0</v>
      </c>
      <c r="S39" s="37">
        <f>Roster!T184</f>
        <v>0</v>
      </c>
      <c r="T39" s="37">
        <f>Roster!U184</f>
        <v>0</v>
      </c>
      <c r="U39" s="37">
        <f>Roster!V184</f>
        <v>0</v>
      </c>
      <c r="V39" s="37">
        <f>Roster!W184</f>
        <v>0</v>
      </c>
      <c r="W39" s="37">
        <f>Roster!X184</f>
        <v>0</v>
      </c>
      <c r="X39" s="37">
        <f>Roster!Y184</f>
        <v>0</v>
      </c>
      <c r="Y39" s="37">
        <f>Roster!Z184</f>
        <v>0</v>
      </c>
      <c r="Z39" s="37">
        <f>Roster!AA184</f>
        <v>0</v>
      </c>
      <c r="AA39" s="37">
        <f>Roster!AB184</f>
        <v>0</v>
      </c>
      <c r="AB39" s="37">
        <f>Roster!AC184</f>
        <v>0</v>
      </c>
      <c r="AC39" s="37">
        <f>Roster!AD184</f>
        <v>0</v>
      </c>
      <c r="AD39" s="37">
        <f>Roster!AE184</f>
        <v>0</v>
      </c>
      <c r="AE39" s="37">
        <f>Roster!AF184</f>
        <v>0</v>
      </c>
      <c r="AF39" s="38">
        <f>Roster!AG184</f>
        <v>0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EmpGName07 &amp;" " &amp; EmpSName07</f>
        <v>Robin Fielding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Roster!D20</f>
        <v>0</v>
      </c>
      <c r="D6" s="37">
        <f>Roster!E20</f>
        <v>0</v>
      </c>
      <c r="E6" s="37">
        <f>Roster!F20</f>
        <v>0</v>
      </c>
      <c r="F6" s="37">
        <f>Roster!G20</f>
        <v>0</v>
      </c>
      <c r="G6" s="37">
        <f>Roster!H20</f>
        <v>0</v>
      </c>
      <c r="H6" s="37">
        <f>Roster!I20</f>
        <v>0</v>
      </c>
      <c r="I6" s="37">
        <f>Roster!J20</f>
        <v>0</v>
      </c>
      <c r="J6" s="37">
        <f>Roster!K20</f>
        <v>0</v>
      </c>
      <c r="K6" s="37">
        <f>Roster!L20</f>
        <v>0</v>
      </c>
      <c r="L6" s="37">
        <f>Roster!M20</f>
        <v>0</v>
      </c>
      <c r="M6" s="37">
        <f>Roster!N20</f>
        <v>0</v>
      </c>
      <c r="N6" s="37">
        <f>Roster!O20</f>
        <v>0</v>
      </c>
      <c r="O6" s="37">
        <f>Roster!P20</f>
        <v>0</v>
      </c>
      <c r="P6" s="37">
        <f>Roster!Q20</f>
        <v>0</v>
      </c>
      <c r="Q6" s="37">
        <f>Roster!R20</f>
        <v>0</v>
      </c>
      <c r="R6" s="37">
        <f>Roster!S20</f>
        <v>0</v>
      </c>
      <c r="S6" s="37">
        <f>Roster!T20</f>
        <v>0</v>
      </c>
      <c r="T6" s="37">
        <f>Roster!U20</f>
        <v>0</v>
      </c>
      <c r="U6" s="37">
        <f>Roster!V20</f>
        <v>0</v>
      </c>
      <c r="V6" s="37">
        <f>Roster!W20</f>
        <v>0</v>
      </c>
      <c r="W6" s="37">
        <f>Roster!X20</f>
        <v>0</v>
      </c>
      <c r="X6" s="37">
        <f>Roster!Y20</f>
        <v>0</v>
      </c>
      <c r="Y6" s="37">
        <f>Roster!Z20</f>
        <v>0</v>
      </c>
      <c r="Z6" s="37">
        <f>Roster!AA20</f>
        <v>0</v>
      </c>
      <c r="AA6" s="37">
        <f>Roster!AB20</f>
        <v>0</v>
      </c>
      <c r="AB6" s="37">
        <f>Roster!AC20</f>
        <v>0</v>
      </c>
      <c r="AC6" s="37">
        <f>Roster!AD20</f>
        <v>0</v>
      </c>
      <c r="AD6" s="37">
        <f>Roster!AE20</f>
        <v>0</v>
      </c>
      <c r="AE6" s="37">
        <f>Roster!AF20</f>
        <v>0</v>
      </c>
      <c r="AF6" s="37">
        <f>Roster!AG20</f>
        <v>0</v>
      </c>
      <c r="AG6" s="38">
        <f>Roster!AH20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Roster!D35</f>
        <v>0</v>
      </c>
      <c r="D9" s="39">
        <f>Roster!E35</f>
        <v>0</v>
      </c>
      <c r="E9" s="37">
        <f>Roster!F35</f>
        <v>0</v>
      </c>
      <c r="F9" s="37">
        <f>Roster!G35</f>
        <v>0</v>
      </c>
      <c r="G9" s="37">
        <f>Roster!H35</f>
        <v>0</v>
      </c>
      <c r="H9" s="37">
        <f>Roster!I35</f>
        <v>0</v>
      </c>
      <c r="I9" s="37">
        <f>Roster!J35</f>
        <v>0</v>
      </c>
      <c r="J9" s="37">
        <f>Roster!K35</f>
        <v>0</v>
      </c>
      <c r="K9" s="37">
        <f>Roster!L35</f>
        <v>0</v>
      </c>
      <c r="L9" s="37">
        <f>Roster!M35</f>
        <v>0</v>
      </c>
      <c r="M9" s="37">
        <f>Roster!N35</f>
        <v>0</v>
      </c>
      <c r="N9" s="37">
        <f>Roster!O35</f>
        <v>0</v>
      </c>
      <c r="O9" s="37">
        <f>Roster!P35</f>
        <v>0</v>
      </c>
      <c r="P9" s="37">
        <f>Roster!Q35</f>
        <v>0</v>
      </c>
      <c r="Q9" s="37">
        <f>Roster!R35</f>
        <v>0</v>
      </c>
      <c r="R9" s="37">
        <f>Roster!S35</f>
        <v>0</v>
      </c>
      <c r="S9" s="37">
        <f>Roster!T35</f>
        <v>0</v>
      </c>
      <c r="T9" s="37">
        <f>Roster!U35</f>
        <v>0</v>
      </c>
      <c r="U9" s="37">
        <f>Roster!V35</f>
        <v>0</v>
      </c>
      <c r="V9" s="37">
        <f>Roster!W35</f>
        <v>0</v>
      </c>
      <c r="W9" s="37">
        <f>Roster!X35</f>
        <v>0</v>
      </c>
      <c r="X9" s="37">
        <f>Roster!Y35</f>
        <v>0</v>
      </c>
      <c r="Y9" s="37">
        <f>Roster!Z35</f>
        <v>0</v>
      </c>
      <c r="Z9" s="37">
        <f>Roster!AA35</f>
        <v>0</v>
      </c>
      <c r="AA9" s="37">
        <f>Roster!AB35</f>
        <v>0</v>
      </c>
      <c r="AB9" s="37">
        <f>Roster!AC35</f>
        <v>0</v>
      </c>
      <c r="AC9" s="37">
        <f>Roster!AD35</f>
        <v>0</v>
      </c>
      <c r="AD9" s="37">
        <f>Roster!AE35</f>
        <v>0</v>
      </c>
      <c r="AE9" s="37">
        <f>Roster!AF35</f>
        <v>0</v>
      </c>
      <c r="AF9" s="37">
        <f>Roster!AG35</f>
        <v>0</v>
      </c>
      <c r="AG9" s="38">
        <f>Roster!AH35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Roster!D50</f>
        <v>0</v>
      </c>
      <c r="D12" s="37">
        <f>Roster!E50</f>
        <v>0</v>
      </c>
      <c r="E12" s="37">
        <f>Roster!F50</f>
        <v>0</v>
      </c>
      <c r="F12" s="37">
        <f>Roster!G50</f>
        <v>0</v>
      </c>
      <c r="G12" s="37">
        <f>Roster!H50</f>
        <v>0</v>
      </c>
      <c r="H12" s="37">
        <f>Roster!I50</f>
        <v>0</v>
      </c>
      <c r="I12" s="37">
        <f>Roster!J50</f>
        <v>0</v>
      </c>
      <c r="J12" s="37">
        <f>Roster!K50</f>
        <v>0</v>
      </c>
      <c r="K12" s="37">
        <f>Roster!L50</f>
        <v>0</v>
      </c>
      <c r="L12" s="37">
        <f>Roster!M50</f>
        <v>0</v>
      </c>
      <c r="M12" s="37">
        <f>Roster!N50</f>
        <v>0</v>
      </c>
      <c r="N12" s="37">
        <f>Roster!O50</f>
        <v>0</v>
      </c>
      <c r="O12" s="37">
        <f>Roster!P50</f>
        <v>0</v>
      </c>
      <c r="P12" s="37">
        <f>Roster!Q50</f>
        <v>0</v>
      </c>
      <c r="Q12" s="37">
        <f>Roster!R50</f>
        <v>0</v>
      </c>
      <c r="R12" s="37">
        <f>Roster!S50</f>
        <v>0</v>
      </c>
      <c r="S12" s="37">
        <f>Roster!T50</f>
        <v>0</v>
      </c>
      <c r="T12" s="37">
        <f>Roster!U50</f>
        <v>0</v>
      </c>
      <c r="U12" s="37">
        <f>Roster!V50</f>
        <v>0</v>
      </c>
      <c r="V12" s="37">
        <f>Roster!W50</f>
        <v>0</v>
      </c>
      <c r="W12" s="37">
        <f>Roster!X50</f>
        <v>0</v>
      </c>
      <c r="X12" s="37">
        <f>Roster!Y50</f>
        <v>0</v>
      </c>
      <c r="Y12" s="37">
        <f>Roster!Z50</f>
        <v>0</v>
      </c>
      <c r="Z12" s="37">
        <f>Roster!AA50</f>
        <v>0</v>
      </c>
      <c r="AA12" s="37">
        <f>Roster!AB50</f>
        <v>0</v>
      </c>
      <c r="AB12" s="37">
        <f>Roster!AC50</f>
        <v>0</v>
      </c>
      <c r="AC12" s="37">
        <f>Roster!AD50</f>
        <v>0</v>
      </c>
      <c r="AD12" s="37">
        <f>Roster!AE50</f>
        <v>0</v>
      </c>
      <c r="AE12" s="37">
        <f>Roster!AF50</f>
        <v>0</v>
      </c>
      <c r="AF12" s="38">
        <f>Roster!AG50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Roster!D65</f>
        <v>0</v>
      </c>
      <c r="D15" s="37">
        <f>Roster!E65</f>
        <v>0</v>
      </c>
      <c r="E15" s="37">
        <f>Roster!F65</f>
        <v>0</v>
      </c>
      <c r="F15" s="37">
        <f>Roster!G65</f>
        <v>0</v>
      </c>
      <c r="G15" s="37">
        <f>Roster!H65</f>
        <v>0</v>
      </c>
      <c r="H15" s="37">
        <f>Roster!I65</f>
        <v>0</v>
      </c>
      <c r="I15" s="37">
        <f>Roster!J65</f>
        <v>0</v>
      </c>
      <c r="J15" s="37">
        <f>Roster!K65</f>
        <v>0</v>
      </c>
      <c r="K15" s="37">
        <f>Roster!L65</f>
        <v>0</v>
      </c>
      <c r="L15" s="37">
        <f>Roster!M65</f>
        <v>0</v>
      </c>
      <c r="M15" s="37">
        <f>Roster!N65</f>
        <v>0</v>
      </c>
      <c r="N15" s="37">
        <f>Roster!O65</f>
        <v>0</v>
      </c>
      <c r="O15" s="37">
        <f>Roster!P65</f>
        <v>0</v>
      </c>
      <c r="P15" s="37">
        <f>Roster!Q65</f>
        <v>0</v>
      </c>
      <c r="Q15" s="37">
        <f>Roster!R65</f>
        <v>0</v>
      </c>
      <c r="R15" s="37">
        <f>Roster!S65</f>
        <v>0</v>
      </c>
      <c r="S15" s="37">
        <f>Roster!T65</f>
        <v>0</v>
      </c>
      <c r="T15" s="37">
        <f>Roster!U65</f>
        <v>0</v>
      </c>
      <c r="U15" s="37">
        <f>Roster!V65</f>
        <v>0</v>
      </c>
      <c r="V15" s="37">
        <f>Roster!W65</f>
        <v>0</v>
      </c>
      <c r="W15" s="37">
        <f>Roster!X65</f>
        <v>0</v>
      </c>
      <c r="X15" s="37">
        <f>Roster!Y65</f>
        <v>0</v>
      </c>
      <c r="Y15" s="37">
        <f>Roster!Z65</f>
        <v>0</v>
      </c>
      <c r="Z15" s="37">
        <f>Roster!AA65</f>
        <v>0</v>
      </c>
      <c r="AA15" s="37">
        <f>Roster!AB65</f>
        <v>0</v>
      </c>
      <c r="AB15" s="37">
        <f>Roster!AC65</f>
        <v>0</v>
      </c>
      <c r="AC15" s="37">
        <f>Roster!AD65</f>
        <v>0</v>
      </c>
      <c r="AD15" s="37">
        <f>Roster!AE65</f>
        <v>0</v>
      </c>
      <c r="AE15" s="37">
        <f>Roster!AF65</f>
        <v>0</v>
      </c>
      <c r="AF15" s="37">
        <f>Roster!AG65</f>
        <v>0</v>
      </c>
      <c r="AG15" s="38">
        <f>Roster!AH65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Roster!D80</f>
        <v>0</v>
      </c>
      <c r="D18" s="37">
        <f>Roster!E80</f>
        <v>0</v>
      </c>
      <c r="E18" s="37">
        <f>Roster!F80</f>
        <v>0</v>
      </c>
      <c r="F18" s="37">
        <f>Roster!G80</f>
        <v>0</v>
      </c>
      <c r="G18" s="37">
        <f>Roster!H80</f>
        <v>0</v>
      </c>
      <c r="H18" s="37">
        <f>Roster!I80</f>
        <v>0</v>
      </c>
      <c r="I18" s="37">
        <f>Roster!J80</f>
        <v>0</v>
      </c>
      <c r="J18" s="37">
        <f>Roster!K80</f>
        <v>0</v>
      </c>
      <c r="K18" s="37">
        <f>Roster!L80</f>
        <v>0</v>
      </c>
      <c r="L18" s="37">
        <f>Roster!M80</f>
        <v>0</v>
      </c>
      <c r="M18" s="37">
        <f>Roster!N80</f>
        <v>0</v>
      </c>
      <c r="N18" s="37">
        <f>Roster!O80</f>
        <v>0</v>
      </c>
      <c r="O18" s="37">
        <f>Roster!P80</f>
        <v>0</v>
      </c>
      <c r="P18" s="37">
        <f>Roster!Q80</f>
        <v>0</v>
      </c>
      <c r="Q18" s="37">
        <f>Roster!R80</f>
        <v>0</v>
      </c>
      <c r="R18" s="37">
        <f>Roster!S80</f>
        <v>0</v>
      </c>
      <c r="S18" s="37">
        <f>Roster!T80</f>
        <v>0</v>
      </c>
      <c r="T18" s="37">
        <f>Roster!U80</f>
        <v>0</v>
      </c>
      <c r="U18" s="37">
        <f>Roster!V80</f>
        <v>0</v>
      </c>
      <c r="V18" s="37">
        <f>Roster!W80</f>
        <v>0</v>
      </c>
      <c r="W18" s="37">
        <f>Roster!X80</f>
        <v>0</v>
      </c>
      <c r="X18" s="37">
        <f>Roster!Y80</f>
        <v>0</v>
      </c>
      <c r="Y18" s="37">
        <f>Roster!Z80</f>
        <v>0</v>
      </c>
      <c r="Z18" s="37">
        <f>Roster!AA80</f>
        <v>0</v>
      </c>
      <c r="AA18" s="37">
        <f>Roster!AB80</f>
        <v>0</v>
      </c>
      <c r="AB18" s="37">
        <f>Roster!AC80</f>
        <v>0</v>
      </c>
      <c r="AC18" s="37">
        <f>Roster!AD80</f>
        <v>0</v>
      </c>
      <c r="AD18" s="37">
        <f>Roster!AE80</f>
        <v>0</v>
      </c>
      <c r="AE18" s="37">
        <f>Roster!AF80</f>
        <v>0</v>
      </c>
      <c r="AF18" s="38">
        <f>Roster!AG80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Roster!D95</f>
        <v>0</v>
      </c>
      <c r="D21" s="37">
        <f>Roster!E95</f>
        <v>0</v>
      </c>
      <c r="E21" s="37">
        <f>Roster!F95</f>
        <v>0</v>
      </c>
      <c r="F21" s="37">
        <f>Roster!G95</f>
        <v>0</v>
      </c>
      <c r="G21" s="37">
        <f>Roster!H95</f>
        <v>0</v>
      </c>
      <c r="H21" s="37">
        <f>Roster!I95</f>
        <v>0</v>
      </c>
      <c r="I21" s="37">
        <f>Roster!J95</f>
        <v>0</v>
      </c>
      <c r="J21" s="37">
        <f>Roster!K95</f>
        <v>0</v>
      </c>
      <c r="K21" s="37">
        <f>Roster!L95</f>
        <v>0</v>
      </c>
      <c r="L21" s="37">
        <f>Roster!M95</f>
        <v>0</v>
      </c>
      <c r="M21" s="37">
        <f>Roster!N95</f>
        <v>0</v>
      </c>
      <c r="N21" s="37">
        <f>Roster!O95</f>
        <v>0</v>
      </c>
      <c r="O21" s="37">
        <f>Roster!P95</f>
        <v>0</v>
      </c>
      <c r="P21" s="37">
        <f>Roster!Q95</f>
        <v>0</v>
      </c>
      <c r="Q21" s="37">
        <f>Roster!R95</f>
        <v>0</v>
      </c>
      <c r="R21" s="37">
        <f>Roster!S95</f>
        <v>0</v>
      </c>
      <c r="S21" s="37">
        <f>Roster!T95</f>
        <v>0</v>
      </c>
      <c r="T21" s="37">
        <f>Roster!U95</f>
        <v>0</v>
      </c>
      <c r="U21" s="37">
        <f>Roster!V95</f>
        <v>0</v>
      </c>
      <c r="V21" s="37">
        <f>Roster!W95</f>
        <v>0</v>
      </c>
      <c r="W21" s="37">
        <f>Roster!X95</f>
        <v>0</v>
      </c>
      <c r="X21" s="37">
        <f>Roster!Y95</f>
        <v>0</v>
      </c>
      <c r="Y21" s="37">
        <f>Roster!Z95</f>
        <v>0</v>
      </c>
      <c r="Z21" s="37">
        <f>Roster!AA95</f>
        <v>0</v>
      </c>
      <c r="AA21" s="37">
        <f>Roster!AB95</f>
        <v>0</v>
      </c>
      <c r="AB21" s="37">
        <f>Roster!AC95</f>
        <v>0</v>
      </c>
      <c r="AC21" s="37">
        <f>Roster!AD95</f>
        <v>0</v>
      </c>
      <c r="AD21" s="37">
        <f>Roster!AE95</f>
        <v>0</v>
      </c>
      <c r="AE21" s="37">
        <f>Roster!AF95</f>
        <v>0</v>
      </c>
      <c r="AF21" s="37">
        <f>Roster!AG95</f>
        <v>0</v>
      </c>
      <c r="AG21" s="38">
        <f>Roster!AH95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Roster!D110</f>
        <v>0</v>
      </c>
      <c r="D24" s="53">
        <f>Roster!E110</f>
        <v>0</v>
      </c>
      <c r="E24" s="53">
        <f>Roster!F110</f>
        <v>0</v>
      </c>
      <c r="F24" s="53">
        <f>Roster!G110</f>
        <v>0</v>
      </c>
      <c r="G24" s="53">
        <f>Roster!H110</f>
        <v>0</v>
      </c>
      <c r="H24" s="53">
        <f>Roster!I110</f>
        <v>0</v>
      </c>
      <c r="I24" s="53">
        <f>Roster!J110</f>
        <v>0</v>
      </c>
      <c r="J24" s="53">
        <f>Roster!K110</f>
        <v>0</v>
      </c>
      <c r="K24" s="53">
        <f>Roster!L110</f>
        <v>0</v>
      </c>
      <c r="L24" s="53">
        <f>Roster!M110</f>
        <v>0</v>
      </c>
      <c r="M24" s="53">
        <f>Roster!N110</f>
        <v>0</v>
      </c>
      <c r="N24" s="53">
        <f>Roster!O110</f>
        <v>0</v>
      </c>
      <c r="O24" s="53">
        <f>Roster!P110</f>
        <v>0</v>
      </c>
      <c r="P24" s="53">
        <f>Roster!Q110</f>
        <v>0</v>
      </c>
      <c r="Q24" s="53">
        <f>Roster!R110</f>
        <v>0</v>
      </c>
      <c r="R24" s="53">
        <f>Roster!S110</f>
        <v>0</v>
      </c>
      <c r="S24" s="53">
        <f>Roster!T110</f>
        <v>0</v>
      </c>
      <c r="T24" s="53">
        <f>Roster!U110</f>
        <v>0</v>
      </c>
      <c r="U24" s="53">
        <f>Roster!V110</f>
        <v>0</v>
      </c>
      <c r="V24" s="53">
        <f>Roster!W110</f>
        <v>0</v>
      </c>
      <c r="W24" s="53">
        <f>Roster!X110</f>
        <v>0</v>
      </c>
      <c r="X24" s="53">
        <f>Roster!Y110</f>
        <v>0</v>
      </c>
      <c r="Y24" s="53">
        <f>Roster!Z110</f>
        <v>0</v>
      </c>
      <c r="Z24" s="53">
        <f>Roster!AA110</f>
        <v>0</v>
      </c>
      <c r="AA24" s="53">
        <f>Roster!AB110</f>
        <v>0</v>
      </c>
      <c r="AB24" s="53">
        <f>Roster!AC110</f>
        <v>0</v>
      </c>
      <c r="AC24" s="53">
        <f>Roster!AD110</f>
        <v>0</v>
      </c>
      <c r="AD24" s="53">
        <f>Roster!AE110</f>
        <v>0</v>
      </c>
      <c r="AE24" s="53">
        <f>Roster!AF110</f>
        <v>0</v>
      </c>
      <c r="AF24" s="53">
        <f>Roster!AG110</f>
        <v>0</v>
      </c>
      <c r="AG24" s="54">
        <f>Roster!AH110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Roster!D125</f>
        <v>0</v>
      </c>
      <c r="D27" s="37">
        <f>Roster!E125</f>
        <v>0</v>
      </c>
      <c r="E27" s="37">
        <f>Roster!F125</f>
        <v>0</v>
      </c>
      <c r="F27" s="37">
        <f>Roster!G125</f>
        <v>0</v>
      </c>
      <c r="G27" s="37">
        <f>Roster!H125</f>
        <v>0</v>
      </c>
      <c r="H27" s="37">
        <f>Roster!I125</f>
        <v>0</v>
      </c>
      <c r="I27" s="37">
        <f>Roster!J125</f>
        <v>0</v>
      </c>
      <c r="J27" s="37">
        <f>Roster!K125</f>
        <v>0</v>
      </c>
      <c r="K27" s="37">
        <f>Roster!L125</f>
        <v>0</v>
      </c>
      <c r="L27" s="37">
        <f>Roster!M125</f>
        <v>0</v>
      </c>
      <c r="M27" s="37">
        <f>Roster!N125</f>
        <v>0</v>
      </c>
      <c r="N27" s="37">
        <f>Roster!O125</f>
        <v>0</v>
      </c>
      <c r="O27" s="37">
        <f>Roster!P125</f>
        <v>0</v>
      </c>
      <c r="P27" s="37">
        <f>Roster!Q125</f>
        <v>0</v>
      </c>
      <c r="Q27" s="37">
        <f>Roster!R125</f>
        <v>0</v>
      </c>
      <c r="R27" s="37">
        <f>Roster!S125</f>
        <v>0</v>
      </c>
      <c r="S27" s="37">
        <f>Roster!T125</f>
        <v>0</v>
      </c>
      <c r="T27" s="37">
        <f>Roster!U125</f>
        <v>0</v>
      </c>
      <c r="U27" s="37">
        <f>Roster!V125</f>
        <v>0</v>
      </c>
      <c r="V27" s="37">
        <f>Roster!W125</f>
        <v>0</v>
      </c>
      <c r="W27" s="37">
        <f>Roster!X125</f>
        <v>0</v>
      </c>
      <c r="X27" s="37">
        <f>Roster!Y125</f>
        <v>0</v>
      </c>
      <c r="Y27" s="37">
        <f>Roster!Z125</f>
        <v>0</v>
      </c>
      <c r="Z27" s="37">
        <f>Roster!AA125</f>
        <v>0</v>
      </c>
      <c r="AA27" s="37">
        <f>Roster!AB125</f>
        <v>0</v>
      </c>
      <c r="AB27" s="37">
        <f>Roster!AC125</f>
        <v>0</v>
      </c>
      <c r="AC27" s="37">
        <f>Roster!AD125</f>
        <v>0</v>
      </c>
      <c r="AD27" s="43">
        <f>Roster!AE125</f>
        <v>0</v>
      </c>
      <c r="AE27" s="134">
        <f>Roster!AF125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Roster!D140</f>
        <v>0</v>
      </c>
      <c r="D30" s="37">
        <f>Roster!E140</f>
        <v>0</v>
      </c>
      <c r="E30" s="37">
        <f>Roster!F140</f>
        <v>0</v>
      </c>
      <c r="F30" s="37">
        <f>Roster!G140</f>
        <v>0</v>
      </c>
      <c r="G30" s="37">
        <f>Roster!H140</f>
        <v>0</v>
      </c>
      <c r="H30" s="37">
        <f>Roster!I140</f>
        <v>0</v>
      </c>
      <c r="I30" s="37">
        <f>Roster!J140</f>
        <v>0</v>
      </c>
      <c r="J30" s="37">
        <f>Roster!K140</f>
        <v>0</v>
      </c>
      <c r="K30" s="37">
        <f>Roster!L140</f>
        <v>0</v>
      </c>
      <c r="L30" s="37">
        <f>Roster!M140</f>
        <v>0</v>
      </c>
      <c r="M30" s="37">
        <f>Roster!N140</f>
        <v>0</v>
      </c>
      <c r="N30" s="37">
        <f>Roster!O140</f>
        <v>0</v>
      </c>
      <c r="O30" s="37">
        <f>Roster!P140</f>
        <v>0</v>
      </c>
      <c r="P30" s="37">
        <f>Roster!Q140</f>
        <v>0</v>
      </c>
      <c r="Q30" s="37">
        <f>Roster!R140</f>
        <v>0</v>
      </c>
      <c r="R30" s="37">
        <f>Roster!S140</f>
        <v>0</v>
      </c>
      <c r="S30" s="37">
        <f>Roster!T140</f>
        <v>0</v>
      </c>
      <c r="T30" s="37">
        <f>Roster!U140</f>
        <v>0</v>
      </c>
      <c r="U30" s="37">
        <f>Roster!V140</f>
        <v>0</v>
      </c>
      <c r="V30" s="37">
        <f>Roster!W140</f>
        <v>0</v>
      </c>
      <c r="W30" s="37">
        <f>Roster!X140</f>
        <v>0</v>
      </c>
      <c r="X30" s="37">
        <f>Roster!Y140</f>
        <v>0</v>
      </c>
      <c r="Y30" s="37">
        <f>Roster!Z140</f>
        <v>0</v>
      </c>
      <c r="Z30" s="37">
        <f>Roster!AA140</f>
        <v>0</v>
      </c>
      <c r="AA30" s="37">
        <f>Roster!AB140</f>
        <v>0</v>
      </c>
      <c r="AB30" s="37">
        <f>Roster!AC140</f>
        <v>0</v>
      </c>
      <c r="AC30" s="37">
        <f>Roster!AD140</f>
        <v>0</v>
      </c>
      <c r="AD30" s="37">
        <f>Roster!AE140</f>
        <v>0</v>
      </c>
      <c r="AE30" s="37">
        <f>Roster!AF140</f>
        <v>0</v>
      </c>
      <c r="AF30" s="37">
        <f>Roster!AG140</f>
        <v>0</v>
      </c>
      <c r="AG30" s="38">
        <f>Roster!AH140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Roster!D155</f>
        <v>0</v>
      </c>
      <c r="D33" s="37">
        <f>Roster!E155</f>
        <v>0</v>
      </c>
      <c r="E33" s="37">
        <f>Roster!F155</f>
        <v>0</v>
      </c>
      <c r="F33" s="37">
        <f>Roster!G155</f>
        <v>0</v>
      </c>
      <c r="G33" s="37">
        <f>Roster!H155</f>
        <v>0</v>
      </c>
      <c r="H33" s="37">
        <f>Roster!I155</f>
        <v>0</v>
      </c>
      <c r="I33" s="37">
        <f>Roster!J155</f>
        <v>0</v>
      </c>
      <c r="J33" s="37">
        <f>Roster!K155</f>
        <v>0</v>
      </c>
      <c r="K33" s="37">
        <f>Roster!L155</f>
        <v>0</v>
      </c>
      <c r="L33" s="37">
        <f>Roster!M155</f>
        <v>0</v>
      </c>
      <c r="M33" s="37">
        <f>Roster!N155</f>
        <v>0</v>
      </c>
      <c r="N33" s="37">
        <f>Roster!O155</f>
        <v>0</v>
      </c>
      <c r="O33" s="37">
        <f>Roster!P155</f>
        <v>0</v>
      </c>
      <c r="P33" s="37">
        <f>Roster!Q155</f>
        <v>0</v>
      </c>
      <c r="Q33" s="37">
        <f>Roster!R155</f>
        <v>0</v>
      </c>
      <c r="R33" s="37">
        <f>Roster!S155</f>
        <v>0</v>
      </c>
      <c r="S33" s="37">
        <f>Roster!T155</f>
        <v>0</v>
      </c>
      <c r="T33" s="37">
        <f>Roster!U155</f>
        <v>0</v>
      </c>
      <c r="U33" s="37">
        <f>Roster!V155</f>
        <v>0</v>
      </c>
      <c r="V33" s="37">
        <f>Roster!W155</f>
        <v>0</v>
      </c>
      <c r="W33" s="37">
        <f>Roster!X155</f>
        <v>0</v>
      </c>
      <c r="X33" s="37">
        <f>Roster!Y155</f>
        <v>0</v>
      </c>
      <c r="Y33" s="37">
        <f>Roster!Z155</f>
        <v>0</v>
      </c>
      <c r="Z33" s="37">
        <f>Roster!AA155</f>
        <v>0</v>
      </c>
      <c r="AA33" s="37">
        <f>Roster!AB155</f>
        <v>0</v>
      </c>
      <c r="AB33" s="37">
        <f>Roster!AC155</f>
        <v>0</v>
      </c>
      <c r="AC33" s="37">
        <f>Roster!AD155</f>
        <v>0</v>
      </c>
      <c r="AD33" s="37">
        <f>Roster!AE155</f>
        <v>0</v>
      </c>
      <c r="AE33" s="37">
        <f>Roster!AF155</f>
        <v>0</v>
      </c>
      <c r="AF33" s="38">
        <f>Roster!AG155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Roster!D170</f>
        <v>0</v>
      </c>
      <c r="D36" s="37">
        <f>Roster!E170</f>
        <v>0</v>
      </c>
      <c r="E36" s="37">
        <f>Roster!F170</f>
        <v>0</v>
      </c>
      <c r="F36" s="37">
        <f>Roster!G170</f>
        <v>0</v>
      </c>
      <c r="G36" s="37">
        <f>Roster!H170</f>
        <v>0</v>
      </c>
      <c r="H36" s="37">
        <f>Roster!I170</f>
        <v>0</v>
      </c>
      <c r="I36" s="37">
        <f>Roster!J170</f>
        <v>0</v>
      </c>
      <c r="J36" s="37">
        <f>Roster!K170</f>
        <v>0</v>
      </c>
      <c r="K36" s="37">
        <f>Roster!L170</f>
        <v>0</v>
      </c>
      <c r="L36" s="37">
        <f>Roster!M170</f>
        <v>0</v>
      </c>
      <c r="M36" s="37">
        <f>Roster!N170</f>
        <v>0</v>
      </c>
      <c r="N36" s="37">
        <f>Roster!O170</f>
        <v>0</v>
      </c>
      <c r="O36" s="37">
        <f>Roster!P170</f>
        <v>0</v>
      </c>
      <c r="P36" s="37">
        <f>Roster!Q170</f>
        <v>0</v>
      </c>
      <c r="Q36" s="37">
        <f>Roster!R170</f>
        <v>0</v>
      </c>
      <c r="R36" s="37">
        <f>Roster!S170</f>
        <v>0</v>
      </c>
      <c r="S36" s="37">
        <f>Roster!T170</f>
        <v>0</v>
      </c>
      <c r="T36" s="37">
        <f>Roster!U170</f>
        <v>0</v>
      </c>
      <c r="U36" s="37">
        <f>Roster!V170</f>
        <v>0</v>
      </c>
      <c r="V36" s="37">
        <f>Roster!W170</f>
        <v>0</v>
      </c>
      <c r="W36" s="37">
        <f>Roster!X170</f>
        <v>0</v>
      </c>
      <c r="X36" s="37">
        <f>Roster!Y170</f>
        <v>0</v>
      </c>
      <c r="Y36" s="37">
        <f>Roster!Z170</f>
        <v>0</v>
      </c>
      <c r="Z36" s="37">
        <f>Roster!AA170</f>
        <v>0</v>
      </c>
      <c r="AA36" s="37">
        <f>Roster!AB170</f>
        <v>0</v>
      </c>
      <c r="AB36" s="37">
        <f>Roster!AC170</f>
        <v>0</v>
      </c>
      <c r="AC36" s="37">
        <f>Roster!AD170</f>
        <v>0</v>
      </c>
      <c r="AD36" s="37">
        <f>Roster!AE170</f>
        <v>0</v>
      </c>
      <c r="AE36" s="37">
        <f>Roster!AF170</f>
        <v>0</v>
      </c>
      <c r="AF36" s="37">
        <f>Roster!AG170</f>
        <v>0</v>
      </c>
      <c r="AG36" s="38">
        <f>Roster!AH170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Roster!D185</f>
        <v>0</v>
      </c>
      <c r="D39" s="37">
        <f>Roster!E185</f>
        <v>0</v>
      </c>
      <c r="E39" s="37">
        <f>Roster!F185</f>
        <v>0</v>
      </c>
      <c r="F39" s="37">
        <f>Roster!G185</f>
        <v>0</v>
      </c>
      <c r="G39" s="37">
        <f>Roster!H185</f>
        <v>0</v>
      </c>
      <c r="H39" s="37">
        <f>Roster!I185</f>
        <v>0</v>
      </c>
      <c r="I39" s="37">
        <f>Roster!J185</f>
        <v>0</v>
      </c>
      <c r="J39" s="37">
        <f>Roster!K185</f>
        <v>0</v>
      </c>
      <c r="K39" s="37">
        <f>Roster!L185</f>
        <v>0</v>
      </c>
      <c r="L39" s="37">
        <f>Roster!M185</f>
        <v>0</v>
      </c>
      <c r="M39" s="37">
        <f>Roster!N185</f>
        <v>0</v>
      </c>
      <c r="N39" s="37">
        <f>Roster!O185</f>
        <v>0</v>
      </c>
      <c r="O39" s="37">
        <f>Roster!P185</f>
        <v>0</v>
      </c>
      <c r="P39" s="37">
        <f>Roster!Q185</f>
        <v>0</v>
      </c>
      <c r="Q39" s="37">
        <f>Roster!R185</f>
        <v>0</v>
      </c>
      <c r="R39" s="37">
        <f>Roster!S185</f>
        <v>0</v>
      </c>
      <c r="S39" s="37">
        <f>Roster!T185</f>
        <v>0</v>
      </c>
      <c r="T39" s="37">
        <f>Roster!U185</f>
        <v>0</v>
      </c>
      <c r="U39" s="37">
        <f>Roster!V185</f>
        <v>0</v>
      </c>
      <c r="V39" s="37">
        <f>Roster!W185</f>
        <v>0</v>
      </c>
      <c r="W39" s="37">
        <f>Roster!X185</f>
        <v>0</v>
      </c>
      <c r="X39" s="37">
        <f>Roster!Y185</f>
        <v>0</v>
      </c>
      <c r="Y39" s="37">
        <f>Roster!Z185</f>
        <v>0</v>
      </c>
      <c r="Z39" s="37">
        <f>Roster!AA185</f>
        <v>0</v>
      </c>
      <c r="AA39" s="37">
        <f>Roster!AB185</f>
        <v>0</v>
      </c>
      <c r="AB39" s="37">
        <f>Roster!AC185</f>
        <v>0</v>
      </c>
      <c r="AC39" s="37">
        <f>Roster!AD185</f>
        <v>0</v>
      </c>
      <c r="AD39" s="37">
        <f>Roster!AE185</f>
        <v>0</v>
      </c>
      <c r="AE39" s="37">
        <f>Roster!AF185</f>
        <v>0</v>
      </c>
      <c r="AF39" s="38">
        <f>Roster!AG185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4"/>
      <c r="I3" s="146" t="s">
        <v>26</v>
      </c>
      <c r="R3" s="146" t="str">
        <f>EmpGName08 &amp;" " &amp; EmpSName08</f>
        <v>Flim Flam Flannery</v>
      </c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Roster!D21</f>
        <v>0</v>
      </c>
      <c r="D6" s="37">
        <f>Roster!E21</f>
        <v>0</v>
      </c>
      <c r="E6" s="37">
        <f>Roster!F21</f>
        <v>0</v>
      </c>
      <c r="F6" s="37">
        <f>Roster!G21</f>
        <v>0</v>
      </c>
      <c r="G6" s="37">
        <f>Roster!H21</f>
        <v>0</v>
      </c>
      <c r="H6" s="37">
        <f>Roster!I21</f>
        <v>0</v>
      </c>
      <c r="I6" s="37">
        <f>Roster!J21</f>
        <v>0</v>
      </c>
      <c r="J6" s="37">
        <f>Roster!K21</f>
        <v>0</v>
      </c>
      <c r="K6" s="37">
        <f>Roster!L21</f>
        <v>0</v>
      </c>
      <c r="L6" s="37">
        <f>Roster!M21</f>
        <v>0</v>
      </c>
      <c r="M6" s="37">
        <f>Roster!N21</f>
        <v>0</v>
      </c>
      <c r="N6" s="37">
        <f>Roster!O21</f>
        <v>0</v>
      </c>
      <c r="O6" s="37">
        <f>Roster!P21</f>
        <v>0</v>
      </c>
      <c r="P6" s="37">
        <f>Roster!Q21</f>
        <v>0</v>
      </c>
      <c r="Q6" s="37">
        <f>Roster!R21</f>
        <v>0</v>
      </c>
      <c r="R6" s="37">
        <f>Roster!S21</f>
        <v>0</v>
      </c>
      <c r="S6" s="37">
        <f>Roster!T21</f>
        <v>0</v>
      </c>
      <c r="T6" s="37">
        <f>Roster!U21</f>
        <v>0</v>
      </c>
      <c r="U6" s="37">
        <f>Roster!V21</f>
        <v>0</v>
      </c>
      <c r="V6" s="37">
        <f>Roster!W21</f>
        <v>0</v>
      </c>
      <c r="W6" s="37">
        <f>Roster!X21</f>
        <v>0</v>
      </c>
      <c r="X6" s="37">
        <f>Roster!Y21</f>
        <v>0</v>
      </c>
      <c r="Y6" s="37">
        <f>Roster!Z21</f>
        <v>0</v>
      </c>
      <c r="Z6" s="37">
        <f>Roster!AA21</f>
        <v>0</v>
      </c>
      <c r="AA6" s="37">
        <f>Roster!AB21</f>
        <v>0</v>
      </c>
      <c r="AB6" s="37">
        <f>Roster!AC21</f>
        <v>0</v>
      </c>
      <c r="AC6" s="37">
        <f>Roster!AD21</f>
        <v>0</v>
      </c>
      <c r="AD6" s="37">
        <f>Roster!AE21</f>
        <v>0</v>
      </c>
      <c r="AE6" s="37">
        <f>Roster!AF21</f>
        <v>0</v>
      </c>
      <c r="AF6" s="37">
        <f>Roster!AG21</f>
        <v>0</v>
      </c>
      <c r="AG6" s="38">
        <f>Roster!AH21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Roster!D36</f>
        <v>0</v>
      </c>
      <c r="D9" s="39">
        <f>Roster!E36</f>
        <v>0</v>
      </c>
      <c r="E9" s="37">
        <f>Roster!F36</f>
        <v>0</v>
      </c>
      <c r="F9" s="37">
        <f>Roster!G36</f>
        <v>0</v>
      </c>
      <c r="G9" s="37">
        <f>Roster!H36</f>
        <v>0</v>
      </c>
      <c r="H9" s="37">
        <f>Roster!I36</f>
        <v>0</v>
      </c>
      <c r="I9" s="37">
        <f>Roster!J36</f>
        <v>0</v>
      </c>
      <c r="J9" s="37">
        <f>Roster!K36</f>
        <v>0</v>
      </c>
      <c r="K9" s="37">
        <f>Roster!L36</f>
        <v>0</v>
      </c>
      <c r="L9" s="37">
        <f>Roster!M36</f>
        <v>0</v>
      </c>
      <c r="M9" s="37">
        <f>Roster!N36</f>
        <v>0</v>
      </c>
      <c r="N9" s="37">
        <f>Roster!O36</f>
        <v>0</v>
      </c>
      <c r="O9" s="37">
        <f>Roster!P36</f>
        <v>0</v>
      </c>
      <c r="P9" s="37">
        <f>Roster!Q36</f>
        <v>0</v>
      </c>
      <c r="Q9" s="37">
        <f>Roster!R36</f>
        <v>0</v>
      </c>
      <c r="R9" s="37">
        <f>Roster!S36</f>
        <v>0</v>
      </c>
      <c r="S9" s="37">
        <f>Roster!T36</f>
        <v>0</v>
      </c>
      <c r="T9" s="37">
        <f>Roster!U36</f>
        <v>0</v>
      </c>
      <c r="U9" s="37">
        <f>Roster!V36</f>
        <v>0</v>
      </c>
      <c r="V9" s="37">
        <f>Roster!W36</f>
        <v>0</v>
      </c>
      <c r="W9" s="37">
        <f>Roster!X36</f>
        <v>0</v>
      </c>
      <c r="X9" s="37">
        <f>Roster!Y36</f>
        <v>0</v>
      </c>
      <c r="Y9" s="37">
        <f>Roster!Z36</f>
        <v>0</v>
      </c>
      <c r="Z9" s="37">
        <f>Roster!AA36</f>
        <v>0</v>
      </c>
      <c r="AA9" s="37">
        <f>Roster!AB36</f>
        <v>0</v>
      </c>
      <c r="AB9" s="37">
        <f>Roster!AC36</f>
        <v>0</v>
      </c>
      <c r="AC9" s="37">
        <f>Roster!AD36</f>
        <v>0</v>
      </c>
      <c r="AD9" s="37">
        <f>Roster!AE36</f>
        <v>0</v>
      </c>
      <c r="AE9" s="37">
        <f>Roster!AF36</f>
        <v>0</v>
      </c>
      <c r="AF9" s="37">
        <f>Roster!AG36</f>
        <v>0</v>
      </c>
      <c r="AG9" s="38">
        <f>Roster!AH36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Roster!D51</f>
        <v>0</v>
      </c>
      <c r="D12" s="37">
        <f>Roster!E51</f>
        <v>0</v>
      </c>
      <c r="E12" s="37">
        <f>Roster!F51</f>
        <v>0</v>
      </c>
      <c r="F12" s="37">
        <f>Roster!G51</f>
        <v>0</v>
      </c>
      <c r="G12" s="37">
        <f>Roster!H51</f>
        <v>0</v>
      </c>
      <c r="H12" s="37">
        <f>Roster!I51</f>
        <v>0</v>
      </c>
      <c r="I12" s="37">
        <f>Roster!J51</f>
        <v>0</v>
      </c>
      <c r="J12" s="37">
        <f>Roster!K51</f>
        <v>0</v>
      </c>
      <c r="K12" s="37">
        <f>Roster!L51</f>
        <v>0</v>
      </c>
      <c r="L12" s="37">
        <f>Roster!M51</f>
        <v>0</v>
      </c>
      <c r="M12" s="37">
        <f>Roster!N51</f>
        <v>0</v>
      </c>
      <c r="N12" s="37">
        <f>Roster!O51</f>
        <v>0</v>
      </c>
      <c r="O12" s="37">
        <f>Roster!P51</f>
        <v>0</v>
      </c>
      <c r="P12" s="37">
        <f>Roster!Q51</f>
        <v>0</v>
      </c>
      <c r="Q12" s="37">
        <f>Roster!R51</f>
        <v>0</v>
      </c>
      <c r="R12" s="37">
        <f>Roster!S51</f>
        <v>0</v>
      </c>
      <c r="S12" s="37">
        <f>Roster!T51</f>
        <v>0</v>
      </c>
      <c r="T12" s="37">
        <f>Roster!U51</f>
        <v>0</v>
      </c>
      <c r="U12" s="37">
        <f>Roster!V51</f>
        <v>0</v>
      </c>
      <c r="V12" s="37">
        <f>Roster!W51</f>
        <v>0</v>
      </c>
      <c r="W12" s="37">
        <f>Roster!X51</f>
        <v>0</v>
      </c>
      <c r="X12" s="37">
        <f>Roster!Y51</f>
        <v>0</v>
      </c>
      <c r="Y12" s="37">
        <f>Roster!Z51</f>
        <v>0</v>
      </c>
      <c r="Z12" s="37">
        <f>Roster!AA51</f>
        <v>0</v>
      </c>
      <c r="AA12" s="37">
        <f>Roster!AB51</f>
        <v>0</v>
      </c>
      <c r="AB12" s="37">
        <f>Roster!AC51</f>
        <v>0</v>
      </c>
      <c r="AC12" s="37">
        <f>Roster!AD51</f>
        <v>0</v>
      </c>
      <c r="AD12" s="37">
        <f>Roster!AE51</f>
        <v>0</v>
      </c>
      <c r="AE12" s="37">
        <f>Roster!AF51</f>
        <v>0</v>
      </c>
      <c r="AF12" s="38">
        <f>Roster!AG51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Roster!D66</f>
        <v>0</v>
      </c>
      <c r="D15" s="37">
        <f>Roster!E66</f>
        <v>0</v>
      </c>
      <c r="E15" s="37">
        <f>Roster!F66</f>
        <v>0</v>
      </c>
      <c r="F15" s="37">
        <f>Roster!G66</f>
        <v>0</v>
      </c>
      <c r="G15" s="37">
        <f>Roster!H66</f>
        <v>0</v>
      </c>
      <c r="H15" s="37">
        <f>Roster!I66</f>
        <v>0</v>
      </c>
      <c r="I15" s="37">
        <f>Roster!J66</f>
        <v>0</v>
      </c>
      <c r="J15" s="37">
        <f>Roster!K66</f>
        <v>0</v>
      </c>
      <c r="K15" s="37">
        <f>Roster!L66</f>
        <v>0</v>
      </c>
      <c r="L15" s="37">
        <f>Roster!M66</f>
        <v>0</v>
      </c>
      <c r="M15" s="37">
        <f>Roster!N66</f>
        <v>0</v>
      </c>
      <c r="N15" s="37">
        <f>Roster!O66</f>
        <v>0</v>
      </c>
      <c r="O15" s="37">
        <f>Roster!P66</f>
        <v>0</v>
      </c>
      <c r="P15" s="37">
        <f>Roster!Q66</f>
        <v>0</v>
      </c>
      <c r="Q15" s="37">
        <f>Roster!R66</f>
        <v>0</v>
      </c>
      <c r="R15" s="37">
        <f>Roster!S66</f>
        <v>0</v>
      </c>
      <c r="S15" s="37">
        <f>Roster!T66</f>
        <v>0</v>
      </c>
      <c r="T15" s="37">
        <f>Roster!U66</f>
        <v>0</v>
      </c>
      <c r="U15" s="37">
        <f>Roster!V66</f>
        <v>0</v>
      </c>
      <c r="V15" s="37">
        <f>Roster!W66</f>
        <v>0</v>
      </c>
      <c r="W15" s="37">
        <f>Roster!X66</f>
        <v>0</v>
      </c>
      <c r="X15" s="37">
        <f>Roster!Y66</f>
        <v>0</v>
      </c>
      <c r="Y15" s="37">
        <f>Roster!Z66</f>
        <v>0</v>
      </c>
      <c r="Z15" s="37">
        <f>Roster!AA66</f>
        <v>0</v>
      </c>
      <c r="AA15" s="37">
        <f>Roster!AB66</f>
        <v>0</v>
      </c>
      <c r="AB15" s="37">
        <f>Roster!AC66</f>
        <v>0</v>
      </c>
      <c r="AC15" s="37">
        <f>Roster!AD66</f>
        <v>0</v>
      </c>
      <c r="AD15" s="37">
        <f>Roster!AE66</f>
        <v>0</v>
      </c>
      <c r="AE15" s="37">
        <f>Roster!AF66</f>
        <v>0</v>
      </c>
      <c r="AF15" s="37">
        <f>Roster!AG66</f>
        <v>0</v>
      </c>
      <c r="AG15" s="38">
        <f>Roster!AH66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Roster!D81</f>
        <v>0</v>
      </c>
      <c r="D18" s="37">
        <f>Roster!E81</f>
        <v>0</v>
      </c>
      <c r="E18" s="37">
        <f>Roster!F81</f>
        <v>0</v>
      </c>
      <c r="F18" s="37">
        <f>Roster!G81</f>
        <v>0</v>
      </c>
      <c r="G18" s="37">
        <f>Roster!H81</f>
        <v>0</v>
      </c>
      <c r="H18" s="37">
        <f>Roster!I81</f>
        <v>0</v>
      </c>
      <c r="I18" s="37">
        <f>Roster!J81</f>
        <v>0</v>
      </c>
      <c r="J18" s="37">
        <f>Roster!K81</f>
        <v>0</v>
      </c>
      <c r="K18" s="37">
        <f>Roster!L81</f>
        <v>0</v>
      </c>
      <c r="L18" s="37">
        <f>Roster!M81</f>
        <v>0</v>
      </c>
      <c r="M18" s="37">
        <f>Roster!N81</f>
        <v>0</v>
      </c>
      <c r="N18" s="37">
        <f>Roster!O81</f>
        <v>0</v>
      </c>
      <c r="O18" s="37">
        <f>Roster!P81</f>
        <v>0</v>
      </c>
      <c r="P18" s="37">
        <f>Roster!Q81</f>
        <v>0</v>
      </c>
      <c r="Q18" s="37">
        <f>Roster!R81</f>
        <v>0</v>
      </c>
      <c r="R18" s="37">
        <f>Roster!S81</f>
        <v>0</v>
      </c>
      <c r="S18" s="37">
        <f>Roster!T81</f>
        <v>0</v>
      </c>
      <c r="T18" s="37">
        <f>Roster!U81</f>
        <v>0</v>
      </c>
      <c r="U18" s="37">
        <f>Roster!V81</f>
        <v>0</v>
      </c>
      <c r="V18" s="37">
        <f>Roster!W81</f>
        <v>0</v>
      </c>
      <c r="W18" s="37">
        <f>Roster!X81</f>
        <v>0</v>
      </c>
      <c r="X18" s="37">
        <f>Roster!Y81</f>
        <v>0</v>
      </c>
      <c r="Y18" s="37">
        <f>Roster!Z81</f>
        <v>0</v>
      </c>
      <c r="Z18" s="37">
        <f>Roster!AA81</f>
        <v>0</v>
      </c>
      <c r="AA18" s="37">
        <f>Roster!AB81</f>
        <v>0</v>
      </c>
      <c r="AB18" s="37">
        <f>Roster!AC81</f>
        <v>0</v>
      </c>
      <c r="AC18" s="37">
        <f>Roster!AD81</f>
        <v>0</v>
      </c>
      <c r="AD18" s="37">
        <f>Roster!AE81</f>
        <v>0</v>
      </c>
      <c r="AE18" s="37">
        <f>Roster!AF81</f>
        <v>0</v>
      </c>
      <c r="AF18" s="38">
        <f>Roster!AG81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Roster!D96</f>
        <v>0</v>
      </c>
      <c r="D21" s="37">
        <f>Roster!E96</f>
        <v>0</v>
      </c>
      <c r="E21" s="37">
        <f>Roster!F96</f>
        <v>0</v>
      </c>
      <c r="F21" s="37">
        <f>Roster!G96</f>
        <v>0</v>
      </c>
      <c r="G21" s="37">
        <f>Roster!H96</f>
        <v>0</v>
      </c>
      <c r="H21" s="37">
        <f>Roster!I96</f>
        <v>0</v>
      </c>
      <c r="I21" s="37">
        <f>Roster!J96</f>
        <v>0</v>
      </c>
      <c r="J21" s="37">
        <f>Roster!K96</f>
        <v>0</v>
      </c>
      <c r="K21" s="37">
        <f>Roster!L96</f>
        <v>0</v>
      </c>
      <c r="L21" s="37">
        <f>Roster!M96</f>
        <v>0</v>
      </c>
      <c r="M21" s="37">
        <f>Roster!N96</f>
        <v>0</v>
      </c>
      <c r="N21" s="37">
        <f>Roster!O96</f>
        <v>0</v>
      </c>
      <c r="O21" s="37">
        <f>Roster!P96</f>
        <v>0</v>
      </c>
      <c r="P21" s="37">
        <f>Roster!Q96</f>
        <v>0</v>
      </c>
      <c r="Q21" s="37">
        <f>Roster!R96</f>
        <v>0</v>
      </c>
      <c r="R21" s="37">
        <f>Roster!S96</f>
        <v>0</v>
      </c>
      <c r="S21" s="37">
        <f>Roster!T96</f>
        <v>0</v>
      </c>
      <c r="T21" s="37">
        <f>Roster!U96</f>
        <v>0</v>
      </c>
      <c r="U21" s="37">
        <f>Roster!V96</f>
        <v>0</v>
      </c>
      <c r="V21" s="37">
        <f>Roster!W96</f>
        <v>0</v>
      </c>
      <c r="W21" s="37">
        <f>Roster!X96</f>
        <v>0</v>
      </c>
      <c r="X21" s="37">
        <f>Roster!Y96</f>
        <v>0</v>
      </c>
      <c r="Y21" s="37">
        <f>Roster!Z96</f>
        <v>0</v>
      </c>
      <c r="Z21" s="37">
        <f>Roster!AA96</f>
        <v>0</v>
      </c>
      <c r="AA21" s="37">
        <f>Roster!AB96</f>
        <v>0</v>
      </c>
      <c r="AB21" s="37">
        <f>Roster!AC96</f>
        <v>0</v>
      </c>
      <c r="AC21" s="37">
        <f>Roster!AD96</f>
        <v>0</v>
      </c>
      <c r="AD21" s="37">
        <f>Roster!AE96</f>
        <v>0</v>
      </c>
      <c r="AE21" s="37">
        <f>Roster!AF96</f>
        <v>0</v>
      </c>
      <c r="AF21" s="37">
        <f>Roster!AG96</f>
        <v>0</v>
      </c>
      <c r="AG21" s="38">
        <f>Roster!AH96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Roster!D111</f>
        <v>0</v>
      </c>
      <c r="D24" s="53">
        <f>Roster!E111</f>
        <v>0</v>
      </c>
      <c r="E24" s="53">
        <f>Roster!F111</f>
        <v>0</v>
      </c>
      <c r="F24" s="53">
        <f>Roster!G111</f>
        <v>0</v>
      </c>
      <c r="G24" s="53">
        <f>Roster!H111</f>
        <v>0</v>
      </c>
      <c r="H24" s="53">
        <f>Roster!I111</f>
        <v>0</v>
      </c>
      <c r="I24" s="53">
        <f>Roster!J111</f>
        <v>0</v>
      </c>
      <c r="J24" s="53">
        <f>Roster!K111</f>
        <v>0</v>
      </c>
      <c r="K24" s="53">
        <f>Roster!L111</f>
        <v>0</v>
      </c>
      <c r="L24" s="53">
        <f>Roster!M111</f>
        <v>0</v>
      </c>
      <c r="M24" s="53">
        <f>Roster!N111</f>
        <v>0</v>
      </c>
      <c r="N24" s="53">
        <f>Roster!O111</f>
        <v>0</v>
      </c>
      <c r="O24" s="53">
        <f>Roster!P111</f>
        <v>0</v>
      </c>
      <c r="P24" s="53">
        <f>Roster!Q111</f>
        <v>0</v>
      </c>
      <c r="Q24" s="53">
        <f>Roster!R111</f>
        <v>0</v>
      </c>
      <c r="R24" s="53">
        <f>Roster!S111</f>
        <v>0</v>
      </c>
      <c r="S24" s="53">
        <f>Roster!T111</f>
        <v>0</v>
      </c>
      <c r="T24" s="53">
        <f>Roster!U111</f>
        <v>0</v>
      </c>
      <c r="U24" s="53">
        <f>Roster!V111</f>
        <v>0</v>
      </c>
      <c r="V24" s="53">
        <f>Roster!W111</f>
        <v>0</v>
      </c>
      <c r="W24" s="53">
        <f>Roster!X111</f>
        <v>0</v>
      </c>
      <c r="X24" s="53">
        <f>Roster!Y111</f>
        <v>0</v>
      </c>
      <c r="Y24" s="53">
        <f>Roster!Z111</f>
        <v>0</v>
      </c>
      <c r="Z24" s="53">
        <f>Roster!AA111</f>
        <v>0</v>
      </c>
      <c r="AA24" s="53">
        <f>Roster!AB111</f>
        <v>0</v>
      </c>
      <c r="AB24" s="53">
        <f>Roster!AC111</f>
        <v>0</v>
      </c>
      <c r="AC24" s="53">
        <f>Roster!AD111</f>
        <v>0</v>
      </c>
      <c r="AD24" s="53">
        <f>Roster!AE111</f>
        <v>0</v>
      </c>
      <c r="AE24" s="53">
        <f>Roster!AF111</f>
        <v>0</v>
      </c>
      <c r="AF24" s="53">
        <f>Roster!AG111</f>
        <v>0</v>
      </c>
      <c r="AG24" s="54">
        <f>Roster!AH111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Roster!D126</f>
        <v>0</v>
      </c>
      <c r="D27" s="37">
        <f>Roster!E126</f>
        <v>0</v>
      </c>
      <c r="E27" s="37">
        <f>Roster!F126</f>
        <v>0</v>
      </c>
      <c r="F27" s="37">
        <f>Roster!G126</f>
        <v>0</v>
      </c>
      <c r="G27" s="37">
        <f>Roster!H126</f>
        <v>0</v>
      </c>
      <c r="H27" s="37">
        <f>Roster!I126</f>
        <v>0</v>
      </c>
      <c r="I27" s="37">
        <f>Roster!J126</f>
        <v>0</v>
      </c>
      <c r="J27" s="37">
        <f>Roster!K126</f>
        <v>0</v>
      </c>
      <c r="K27" s="37">
        <f>Roster!L126</f>
        <v>0</v>
      </c>
      <c r="L27" s="37">
        <f>Roster!M126</f>
        <v>0</v>
      </c>
      <c r="M27" s="37">
        <f>Roster!N126</f>
        <v>0</v>
      </c>
      <c r="N27" s="37">
        <f>Roster!O126</f>
        <v>0</v>
      </c>
      <c r="O27" s="37">
        <f>Roster!P126</f>
        <v>0</v>
      </c>
      <c r="P27" s="37">
        <f>Roster!Q126</f>
        <v>0</v>
      </c>
      <c r="Q27" s="37">
        <f>Roster!R126</f>
        <v>0</v>
      </c>
      <c r="R27" s="37">
        <f>Roster!S126</f>
        <v>0</v>
      </c>
      <c r="S27" s="37">
        <f>Roster!T126</f>
        <v>0</v>
      </c>
      <c r="T27" s="37">
        <f>Roster!U126</f>
        <v>0</v>
      </c>
      <c r="U27" s="37">
        <f>Roster!V126</f>
        <v>0</v>
      </c>
      <c r="V27" s="37">
        <f>Roster!W126</f>
        <v>0</v>
      </c>
      <c r="W27" s="37">
        <f>Roster!X126</f>
        <v>0</v>
      </c>
      <c r="X27" s="37">
        <f>Roster!Y126</f>
        <v>0</v>
      </c>
      <c r="Y27" s="37">
        <f>Roster!Z126</f>
        <v>0</v>
      </c>
      <c r="Z27" s="37">
        <f>Roster!AA126</f>
        <v>0</v>
      </c>
      <c r="AA27" s="37">
        <f>Roster!AB126</f>
        <v>0</v>
      </c>
      <c r="AB27" s="37">
        <f>Roster!AC126</f>
        <v>0</v>
      </c>
      <c r="AC27" s="37">
        <f>Roster!AD126</f>
        <v>0</v>
      </c>
      <c r="AD27" s="43">
        <f>Roster!AE126</f>
        <v>0</v>
      </c>
      <c r="AE27" s="134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Roster!D141</f>
        <v>0</v>
      </c>
      <c r="D30" s="37">
        <f>Roster!E141</f>
        <v>0</v>
      </c>
      <c r="E30" s="37">
        <f>Roster!F141</f>
        <v>0</v>
      </c>
      <c r="F30" s="37">
        <f>Roster!G141</f>
        <v>0</v>
      </c>
      <c r="G30" s="37">
        <f>Roster!H141</f>
        <v>0</v>
      </c>
      <c r="H30" s="37">
        <f>Roster!I141</f>
        <v>0</v>
      </c>
      <c r="I30" s="37">
        <f>Roster!J141</f>
        <v>0</v>
      </c>
      <c r="J30" s="37">
        <f>Roster!K141</f>
        <v>0</v>
      </c>
      <c r="K30" s="37">
        <f>Roster!L141</f>
        <v>0</v>
      </c>
      <c r="L30" s="37">
        <f>Roster!M141</f>
        <v>0</v>
      </c>
      <c r="M30" s="37">
        <f>Roster!N141</f>
        <v>0</v>
      </c>
      <c r="N30" s="37">
        <f>Roster!O141</f>
        <v>0</v>
      </c>
      <c r="O30" s="37">
        <f>Roster!P141</f>
        <v>0</v>
      </c>
      <c r="P30" s="37">
        <f>Roster!Q141</f>
        <v>0</v>
      </c>
      <c r="Q30" s="37">
        <f>Roster!R141</f>
        <v>0</v>
      </c>
      <c r="R30" s="37">
        <f>Roster!S141</f>
        <v>0</v>
      </c>
      <c r="S30" s="37">
        <f>Roster!T141</f>
        <v>0</v>
      </c>
      <c r="T30" s="37">
        <f>Roster!U141</f>
        <v>0</v>
      </c>
      <c r="U30" s="37">
        <f>Roster!V141</f>
        <v>0</v>
      </c>
      <c r="V30" s="37">
        <f>Roster!W141</f>
        <v>0</v>
      </c>
      <c r="W30" s="37">
        <f>Roster!X141</f>
        <v>0</v>
      </c>
      <c r="X30" s="37">
        <f>Roster!Y141</f>
        <v>0</v>
      </c>
      <c r="Y30" s="37">
        <f>Roster!Z141</f>
        <v>0</v>
      </c>
      <c r="Z30" s="37">
        <f>Roster!AA141</f>
        <v>0</v>
      </c>
      <c r="AA30" s="37">
        <f>Roster!AB141</f>
        <v>0</v>
      </c>
      <c r="AB30" s="37">
        <f>Roster!AC141</f>
        <v>0</v>
      </c>
      <c r="AC30" s="37">
        <f>Roster!AD141</f>
        <v>0</v>
      </c>
      <c r="AD30" s="37">
        <f>Roster!AE141</f>
        <v>0</v>
      </c>
      <c r="AE30" s="37">
        <f>Roster!AF141</f>
        <v>0</v>
      </c>
      <c r="AF30" s="37">
        <f>Roster!AG141</f>
        <v>0</v>
      </c>
      <c r="AG30" s="38">
        <f>Roster!AH141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Roster!D156</f>
        <v>0</v>
      </c>
      <c r="D33" s="37">
        <f>Roster!E156</f>
        <v>0</v>
      </c>
      <c r="E33" s="37">
        <f>Roster!F156</f>
        <v>0</v>
      </c>
      <c r="F33" s="37">
        <f>Roster!G156</f>
        <v>0</v>
      </c>
      <c r="G33" s="37">
        <f>Roster!H156</f>
        <v>0</v>
      </c>
      <c r="H33" s="37">
        <f>Roster!I156</f>
        <v>0</v>
      </c>
      <c r="I33" s="37">
        <f>Roster!J156</f>
        <v>0</v>
      </c>
      <c r="J33" s="37">
        <f>Roster!K156</f>
        <v>0</v>
      </c>
      <c r="K33" s="37">
        <f>Roster!L156</f>
        <v>0</v>
      </c>
      <c r="L33" s="37">
        <f>Roster!M156</f>
        <v>0</v>
      </c>
      <c r="M33" s="37">
        <f>Roster!N156</f>
        <v>0</v>
      </c>
      <c r="N33" s="37">
        <f>Roster!O156</f>
        <v>0</v>
      </c>
      <c r="O33" s="37">
        <f>Roster!P156</f>
        <v>0</v>
      </c>
      <c r="P33" s="37">
        <f>Roster!Q156</f>
        <v>0</v>
      </c>
      <c r="Q33" s="37">
        <f>Roster!R156</f>
        <v>0</v>
      </c>
      <c r="R33" s="37">
        <f>Roster!S156</f>
        <v>0</v>
      </c>
      <c r="S33" s="37">
        <f>Roster!T156</f>
        <v>0</v>
      </c>
      <c r="T33" s="37">
        <f>Roster!U156</f>
        <v>0</v>
      </c>
      <c r="U33" s="37">
        <f>Roster!V156</f>
        <v>0</v>
      </c>
      <c r="V33" s="37">
        <f>Roster!W156</f>
        <v>0</v>
      </c>
      <c r="W33" s="37">
        <f>Roster!X156</f>
        <v>0</v>
      </c>
      <c r="X33" s="37">
        <f>Roster!Y156</f>
        <v>0</v>
      </c>
      <c r="Y33" s="37">
        <f>Roster!Z156</f>
        <v>0</v>
      </c>
      <c r="Z33" s="37">
        <f>Roster!AA156</f>
        <v>0</v>
      </c>
      <c r="AA33" s="37">
        <f>Roster!AB156</f>
        <v>0</v>
      </c>
      <c r="AB33" s="37">
        <f>Roster!AC156</f>
        <v>0</v>
      </c>
      <c r="AC33" s="37">
        <f>Roster!AD156</f>
        <v>0</v>
      </c>
      <c r="AD33" s="37">
        <f>Roster!AE156</f>
        <v>0</v>
      </c>
      <c r="AE33" s="37">
        <f>Roster!AF156</f>
        <v>0</v>
      </c>
      <c r="AF33" s="38">
        <f>Roster!AG156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Roster!D171</f>
        <v>0</v>
      </c>
      <c r="D36" s="37">
        <f>Roster!E171</f>
        <v>0</v>
      </c>
      <c r="E36" s="37">
        <f>Roster!F171</f>
        <v>0</v>
      </c>
      <c r="F36" s="37">
        <f>Roster!G171</f>
        <v>0</v>
      </c>
      <c r="G36" s="37">
        <f>Roster!H171</f>
        <v>0</v>
      </c>
      <c r="H36" s="37">
        <f>Roster!I171</f>
        <v>0</v>
      </c>
      <c r="I36" s="37">
        <f>Roster!J171</f>
        <v>0</v>
      </c>
      <c r="J36" s="37">
        <f>Roster!K171</f>
        <v>0</v>
      </c>
      <c r="K36" s="37">
        <f>Roster!L171</f>
        <v>0</v>
      </c>
      <c r="L36" s="37">
        <f>Roster!M171</f>
        <v>0</v>
      </c>
      <c r="M36" s="37">
        <f>Roster!N171</f>
        <v>0</v>
      </c>
      <c r="N36" s="37">
        <f>Roster!O171</f>
        <v>0</v>
      </c>
      <c r="O36" s="37">
        <f>Roster!P171</f>
        <v>0</v>
      </c>
      <c r="P36" s="37">
        <f>Roster!Q171</f>
        <v>0</v>
      </c>
      <c r="Q36" s="37">
        <f>Roster!R171</f>
        <v>0</v>
      </c>
      <c r="R36" s="37">
        <f>Roster!S171</f>
        <v>0</v>
      </c>
      <c r="S36" s="37">
        <f>Roster!T171</f>
        <v>0</v>
      </c>
      <c r="T36" s="37">
        <f>Roster!U171</f>
        <v>0</v>
      </c>
      <c r="U36" s="37">
        <f>Roster!V171</f>
        <v>0</v>
      </c>
      <c r="V36" s="37">
        <f>Roster!W171</f>
        <v>0</v>
      </c>
      <c r="W36" s="37">
        <f>Roster!X171</f>
        <v>0</v>
      </c>
      <c r="X36" s="37">
        <f>Roster!Y171</f>
        <v>0</v>
      </c>
      <c r="Y36" s="37">
        <f>Roster!Z171</f>
        <v>0</v>
      </c>
      <c r="Z36" s="37">
        <f>Roster!AA171</f>
        <v>0</v>
      </c>
      <c r="AA36" s="37">
        <f>Roster!AB171</f>
        <v>0</v>
      </c>
      <c r="AB36" s="37">
        <f>Roster!AC171</f>
        <v>0</v>
      </c>
      <c r="AC36" s="37">
        <f>Roster!AD171</f>
        <v>0</v>
      </c>
      <c r="AD36" s="37">
        <f>Roster!AE171</f>
        <v>0</v>
      </c>
      <c r="AE36" s="37">
        <f>Roster!AF171</f>
        <v>0</v>
      </c>
      <c r="AF36" s="37">
        <f>Roster!AG171</f>
        <v>0</v>
      </c>
      <c r="AG36" s="38">
        <f>Roster!AH171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Roster!D186</f>
        <v>0</v>
      </c>
      <c r="D39" s="37">
        <f>Roster!E186</f>
        <v>0</v>
      </c>
      <c r="E39" s="37">
        <f>Roster!F186</f>
        <v>0</v>
      </c>
      <c r="F39" s="37">
        <f>Roster!G186</f>
        <v>0</v>
      </c>
      <c r="G39" s="37">
        <f>Roster!H186</f>
        <v>0</v>
      </c>
      <c r="H39" s="37">
        <f>Roster!I186</f>
        <v>0</v>
      </c>
      <c r="I39" s="37">
        <f>Roster!J186</f>
        <v>0</v>
      </c>
      <c r="J39" s="37">
        <f>Roster!K186</f>
        <v>0</v>
      </c>
      <c r="K39" s="37">
        <f>Roster!L186</f>
        <v>0</v>
      </c>
      <c r="L39" s="37">
        <f>Roster!M186</f>
        <v>0</v>
      </c>
      <c r="M39" s="37">
        <f>Roster!N186</f>
        <v>0</v>
      </c>
      <c r="N39" s="37">
        <f>Roster!O186</f>
        <v>0</v>
      </c>
      <c r="O39" s="37">
        <f>Roster!P186</f>
        <v>0</v>
      </c>
      <c r="P39" s="37">
        <f>Roster!Q186</f>
        <v>0</v>
      </c>
      <c r="Q39" s="37">
        <f>Roster!R186</f>
        <v>0</v>
      </c>
      <c r="R39" s="37">
        <f>Roster!S186</f>
        <v>0</v>
      </c>
      <c r="S39" s="37">
        <f>Roster!T186</f>
        <v>0</v>
      </c>
      <c r="T39" s="37">
        <f>Roster!U186</f>
        <v>0</v>
      </c>
      <c r="U39" s="37">
        <f>Roster!V186</f>
        <v>0</v>
      </c>
      <c r="V39" s="37">
        <f>Roster!W186</f>
        <v>0</v>
      </c>
      <c r="W39" s="37">
        <f>Roster!X186</f>
        <v>0</v>
      </c>
      <c r="X39" s="37">
        <f>Roster!Y186</f>
        <v>0</v>
      </c>
      <c r="Y39" s="37">
        <f>Roster!Z186</f>
        <v>0</v>
      </c>
      <c r="Z39" s="37">
        <f>Roster!AA186</f>
        <v>0</v>
      </c>
      <c r="AA39" s="37">
        <f>Roster!AB186</f>
        <v>0</v>
      </c>
      <c r="AB39" s="37">
        <f>Roster!AC186</f>
        <v>0</v>
      </c>
      <c r="AC39" s="37">
        <f>Roster!AD186</f>
        <v>0</v>
      </c>
      <c r="AD39" s="37">
        <f>Roster!AE186</f>
        <v>0</v>
      </c>
      <c r="AE39" s="37">
        <f>Roster!AF186</f>
        <v>0</v>
      </c>
      <c r="AF39" s="38">
        <f>Roster!AG186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EmpGName09 &amp;" " &amp; EmpSName09</f>
        <v>Paul Hogan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5" thickBot="1">
      <c r="B4" s="150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1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Roster!D22</f>
        <v>0</v>
      </c>
      <c r="D6" s="37">
        <f>Roster!E22</f>
        <v>0</v>
      </c>
      <c r="E6" s="37">
        <f>Roster!F22</f>
        <v>0</v>
      </c>
      <c r="F6" s="37">
        <f>Roster!G22</f>
        <v>0</v>
      </c>
      <c r="G6" s="37">
        <f>Roster!H22</f>
        <v>0</v>
      </c>
      <c r="H6" s="37">
        <f>Roster!I22</f>
        <v>0</v>
      </c>
      <c r="I6" s="37">
        <f>Roster!J22</f>
        <v>0</v>
      </c>
      <c r="J6" s="37">
        <f>Roster!K22</f>
        <v>0</v>
      </c>
      <c r="K6" s="37">
        <f>Roster!L22</f>
        <v>0</v>
      </c>
      <c r="L6" s="37">
        <f>Roster!M22</f>
        <v>0</v>
      </c>
      <c r="M6" s="37">
        <f>Roster!N22</f>
        <v>0</v>
      </c>
      <c r="N6" s="37">
        <f>Roster!O22</f>
        <v>0</v>
      </c>
      <c r="O6" s="37">
        <f>Roster!P22</f>
        <v>0</v>
      </c>
      <c r="P6" s="37">
        <f>Roster!Q22</f>
        <v>0</v>
      </c>
      <c r="Q6" s="37">
        <f>Roster!R22</f>
        <v>0</v>
      </c>
      <c r="R6" s="37">
        <f>Roster!S22</f>
        <v>0</v>
      </c>
      <c r="S6" s="37">
        <f>Roster!T22</f>
        <v>0</v>
      </c>
      <c r="T6" s="37">
        <f>Roster!U22</f>
        <v>0</v>
      </c>
      <c r="U6" s="37">
        <f>Roster!V22</f>
        <v>0</v>
      </c>
      <c r="V6" s="37">
        <f>Roster!W22</f>
        <v>0</v>
      </c>
      <c r="W6" s="37">
        <f>Roster!X22</f>
        <v>0</v>
      </c>
      <c r="X6" s="37">
        <f>Roster!Y22</f>
        <v>0</v>
      </c>
      <c r="Y6" s="37">
        <f>Roster!Z22</f>
        <v>0</v>
      </c>
      <c r="Z6" s="37">
        <f>Roster!AA22</f>
        <v>0</v>
      </c>
      <c r="AA6" s="37">
        <f>Roster!AB22</f>
        <v>0</v>
      </c>
      <c r="AB6" s="37">
        <f>Roster!AC22</f>
        <v>0</v>
      </c>
      <c r="AC6" s="37">
        <f>Roster!AD22</f>
        <v>0</v>
      </c>
      <c r="AD6" s="37">
        <f>Roster!AE22</f>
        <v>0</v>
      </c>
      <c r="AE6" s="37">
        <f>Roster!AF22</f>
        <v>0</v>
      </c>
      <c r="AF6" s="37">
        <f>Roster!AG22</f>
        <v>0</v>
      </c>
      <c r="AG6" s="38">
        <f>Roster!AH22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Roster!D37</f>
        <v>0</v>
      </c>
      <c r="D9" s="39">
        <f>Roster!E37</f>
        <v>0</v>
      </c>
      <c r="E9" s="37">
        <f>Roster!F37</f>
        <v>0</v>
      </c>
      <c r="F9" s="37">
        <f>Roster!G37</f>
        <v>0</v>
      </c>
      <c r="G9" s="37">
        <f>Roster!H37</f>
        <v>0</v>
      </c>
      <c r="H9" s="37">
        <f>Roster!I37</f>
        <v>0</v>
      </c>
      <c r="I9" s="37">
        <f>Roster!J37</f>
        <v>0</v>
      </c>
      <c r="J9" s="37">
        <f>Roster!K37</f>
        <v>0</v>
      </c>
      <c r="K9" s="37">
        <f>Roster!L37</f>
        <v>0</v>
      </c>
      <c r="L9" s="37">
        <f>Roster!M37</f>
        <v>0</v>
      </c>
      <c r="M9" s="37">
        <f>Roster!N37</f>
        <v>0</v>
      </c>
      <c r="N9" s="37">
        <f>Roster!O37</f>
        <v>0</v>
      </c>
      <c r="O9" s="37">
        <f>Roster!P37</f>
        <v>0</v>
      </c>
      <c r="P9" s="37">
        <f>Roster!Q37</f>
        <v>0</v>
      </c>
      <c r="Q9" s="37">
        <f>Roster!R37</f>
        <v>0</v>
      </c>
      <c r="R9" s="37">
        <f>Roster!S37</f>
        <v>0</v>
      </c>
      <c r="S9" s="37">
        <f>Roster!T37</f>
        <v>0</v>
      </c>
      <c r="T9" s="37">
        <f>Roster!U37</f>
        <v>0</v>
      </c>
      <c r="U9" s="37">
        <f>Roster!V37</f>
        <v>0</v>
      </c>
      <c r="V9" s="37">
        <f>Roster!W37</f>
        <v>0</v>
      </c>
      <c r="W9" s="37">
        <f>Roster!X37</f>
        <v>0</v>
      </c>
      <c r="X9" s="37">
        <f>Roster!Y37</f>
        <v>0</v>
      </c>
      <c r="Y9" s="37">
        <f>Roster!Z37</f>
        <v>0</v>
      </c>
      <c r="Z9" s="37">
        <f>Roster!AA37</f>
        <v>0</v>
      </c>
      <c r="AA9" s="37">
        <f>Roster!AB37</f>
        <v>0</v>
      </c>
      <c r="AB9" s="37">
        <f>Roster!AC37</f>
        <v>0</v>
      </c>
      <c r="AC9" s="37">
        <f>Roster!AD37</f>
        <v>0</v>
      </c>
      <c r="AD9" s="37">
        <f>Roster!AE37</f>
        <v>0</v>
      </c>
      <c r="AE9" s="37">
        <f>Roster!AF37</f>
        <v>0</v>
      </c>
      <c r="AF9" s="37">
        <f>Roster!AG37</f>
        <v>0</v>
      </c>
      <c r="AG9" s="38">
        <f>Roster!AH37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Roster!D52</f>
        <v>0</v>
      </c>
      <c r="D12" s="37">
        <f>Roster!E52</f>
        <v>0</v>
      </c>
      <c r="E12" s="37">
        <f>Roster!F52</f>
        <v>0</v>
      </c>
      <c r="F12" s="37">
        <f>Roster!G52</f>
        <v>0</v>
      </c>
      <c r="G12" s="37">
        <f>Roster!H52</f>
        <v>0</v>
      </c>
      <c r="H12" s="37">
        <f>Roster!I52</f>
        <v>0</v>
      </c>
      <c r="I12" s="37">
        <f>Roster!J52</f>
        <v>0</v>
      </c>
      <c r="J12" s="37">
        <f>Roster!K52</f>
        <v>0</v>
      </c>
      <c r="K12" s="37">
        <f>Roster!L52</f>
        <v>0</v>
      </c>
      <c r="L12" s="37">
        <f>Roster!M52</f>
        <v>0</v>
      </c>
      <c r="M12" s="37">
        <f>Roster!N52</f>
        <v>0</v>
      </c>
      <c r="N12" s="37">
        <f>Roster!O52</f>
        <v>0</v>
      </c>
      <c r="O12" s="37">
        <f>Roster!P52</f>
        <v>0</v>
      </c>
      <c r="P12" s="37">
        <f>Roster!Q52</f>
        <v>0</v>
      </c>
      <c r="Q12" s="37">
        <f>Roster!R52</f>
        <v>0</v>
      </c>
      <c r="R12" s="37">
        <f>Roster!S52</f>
        <v>0</v>
      </c>
      <c r="S12" s="37">
        <f>Roster!T52</f>
        <v>0</v>
      </c>
      <c r="T12" s="37">
        <f>Roster!U52</f>
        <v>0</v>
      </c>
      <c r="U12" s="37">
        <f>Roster!V52</f>
        <v>0</v>
      </c>
      <c r="V12" s="37">
        <f>Roster!W52</f>
        <v>0</v>
      </c>
      <c r="W12" s="37">
        <f>Roster!X52</f>
        <v>0</v>
      </c>
      <c r="X12" s="37">
        <f>Roster!Y52</f>
        <v>0</v>
      </c>
      <c r="Y12" s="37">
        <f>Roster!Z52</f>
        <v>0</v>
      </c>
      <c r="Z12" s="37">
        <f>Roster!AA52</f>
        <v>0</v>
      </c>
      <c r="AA12" s="37">
        <f>Roster!AB52</f>
        <v>0</v>
      </c>
      <c r="AB12" s="37">
        <f>Roster!AC52</f>
        <v>0</v>
      </c>
      <c r="AC12" s="37">
        <f>Roster!AD52</f>
        <v>0</v>
      </c>
      <c r="AD12" s="37">
        <f>Roster!AE52</f>
        <v>0</v>
      </c>
      <c r="AE12" s="37">
        <f>Roster!AF52</f>
        <v>0</v>
      </c>
      <c r="AF12" s="38">
        <f>Roster!AG52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Roster!D67</f>
        <v>0</v>
      </c>
      <c r="D15" s="37">
        <f>Roster!E67</f>
        <v>0</v>
      </c>
      <c r="E15" s="37">
        <f>Roster!F67</f>
        <v>0</v>
      </c>
      <c r="F15" s="37">
        <f>Roster!G67</f>
        <v>0</v>
      </c>
      <c r="G15" s="37">
        <f>Roster!H67</f>
        <v>0</v>
      </c>
      <c r="H15" s="37">
        <f>Roster!I67</f>
        <v>0</v>
      </c>
      <c r="I15" s="37">
        <f>Roster!J67</f>
        <v>0</v>
      </c>
      <c r="J15" s="37">
        <f>Roster!K67</f>
        <v>0</v>
      </c>
      <c r="K15" s="37">
        <f>Roster!L67</f>
        <v>0</v>
      </c>
      <c r="L15" s="37">
        <f>Roster!M67</f>
        <v>0</v>
      </c>
      <c r="M15" s="37">
        <f>Roster!N67</f>
        <v>0</v>
      </c>
      <c r="N15" s="37">
        <f>Roster!O67</f>
        <v>0</v>
      </c>
      <c r="O15" s="37">
        <f>Roster!P67</f>
        <v>0</v>
      </c>
      <c r="P15" s="37">
        <f>Roster!Q67</f>
        <v>0</v>
      </c>
      <c r="Q15" s="37">
        <f>Roster!R67</f>
        <v>0</v>
      </c>
      <c r="R15" s="37">
        <f>Roster!S67</f>
        <v>0</v>
      </c>
      <c r="S15" s="37">
        <f>Roster!T67</f>
        <v>0</v>
      </c>
      <c r="T15" s="37">
        <f>Roster!U67</f>
        <v>0</v>
      </c>
      <c r="U15" s="37">
        <f>Roster!V67</f>
        <v>0</v>
      </c>
      <c r="V15" s="37">
        <f>Roster!W67</f>
        <v>0</v>
      </c>
      <c r="W15" s="37">
        <f>Roster!X67</f>
        <v>0</v>
      </c>
      <c r="X15" s="37">
        <f>Roster!Y67</f>
        <v>0</v>
      </c>
      <c r="Y15" s="37">
        <f>Roster!Z67</f>
        <v>0</v>
      </c>
      <c r="Z15" s="37">
        <f>Roster!AA67</f>
        <v>0</v>
      </c>
      <c r="AA15" s="37">
        <f>Roster!AB67</f>
        <v>0</v>
      </c>
      <c r="AB15" s="37">
        <f>Roster!AC67</f>
        <v>0</v>
      </c>
      <c r="AC15" s="37">
        <f>Roster!AD67</f>
        <v>0</v>
      </c>
      <c r="AD15" s="37">
        <f>Roster!AE67</f>
        <v>0</v>
      </c>
      <c r="AE15" s="37">
        <f>Roster!AF67</f>
        <v>0</v>
      </c>
      <c r="AF15" s="37">
        <f>Roster!AG67</f>
        <v>0</v>
      </c>
      <c r="AG15" s="38">
        <f>Roster!AH67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Roster!D82</f>
        <v>0</v>
      </c>
      <c r="D18" s="37">
        <f>Roster!E82</f>
        <v>0</v>
      </c>
      <c r="E18" s="37">
        <f>Roster!F82</f>
        <v>0</v>
      </c>
      <c r="F18" s="37">
        <f>Roster!G82</f>
        <v>0</v>
      </c>
      <c r="G18" s="37">
        <f>Roster!H82</f>
        <v>0</v>
      </c>
      <c r="H18" s="37">
        <f>Roster!I82</f>
        <v>0</v>
      </c>
      <c r="I18" s="37">
        <f>Roster!J82</f>
        <v>0</v>
      </c>
      <c r="J18" s="37">
        <f>Roster!K82</f>
        <v>0</v>
      </c>
      <c r="K18" s="37">
        <f>Roster!L82</f>
        <v>0</v>
      </c>
      <c r="L18" s="37">
        <f>Roster!M82</f>
        <v>0</v>
      </c>
      <c r="M18" s="37">
        <f>Roster!N82</f>
        <v>0</v>
      </c>
      <c r="N18" s="37">
        <f>Roster!O82</f>
        <v>0</v>
      </c>
      <c r="O18" s="37">
        <f>Roster!P82</f>
        <v>0</v>
      </c>
      <c r="P18" s="37">
        <f>Roster!Q82</f>
        <v>0</v>
      </c>
      <c r="Q18" s="37">
        <f>Roster!R82</f>
        <v>0</v>
      </c>
      <c r="R18" s="37">
        <f>Roster!S82</f>
        <v>0</v>
      </c>
      <c r="S18" s="37">
        <f>Roster!T82</f>
        <v>0</v>
      </c>
      <c r="T18" s="37">
        <f>Roster!U82</f>
        <v>0</v>
      </c>
      <c r="U18" s="37">
        <f>Roster!V82</f>
        <v>0</v>
      </c>
      <c r="V18" s="37">
        <f>Roster!W82</f>
        <v>0</v>
      </c>
      <c r="W18" s="37">
        <f>Roster!X82</f>
        <v>0</v>
      </c>
      <c r="X18" s="37">
        <f>Roster!Y82</f>
        <v>0</v>
      </c>
      <c r="Y18" s="37">
        <f>Roster!Z82</f>
        <v>0</v>
      </c>
      <c r="Z18" s="37">
        <f>Roster!AA82</f>
        <v>0</v>
      </c>
      <c r="AA18" s="37">
        <f>Roster!AB82</f>
        <v>0</v>
      </c>
      <c r="AB18" s="37">
        <f>Roster!AC82</f>
        <v>0</v>
      </c>
      <c r="AC18" s="37">
        <f>Roster!AD82</f>
        <v>0</v>
      </c>
      <c r="AD18" s="37">
        <f>Roster!AE82</f>
        <v>0</v>
      </c>
      <c r="AE18" s="37">
        <f>Roster!AF82</f>
        <v>0</v>
      </c>
      <c r="AF18" s="38">
        <f>Roster!AG82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Roster!D97</f>
        <v>0</v>
      </c>
      <c r="D21" s="37">
        <f>Roster!E97</f>
        <v>0</v>
      </c>
      <c r="E21" s="37">
        <f>Roster!F97</f>
        <v>0</v>
      </c>
      <c r="F21" s="37">
        <f>Roster!G97</f>
        <v>0</v>
      </c>
      <c r="G21" s="37">
        <f>Roster!H97</f>
        <v>0</v>
      </c>
      <c r="H21" s="37">
        <f>Roster!I97</f>
        <v>0</v>
      </c>
      <c r="I21" s="37">
        <f>Roster!J97</f>
        <v>0</v>
      </c>
      <c r="J21" s="37">
        <f>Roster!K97</f>
        <v>0</v>
      </c>
      <c r="K21" s="37">
        <f>Roster!L97</f>
        <v>0</v>
      </c>
      <c r="L21" s="37">
        <f>Roster!M97</f>
        <v>0</v>
      </c>
      <c r="M21" s="37">
        <f>Roster!N97</f>
        <v>0</v>
      </c>
      <c r="N21" s="37">
        <f>Roster!O97</f>
        <v>0</v>
      </c>
      <c r="O21" s="37">
        <f>Roster!P97</f>
        <v>0</v>
      </c>
      <c r="P21" s="37">
        <f>Roster!Q97</f>
        <v>0</v>
      </c>
      <c r="Q21" s="37">
        <f>Roster!R97</f>
        <v>0</v>
      </c>
      <c r="R21" s="37">
        <f>Roster!S97</f>
        <v>0</v>
      </c>
      <c r="S21" s="37">
        <f>Roster!T97</f>
        <v>0</v>
      </c>
      <c r="T21" s="37">
        <f>Roster!U97</f>
        <v>0</v>
      </c>
      <c r="U21" s="37">
        <f>Roster!V97</f>
        <v>0</v>
      </c>
      <c r="V21" s="37">
        <f>Roster!W97</f>
        <v>0</v>
      </c>
      <c r="W21" s="37">
        <f>Roster!X97</f>
        <v>0</v>
      </c>
      <c r="X21" s="37">
        <f>Roster!Y97</f>
        <v>0</v>
      </c>
      <c r="Y21" s="37">
        <f>Roster!Z97</f>
        <v>0</v>
      </c>
      <c r="Z21" s="37">
        <f>Roster!AA97</f>
        <v>0</v>
      </c>
      <c r="AA21" s="37">
        <f>Roster!AB97</f>
        <v>0</v>
      </c>
      <c r="AB21" s="37">
        <f>Roster!AC97</f>
        <v>0</v>
      </c>
      <c r="AC21" s="37">
        <f>Roster!AD97</f>
        <v>0</v>
      </c>
      <c r="AD21" s="37">
        <f>Roster!AE97</f>
        <v>0</v>
      </c>
      <c r="AE21" s="37">
        <f>Roster!AF97</f>
        <v>0</v>
      </c>
      <c r="AF21" s="37">
        <f>Roster!AG97</f>
        <v>0</v>
      </c>
      <c r="AG21" s="38">
        <f>Roster!AH97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Roster!D112</f>
        <v>0</v>
      </c>
      <c r="D24" s="53">
        <f>Roster!E112</f>
        <v>0</v>
      </c>
      <c r="E24" s="53">
        <f>Roster!F112</f>
        <v>0</v>
      </c>
      <c r="F24" s="53">
        <f>Roster!G112</f>
        <v>0</v>
      </c>
      <c r="G24" s="53">
        <f>Roster!H112</f>
        <v>0</v>
      </c>
      <c r="H24" s="53">
        <f>Roster!I112</f>
        <v>0</v>
      </c>
      <c r="I24" s="53">
        <f>Roster!J112</f>
        <v>0</v>
      </c>
      <c r="J24" s="53">
        <f>Roster!K112</f>
        <v>0</v>
      </c>
      <c r="K24" s="53">
        <f>Roster!L112</f>
        <v>0</v>
      </c>
      <c r="L24" s="53">
        <f>Roster!M112</f>
        <v>0</v>
      </c>
      <c r="M24" s="53">
        <f>Roster!N112</f>
        <v>0</v>
      </c>
      <c r="N24" s="53">
        <f>Roster!O112</f>
        <v>0</v>
      </c>
      <c r="O24" s="53">
        <f>Roster!P112</f>
        <v>0</v>
      </c>
      <c r="P24" s="53">
        <f>Roster!Q112</f>
        <v>0</v>
      </c>
      <c r="Q24" s="53">
        <f>Roster!R112</f>
        <v>0</v>
      </c>
      <c r="R24" s="53">
        <f>Roster!S112</f>
        <v>0</v>
      </c>
      <c r="S24" s="53">
        <f>Roster!T112</f>
        <v>0</v>
      </c>
      <c r="T24" s="53">
        <f>Roster!U112</f>
        <v>0</v>
      </c>
      <c r="U24" s="53">
        <f>Roster!V112</f>
        <v>0</v>
      </c>
      <c r="V24" s="53">
        <f>Roster!W112</f>
        <v>0</v>
      </c>
      <c r="W24" s="53">
        <f>Roster!X112</f>
        <v>0</v>
      </c>
      <c r="X24" s="53">
        <f>Roster!Y112</f>
        <v>0</v>
      </c>
      <c r="Y24" s="53">
        <f>Roster!Z112</f>
        <v>0</v>
      </c>
      <c r="Z24" s="53">
        <f>Roster!AA112</f>
        <v>0</v>
      </c>
      <c r="AA24" s="53">
        <f>Roster!AB112</f>
        <v>0</v>
      </c>
      <c r="AB24" s="53">
        <f>Roster!AC112</f>
        <v>0</v>
      </c>
      <c r="AC24" s="53">
        <f>Roster!AD112</f>
        <v>0</v>
      </c>
      <c r="AD24" s="53">
        <f>Roster!AE112</f>
        <v>0</v>
      </c>
      <c r="AE24" s="53">
        <f>Roster!AF112</f>
        <v>0</v>
      </c>
      <c r="AF24" s="53">
        <f>Roster!AG112</f>
        <v>0</v>
      </c>
      <c r="AG24" s="54">
        <f>Roster!AH112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Roster!D127</f>
        <v>0</v>
      </c>
      <c r="D27" s="37">
        <f>Roster!E126</f>
        <v>0</v>
      </c>
      <c r="E27" s="37">
        <f>Roster!F126</f>
        <v>0</v>
      </c>
      <c r="F27" s="37">
        <f>Roster!G126</f>
        <v>0</v>
      </c>
      <c r="G27" s="37">
        <f>Roster!H126</f>
        <v>0</v>
      </c>
      <c r="H27" s="37">
        <f>Roster!I126</f>
        <v>0</v>
      </c>
      <c r="I27" s="37">
        <f>Roster!J126</f>
        <v>0</v>
      </c>
      <c r="J27" s="37">
        <f>Roster!K126</f>
        <v>0</v>
      </c>
      <c r="K27" s="37">
        <f>Roster!L126</f>
        <v>0</v>
      </c>
      <c r="L27" s="37">
        <f>Roster!M126</f>
        <v>0</v>
      </c>
      <c r="M27" s="37">
        <f>Roster!N126</f>
        <v>0</v>
      </c>
      <c r="N27" s="37">
        <f>Roster!O126</f>
        <v>0</v>
      </c>
      <c r="O27" s="37">
        <f>Roster!P126</f>
        <v>0</v>
      </c>
      <c r="P27" s="37">
        <f>Roster!Q126</f>
        <v>0</v>
      </c>
      <c r="Q27" s="37">
        <f>Roster!R126</f>
        <v>0</v>
      </c>
      <c r="R27" s="37">
        <f>Roster!S126</f>
        <v>0</v>
      </c>
      <c r="S27" s="37">
        <f>Roster!T126</f>
        <v>0</v>
      </c>
      <c r="T27" s="37">
        <f>Roster!U126</f>
        <v>0</v>
      </c>
      <c r="U27" s="37">
        <f>Roster!V126</f>
        <v>0</v>
      </c>
      <c r="V27" s="37">
        <f>Roster!W126</f>
        <v>0</v>
      </c>
      <c r="W27" s="37">
        <f>Roster!X126</f>
        <v>0</v>
      </c>
      <c r="X27" s="37">
        <f>Roster!Y126</f>
        <v>0</v>
      </c>
      <c r="Y27" s="37">
        <f>Roster!Z126</f>
        <v>0</v>
      </c>
      <c r="Z27" s="37">
        <f>Roster!AA126</f>
        <v>0</v>
      </c>
      <c r="AA27" s="37">
        <f>Roster!AB126</f>
        <v>0</v>
      </c>
      <c r="AB27" s="37">
        <f>Roster!AC126</f>
        <v>0</v>
      </c>
      <c r="AC27" s="37">
        <f>Roster!AD126</f>
        <v>0</v>
      </c>
      <c r="AD27" s="43">
        <f>Roster!AE126</f>
        <v>0</v>
      </c>
      <c r="AE27" s="134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Roster!D142</f>
        <v>0</v>
      </c>
      <c r="D30" s="37">
        <f>Roster!E142</f>
        <v>0</v>
      </c>
      <c r="E30" s="37">
        <f>Roster!F142</f>
        <v>0</v>
      </c>
      <c r="F30" s="37">
        <f>Roster!G142</f>
        <v>0</v>
      </c>
      <c r="G30" s="37">
        <f>Roster!H142</f>
        <v>0</v>
      </c>
      <c r="H30" s="37">
        <f>Roster!I142</f>
        <v>0</v>
      </c>
      <c r="I30" s="37">
        <f>Roster!J142</f>
        <v>0</v>
      </c>
      <c r="J30" s="37">
        <f>Roster!K142</f>
        <v>0</v>
      </c>
      <c r="K30" s="37">
        <f>Roster!L142</f>
        <v>0</v>
      </c>
      <c r="L30" s="37">
        <f>Roster!M142</f>
        <v>0</v>
      </c>
      <c r="M30" s="37">
        <f>Roster!N142</f>
        <v>0</v>
      </c>
      <c r="N30" s="37">
        <f>Roster!O142</f>
        <v>0</v>
      </c>
      <c r="O30" s="37">
        <f>Roster!P142</f>
        <v>0</v>
      </c>
      <c r="P30" s="37">
        <f>Roster!Q142</f>
        <v>0</v>
      </c>
      <c r="Q30" s="37">
        <f>Roster!R142</f>
        <v>0</v>
      </c>
      <c r="R30" s="37">
        <f>Roster!S142</f>
        <v>0</v>
      </c>
      <c r="S30" s="37">
        <f>Roster!T142</f>
        <v>0</v>
      </c>
      <c r="T30" s="37">
        <f>Roster!U142</f>
        <v>0</v>
      </c>
      <c r="U30" s="37">
        <f>Roster!V142</f>
        <v>0</v>
      </c>
      <c r="V30" s="37">
        <f>Roster!W142</f>
        <v>0</v>
      </c>
      <c r="W30" s="37">
        <f>Roster!X142</f>
        <v>0</v>
      </c>
      <c r="X30" s="37">
        <f>Roster!Y142</f>
        <v>0</v>
      </c>
      <c r="Y30" s="37">
        <f>Roster!Z142</f>
        <v>0</v>
      </c>
      <c r="Z30" s="37">
        <f>Roster!AA142</f>
        <v>0</v>
      </c>
      <c r="AA30" s="37">
        <f>Roster!AB142</f>
        <v>0</v>
      </c>
      <c r="AB30" s="37">
        <f>Roster!AC142</f>
        <v>0</v>
      </c>
      <c r="AC30" s="37">
        <f>Roster!AD142</f>
        <v>0</v>
      </c>
      <c r="AD30" s="37">
        <f>Roster!AE142</f>
        <v>0</v>
      </c>
      <c r="AE30" s="37">
        <f>Roster!AF142</f>
        <v>0</v>
      </c>
      <c r="AF30" s="37">
        <f>Roster!AG142</f>
        <v>0</v>
      </c>
      <c r="AG30" s="38">
        <f>Roster!AH142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Roster!D157</f>
        <v>0</v>
      </c>
      <c r="D33" s="37">
        <f>Roster!E157</f>
        <v>0</v>
      </c>
      <c r="E33" s="37">
        <f>Roster!F157</f>
        <v>0</v>
      </c>
      <c r="F33" s="37">
        <f>Roster!G157</f>
        <v>0</v>
      </c>
      <c r="G33" s="37">
        <f>Roster!H157</f>
        <v>0</v>
      </c>
      <c r="H33" s="37">
        <f>Roster!I157</f>
        <v>0</v>
      </c>
      <c r="I33" s="37">
        <f>Roster!J157</f>
        <v>0</v>
      </c>
      <c r="J33" s="37">
        <f>Roster!K157</f>
        <v>0</v>
      </c>
      <c r="K33" s="37">
        <f>Roster!L157</f>
        <v>0</v>
      </c>
      <c r="L33" s="37">
        <f>Roster!M157</f>
        <v>0</v>
      </c>
      <c r="M33" s="37">
        <f>Roster!N157</f>
        <v>0</v>
      </c>
      <c r="N33" s="37">
        <f>Roster!O157</f>
        <v>0</v>
      </c>
      <c r="O33" s="37">
        <f>Roster!P157</f>
        <v>0</v>
      </c>
      <c r="P33" s="37">
        <f>Roster!Q157</f>
        <v>0</v>
      </c>
      <c r="Q33" s="37">
        <f>Roster!R157</f>
        <v>0</v>
      </c>
      <c r="R33" s="37">
        <f>Roster!S157</f>
        <v>0</v>
      </c>
      <c r="S33" s="37">
        <f>Roster!T157</f>
        <v>0</v>
      </c>
      <c r="T33" s="37">
        <f>Roster!U157</f>
        <v>0</v>
      </c>
      <c r="U33" s="37">
        <f>Roster!V157</f>
        <v>0</v>
      </c>
      <c r="V33" s="37">
        <f>Roster!W157</f>
        <v>0</v>
      </c>
      <c r="W33" s="37">
        <f>Roster!X157</f>
        <v>0</v>
      </c>
      <c r="X33" s="37">
        <f>Roster!Y157</f>
        <v>0</v>
      </c>
      <c r="Y33" s="37">
        <f>Roster!Z157</f>
        <v>0</v>
      </c>
      <c r="Z33" s="37">
        <f>Roster!AA157</f>
        <v>0</v>
      </c>
      <c r="AA33" s="37">
        <f>Roster!AB157</f>
        <v>0</v>
      </c>
      <c r="AB33" s="37">
        <f>Roster!AC157</f>
        <v>0</v>
      </c>
      <c r="AC33" s="37">
        <f>Roster!AD157</f>
        <v>0</v>
      </c>
      <c r="AD33" s="37">
        <f>Roster!AE157</f>
        <v>0</v>
      </c>
      <c r="AE33" s="37">
        <f>Roster!AF157</f>
        <v>0</v>
      </c>
      <c r="AF33" s="38">
        <f>Roster!AG157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Roster!D172</f>
        <v>0</v>
      </c>
      <c r="D36" s="37">
        <f>Roster!E172</f>
        <v>0</v>
      </c>
      <c r="E36" s="37">
        <f>Roster!F172</f>
        <v>0</v>
      </c>
      <c r="F36" s="37">
        <f>Roster!G172</f>
        <v>0</v>
      </c>
      <c r="G36" s="37">
        <f>Roster!H172</f>
        <v>0</v>
      </c>
      <c r="H36" s="37">
        <f>Roster!I172</f>
        <v>0</v>
      </c>
      <c r="I36" s="37">
        <f>Roster!J172</f>
        <v>0</v>
      </c>
      <c r="J36" s="37">
        <f>Roster!K172</f>
        <v>0</v>
      </c>
      <c r="K36" s="37">
        <f>Roster!L172</f>
        <v>0</v>
      </c>
      <c r="L36" s="37">
        <f>Roster!M172</f>
        <v>0</v>
      </c>
      <c r="M36" s="37">
        <f>Roster!N172</f>
        <v>0</v>
      </c>
      <c r="N36" s="37">
        <f>Roster!O172</f>
        <v>0</v>
      </c>
      <c r="O36" s="37">
        <f>Roster!P172</f>
        <v>0</v>
      </c>
      <c r="P36" s="37">
        <f>Roster!Q172</f>
        <v>0</v>
      </c>
      <c r="Q36" s="37">
        <f>Roster!R172</f>
        <v>0</v>
      </c>
      <c r="R36" s="37">
        <f>Roster!S172</f>
        <v>0</v>
      </c>
      <c r="S36" s="37">
        <f>Roster!T172</f>
        <v>0</v>
      </c>
      <c r="T36" s="37">
        <f>Roster!U172</f>
        <v>0</v>
      </c>
      <c r="U36" s="37">
        <f>Roster!V172</f>
        <v>0</v>
      </c>
      <c r="V36" s="37">
        <f>Roster!W172</f>
        <v>0</v>
      </c>
      <c r="W36" s="37">
        <f>Roster!X172</f>
        <v>0</v>
      </c>
      <c r="X36" s="37">
        <f>Roster!Y172</f>
        <v>0</v>
      </c>
      <c r="Y36" s="37">
        <f>Roster!Z172</f>
        <v>0</v>
      </c>
      <c r="Z36" s="37">
        <f>Roster!AA172</f>
        <v>0</v>
      </c>
      <c r="AA36" s="37">
        <f>Roster!AB172</f>
        <v>0</v>
      </c>
      <c r="AB36" s="37">
        <f>Roster!AC172</f>
        <v>0</v>
      </c>
      <c r="AC36" s="37">
        <f>Roster!AD172</f>
        <v>0</v>
      </c>
      <c r="AD36" s="37">
        <f>Roster!AE172</f>
        <v>0</v>
      </c>
      <c r="AE36" s="37">
        <f>Roster!AF172</f>
        <v>0</v>
      </c>
      <c r="AF36" s="37">
        <f>Roster!AG172</f>
        <v>0</v>
      </c>
      <c r="AG36" s="38">
        <f>Roster!AH172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Roster!D187</f>
        <v>0</v>
      </c>
      <c r="D39" s="37">
        <f>Roster!E187</f>
        <v>0</v>
      </c>
      <c r="E39" s="37">
        <f>Roster!F187</f>
        <v>0</v>
      </c>
      <c r="F39" s="37">
        <f>Roster!G187</f>
        <v>0</v>
      </c>
      <c r="G39" s="37">
        <f>Roster!H187</f>
        <v>0</v>
      </c>
      <c r="H39" s="37">
        <f>Roster!I187</f>
        <v>0</v>
      </c>
      <c r="I39" s="37">
        <f>Roster!J187</f>
        <v>0</v>
      </c>
      <c r="J39" s="37">
        <f>Roster!K187</f>
        <v>0</v>
      </c>
      <c r="K39" s="37">
        <f>Roster!L187</f>
        <v>0</v>
      </c>
      <c r="L39" s="37">
        <f>Roster!M187</f>
        <v>0</v>
      </c>
      <c r="M39" s="37">
        <f>Roster!N187</f>
        <v>0</v>
      </c>
      <c r="N39" s="37">
        <f>Roster!O187</f>
        <v>0</v>
      </c>
      <c r="O39" s="37">
        <f>Roster!P187</f>
        <v>0</v>
      </c>
      <c r="P39" s="37">
        <f>Roster!Q187</f>
        <v>0</v>
      </c>
      <c r="Q39" s="37">
        <f>Roster!R187</f>
        <v>0</v>
      </c>
      <c r="R39" s="37">
        <f>Roster!S187</f>
        <v>0</v>
      </c>
      <c r="S39" s="37">
        <f>Roster!T187</f>
        <v>0</v>
      </c>
      <c r="T39" s="37">
        <f>Roster!U187</f>
        <v>0</v>
      </c>
      <c r="U39" s="37">
        <f>Roster!V187</f>
        <v>0</v>
      </c>
      <c r="V39" s="37">
        <f>Roster!W187</f>
        <v>0</v>
      </c>
      <c r="W39" s="37">
        <f>Roster!X187</f>
        <v>0</v>
      </c>
      <c r="X39" s="37">
        <f>Roster!Y187</f>
        <v>0</v>
      </c>
      <c r="Y39" s="37">
        <f>Roster!Z187</f>
        <v>0</v>
      </c>
      <c r="Z39" s="37">
        <f>Roster!AA187</f>
        <v>0</v>
      </c>
      <c r="AA39" s="37">
        <f>Roster!AB187</f>
        <v>0</v>
      </c>
      <c r="AB39" s="37">
        <f>Roster!AC187</f>
        <v>0</v>
      </c>
      <c r="AC39" s="37">
        <f>Roster!AD187</f>
        <v>0</v>
      </c>
      <c r="AD39" s="37">
        <f>Roster!AE187</f>
        <v>0</v>
      </c>
      <c r="AE39" s="37">
        <f>Roster!AF187</f>
        <v>0</v>
      </c>
      <c r="AF39" s="38">
        <f>Roster!AG187</f>
        <v>0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EmpGName10 &amp;" " &amp; EmpSName10</f>
        <v>John Stretton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Roster!D23</f>
        <v>0</v>
      </c>
      <c r="D6" s="37">
        <f>Roster!E23</f>
        <v>0</v>
      </c>
      <c r="E6" s="37">
        <f>Roster!F23</f>
        <v>0</v>
      </c>
      <c r="F6" s="37">
        <f>Roster!G23</f>
        <v>0</v>
      </c>
      <c r="G6" s="37">
        <f>Roster!H23</f>
        <v>0</v>
      </c>
      <c r="H6" s="37">
        <f>Roster!I23</f>
        <v>0</v>
      </c>
      <c r="I6" s="37">
        <f>Roster!J23</f>
        <v>0</v>
      </c>
      <c r="J6" s="37">
        <f>Roster!K23</f>
        <v>0</v>
      </c>
      <c r="K6" s="37">
        <f>Roster!L23</f>
        <v>0</v>
      </c>
      <c r="L6" s="37">
        <f>Roster!M23</f>
        <v>0</v>
      </c>
      <c r="M6" s="37">
        <f>Roster!N23</f>
        <v>0</v>
      </c>
      <c r="N6" s="37">
        <f>Roster!O23</f>
        <v>0</v>
      </c>
      <c r="O6" s="37">
        <f>Roster!P23</f>
        <v>0</v>
      </c>
      <c r="P6" s="37">
        <f>Roster!Q23</f>
        <v>0</v>
      </c>
      <c r="Q6" s="37">
        <f>Roster!R23</f>
        <v>0</v>
      </c>
      <c r="R6" s="37">
        <f>Roster!S23</f>
        <v>0</v>
      </c>
      <c r="S6" s="37">
        <f>Roster!T23</f>
        <v>0</v>
      </c>
      <c r="T6" s="37">
        <f>Roster!U23</f>
        <v>0</v>
      </c>
      <c r="U6" s="37">
        <f>Roster!V23</f>
        <v>0</v>
      </c>
      <c r="V6" s="37">
        <f>Roster!W23</f>
        <v>0</v>
      </c>
      <c r="W6" s="37">
        <f>Roster!X23</f>
        <v>0</v>
      </c>
      <c r="X6" s="37">
        <f>Roster!Y23</f>
        <v>0</v>
      </c>
      <c r="Y6" s="37">
        <f>Roster!Z23</f>
        <v>0</v>
      </c>
      <c r="Z6" s="37">
        <f>Roster!AA23</f>
        <v>0</v>
      </c>
      <c r="AA6" s="37">
        <f>Roster!AB23</f>
        <v>0</v>
      </c>
      <c r="AB6" s="37">
        <f>Roster!AC23</f>
        <v>0</v>
      </c>
      <c r="AC6" s="37">
        <f>Roster!AD23</f>
        <v>0</v>
      </c>
      <c r="AD6" s="37">
        <f>Roster!AE23</f>
        <v>0</v>
      </c>
      <c r="AE6" s="37">
        <f>Roster!AF23</f>
        <v>0</v>
      </c>
      <c r="AF6" s="37">
        <f>Roster!AG23</f>
        <v>0</v>
      </c>
      <c r="AG6" s="38">
        <f>Roster!AH23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Roster!D38</f>
        <v>0</v>
      </c>
      <c r="D9" s="39">
        <f>Roster!E38</f>
        <v>0</v>
      </c>
      <c r="E9" s="37">
        <f>Roster!F38</f>
        <v>0</v>
      </c>
      <c r="F9" s="37">
        <f>Roster!G38</f>
        <v>0</v>
      </c>
      <c r="G9" s="37">
        <f>Roster!H38</f>
        <v>0</v>
      </c>
      <c r="H9" s="37">
        <f>Roster!I38</f>
        <v>0</v>
      </c>
      <c r="I9" s="37">
        <f>Roster!J38</f>
        <v>0</v>
      </c>
      <c r="J9" s="37">
        <f>Roster!K38</f>
        <v>0</v>
      </c>
      <c r="K9" s="37">
        <f>Roster!L38</f>
        <v>0</v>
      </c>
      <c r="L9" s="37">
        <f>Roster!M38</f>
        <v>0</v>
      </c>
      <c r="M9" s="37">
        <f>Roster!N38</f>
        <v>0</v>
      </c>
      <c r="N9" s="37">
        <f>Roster!O38</f>
        <v>0</v>
      </c>
      <c r="O9" s="37">
        <f>Roster!P38</f>
        <v>0</v>
      </c>
      <c r="P9" s="37">
        <f>Roster!Q38</f>
        <v>0</v>
      </c>
      <c r="Q9" s="37">
        <f>Roster!R38</f>
        <v>0</v>
      </c>
      <c r="R9" s="37">
        <f>Roster!S38</f>
        <v>0</v>
      </c>
      <c r="S9" s="37">
        <f>Roster!T38</f>
        <v>0</v>
      </c>
      <c r="T9" s="37">
        <f>Roster!U38</f>
        <v>0</v>
      </c>
      <c r="U9" s="37">
        <f>Roster!V38</f>
        <v>0</v>
      </c>
      <c r="V9" s="37">
        <f>Roster!W38</f>
        <v>0</v>
      </c>
      <c r="W9" s="37">
        <f>Roster!X38</f>
        <v>0</v>
      </c>
      <c r="X9" s="37">
        <f>Roster!Y38</f>
        <v>0</v>
      </c>
      <c r="Y9" s="37">
        <f>Roster!Z38</f>
        <v>0</v>
      </c>
      <c r="Z9" s="37">
        <f>Roster!AA38</f>
        <v>0</v>
      </c>
      <c r="AA9" s="37">
        <f>Roster!AB38</f>
        <v>0</v>
      </c>
      <c r="AB9" s="37">
        <f>Roster!AC38</f>
        <v>0</v>
      </c>
      <c r="AC9" s="37">
        <f>Roster!AD38</f>
        <v>0</v>
      </c>
      <c r="AD9" s="37">
        <f>Roster!AE38</f>
        <v>0</v>
      </c>
      <c r="AE9" s="37">
        <f>Roster!AF38</f>
        <v>0</v>
      </c>
      <c r="AF9" s="37">
        <f>Roster!AG38</f>
        <v>0</v>
      </c>
      <c r="AG9" s="38">
        <f>Roster!AH38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Roster!D53</f>
        <v>0</v>
      </c>
      <c r="D12" s="37">
        <f>Roster!E53</f>
        <v>0</v>
      </c>
      <c r="E12" s="37">
        <f>Roster!F53</f>
        <v>0</v>
      </c>
      <c r="F12" s="37">
        <f>Roster!G53</f>
        <v>0</v>
      </c>
      <c r="G12" s="37">
        <f>Roster!H53</f>
        <v>0</v>
      </c>
      <c r="H12" s="37">
        <f>Roster!I53</f>
        <v>0</v>
      </c>
      <c r="I12" s="37">
        <f>Roster!J53</f>
        <v>0</v>
      </c>
      <c r="J12" s="37">
        <f>Roster!K53</f>
        <v>0</v>
      </c>
      <c r="K12" s="37">
        <f>Roster!L53</f>
        <v>0</v>
      </c>
      <c r="L12" s="37">
        <f>Roster!M53</f>
        <v>0</v>
      </c>
      <c r="M12" s="37">
        <f>Roster!N53</f>
        <v>0</v>
      </c>
      <c r="N12" s="37">
        <f>Roster!O53</f>
        <v>0</v>
      </c>
      <c r="O12" s="37">
        <f>Roster!P53</f>
        <v>0</v>
      </c>
      <c r="P12" s="37">
        <f>Roster!Q53</f>
        <v>0</v>
      </c>
      <c r="Q12" s="37">
        <f>Roster!R53</f>
        <v>0</v>
      </c>
      <c r="R12" s="37">
        <f>Roster!S53</f>
        <v>0</v>
      </c>
      <c r="S12" s="37">
        <f>Roster!T53</f>
        <v>0</v>
      </c>
      <c r="T12" s="37">
        <f>Roster!U53</f>
        <v>0</v>
      </c>
      <c r="U12" s="37">
        <f>Roster!V53</f>
        <v>0</v>
      </c>
      <c r="V12" s="37">
        <f>Roster!W53</f>
        <v>0</v>
      </c>
      <c r="W12" s="37">
        <f>Roster!X53</f>
        <v>0</v>
      </c>
      <c r="X12" s="37">
        <f>Roster!Y53</f>
        <v>0</v>
      </c>
      <c r="Y12" s="37">
        <f>Roster!Z53</f>
        <v>0</v>
      </c>
      <c r="Z12" s="37">
        <f>Roster!AA53</f>
        <v>0</v>
      </c>
      <c r="AA12" s="37">
        <f>Roster!AB53</f>
        <v>0</v>
      </c>
      <c r="AB12" s="37">
        <f>Roster!AC53</f>
        <v>0</v>
      </c>
      <c r="AC12" s="37">
        <f>Roster!AD53</f>
        <v>0</v>
      </c>
      <c r="AD12" s="37">
        <f>Roster!AE53</f>
        <v>0</v>
      </c>
      <c r="AE12" s="37">
        <f>Roster!AF53</f>
        <v>0</v>
      </c>
      <c r="AF12" s="38">
        <f>Roster!AG53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Roster!D68</f>
        <v>0</v>
      </c>
      <c r="D15" s="37">
        <f>Roster!E68</f>
        <v>0</v>
      </c>
      <c r="E15" s="37">
        <f>Roster!F68</f>
        <v>0</v>
      </c>
      <c r="F15" s="37">
        <f>Roster!G68</f>
        <v>0</v>
      </c>
      <c r="G15" s="37">
        <f>Roster!H68</f>
        <v>0</v>
      </c>
      <c r="H15" s="37">
        <f>Roster!I68</f>
        <v>0</v>
      </c>
      <c r="I15" s="37">
        <f>Roster!J68</f>
        <v>0</v>
      </c>
      <c r="J15" s="37">
        <f>Roster!K68</f>
        <v>0</v>
      </c>
      <c r="K15" s="37">
        <f>Roster!L68</f>
        <v>0</v>
      </c>
      <c r="L15" s="37">
        <f>Roster!M68</f>
        <v>0</v>
      </c>
      <c r="M15" s="37">
        <f>Roster!N68</f>
        <v>0</v>
      </c>
      <c r="N15" s="37">
        <f>Roster!O68</f>
        <v>0</v>
      </c>
      <c r="O15" s="37">
        <f>Roster!P68</f>
        <v>0</v>
      </c>
      <c r="P15" s="37">
        <f>Roster!Q68</f>
        <v>0</v>
      </c>
      <c r="Q15" s="37">
        <f>Roster!R68</f>
        <v>0</v>
      </c>
      <c r="R15" s="37">
        <f>Roster!S68</f>
        <v>0</v>
      </c>
      <c r="S15" s="37">
        <f>Roster!T68</f>
        <v>0</v>
      </c>
      <c r="T15" s="37">
        <f>Roster!U68</f>
        <v>0</v>
      </c>
      <c r="U15" s="37">
        <f>Roster!V68</f>
        <v>0</v>
      </c>
      <c r="V15" s="37">
        <f>Roster!W68</f>
        <v>0</v>
      </c>
      <c r="W15" s="37">
        <f>Roster!X68</f>
        <v>0</v>
      </c>
      <c r="X15" s="37">
        <f>Roster!Y68</f>
        <v>0</v>
      </c>
      <c r="Y15" s="37">
        <f>Roster!Z68</f>
        <v>0</v>
      </c>
      <c r="Z15" s="37">
        <f>Roster!AA68</f>
        <v>0</v>
      </c>
      <c r="AA15" s="37">
        <f>Roster!AB68</f>
        <v>0</v>
      </c>
      <c r="AB15" s="37">
        <f>Roster!AC68</f>
        <v>0</v>
      </c>
      <c r="AC15" s="37">
        <f>Roster!AD68</f>
        <v>0</v>
      </c>
      <c r="AD15" s="37">
        <f>Roster!AE68</f>
        <v>0</v>
      </c>
      <c r="AE15" s="37">
        <f>Roster!AF68</f>
        <v>0</v>
      </c>
      <c r="AF15" s="37">
        <f>Roster!AG68</f>
        <v>0</v>
      </c>
      <c r="AG15" s="38">
        <f>Roster!AH68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Roster!D83</f>
        <v>0</v>
      </c>
      <c r="D18" s="37">
        <f>Roster!E83</f>
        <v>0</v>
      </c>
      <c r="E18" s="37">
        <f>Roster!F83</f>
        <v>0</v>
      </c>
      <c r="F18" s="37">
        <f>Roster!G83</f>
        <v>0</v>
      </c>
      <c r="G18" s="37">
        <f>Roster!H83</f>
        <v>0</v>
      </c>
      <c r="H18" s="37">
        <f>Roster!I83</f>
        <v>0</v>
      </c>
      <c r="I18" s="37">
        <f>Roster!J83</f>
        <v>0</v>
      </c>
      <c r="J18" s="37">
        <f>Roster!K83</f>
        <v>0</v>
      </c>
      <c r="K18" s="37">
        <f>Roster!L83</f>
        <v>0</v>
      </c>
      <c r="L18" s="37">
        <f>Roster!M83</f>
        <v>0</v>
      </c>
      <c r="M18" s="37">
        <f>Roster!N83</f>
        <v>0</v>
      </c>
      <c r="N18" s="37">
        <f>Roster!O83</f>
        <v>0</v>
      </c>
      <c r="O18" s="37">
        <f>Roster!P83</f>
        <v>0</v>
      </c>
      <c r="P18" s="37">
        <f>Roster!Q83</f>
        <v>0</v>
      </c>
      <c r="Q18" s="37">
        <f>Roster!R83</f>
        <v>0</v>
      </c>
      <c r="R18" s="37">
        <f>Roster!S83</f>
        <v>0</v>
      </c>
      <c r="S18" s="37">
        <f>Roster!T83</f>
        <v>0</v>
      </c>
      <c r="T18" s="37">
        <f>Roster!U83</f>
        <v>0</v>
      </c>
      <c r="U18" s="37">
        <f>Roster!V83</f>
        <v>0</v>
      </c>
      <c r="V18" s="37">
        <f>Roster!W83</f>
        <v>0</v>
      </c>
      <c r="W18" s="37">
        <f>Roster!X83</f>
        <v>0</v>
      </c>
      <c r="X18" s="37">
        <f>Roster!Y83</f>
        <v>0</v>
      </c>
      <c r="Y18" s="37">
        <f>Roster!Z83</f>
        <v>0</v>
      </c>
      <c r="Z18" s="37">
        <f>Roster!AA83</f>
        <v>0</v>
      </c>
      <c r="AA18" s="37">
        <f>Roster!AB83</f>
        <v>0</v>
      </c>
      <c r="AB18" s="37">
        <f>Roster!AC83</f>
        <v>0</v>
      </c>
      <c r="AC18" s="37">
        <f>Roster!AD83</f>
        <v>0</v>
      </c>
      <c r="AD18" s="37">
        <f>Roster!AE83</f>
        <v>0</v>
      </c>
      <c r="AE18" s="37">
        <f>Roster!AF83</f>
        <v>0</v>
      </c>
      <c r="AF18" s="38">
        <f>Roster!AG83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Roster!D98</f>
        <v>0</v>
      </c>
      <c r="D21" s="37">
        <f>Roster!E98</f>
        <v>0</v>
      </c>
      <c r="E21" s="37">
        <f>Roster!F98</f>
        <v>0</v>
      </c>
      <c r="F21" s="37">
        <f>Roster!G98</f>
        <v>0</v>
      </c>
      <c r="G21" s="37">
        <f>Roster!H98</f>
        <v>0</v>
      </c>
      <c r="H21" s="37">
        <f>Roster!I98</f>
        <v>0</v>
      </c>
      <c r="I21" s="37">
        <f>Roster!J98</f>
        <v>0</v>
      </c>
      <c r="J21" s="37">
        <f>Roster!K98</f>
        <v>0</v>
      </c>
      <c r="K21" s="37">
        <f>Roster!L98</f>
        <v>0</v>
      </c>
      <c r="L21" s="37">
        <f>Roster!M98</f>
        <v>0</v>
      </c>
      <c r="M21" s="37">
        <f>Roster!N98</f>
        <v>0</v>
      </c>
      <c r="N21" s="37">
        <f>Roster!O98</f>
        <v>0</v>
      </c>
      <c r="O21" s="37">
        <f>Roster!P98</f>
        <v>0</v>
      </c>
      <c r="P21" s="37">
        <f>Roster!Q98</f>
        <v>0</v>
      </c>
      <c r="Q21" s="37">
        <f>Roster!R98</f>
        <v>0</v>
      </c>
      <c r="R21" s="37">
        <f>Roster!S98</f>
        <v>0</v>
      </c>
      <c r="S21" s="37">
        <f>Roster!T98</f>
        <v>0</v>
      </c>
      <c r="T21" s="37">
        <f>Roster!U98</f>
        <v>0</v>
      </c>
      <c r="U21" s="37">
        <f>Roster!V98</f>
        <v>0</v>
      </c>
      <c r="V21" s="37">
        <f>Roster!W98</f>
        <v>0</v>
      </c>
      <c r="W21" s="37">
        <f>Roster!X98</f>
        <v>0</v>
      </c>
      <c r="X21" s="37">
        <f>Roster!Y98</f>
        <v>0</v>
      </c>
      <c r="Y21" s="37">
        <f>Roster!Z98</f>
        <v>0</v>
      </c>
      <c r="Z21" s="37">
        <f>Roster!AA98</f>
        <v>0</v>
      </c>
      <c r="AA21" s="37">
        <f>Roster!AB98</f>
        <v>0</v>
      </c>
      <c r="AB21" s="37">
        <f>Roster!AC98</f>
        <v>0</v>
      </c>
      <c r="AC21" s="37">
        <f>Roster!AD98</f>
        <v>0</v>
      </c>
      <c r="AD21" s="37">
        <f>Roster!AE98</f>
        <v>0</v>
      </c>
      <c r="AE21" s="37">
        <f>Roster!AF98</f>
        <v>0</v>
      </c>
      <c r="AF21" s="37">
        <f>Roster!AG98</f>
        <v>0</v>
      </c>
      <c r="AG21" s="38">
        <f>Roster!AH98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Roster!D113</f>
        <v>0</v>
      </c>
      <c r="D24" s="78">
        <f>Roster!E113</f>
        <v>0</v>
      </c>
      <c r="E24" s="78">
        <f>Roster!F113</f>
        <v>0</v>
      </c>
      <c r="F24" s="78">
        <f>Roster!G113</f>
        <v>0</v>
      </c>
      <c r="G24" s="78">
        <f>Roster!H113</f>
        <v>0</v>
      </c>
      <c r="H24" s="78">
        <f>Roster!I113</f>
        <v>0</v>
      </c>
      <c r="I24" s="78">
        <f>Roster!J113</f>
        <v>0</v>
      </c>
      <c r="J24" s="78">
        <f>Roster!K113</f>
        <v>0</v>
      </c>
      <c r="K24" s="78">
        <f>Roster!L113</f>
        <v>0</v>
      </c>
      <c r="L24" s="78">
        <f>Roster!M113</f>
        <v>0</v>
      </c>
      <c r="M24" s="78">
        <f>Roster!N113</f>
        <v>0</v>
      </c>
      <c r="N24" s="78">
        <f>Roster!O113</f>
        <v>0</v>
      </c>
      <c r="O24" s="78">
        <f>Roster!P113</f>
        <v>0</v>
      </c>
      <c r="P24" s="78">
        <f>Roster!Q113</f>
        <v>0</v>
      </c>
      <c r="Q24" s="78">
        <f>Roster!R113</f>
        <v>0</v>
      </c>
      <c r="R24" s="78">
        <f>Roster!S113</f>
        <v>0</v>
      </c>
      <c r="S24" s="78">
        <f>Roster!T113</f>
        <v>0</v>
      </c>
      <c r="T24" s="78">
        <f>Roster!U113</f>
        <v>0</v>
      </c>
      <c r="U24" s="78">
        <f>Roster!V113</f>
        <v>0</v>
      </c>
      <c r="V24" s="78">
        <f>Roster!W113</f>
        <v>0</v>
      </c>
      <c r="W24" s="78">
        <f>Roster!X113</f>
        <v>0</v>
      </c>
      <c r="X24" s="78">
        <f>Roster!Y113</f>
        <v>0</v>
      </c>
      <c r="Y24" s="78">
        <f>Roster!Z113</f>
        <v>0</v>
      </c>
      <c r="Z24" s="78">
        <f>Roster!AA113</f>
        <v>0</v>
      </c>
      <c r="AA24" s="78">
        <f>Roster!AB113</f>
        <v>0</v>
      </c>
      <c r="AB24" s="78">
        <f>Roster!AC113</f>
        <v>0</v>
      </c>
      <c r="AC24" s="78">
        <f>Roster!AD113</f>
        <v>0</v>
      </c>
      <c r="AD24" s="78">
        <f>Roster!AE113</f>
        <v>0</v>
      </c>
      <c r="AE24" s="78">
        <f>Roster!AF113</f>
        <v>0</v>
      </c>
      <c r="AF24" s="78">
        <f>Roster!AG113</f>
        <v>0</v>
      </c>
      <c r="AG24" s="79">
        <f>Roster!AH113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Roster!D128</f>
        <v>0</v>
      </c>
      <c r="D27" s="37">
        <f>Roster!E128</f>
        <v>0</v>
      </c>
      <c r="E27" s="37">
        <f>Roster!F128</f>
        <v>0</v>
      </c>
      <c r="F27" s="37">
        <f>Roster!G128</f>
        <v>0</v>
      </c>
      <c r="G27" s="37">
        <f>Roster!H128</f>
        <v>0</v>
      </c>
      <c r="H27" s="37">
        <f>Roster!I128</f>
        <v>0</v>
      </c>
      <c r="I27" s="37">
        <f>Roster!J128</f>
        <v>0</v>
      </c>
      <c r="J27" s="37">
        <f>Roster!K128</f>
        <v>0</v>
      </c>
      <c r="K27" s="37">
        <f>Roster!L128</f>
        <v>0</v>
      </c>
      <c r="L27" s="37">
        <f>Roster!M128</f>
        <v>0</v>
      </c>
      <c r="M27" s="37">
        <f>Roster!N128</f>
        <v>0</v>
      </c>
      <c r="N27" s="37">
        <f>Roster!O128</f>
        <v>0</v>
      </c>
      <c r="O27" s="37">
        <f>Roster!P128</f>
        <v>0</v>
      </c>
      <c r="P27" s="37">
        <f>Roster!Q128</f>
        <v>0</v>
      </c>
      <c r="Q27" s="37">
        <f>Roster!R128</f>
        <v>0</v>
      </c>
      <c r="R27" s="37">
        <f>Roster!S128</f>
        <v>0</v>
      </c>
      <c r="S27" s="37">
        <f>Roster!T128</f>
        <v>0</v>
      </c>
      <c r="T27" s="37">
        <f>Roster!U128</f>
        <v>0</v>
      </c>
      <c r="U27" s="37">
        <f>Roster!V128</f>
        <v>0</v>
      </c>
      <c r="V27" s="37">
        <f>Roster!W128</f>
        <v>0</v>
      </c>
      <c r="W27" s="37">
        <f>Roster!X128</f>
        <v>0</v>
      </c>
      <c r="X27" s="37">
        <f>Roster!Y128</f>
        <v>0</v>
      </c>
      <c r="Y27" s="37">
        <f>Roster!Z128</f>
        <v>0</v>
      </c>
      <c r="Z27" s="37">
        <f>Roster!AA128</f>
        <v>0</v>
      </c>
      <c r="AA27" s="37">
        <f>Roster!AB128</f>
        <v>0</v>
      </c>
      <c r="AB27" s="37">
        <f>Roster!AC128</f>
        <v>0</v>
      </c>
      <c r="AC27" s="37">
        <f>Roster!AD128</f>
        <v>0</v>
      </c>
      <c r="AD27" s="43">
        <f>Roster!AE128</f>
        <v>0</v>
      </c>
      <c r="AE27" s="134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Roster!D143</f>
        <v>0</v>
      </c>
      <c r="D30" s="37">
        <f>Roster!E143</f>
        <v>0</v>
      </c>
      <c r="E30" s="37">
        <f>Roster!F143</f>
        <v>0</v>
      </c>
      <c r="F30" s="37">
        <f>Roster!G143</f>
        <v>0</v>
      </c>
      <c r="G30" s="37">
        <f>Roster!H143</f>
        <v>0</v>
      </c>
      <c r="H30" s="37">
        <f>Roster!I143</f>
        <v>0</v>
      </c>
      <c r="I30" s="37">
        <f>Roster!J143</f>
        <v>0</v>
      </c>
      <c r="J30" s="37">
        <f>Roster!K143</f>
        <v>0</v>
      </c>
      <c r="K30" s="37">
        <f>Roster!L143</f>
        <v>0</v>
      </c>
      <c r="L30" s="37">
        <f>Roster!M143</f>
        <v>0</v>
      </c>
      <c r="M30" s="37">
        <f>Roster!N143</f>
        <v>0</v>
      </c>
      <c r="N30" s="37">
        <f>Roster!O143</f>
        <v>0</v>
      </c>
      <c r="O30" s="37">
        <f>Roster!P143</f>
        <v>0</v>
      </c>
      <c r="P30" s="37">
        <f>Roster!Q143</f>
        <v>0</v>
      </c>
      <c r="Q30" s="37">
        <f>Roster!R143</f>
        <v>0</v>
      </c>
      <c r="R30" s="37">
        <f>Roster!S143</f>
        <v>0</v>
      </c>
      <c r="S30" s="37">
        <f>Roster!T143</f>
        <v>0</v>
      </c>
      <c r="T30" s="37">
        <f>Roster!U143</f>
        <v>0</v>
      </c>
      <c r="U30" s="37">
        <f>Roster!V143</f>
        <v>0</v>
      </c>
      <c r="V30" s="37">
        <f>Roster!W143</f>
        <v>0</v>
      </c>
      <c r="W30" s="37">
        <f>Roster!X143</f>
        <v>0</v>
      </c>
      <c r="X30" s="37">
        <f>Roster!Y143</f>
        <v>0</v>
      </c>
      <c r="Y30" s="37">
        <f>Roster!Z143</f>
        <v>0</v>
      </c>
      <c r="Z30" s="37">
        <f>Roster!AA143</f>
        <v>0</v>
      </c>
      <c r="AA30" s="37">
        <f>Roster!AB143</f>
        <v>0</v>
      </c>
      <c r="AB30" s="37">
        <f>Roster!AC143</f>
        <v>0</v>
      </c>
      <c r="AC30" s="37">
        <f>Roster!AD143</f>
        <v>0</v>
      </c>
      <c r="AD30" s="37">
        <f>Roster!AE143</f>
        <v>0</v>
      </c>
      <c r="AE30" s="37">
        <f>Roster!AF143</f>
        <v>0</v>
      </c>
      <c r="AF30" s="37">
        <f>Roster!AG143</f>
        <v>0</v>
      </c>
      <c r="AG30" s="38">
        <f>Roster!AH143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Roster!D158</f>
        <v>0</v>
      </c>
      <c r="D33" s="37">
        <f>Roster!E158</f>
        <v>0</v>
      </c>
      <c r="E33" s="37">
        <f>Roster!F158</f>
        <v>0</v>
      </c>
      <c r="F33" s="37">
        <f>Roster!G158</f>
        <v>0</v>
      </c>
      <c r="G33" s="37">
        <f>Roster!H158</f>
        <v>0</v>
      </c>
      <c r="H33" s="37">
        <f>Roster!I158</f>
        <v>0</v>
      </c>
      <c r="I33" s="37">
        <f>Roster!J158</f>
        <v>0</v>
      </c>
      <c r="J33" s="37">
        <f>Roster!K158</f>
        <v>0</v>
      </c>
      <c r="K33" s="37">
        <f>Roster!L158</f>
        <v>0</v>
      </c>
      <c r="L33" s="37">
        <f>Roster!M158</f>
        <v>0</v>
      </c>
      <c r="M33" s="37">
        <f>Roster!N158</f>
        <v>0</v>
      </c>
      <c r="N33" s="37">
        <f>Roster!O158</f>
        <v>0</v>
      </c>
      <c r="O33" s="37">
        <f>Roster!P158</f>
        <v>0</v>
      </c>
      <c r="P33" s="37">
        <f>Roster!Q158</f>
        <v>0</v>
      </c>
      <c r="Q33" s="37">
        <f>Roster!R158</f>
        <v>0</v>
      </c>
      <c r="R33" s="37">
        <f>Roster!S158</f>
        <v>0</v>
      </c>
      <c r="S33" s="37">
        <f>Roster!T158</f>
        <v>0</v>
      </c>
      <c r="T33" s="37">
        <f>Roster!U158</f>
        <v>0</v>
      </c>
      <c r="U33" s="37">
        <f>Roster!V158</f>
        <v>0</v>
      </c>
      <c r="V33" s="37">
        <f>Roster!W158</f>
        <v>0</v>
      </c>
      <c r="W33" s="37">
        <f>Roster!X158</f>
        <v>0</v>
      </c>
      <c r="X33" s="37">
        <f>Roster!Y158</f>
        <v>0</v>
      </c>
      <c r="Y33" s="37">
        <f>Roster!Z158</f>
        <v>0</v>
      </c>
      <c r="Z33" s="37">
        <f>Roster!AA158</f>
        <v>0</v>
      </c>
      <c r="AA33" s="37">
        <f>Roster!AB158</f>
        <v>0</v>
      </c>
      <c r="AB33" s="37">
        <f>Roster!AC158</f>
        <v>0</v>
      </c>
      <c r="AC33" s="37">
        <f>Roster!AD158</f>
        <v>0</v>
      </c>
      <c r="AD33" s="37">
        <f>Roster!AE158</f>
        <v>0</v>
      </c>
      <c r="AE33" s="37">
        <f>Roster!AF158</f>
        <v>0</v>
      </c>
      <c r="AF33" s="38">
        <f>Roster!AG158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Roster!D173</f>
        <v>0</v>
      </c>
      <c r="D36" s="37">
        <f>Roster!E173</f>
        <v>0</v>
      </c>
      <c r="E36" s="37">
        <f>Roster!F173</f>
        <v>0</v>
      </c>
      <c r="F36" s="37">
        <f>Roster!G173</f>
        <v>0</v>
      </c>
      <c r="G36" s="37">
        <f>Roster!H173</f>
        <v>0</v>
      </c>
      <c r="H36" s="37">
        <f>Roster!I173</f>
        <v>0</v>
      </c>
      <c r="I36" s="37">
        <f>Roster!J173</f>
        <v>0</v>
      </c>
      <c r="J36" s="37">
        <f>Roster!K173</f>
        <v>0</v>
      </c>
      <c r="K36" s="37">
        <f>Roster!L173</f>
        <v>0</v>
      </c>
      <c r="L36" s="37">
        <f>Roster!M173</f>
        <v>0</v>
      </c>
      <c r="M36" s="37">
        <f>Roster!N173</f>
        <v>0</v>
      </c>
      <c r="N36" s="37">
        <f>Roster!O173</f>
        <v>0</v>
      </c>
      <c r="O36" s="37">
        <f>Roster!P173</f>
        <v>0</v>
      </c>
      <c r="P36" s="37">
        <f>Roster!Q173</f>
        <v>0</v>
      </c>
      <c r="Q36" s="37">
        <f>Roster!R173</f>
        <v>0</v>
      </c>
      <c r="R36" s="37">
        <f>Roster!S173</f>
        <v>0</v>
      </c>
      <c r="S36" s="37">
        <f>Roster!T173</f>
        <v>0</v>
      </c>
      <c r="T36" s="37">
        <f>Roster!U173</f>
        <v>0</v>
      </c>
      <c r="U36" s="37">
        <f>Roster!V173</f>
        <v>0</v>
      </c>
      <c r="V36" s="37">
        <f>Roster!W173</f>
        <v>0</v>
      </c>
      <c r="W36" s="37">
        <f>Roster!X173</f>
        <v>0</v>
      </c>
      <c r="X36" s="37">
        <f>Roster!Y173</f>
        <v>0</v>
      </c>
      <c r="Y36" s="37">
        <f>Roster!Z173</f>
        <v>0</v>
      </c>
      <c r="Z36" s="37">
        <f>Roster!AA173</f>
        <v>0</v>
      </c>
      <c r="AA36" s="37">
        <f>Roster!AB173</f>
        <v>0</v>
      </c>
      <c r="AB36" s="37">
        <f>Roster!AC173</f>
        <v>0</v>
      </c>
      <c r="AC36" s="37">
        <f>Roster!AD173</f>
        <v>0</v>
      </c>
      <c r="AD36" s="37">
        <f>Roster!AE173</f>
        <v>0</v>
      </c>
      <c r="AE36" s="37">
        <f>Roster!AF173</f>
        <v>0</v>
      </c>
      <c r="AF36" s="37">
        <f>Roster!AG173</f>
        <v>0</v>
      </c>
      <c r="AG36" s="38">
        <f>Roster!AH173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Roster!D188</f>
        <v>0</v>
      </c>
      <c r="D39" s="37">
        <f>Roster!E188</f>
        <v>0</v>
      </c>
      <c r="E39" s="37">
        <f>Roster!F188</f>
        <v>0</v>
      </c>
      <c r="F39" s="37">
        <f>Roster!G188</f>
        <v>0</v>
      </c>
      <c r="G39" s="37">
        <f>Roster!H188</f>
        <v>0</v>
      </c>
      <c r="H39" s="37">
        <f>Roster!I188</f>
        <v>0</v>
      </c>
      <c r="I39" s="37">
        <f>Roster!J188</f>
        <v>0</v>
      </c>
      <c r="J39" s="37">
        <f>Roster!K188</f>
        <v>0</v>
      </c>
      <c r="K39" s="37">
        <f>Roster!L188</f>
        <v>0</v>
      </c>
      <c r="L39" s="37">
        <f>Roster!M188</f>
        <v>0</v>
      </c>
      <c r="M39" s="37">
        <f>Roster!N188</f>
        <v>0</v>
      </c>
      <c r="N39" s="37">
        <f>Roster!O188</f>
        <v>0</v>
      </c>
      <c r="O39" s="37">
        <f>Roster!P188</f>
        <v>0</v>
      </c>
      <c r="P39" s="37">
        <f>Roster!Q188</f>
        <v>0</v>
      </c>
      <c r="Q39" s="37">
        <f>Roster!R188</f>
        <v>0</v>
      </c>
      <c r="R39" s="37">
        <f>Roster!S188</f>
        <v>0</v>
      </c>
      <c r="S39" s="37">
        <f>Roster!T188</f>
        <v>0</v>
      </c>
      <c r="T39" s="37">
        <f>Roster!U188</f>
        <v>0</v>
      </c>
      <c r="U39" s="37">
        <f>Roster!V188</f>
        <v>0</v>
      </c>
      <c r="V39" s="37">
        <f>Roster!W188</f>
        <v>0</v>
      </c>
      <c r="W39" s="37">
        <f>Roster!X188</f>
        <v>0</v>
      </c>
      <c r="X39" s="37">
        <f>Roster!Y188</f>
        <v>0</v>
      </c>
      <c r="Y39" s="37">
        <f>Roster!Z188</f>
        <v>0</v>
      </c>
      <c r="Z39" s="37">
        <f>Roster!AA188</f>
        <v>0</v>
      </c>
      <c r="AA39" s="37">
        <f>Roster!AB188</f>
        <v>0</v>
      </c>
      <c r="AB39" s="37">
        <f>Roster!AC188</f>
        <v>0</v>
      </c>
      <c r="AC39" s="37">
        <f>Roster!AD188</f>
        <v>0</v>
      </c>
      <c r="AD39" s="37">
        <f>Roster!AE188</f>
        <v>0</v>
      </c>
      <c r="AE39" s="37">
        <f>Roster!AF188</f>
        <v>0</v>
      </c>
      <c r="AF39" s="38">
        <f>Roster!AG188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EmpGName11 &amp;" " &amp; EmpSName11</f>
        <v>Margaret Rowe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Roster!D24</f>
        <v>0</v>
      </c>
      <c r="D6" s="37">
        <f>Roster!E24</f>
        <v>0</v>
      </c>
      <c r="E6" s="37">
        <f>Roster!F24</f>
        <v>0</v>
      </c>
      <c r="F6" s="37">
        <f>Roster!G24</f>
        <v>0</v>
      </c>
      <c r="G6" s="37">
        <f>Roster!H24</f>
        <v>0</v>
      </c>
      <c r="H6" s="37">
        <f>Roster!I24</f>
        <v>0</v>
      </c>
      <c r="I6" s="37">
        <f>Roster!J24</f>
        <v>0</v>
      </c>
      <c r="J6" s="37">
        <f>Roster!K24</f>
        <v>0</v>
      </c>
      <c r="K6" s="37">
        <f>Roster!L24</f>
        <v>0</v>
      </c>
      <c r="L6" s="37">
        <f>Roster!M24</f>
        <v>0</v>
      </c>
      <c r="M6" s="37">
        <f>Roster!N24</f>
        <v>0</v>
      </c>
      <c r="N6" s="37">
        <f>Roster!O24</f>
        <v>0</v>
      </c>
      <c r="O6" s="37">
        <f>Roster!P24</f>
        <v>0</v>
      </c>
      <c r="P6" s="37">
        <f>Roster!Q24</f>
        <v>0</v>
      </c>
      <c r="Q6" s="37">
        <f>Roster!R24</f>
        <v>0</v>
      </c>
      <c r="R6" s="37">
        <f>Roster!S24</f>
        <v>0</v>
      </c>
      <c r="S6" s="37">
        <f>Roster!T24</f>
        <v>0</v>
      </c>
      <c r="T6" s="37">
        <f>Roster!U24</f>
        <v>0</v>
      </c>
      <c r="U6" s="37">
        <f>Roster!V24</f>
        <v>0</v>
      </c>
      <c r="V6" s="37">
        <f>Roster!W24</f>
        <v>0</v>
      </c>
      <c r="W6" s="37">
        <f>Roster!X24</f>
        <v>0</v>
      </c>
      <c r="X6" s="37">
        <f>Roster!Y24</f>
        <v>0</v>
      </c>
      <c r="Y6" s="37">
        <f>Roster!Z24</f>
        <v>0</v>
      </c>
      <c r="Z6" s="37">
        <f>Roster!AA24</f>
        <v>0</v>
      </c>
      <c r="AA6" s="37">
        <f>Roster!AB24</f>
        <v>0</v>
      </c>
      <c r="AB6" s="37">
        <f>Roster!AC24</f>
        <v>0</v>
      </c>
      <c r="AC6" s="37">
        <f>Roster!AD24</f>
        <v>0</v>
      </c>
      <c r="AD6" s="37">
        <f>Roster!AE24</f>
        <v>0</v>
      </c>
      <c r="AE6" s="37">
        <f>Roster!AF24</f>
        <v>0</v>
      </c>
      <c r="AF6" s="37">
        <f>Roster!AG24</f>
        <v>0</v>
      </c>
      <c r="AG6" s="38">
        <f>Roster!AH24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Roster!D39</f>
        <v>0</v>
      </c>
      <c r="D9" s="39">
        <f>Roster!E39</f>
        <v>0</v>
      </c>
      <c r="E9" s="37">
        <f>Roster!F39</f>
        <v>0</v>
      </c>
      <c r="F9" s="37">
        <f>Roster!G39</f>
        <v>0</v>
      </c>
      <c r="G9" s="37">
        <f>Roster!H39</f>
        <v>0</v>
      </c>
      <c r="H9" s="37">
        <f>Roster!I39</f>
        <v>0</v>
      </c>
      <c r="I9" s="37">
        <f>Roster!J39</f>
        <v>0</v>
      </c>
      <c r="J9" s="37">
        <f>Roster!K39</f>
        <v>0</v>
      </c>
      <c r="K9" s="37">
        <f>Roster!L39</f>
        <v>0</v>
      </c>
      <c r="L9" s="37">
        <f>Roster!M39</f>
        <v>0</v>
      </c>
      <c r="M9" s="37">
        <f>Roster!N39</f>
        <v>0</v>
      </c>
      <c r="N9" s="37">
        <f>Roster!O39</f>
        <v>0</v>
      </c>
      <c r="O9" s="37">
        <f>Roster!P39</f>
        <v>0</v>
      </c>
      <c r="P9" s="37">
        <f>Roster!Q39</f>
        <v>0</v>
      </c>
      <c r="Q9" s="37">
        <f>Roster!R39</f>
        <v>0</v>
      </c>
      <c r="R9" s="37">
        <f>Roster!S39</f>
        <v>0</v>
      </c>
      <c r="S9" s="37">
        <f>Roster!T39</f>
        <v>0</v>
      </c>
      <c r="T9" s="37">
        <f>Roster!U39</f>
        <v>0</v>
      </c>
      <c r="U9" s="37">
        <f>Roster!V39</f>
        <v>0</v>
      </c>
      <c r="V9" s="37">
        <f>Roster!W39</f>
        <v>0</v>
      </c>
      <c r="W9" s="37">
        <f>Roster!X39</f>
        <v>0</v>
      </c>
      <c r="X9" s="37">
        <f>Roster!Y39</f>
        <v>0</v>
      </c>
      <c r="Y9" s="37">
        <f>Roster!Z39</f>
        <v>0</v>
      </c>
      <c r="Z9" s="37">
        <f>Roster!AA39</f>
        <v>0</v>
      </c>
      <c r="AA9" s="37">
        <f>Roster!AB39</f>
        <v>0</v>
      </c>
      <c r="AB9" s="37">
        <f>Roster!AC39</f>
        <v>0</v>
      </c>
      <c r="AC9" s="37">
        <f>Roster!AD39</f>
        <v>0</v>
      </c>
      <c r="AD9" s="37">
        <f>Roster!AE39</f>
        <v>0</v>
      </c>
      <c r="AE9" s="37">
        <f>Roster!AF39</f>
        <v>0</v>
      </c>
      <c r="AF9" s="37">
        <f>Roster!AG39</f>
        <v>0</v>
      </c>
      <c r="AG9" s="38">
        <f>Roster!AH39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Roster!D54</f>
        <v>0</v>
      </c>
      <c r="D12" s="37">
        <f>Roster!E54</f>
        <v>0</v>
      </c>
      <c r="E12" s="37">
        <f>Roster!F54</f>
        <v>0</v>
      </c>
      <c r="F12" s="37">
        <f>Roster!G54</f>
        <v>0</v>
      </c>
      <c r="G12" s="37">
        <f>Roster!H54</f>
        <v>0</v>
      </c>
      <c r="H12" s="37">
        <f>Roster!I54</f>
        <v>0</v>
      </c>
      <c r="I12" s="37">
        <f>Roster!J54</f>
        <v>0</v>
      </c>
      <c r="J12" s="37">
        <f>Roster!K54</f>
        <v>0</v>
      </c>
      <c r="K12" s="37">
        <f>Roster!L54</f>
        <v>0</v>
      </c>
      <c r="L12" s="37">
        <f>Roster!M54</f>
        <v>0</v>
      </c>
      <c r="M12" s="37">
        <f>Roster!N54</f>
        <v>0</v>
      </c>
      <c r="N12" s="37">
        <f>Roster!O54</f>
        <v>0</v>
      </c>
      <c r="O12" s="37">
        <f>Roster!P54</f>
        <v>0</v>
      </c>
      <c r="P12" s="37">
        <f>Roster!Q54</f>
        <v>0</v>
      </c>
      <c r="Q12" s="37">
        <f>Roster!R54</f>
        <v>0</v>
      </c>
      <c r="R12" s="37">
        <f>Roster!S54</f>
        <v>0</v>
      </c>
      <c r="S12" s="37">
        <f>Roster!T54</f>
        <v>0</v>
      </c>
      <c r="T12" s="37">
        <f>Roster!U54</f>
        <v>0</v>
      </c>
      <c r="U12" s="37">
        <f>Roster!V54</f>
        <v>0</v>
      </c>
      <c r="V12" s="37">
        <f>Roster!W54</f>
        <v>0</v>
      </c>
      <c r="W12" s="37">
        <f>Roster!X54</f>
        <v>0</v>
      </c>
      <c r="X12" s="37">
        <f>Roster!Y54</f>
        <v>0</v>
      </c>
      <c r="Y12" s="37">
        <f>Roster!Z54</f>
        <v>0</v>
      </c>
      <c r="Z12" s="37">
        <f>Roster!AA54</f>
        <v>0</v>
      </c>
      <c r="AA12" s="37">
        <f>Roster!AB54</f>
        <v>0</v>
      </c>
      <c r="AB12" s="37">
        <f>Roster!AC54</f>
        <v>0</v>
      </c>
      <c r="AC12" s="37">
        <f>Roster!AD54</f>
        <v>0</v>
      </c>
      <c r="AD12" s="37">
        <f>Roster!AE54</f>
        <v>0</v>
      </c>
      <c r="AE12" s="37">
        <f>Roster!AF54</f>
        <v>0</v>
      </c>
      <c r="AF12" s="38">
        <f>Roster!AG54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Roster!D69</f>
        <v>0</v>
      </c>
      <c r="D15" s="37">
        <f>Roster!E69</f>
        <v>0</v>
      </c>
      <c r="E15" s="37">
        <f>Roster!F69</f>
        <v>0</v>
      </c>
      <c r="F15" s="37">
        <f>Roster!G69</f>
        <v>0</v>
      </c>
      <c r="G15" s="37">
        <f>Roster!H69</f>
        <v>0</v>
      </c>
      <c r="H15" s="37">
        <f>Roster!I69</f>
        <v>0</v>
      </c>
      <c r="I15" s="37">
        <f>Roster!J69</f>
        <v>0</v>
      </c>
      <c r="J15" s="37">
        <f>Roster!K69</f>
        <v>0</v>
      </c>
      <c r="K15" s="37">
        <f>Roster!L69</f>
        <v>0</v>
      </c>
      <c r="L15" s="37">
        <f>Roster!M69</f>
        <v>0</v>
      </c>
      <c r="M15" s="37">
        <f>Roster!N69</f>
        <v>0</v>
      </c>
      <c r="N15" s="37">
        <f>Roster!O69</f>
        <v>0</v>
      </c>
      <c r="O15" s="37">
        <f>Roster!P69</f>
        <v>0</v>
      </c>
      <c r="P15" s="37">
        <f>Roster!Q69</f>
        <v>0</v>
      </c>
      <c r="Q15" s="37">
        <f>Roster!R69</f>
        <v>0</v>
      </c>
      <c r="R15" s="37">
        <f>Roster!S69</f>
        <v>0</v>
      </c>
      <c r="S15" s="37">
        <f>Roster!T69</f>
        <v>0</v>
      </c>
      <c r="T15" s="37">
        <f>Roster!U69</f>
        <v>0</v>
      </c>
      <c r="U15" s="37">
        <f>Roster!V69</f>
        <v>0</v>
      </c>
      <c r="V15" s="37">
        <f>Roster!W69</f>
        <v>0</v>
      </c>
      <c r="W15" s="37">
        <f>Roster!X69</f>
        <v>0</v>
      </c>
      <c r="X15" s="37">
        <f>Roster!Y69</f>
        <v>0</v>
      </c>
      <c r="Y15" s="37">
        <f>Roster!Z69</f>
        <v>0</v>
      </c>
      <c r="Z15" s="37">
        <f>Roster!AA69</f>
        <v>0</v>
      </c>
      <c r="AA15" s="37">
        <f>Roster!AB69</f>
        <v>0</v>
      </c>
      <c r="AB15" s="37">
        <f>Roster!AC69</f>
        <v>0</v>
      </c>
      <c r="AC15" s="37">
        <f>Roster!AD69</f>
        <v>0</v>
      </c>
      <c r="AD15" s="37">
        <f>Roster!AE69</f>
        <v>0</v>
      </c>
      <c r="AE15" s="37">
        <f>Roster!AF69</f>
        <v>0</v>
      </c>
      <c r="AF15" s="37">
        <f>Roster!AG69</f>
        <v>0</v>
      </c>
      <c r="AG15" s="38">
        <f>Roster!AH69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Roster!D84</f>
        <v>0</v>
      </c>
      <c r="D18" s="37">
        <f>Roster!E84</f>
        <v>0</v>
      </c>
      <c r="E18" s="37">
        <f>Roster!F84</f>
        <v>0</v>
      </c>
      <c r="F18" s="37">
        <f>Roster!G84</f>
        <v>0</v>
      </c>
      <c r="G18" s="37">
        <f>Roster!H84</f>
        <v>0</v>
      </c>
      <c r="H18" s="37">
        <f>Roster!I84</f>
        <v>0</v>
      </c>
      <c r="I18" s="37">
        <f>Roster!J84</f>
        <v>0</v>
      </c>
      <c r="J18" s="37">
        <f>Roster!K84</f>
        <v>0</v>
      </c>
      <c r="K18" s="37">
        <f>Roster!L84</f>
        <v>0</v>
      </c>
      <c r="L18" s="37">
        <f>Roster!M84</f>
        <v>0</v>
      </c>
      <c r="M18" s="37">
        <f>Roster!N84</f>
        <v>0</v>
      </c>
      <c r="N18" s="37">
        <f>Roster!O84</f>
        <v>0</v>
      </c>
      <c r="O18" s="37">
        <f>Roster!P84</f>
        <v>0</v>
      </c>
      <c r="P18" s="37">
        <f>Roster!Q84</f>
        <v>0</v>
      </c>
      <c r="Q18" s="37">
        <f>Roster!R84</f>
        <v>0</v>
      </c>
      <c r="R18" s="37">
        <f>Roster!S84</f>
        <v>0</v>
      </c>
      <c r="S18" s="37">
        <f>Roster!T84</f>
        <v>0</v>
      </c>
      <c r="T18" s="37">
        <f>Roster!U84</f>
        <v>0</v>
      </c>
      <c r="U18" s="37">
        <f>Roster!V84</f>
        <v>0</v>
      </c>
      <c r="V18" s="37">
        <f>Roster!W84</f>
        <v>0</v>
      </c>
      <c r="W18" s="37">
        <f>Roster!X84</f>
        <v>0</v>
      </c>
      <c r="X18" s="37">
        <f>Roster!Y84</f>
        <v>0</v>
      </c>
      <c r="Y18" s="37">
        <f>Roster!Z84</f>
        <v>0</v>
      </c>
      <c r="Z18" s="37">
        <f>Roster!AA84</f>
        <v>0</v>
      </c>
      <c r="AA18" s="37">
        <f>Roster!AB84</f>
        <v>0</v>
      </c>
      <c r="AB18" s="37">
        <f>Roster!AC84</f>
        <v>0</v>
      </c>
      <c r="AC18" s="37">
        <f>Roster!AD84</f>
        <v>0</v>
      </c>
      <c r="AD18" s="37">
        <f>Roster!AE84</f>
        <v>0</v>
      </c>
      <c r="AE18" s="37">
        <f>Roster!AF84</f>
        <v>0</v>
      </c>
      <c r="AF18" s="38">
        <f>Roster!AG84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Roster!D99</f>
        <v>0</v>
      </c>
      <c r="D21" s="37">
        <f>Roster!E99</f>
        <v>0</v>
      </c>
      <c r="E21" s="37">
        <f>Roster!F99</f>
        <v>0</v>
      </c>
      <c r="F21" s="37">
        <f>Roster!G99</f>
        <v>0</v>
      </c>
      <c r="G21" s="37">
        <f>Roster!H99</f>
        <v>0</v>
      </c>
      <c r="H21" s="37">
        <f>Roster!I99</f>
        <v>0</v>
      </c>
      <c r="I21" s="37">
        <f>Roster!J99</f>
        <v>0</v>
      </c>
      <c r="J21" s="37">
        <f>Roster!K99</f>
        <v>0</v>
      </c>
      <c r="K21" s="37">
        <f>Roster!L99</f>
        <v>0</v>
      </c>
      <c r="L21" s="37">
        <f>Roster!M99</f>
        <v>0</v>
      </c>
      <c r="M21" s="37">
        <f>Roster!N99</f>
        <v>0</v>
      </c>
      <c r="N21" s="37">
        <f>Roster!O99</f>
        <v>0</v>
      </c>
      <c r="O21" s="37">
        <f>Roster!P99</f>
        <v>0</v>
      </c>
      <c r="P21" s="37">
        <f>Roster!Q99</f>
        <v>0</v>
      </c>
      <c r="Q21" s="37">
        <f>Roster!R99</f>
        <v>0</v>
      </c>
      <c r="R21" s="37">
        <f>Roster!S99</f>
        <v>0</v>
      </c>
      <c r="S21" s="37">
        <f>Roster!T99</f>
        <v>0</v>
      </c>
      <c r="T21" s="37">
        <f>Roster!U99</f>
        <v>0</v>
      </c>
      <c r="U21" s="37">
        <f>Roster!V99</f>
        <v>0</v>
      </c>
      <c r="V21" s="37">
        <f>Roster!W99</f>
        <v>0</v>
      </c>
      <c r="W21" s="37">
        <f>Roster!X99</f>
        <v>0</v>
      </c>
      <c r="X21" s="37">
        <f>Roster!Y99</f>
        <v>0</v>
      </c>
      <c r="Y21" s="37">
        <f>Roster!Z99</f>
        <v>0</v>
      </c>
      <c r="Z21" s="37">
        <f>Roster!AA99</f>
        <v>0</v>
      </c>
      <c r="AA21" s="37">
        <f>Roster!AB99</f>
        <v>0</v>
      </c>
      <c r="AB21" s="37">
        <f>Roster!AC99</f>
        <v>0</v>
      </c>
      <c r="AC21" s="37">
        <f>Roster!AD99</f>
        <v>0</v>
      </c>
      <c r="AD21" s="37">
        <f>Roster!AE99</f>
        <v>0</v>
      </c>
      <c r="AE21" s="37">
        <f>Roster!AF99</f>
        <v>0</v>
      </c>
      <c r="AF21" s="37">
        <f>Roster!AG99</f>
        <v>0</v>
      </c>
      <c r="AG21" s="38">
        <f>Roster!AH99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Roster!D114</f>
        <v>0</v>
      </c>
      <c r="D24" s="53">
        <f>Roster!E114</f>
        <v>0</v>
      </c>
      <c r="E24" s="53">
        <f>Roster!F114</f>
        <v>0</v>
      </c>
      <c r="F24" s="53">
        <f>Roster!G114</f>
        <v>0</v>
      </c>
      <c r="G24" s="53">
        <f>Roster!H114</f>
        <v>0</v>
      </c>
      <c r="H24" s="53">
        <f>Roster!I114</f>
        <v>0</v>
      </c>
      <c r="I24" s="53">
        <f>Roster!J114</f>
        <v>0</v>
      </c>
      <c r="J24" s="53">
        <f>Roster!K114</f>
        <v>0</v>
      </c>
      <c r="K24" s="53">
        <f>Roster!L114</f>
        <v>0</v>
      </c>
      <c r="L24" s="53">
        <f>Roster!M114</f>
        <v>0</v>
      </c>
      <c r="M24" s="53">
        <f>Roster!N114</f>
        <v>0</v>
      </c>
      <c r="N24" s="53">
        <f>Roster!O114</f>
        <v>0</v>
      </c>
      <c r="O24" s="53">
        <f>Roster!P114</f>
        <v>0</v>
      </c>
      <c r="P24" s="53">
        <f>Roster!Q114</f>
        <v>0</v>
      </c>
      <c r="Q24" s="53">
        <f>Roster!R114</f>
        <v>0</v>
      </c>
      <c r="R24" s="53">
        <f>Roster!S114</f>
        <v>0</v>
      </c>
      <c r="S24" s="53">
        <f>Roster!T114</f>
        <v>0</v>
      </c>
      <c r="T24" s="53">
        <f>Roster!U114</f>
        <v>0</v>
      </c>
      <c r="U24" s="53">
        <f>Roster!V114</f>
        <v>0</v>
      </c>
      <c r="V24" s="53">
        <f>Roster!W114</f>
        <v>0</v>
      </c>
      <c r="W24" s="53">
        <f>Roster!X114</f>
        <v>0</v>
      </c>
      <c r="X24" s="53">
        <f>Roster!Y114</f>
        <v>0</v>
      </c>
      <c r="Y24" s="53">
        <f>Roster!Z114</f>
        <v>0</v>
      </c>
      <c r="Z24" s="53">
        <f>Roster!AA114</f>
        <v>0</v>
      </c>
      <c r="AA24" s="53">
        <f>Roster!AB114</f>
        <v>0</v>
      </c>
      <c r="AB24" s="53">
        <f>Roster!AC114</f>
        <v>0</v>
      </c>
      <c r="AC24" s="53">
        <f>Roster!AD114</f>
        <v>0</v>
      </c>
      <c r="AD24" s="53">
        <f>Roster!AE114</f>
        <v>0</v>
      </c>
      <c r="AE24" s="53">
        <f>Roster!AF114</f>
        <v>0</v>
      </c>
      <c r="AF24" s="53">
        <f>Roster!AG114</f>
        <v>0</v>
      </c>
      <c r="AG24" s="54">
        <f>Roster!AH114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Roster!D129</f>
        <v>0</v>
      </c>
      <c r="D27" s="37">
        <f>Roster!E129</f>
        <v>0</v>
      </c>
      <c r="E27" s="37">
        <f>Roster!F129</f>
        <v>0</v>
      </c>
      <c r="F27" s="37">
        <f>Roster!G129</f>
        <v>0</v>
      </c>
      <c r="G27" s="37">
        <f>Roster!H129</f>
        <v>0</v>
      </c>
      <c r="H27" s="37">
        <f>Roster!I129</f>
        <v>0</v>
      </c>
      <c r="I27" s="37">
        <f>Roster!J129</f>
        <v>0</v>
      </c>
      <c r="J27" s="37">
        <f>Roster!K129</f>
        <v>0</v>
      </c>
      <c r="K27" s="37">
        <f>Roster!L129</f>
        <v>0</v>
      </c>
      <c r="L27" s="37">
        <f>Roster!M129</f>
        <v>0</v>
      </c>
      <c r="M27" s="37">
        <f>Roster!N129</f>
        <v>0</v>
      </c>
      <c r="N27" s="37">
        <f>Roster!O129</f>
        <v>0</v>
      </c>
      <c r="O27" s="37">
        <f>Roster!P129</f>
        <v>0</v>
      </c>
      <c r="P27" s="37">
        <f>Roster!Q129</f>
        <v>0</v>
      </c>
      <c r="Q27" s="37">
        <f>Roster!R129</f>
        <v>0</v>
      </c>
      <c r="R27" s="37">
        <f>Roster!S129</f>
        <v>0</v>
      </c>
      <c r="S27" s="37">
        <f>Roster!T129</f>
        <v>0</v>
      </c>
      <c r="T27" s="37">
        <f>Roster!U129</f>
        <v>0</v>
      </c>
      <c r="U27" s="37">
        <f>Roster!V129</f>
        <v>0</v>
      </c>
      <c r="V27" s="37">
        <f>Roster!W129</f>
        <v>0</v>
      </c>
      <c r="W27" s="37">
        <f>Roster!X129</f>
        <v>0</v>
      </c>
      <c r="X27" s="37">
        <f>Roster!Y129</f>
        <v>0</v>
      </c>
      <c r="Y27" s="37">
        <f>Roster!Z129</f>
        <v>0</v>
      </c>
      <c r="Z27" s="37">
        <f>Roster!AA129</f>
        <v>0</v>
      </c>
      <c r="AA27" s="37">
        <f>Roster!AB129</f>
        <v>0</v>
      </c>
      <c r="AB27" s="37">
        <f>Roster!AC129</f>
        <v>0</v>
      </c>
      <c r="AC27" s="37">
        <f>Roster!AD129</f>
        <v>0</v>
      </c>
      <c r="AD27" s="43">
        <f>Roster!AE129</f>
        <v>0</v>
      </c>
      <c r="AE27" s="134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Roster!D144</f>
        <v>0</v>
      </c>
      <c r="D30" s="37">
        <f>Roster!E144</f>
        <v>0</v>
      </c>
      <c r="E30" s="37">
        <f>Roster!F144</f>
        <v>0</v>
      </c>
      <c r="F30" s="37">
        <f>Roster!G144</f>
        <v>0</v>
      </c>
      <c r="G30" s="37">
        <f>Roster!H144</f>
        <v>0</v>
      </c>
      <c r="H30" s="37">
        <f>Roster!I144</f>
        <v>0</v>
      </c>
      <c r="I30" s="37">
        <f>Roster!J144</f>
        <v>0</v>
      </c>
      <c r="J30" s="37">
        <f>Roster!K144</f>
        <v>0</v>
      </c>
      <c r="K30" s="37">
        <f>Roster!L144</f>
        <v>0</v>
      </c>
      <c r="L30" s="37">
        <f>Roster!M144</f>
        <v>0</v>
      </c>
      <c r="M30" s="37">
        <f>Roster!N144</f>
        <v>0</v>
      </c>
      <c r="N30" s="37">
        <f>Roster!O144</f>
        <v>0</v>
      </c>
      <c r="O30" s="37">
        <f>Roster!P144</f>
        <v>0</v>
      </c>
      <c r="P30" s="37">
        <f>Roster!Q144</f>
        <v>0</v>
      </c>
      <c r="Q30" s="37">
        <f>Roster!R144</f>
        <v>0</v>
      </c>
      <c r="R30" s="37">
        <f>Roster!S144</f>
        <v>0</v>
      </c>
      <c r="S30" s="37">
        <f>Roster!T144</f>
        <v>0</v>
      </c>
      <c r="T30" s="37">
        <f>Roster!U144</f>
        <v>0</v>
      </c>
      <c r="U30" s="37">
        <f>Roster!V144</f>
        <v>0</v>
      </c>
      <c r="V30" s="37">
        <f>Roster!W144</f>
        <v>0</v>
      </c>
      <c r="W30" s="37">
        <f>Roster!X144</f>
        <v>0</v>
      </c>
      <c r="X30" s="37">
        <f>Roster!Y144</f>
        <v>0</v>
      </c>
      <c r="Y30" s="37">
        <f>Roster!Z144</f>
        <v>0</v>
      </c>
      <c r="Z30" s="37">
        <f>Roster!AA144</f>
        <v>0</v>
      </c>
      <c r="AA30" s="37">
        <f>Roster!AB144</f>
        <v>0</v>
      </c>
      <c r="AB30" s="37">
        <f>Roster!AC144</f>
        <v>0</v>
      </c>
      <c r="AC30" s="37">
        <f>Roster!AD144</f>
        <v>0</v>
      </c>
      <c r="AD30" s="37">
        <f>Roster!AE144</f>
        <v>0</v>
      </c>
      <c r="AE30" s="37">
        <f>Roster!AF144</f>
        <v>0</v>
      </c>
      <c r="AF30" s="37">
        <f>Roster!AG144</f>
        <v>0</v>
      </c>
      <c r="AG30" s="38">
        <f>Roster!AH144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Roster!D159</f>
        <v>0</v>
      </c>
      <c r="D33" s="37">
        <f>Roster!E159</f>
        <v>0</v>
      </c>
      <c r="E33" s="37">
        <f>Roster!F159</f>
        <v>0</v>
      </c>
      <c r="F33" s="37">
        <f>Roster!G159</f>
        <v>0</v>
      </c>
      <c r="G33" s="37">
        <f>Roster!H159</f>
        <v>0</v>
      </c>
      <c r="H33" s="37">
        <f>Roster!I159</f>
        <v>0</v>
      </c>
      <c r="I33" s="37">
        <f>Roster!J159</f>
        <v>0</v>
      </c>
      <c r="J33" s="37">
        <f>Roster!K159</f>
        <v>0</v>
      </c>
      <c r="K33" s="37">
        <f>Roster!L159</f>
        <v>0</v>
      </c>
      <c r="L33" s="37">
        <f>Roster!M159</f>
        <v>0</v>
      </c>
      <c r="M33" s="37">
        <f>Roster!N159</f>
        <v>0</v>
      </c>
      <c r="N33" s="37">
        <f>Roster!O159</f>
        <v>0</v>
      </c>
      <c r="O33" s="37">
        <f>Roster!P159</f>
        <v>0</v>
      </c>
      <c r="P33" s="37">
        <f>Roster!Q159</f>
        <v>0</v>
      </c>
      <c r="Q33" s="37">
        <f>Roster!R159</f>
        <v>0</v>
      </c>
      <c r="R33" s="37">
        <f>Roster!S159</f>
        <v>0</v>
      </c>
      <c r="S33" s="37">
        <f>Roster!T159</f>
        <v>0</v>
      </c>
      <c r="T33" s="37">
        <f>Roster!U159</f>
        <v>0</v>
      </c>
      <c r="U33" s="37">
        <f>Roster!V159</f>
        <v>0</v>
      </c>
      <c r="V33" s="37">
        <f>Roster!W159</f>
        <v>0</v>
      </c>
      <c r="W33" s="37">
        <f>Roster!X159</f>
        <v>0</v>
      </c>
      <c r="X33" s="37">
        <f>Roster!Y159</f>
        <v>0</v>
      </c>
      <c r="Y33" s="37">
        <f>Roster!Z159</f>
        <v>0</v>
      </c>
      <c r="Z33" s="37">
        <f>Roster!AA159</f>
        <v>0</v>
      </c>
      <c r="AA33" s="37">
        <f>Roster!AB159</f>
        <v>0</v>
      </c>
      <c r="AB33" s="37">
        <f>Roster!AC159</f>
        <v>0</v>
      </c>
      <c r="AC33" s="37">
        <f>Roster!AD159</f>
        <v>0</v>
      </c>
      <c r="AD33" s="37">
        <f>Roster!AE159</f>
        <v>0</v>
      </c>
      <c r="AE33" s="37">
        <f>Roster!AF159</f>
        <v>0</v>
      </c>
      <c r="AF33" s="38">
        <f>Roster!AG159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Roster!D174</f>
        <v>0</v>
      </c>
      <c r="D36" s="37">
        <f>Roster!E174</f>
        <v>0</v>
      </c>
      <c r="E36" s="37">
        <f>Roster!F174</f>
        <v>0</v>
      </c>
      <c r="F36" s="37">
        <f>Roster!G174</f>
        <v>0</v>
      </c>
      <c r="G36" s="37">
        <f>Roster!H174</f>
        <v>0</v>
      </c>
      <c r="H36" s="37">
        <f>Roster!I174</f>
        <v>0</v>
      </c>
      <c r="I36" s="37">
        <f>Roster!J174</f>
        <v>0</v>
      </c>
      <c r="J36" s="37">
        <f>Roster!K174</f>
        <v>0</v>
      </c>
      <c r="K36" s="37">
        <f>Roster!L174</f>
        <v>0</v>
      </c>
      <c r="L36" s="37">
        <f>Roster!M174</f>
        <v>0</v>
      </c>
      <c r="M36" s="37">
        <f>Roster!N174</f>
        <v>0</v>
      </c>
      <c r="N36" s="37">
        <f>Roster!O174</f>
        <v>0</v>
      </c>
      <c r="O36" s="37">
        <f>Roster!P174</f>
        <v>0</v>
      </c>
      <c r="P36" s="37">
        <f>Roster!Q174</f>
        <v>0</v>
      </c>
      <c r="Q36" s="37">
        <f>Roster!R174</f>
        <v>0</v>
      </c>
      <c r="R36" s="37">
        <f>Roster!S174</f>
        <v>0</v>
      </c>
      <c r="S36" s="37">
        <f>Roster!T174</f>
        <v>0</v>
      </c>
      <c r="T36" s="37">
        <f>Roster!U174</f>
        <v>0</v>
      </c>
      <c r="U36" s="37">
        <f>Roster!V174</f>
        <v>0</v>
      </c>
      <c r="V36" s="37">
        <f>Roster!W174</f>
        <v>0</v>
      </c>
      <c r="W36" s="37">
        <f>Roster!X174</f>
        <v>0</v>
      </c>
      <c r="X36" s="37">
        <f>Roster!Y174</f>
        <v>0</v>
      </c>
      <c r="Y36" s="37">
        <f>Roster!Z174</f>
        <v>0</v>
      </c>
      <c r="Z36" s="37">
        <f>Roster!AA174</f>
        <v>0</v>
      </c>
      <c r="AA36" s="37">
        <f>Roster!AB174</f>
        <v>0</v>
      </c>
      <c r="AB36" s="37">
        <f>Roster!AC174</f>
        <v>0</v>
      </c>
      <c r="AC36" s="37">
        <f>Roster!AD174</f>
        <v>0</v>
      </c>
      <c r="AD36" s="37">
        <f>Roster!AE174</f>
        <v>0</v>
      </c>
      <c r="AE36" s="37">
        <f>Roster!AF174</f>
        <v>0</v>
      </c>
      <c r="AF36" s="37">
        <f>Roster!AG174</f>
        <v>0</v>
      </c>
      <c r="AG36" s="38">
        <f>Roster!AH174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Roster!D189</f>
        <v>0</v>
      </c>
      <c r="D39" s="37">
        <f>Roster!E189</f>
        <v>0</v>
      </c>
      <c r="E39" s="37">
        <f>Roster!F189</f>
        <v>0</v>
      </c>
      <c r="F39" s="37">
        <f>Roster!G189</f>
        <v>0</v>
      </c>
      <c r="G39" s="37">
        <f>Roster!H189</f>
        <v>0</v>
      </c>
      <c r="H39" s="37">
        <f>Roster!I189</f>
        <v>0</v>
      </c>
      <c r="I39" s="37">
        <f>Roster!J189</f>
        <v>0</v>
      </c>
      <c r="J39" s="37">
        <f>Roster!K189</f>
        <v>0</v>
      </c>
      <c r="K39" s="37">
        <f>Roster!L189</f>
        <v>0</v>
      </c>
      <c r="L39" s="37">
        <f>Roster!M189</f>
        <v>0</v>
      </c>
      <c r="M39" s="37">
        <f>Roster!N189</f>
        <v>0</v>
      </c>
      <c r="N39" s="37">
        <f>Roster!O189</f>
        <v>0</v>
      </c>
      <c r="O39" s="37">
        <f>Roster!P189</f>
        <v>0</v>
      </c>
      <c r="P39" s="37">
        <f>Roster!Q189</f>
        <v>0</v>
      </c>
      <c r="Q39" s="37">
        <f>Roster!R189</f>
        <v>0</v>
      </c>
      <c r="R39" s="37">
        <f>Roster!S189</f>
        <v>0</v>
      </c>
      <c r="S39" s="37">
        <f>Roster!T189</f>
        <v>0</v>
      </c>
      <c r="T39" s="37">
        <f>Roster!U189</f>
        <v>0</v>
      </c>
      <c r="U39" s="37">
        <f>Roster!V189</f>
        <v>0</v>
      </c>
      <c r="V39" s="37">
        <f>Roster!W189</f>
        <v>0</v>
      </c>
      <c r="W39" s="37">
        <f>Roster!X189</f>
        <v>0</v>
      </c>
      <c r="X39" s="37">
        <f>Roster!Y189</f>
        <v>0</v>
      </c>
      <c r="Y39" s="37">
        <f>Roster!Z189</f>
        <v>0</v>
      </c>
      <c r="Z39" s="37">
        <f>Roster!AA189</f>
        <v>0</v>
      </c>
      <c r="AA39" s="37">
        <f>Roster!AB189</f>
        <v>0</v>
      </c>
      <c r="AB39" s="37">
        <f>Roster!AC189</f>
        <v>0</v>
      </c>
      <c r="AC39" s="37">
        <f>Roster!AD189</f>
        <v>0</v>
      </c>
      <c r="AD39" s="37">
        <f>Roster!AE189</f>
        <v>0</v>
      </c>
      <c r="AE39" s="37">
        <f>Roster!AF189</f>
        <v>0</v>
      </c>
      <c r="AF39" s="38">
        <f>Roster!AG189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42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42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3" t="s">
        <v>26</v>
      </c>
      <c r="R3" s="143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>
        <f>Roster!D25</f>
        <v>0</v>
      </c>
      <c r="D6" s="37">
        <f>Roster!E25</f>
        <v>0</v>
      </c>
      <c r="E6" s="37">
        <f>Roster!F25</f>
        <v>0</v>
      </c>
      <c r="F6" s="37">
        <f>Roster!G25</f>
        <v>0</v>
      </c>
      <c r="G6" s="37">
        <f>Roster!H25</f>
        <v>0</v>
      </c>
      <c r="H6" s="37">
        <f>Roster!I25</f>
        <v>0</v>
      </c>
      <c r="I6" s="37">
        <f>Roster!J25</f>
        <v>0</v>
      </c>
      <c r="J6" s="37">
        <f>Roster!K25</f>
        <v>0</v>
      </c>
      <c r="K6" s="37">
        <f>Roster!L25</f>
        <v>0</v>
      </c>
      <c r="L6" s="37">
        <f>Roster!M25</f>
        <v>0</v>
      </c>
      <c r="M6" s="37">
        <f>Roster!N25</f>
        <v>0</v>
      </c>
      <c r="N6" s="37">
        <f>Roster!O25</f>
        <v>0</v>
      </c>
      <c r="O6" s="37">
        <f>Roster!P25</f>
        <v>0</v>
      </c>
      <c r="P6" s="37">
        <f>Roster!Q25</f>
        <v>0</v>
      </c>
      <c r="Q6" s="37">
        <f>Roster!R25</f>
        <v>0</v>
      </c>
      <c r="R6" s="37">
        <f>Roster!S25</f>
        <v>0</v>
      </c>
      <c r="S6" s="37">
        <f>Roster!T25</f>
        <v>0</v>
      </c>
      <c r="T6" s="37">
        <f>Roster!U25</f>
        <v>0</v>
      </c>
      <c r="U6" s="37">
        <f>Roster!V25</f>
        <v>0</v>
      </c>
      <c r="V6" s="37">
        <f>Roster!W25</f>
        <v>0</v>
      </c>
      <c r="W6" s="37">
        <f>Roster!X25</f>
        <v>0</v>
      </c>
      <c r="X6" s="37">
        <f>Roster!Y25</f>
        <v>0</v>
      </c>
      <c r="Y6" s="37">
        <f>Roster!Z25</f>
        <v>0</v>
      </c>
      <c r="Z6" s="37">
        <f>Roster!AA25</f>
        <v>0</v>
      </c>
      <c r="AA6" s="37">
        <f>Roster!AB25</f>
        <v>0</v>
      </c>
      <c r="AB6" s="37">
        <f>Roster!AC25</f>
        <v>0</v>
      </c>
      <c r="AC6" s="37">
        <f>Roster!AD25</f>
        <v>0</v>
      </c>
      <c r="AD6" s="37">
        <f>Roster!AE25</f>
        <v>0</v>
      </c>
      <c r="AE6" s="37">
        <f>Roster!AF25</f>
        <v>0</v>
      </c>
      <c r="AF6" s="37">
        <f>Roster!AG25</f>
        <v>0</v>
      </c>
      <c r="AG6" s="38">
        <f>Roster!AH25</f>
        <v>0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>
        <f>Roster!D40</f>
        <v>0</v>
      </c>
      <c r="D9" s="39">
        <f>Roster!E40</f>
        <v>0</v>
      </c>
      <c r="E9" s="37">
        <f>Roster!F40</f>
        <v>0</v>
      </c>
      <c r="F9" s="37">
        <f>Roster!G40</f>
        <v>0</v>
      </c>
      <c r="G9" s="37">
        <f>Roster!H40</f>
        <v>0</v>
      </c>
      <c r="H9" s="37">
        <f>Roster!I40</f>
        <v>0</v>
      </c>
      <c r="I9" s="37">
        <f>Roster!J40</f>
        <v>0</v>
      </c>
      <c r="J9" s="37">
        <f>Roster!K40</f>
        <v>0</v>
      </c>
      <c r="K9" s="37">
        <f>Roster!L40</f>
        <v>0</v>
      </c>
      <c r="L9" s="37">
        <f>Roster!M40</f>
        <v>0</v>
      </c>
      <c r="M9" s="37">
        <f>Roster!N40</f>
        <v>0</v>
      </c>
      <c r="N9" s="37">
        <f>Roster!O40</f>
        <v>0</v>
      </c>
      <c r="O9" s="37">
        <f>Roster!P40</f>
        <v>0</v>
      </c>
      <c r="P9" s="37">
        <f>Roster!Q40</f>
        <v>0</v>
      </c>
      <c r="Q9" s="37">
        <f>Roster!R40</f>
        <v>0</v>
      </c>
      <c r="R9" s="37">
        <f>Roster!S40</f>
        <v>0</v>
      </c>
      <c r="S9" s="37">
        <f>Roster!T40</f>
        <v>0</v>
      </c>
      <c r="T9" s="37">
        <f>Roster!U40</f>
        <v>0</v>
      </c>
      <c r="U9" s="37">
        <f>Roster!V40</f>
        <v>0</v>
      </c>
      <c r="V9" s="37">
        <f>Roster!W40</f>
        <v>0</v>
      </c>
      <c r="W9" s="37">
        <f>Roster!X40</f>
        <v>0</v>
      </c>
      <c r="X9" s="37">
        <f>Roster!Y40</f>
        <v>0</v>
      </c>
      <c r="Y9" s="37">
        <f>Roster!Z40</f>
        <v>0</v>
      </c>
      <c r="Z9" s="37">
        <f>Roster!AA40</f>
        <v>0</v>
      </c>
      <c r="AA9" s="37">
        <f>Roster!AB40</f>
        <v>0</v>
      </c>
      <c r="AB9" s="37">
        <f>Roster!AC40</f>
        <v>0</v>
      </c>
      <c r="AC9" s="37">
        <f>Roster!AD40</f>
        <v>0</v>
      </c>
      <c r="AD9" s="37">
        <f>Roster!AE40</f>
        <v>0</v>
      </c>
      <c r="AE9" s="37">
        <f>Roster!AF40</f>
        <v>0</v>
      </c>
      <c r="AF9" s="37">
        <f>Roster!AG40</f>
        <v>0</v>
      </c>
      <c r="AG9" s="38">
        <f>Roster!AH40</f>
        <v>0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>
        <f>Roster!D55</f>
        <v>0</v>
      </c>
      <c r="D12" s="37">
        <f>Roster!E55</f>
        <v>0</v>
      </c>
      <c r="E12" s="37">
        <f>Roster!F55</f>
        <v>0</v>
      </c>
      <c r="F12" s="37">
        <f>Roster!G55</f>
        <v>0</v>
      </c>
      <c r="G12" s="37">
        <f>Roster!H55</f>
        <v>0</v>
      </c>
      <c r="H12" s="37">
        <f>Roster!I55</f>
        <v>0</v>
      </c>
      <c r="I12" s="37">
        <f>Roster!J55</f>
        <v>0</v>
      </c>
      <c r="J12" s="37">
        <f>Roster!K55</f>
        <v>0</v>
      </c>
      <c r="K12" s="37">
        <f>Roster!L55</f>
        <v>0</v>
      </c>
      <c r="L12" s="37">
        <f>Roster!M55</f>
        <v>0</v>
      </c>
      <c r="M12" s="37">
        <f>Roster!N55</f>
        <v>0</v>
      </c>
      <c r="N12" s="37">
        <f>Roster!O55</f>
        <v>0</v>
      </c>
      <c r="O12" s="37">
        <f>Roster!P55</f>
        <v>0</v>
      </c>
      <c r="P12" s="37">
        <f>Roster!Q55</f>
        <v>0</v>
      </c>
      <c r="Q12" s="37">
        <f>Roster!R55</f>
        <v>0</v>
      </c>
      <c r="R12" s="37">
        <f>Roster!S55</f>
        <v>0</v>
      </c>
      <c r="S12" s="37">
        <f>Roster!T55</f>
        <v>0</v>
      </c>
      <c r="T12" s="37">
        <f>Roster!U55</f>
        <v>0</v>
      </c>
      <c r="U12" s="37">
        <f>Roster!V55</f>
        <v>0</v>
      </c>
      <c r="V12" s="37">
        <f>Roster!W55</f>
        <v>0</v>
      </c>
      <c r="W12" s="37">
        <f>Roster!X55</f>
        <v>0</v>
      </c>
      <c r="X12" s="37">
        <f>Roster!Y55</f>
        <v>0</v>
      </c>
      <c r="Y12" s="37">
        <f>Roster!Z55</f>
        <v>0</v>
      </c>
      <c r="Z12" s="37">
        <f>Roster!AA55</f>
        <v>0</v>
      </c>
      <c r="AA12" s="37">
        <f>Roster!AB55</f>
        <v>0</v>
      </c>
      <c r="AB12" s="37">
        <f>Roster!AC55</f>
        <v>0</v>
      </c>
      <c r="AC12" s="37">
        <f>Roster!AD55</f>
        <v>0</v>
      </c>
      <c r="AD12" s="37">
        <f>Roster!AE55</f>
        <v>0</v>
      </c>
      <c r="AE12" s="37">
        <f>Roster!AF55</f>
        <v>0</v>
      </c>
      <c r="AF12" s="38">
        <f>Roster!AG55</f>
        <v>0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>
        <f>Roster!D70</f>
        <v>0</v>
      </c>
      <c r="D15" s="37">
        <f>Roster!E70</f>
        <v>0</v>
      </c>
      <c r="E15" s="37">
        <f>Roster!F70</f>
        <v>0</v>
      </c>
      <c r="F15" s="37">
        <f>Roster!G70</f>
        <v>0</v>
      </c>
      <c r="G15" s="37">
        <f>Roster!H70</f>
        <v>0</v>
      </c>
      <c r="H15" s="37">
        <f>Roster!I70</f>
        <v>0</v>
      </c>
      <c r="I15" s="37">
        <f>Roster!J70</f>
        <v>0</v>
      </c>
      <c r="J15" s="37">
        <f>Roster!K70</f>
        <v>0</v>
      </c>
      <c r="K15" s="37">
        <f>Roster!L70</f>
        <v>0</v>
      </c>
      <c r="L15" s="37">
        <f>Roster!M70</f>
        <v>0</v>
      </c>
      <c r="M15" s="37">
        <f>Roster!N70</f>
        <v>0</v>
      </c>
      <c r="N15" s="37">
        <f>Roster!O70</f>
        <v>0</v>
      </c>
      <c r="O15" s="37">
        <f>Roster!P70</f>
        <v>0</v>
      </c>
      <c r="P15" s="37">
        <f>Roster!Q70</f>
        <v>0</v>
      </c>
      <c r="Q15" s="37">
        <f>Roster!R70</f>
        <v>0</v>
      </c>
      <c r="R15" s="37">
        <f>Roster!S70</f>
        <v>0</v>
      </c>
      <c r="S15" s="37">
        <f>Roster!T70</f>
        <v>0</v>
      </c>
      <c r="T15" s="37">
        <f>Roster!U70</f>
        <v>0</v>
      </c>
      <c r="U15" s="37">
        <f>Roster!V70</f>
        <v>0</v>
      </c>
      <c r="V15" s="37">
        <f>Roster!W70</f>
        <v>0</v>
      </c>
      <c r="W15" s="37">
        <f>Roster!X70</f>
        <v>0</v>
      </c>
      <c r="X15" s="37">
        <f>Roster!Y70</f>
        <v>0</v>
      </c>
      <c r="Y15" s="37">
        <f>Roster!Z70</f>
        <v>0</v>
      </c>
      <c r="Z15" s="37">
        <f>Roster!AA70</f>
        <v>0</v>
      </c>
      <c r="AA15" s="37">
        <f>Roster!AB70</f>
        <v>0</v>
      </c>
      <c r="AB15" s="37">
        <f>Roster!AC70</f>
        <v>0</v>
      </c>
      <c r="AC15" s="37">
        <f>Roster!AD70</f>
        <v>0</v>
      </c>
      <c r="AD15" s="37">
        <f>Roster!AE70</f>
        <v>0</v>
      </c>
      <c r="AE15" s="37">
        <f>Roster!AF70</f>
        <v>0</v>
      </c>
      <c r="AF15" s="37">
        <f>Roster!AG70</f>
        <v>0</v>
      </c>
      <c r="AG15" s="38">
        <f>Roster!AH70</f>
        <v>0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>
        <f>Roster!D85</f>
        <v>0</v>
      </c>
      <c r="D18" s="37">
        <f>Roster!E85</f>
        <v>0</v>
      </c>
      <c r="E18" s="37">
        <f>Roster!F85</f>
        <v>0</v>
      </c>
      <c r="F18" s="37">
        <f>Roster!G85</f>
        <v>0</v>
      </c>
      <c r="G18" s="37">
        <f>Roster!H85</f>
        <v>0</v>
      </c>
      <c r="H18" s="37">
        <f>Roster!I85</f>
        <v>0</v>
      </c>
      <c r="I18" s="37">
        <f>Roster!J85</f>
        <v>0</v>
      </c>
      <c r="J18" s="37">
        <f>Roster!K85</f>
        <v>0</v>
      </c>
      <c r="K18" s="37">
        <f>Roster!L85</f>
        <v>0</v>
      </c>
      <c r="L18" s="37">
        <f>Roster!M85</f>
        <v>0</v>
      </c>
      <c r="M18" s="37">
        <f>Roster!N85</f>
        <v>0</v>
      </c>
      <c r="N18" s="37">
        <f>Roster!O85</f>
        <v>0</v>
      </c>
      <c r="O18" s="37">
        <f>Roster!P85</f>
        <v>0</v>
      </c>
      <c r="P18" s="37">
        <f>Roster!Q85</f>
        <v>0</v>
      </c>
      <c r="Q18" s="37">
        <f>Roster!R85</f>
        <v>0</v>
      </c>
      <c r="R18" s="37">
        <f>Roster!S85</f>
        <v>0</v>
      </c>
      <c r="S18" s="37">
        <f>Roster!T85</f>
        <v>0</v>
      </c>
      <c r="T18" s="37">
        <f>Roster!U85</f>
        <v>0</v>
      </c>
      <c r="U18" s="37">
        <f>Roster!V85</f>
        <v>0</v>
      </c>
      <c r="V18" s="37">
        <f>Roster!W85</f>
        <v>0</v>
      </c>
      <c r="W18" s="37">
        <f>Roster!X85</f>
        <v>0</v>
      </c>
      <c r="X18" s="37">
        <f>Roster!Y85</f>
        <v>0</v>
      </c>
      <c r="Y18" s="37">
        <f>Roster!Z85</f>
        <v>0</v>
      </c>
      <c r="Z18" s="37">
        <f>Roster!AA85</f>
        <v>0</v>
      </c>
      <c r="AA18" s="37">
        <f>Roster!AB85</f>
        <v>0</v>
      </c>
      <c r="AB18" s="37">
        <f>Roster!AC85</f>
        <v>0</v>
      </c>
      <c r="AC18" s="37">
        <f>Roster!AD85</f>
        <v>0</v>
      </c>
      <c r="AD18" s="37">
        <f>Roster!AE85</f>
        <v>0</v>
      </c>
      <c r="AE18" s="37">
        <f>Roster!AF85</f>
        <v>0</v>
      </c>
      <c r="AF18" s="38">
        <f>Roster!AG85</f>
        <v>0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>
        <f>Roster!D100</f>
        <v>0</v>
      </c>
      <c r="D21" s="37">
        <f>Roster!E100</f>
        <v>0</v>
      </c>
      <c r="E21" s="37">
        <f>Roster!F100</f>
        <v>0</v>
      </c>
      <c r="F21" s="37">
        <f>Roster!G100</f>
        <v>0</v>
      </c>
      <c r="G21" s="37">
        <f>Roster!H100</f>
        <v>0</v>
      </c>
      <c r="H21" s="37">
        <f>Roster!I100</f>
        <v>0</v>
      </c>
      <c r="I21" s="37">
        <f>Roster!J100</f>
        <v>0</v>
      </c>
      <c r="J21" s="37">
        <f>Roster!K100</f>
        <v>0</v>
      </c>
      <c r="K21" s="37">
        <f>Roster!L100</f>
        <v>0</v>
      </c>
      <c r="L21" s="37">
        <f>Roster!M100</f>
        <v>0</v>
      </c>
      <c r="M21" s="37">
        <f>Roster!N100</f>
        <v>0</v>
      </c>
      <c r="N21" s="37">
        <f>Roster!O100</f>
        <v>0</v>
      </c>
      <c r="O21" s="37">
        <f>Roster!P100</f>
        <v>0</v>
      </c>
      <c r="P21" s="37">
        <f>Roster!Q100</f>
        <v>0</v>
      </c>
      <c r="Q21" s="37">
        <f>Roster!R100</f>
        <v>0</v>
      </c>
      <c r="R21" s="37">
        <f>Roster!S100</f>
        <v>0</v>
      </c>
      <c r="S21" s="37">
        <f>Roster!T100</f>
        <v>0</v>
      </c>
      <c r="T21" s="37">
        <f>Roster!U100</f>
        <v>0</v>
      </c>
      <c r="U21" s="37">
        <f>Roster!V100</f>
        <v>0</v>
      </c>
      <c r="V21" s="37">
        <f>Roster!W100</f>
        <v>0</v>
      </c>
      <c r="W21" s="37">
        <f>Roster!X100</f>
        <v>0</v>
      </c>
      <c r="X21" s="37">
        <f>Roster!Y100</f>
        <v>0</v>
      </c>
      <c r="Y21" s="37">
        <f>Roster!Z100</f>
        <v>0</v>
      </c>
      <c r="Z21" s="37">
        <f>Roster!AA100</f>
        <v>0</v>
      </c>
      <c r="AA21" s="37">
        <f>Roster!AB100</f>
        <v>0</v>
      </c>
      <c r="AB21" s="37">
        <f>Roster!AC100</f>
        <v>0</v>
      </c>
      <c r="AC21" s="37">
        <f>Roster!AD100</f>
        <v>0</v>
      </c>
      <c r="AD21" s="37">
        <f>Roster!AE100</f>
        <v>0</v>
      </c>
      <c r="AE21" s="37">
        <f>Roster!AF100</f>
        <v>0</v>
      </c>
      <c r="AF21" s="37">
        <f>Roster!AG100</f>
        <v>0</v>
      </c>
      <c r="AG21" s="38">
        <f>Roster!AH100</f>
        <v>0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>
        <f>Roster!D115</f>
        <v>0</v>
      </c>
      <c r="D24" s="53">
        <f>Roster!E115</f>
        <v>0</v>
      </c>
      <c r="E24" s="53">
        <f>Roster!F115</f>
        <v>0</v>
      </c>
      <c r="F24" s="53">
        <f>Roster!G115</f>
        <v>0</v>
      </c>
      <c r="G24" s="53">
        <f>Roster!H115</f>
        <v>0</v>
      </c>
      <c r="H24" s="53">
        <f>Roster!I115</f>
        <v>0</v>
      </c>
      <c r="I24" s="53">
        <f>Roster!J115</f>
        <v>0</v>
      </c>
      <c r="J24" s="53">
        <f>Roster!K115</f>
        <v>0</v>
      </c>
      <c r="K24" s="53">
        <f>Roster!L115</f>
        <v>0</v>
      </c>
      <c r="L24" s="53">
        <f>Roster!M115</f>
        <v>0</v>
      </c>
      <c r="M24" s="53">
        <f>Roster!N115</f>
        <v>0</v>
      </c>
      <c r="N24" s="53">
        <f>Roster!O115</f>
        <v>0</v>
      </c>
      <c r="O24" s="53">
        <f>Roster!P115</f>
        <v>0</v>
      </c>
      <c r="P24" s="53">
        <f>Roster!Q115</f>
        <v>0</v>
      </c>
      <c r="Q24" s="53">
        <f>Roster!R115</f>
        <v>0</v>
      </c>
      <c r="R24" s="53">
        <f>Roster!S115</f>
        <v>0</v>
      </c>
      <c r="S24" s="53">
        <f>Roster!T115</f>
        <v>0</v>
      </c>
      <c r="T24" s="53">
        <f>Roster!U115</f>
        <v>0</v>
      </c>
      <c r="U24" s="53">
        <f>Roster!V115</f>
        <v>0</v>
      </c>
      <c r="V24" s="53">
        <f>Roster!W115</f>
        <v>0</v>
      </c>
      <c r="W24" s="53">
        <f>Roster!X115</f>
        <v>0</v>
      </c>
      <c r="X24" s="53">
        <f>Roster!Y115</f>
        <v>0</v>
      </c>
      <c r="Y24" s="53">
        <f>Roster!Z115</f>
        <v>0</v>
      </c>
      <c r="Z24" s="53">
        <f>Roster!AA115</f>
        <v>0</v>
      </c>
      <c r="AA24" s="53">
        <f>Roster!AB115</f>
        <v>0</v>
      </c>
      <c r="AB24" s="53">
        <f>Roster!AC115</f>
        <v>0</v>
      </c>
      <c r="AC24" s="53">
        <f>Roster!AD115</f>
        <v>0</v>
      </c>
      <c r="AD24" s="53">
        <f>Roster!AE115</f>
        <v>0</v>
      </c>
      <c r="AE24" s="53">
        <f>Roster!AF115</f>
        <v>0</v>
      </c>
      <c r="AF24" s="53">
        <f>Roster!AG115</f>
        <v>0</v>
      </c>
      <c r="AG24" s="54">
        <f>Roster!AH115</f>
        <v>0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5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52">
        <v>29</v>
      </c>
      <c r="AF26" s="44"/>
    </row>
    <row r="27" spans="2:33" ht="14.25" thickTop="1" thickBot="1">
      <c r="B27" s="32" t="str">
        <f>CurYear</f>
        <v>2017</v>
      </c>
      <c r="C27" s="51">
        <f>Roster!D130</f>
        <v>0</v>
      </c>
      <c r="D27" s="37">
        <f>Roster!E130</f>
        <v>0</v>
      </c>
      <c r="E27" s="37">
        <f>Roster!F130</f>
        <v>0</v>
      </c>
      <c r="F27" s="37">
        <f>Roster!G130</f>
        <v>0</v>
      </c>
      <c r="G27" s="37">
        <f>Roster!H130</f>
        <v>0</v>
      </c>
      <c r="H27" s="37">
        <f>Roster!I130</f>
        <v>0</v>
      </c>
      <c r="I27" s="37">
        <f>Roster!J130</f>
        <v>0</v>
      </c>
      <c r="J27" s="37">
        <f>Roster!K130</f>
        <v>0</v>
      </c>
      <c r="K27" s="37">
        <f>Roster!L130</f>
        <v>0</v>
      </c>
      <c r="L27" s="37">
        <f>Roster!M130</f>
        <v>0</v>
      </c>
      <c r="M27" s="37">
        <f>Roster!N130</f>
        <v>0</v>
      </c>
      <c r="N27" s="37">
        <f>Roster!O130</f>
        <v>0</v>
      </c>
      <c r="O27" s="37">
        <f>Roster!P130</f>
        <v>0</v>
      </c>
      <c r="P27" s="37">
        <f>Roster!Q130</f>
        <v>0</v>
      </c>
      <c r="Q27" s="37">
        <f>Roster!R130</f>
        <v>0</v>
      </c>
      <c r="R27" s="37">
        <f>Roster!S130</f>
        <v>0</v>
      </c>
      <c r="S27" s="37">
        <f>Roster!T130</f>
        <v>0</v>
      </c>
      <c r="T27" s="37">
        <f>Roster!U130</f>
        <v>0</v>
      </c>
      <c r="U27" s="37">
        <f>Roster!V130</f>
        <v>0</v>
      </c>
      <c r="V27" s="37">
        <f>Roster!W130</f>
        <v>0</v>
      </c>
      <c r="W27" s="37">
        <f>Roster!X130</f>
        <v>0</v>
      </c>
      <c r="X27" s="37">
        <f>Roster!Y130</f>
        <v>0</v>
      </c>
      <c r="Y27" s="37">
        <f>Roster!Z130</f>
        <v>0</v>
      </c>
      <c r="Z27" s="37">
        <f>Roster!AA130</f>
        <v>0</v>
      </c>
      <c r="AA27" s="37">
        <f>Roster!AB130</f>
        <v>0</v>
      </c>
      <c r="AB27" s="37">
        <f>Roster!AC130</f>
        <v>0</v>
      </c>
      <c r="AC27" s="37">
        <f>Roster!AD130</f>
        <v>0</v>
      </c>
      <c r="AD27" s="43">
        <f>Roster!AE130</f>
        <v>0</v>
      </c>
      <c r="AE27" s="134">
        <f>Roster!AF130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>
        <f>Roster!D145</f>
        <v>0</v>
      </c>
      <c r="D30" s="37">
        <f>Roster!E145</f>
        <v>0</v>
      </c>
      <c r="E30" s="37">
        <f>Roster!F145</f>
        <v>0</v>
      </c>
      <c r="F30" s="37">
        <f>Roster!G145</f>
        <v>0</v>
      </c>
      <c r="G30" s="37">
        <f>Roster!H145</f>
        <v>0</v>
      </c>
      <c r="H30" s="37">
        <f>Roster!I145</f>
        <v>0</v>
      </c>
      <c r="I30" s="37">
        <f>Roster!J145</f>
        <v>0</v>
      </c>
      <c r="J30" s="37">
        <f>Roster!K145</f>
        <v>0</v>
      </c>
      <c r="K30" s="37">
        <f>Roster!L145</f>
        <v>0</v>
      </c>
      <c r="L30" s="37">
        <f>Roster!M145</f>
        <v>0</v>
      </c>
      <c r="M30" s="37">
        <f>Roster!N145</f>
        <v>0</v>
      </c>
      <c r="N30" s="37">
        <f>Roster!O145</f>
        <v>0</v>
      </c>
      <c r="O30" s="37">
        <f>Roster!P145</f>
        <v>0</v>
      </c>
      <c r="P30" s="37">
        <f>Roster!Q145</f>
        <v>0</v>
      </c>
      <c r="Q30" s="37">
        <f>Roster!R145</f>
        <v>0</v>
      </c>
      <c r="R30" s="37">
        <f>Roster!S145</f>
        <v>0</v>
      </c>
      <c r="S30" s="37">
        <f>Roster!T145</f>
        <v>0</v>
      </c>
      <c r="T30" s="37">
        <f>Roster!U145</f>
        <v>0</v>
      </c>
      <c r="U30" s="37">
        <f>Roster!V145</f>
        <v>0</v>
      </c>
      <c r="V30" s="37">
        <f>Roster!W145</f>
        <v>0</v>
      </c>
      <c r="W30" s="37">
        <f>Roster!X145</f>
        <v>0</v>
      </c>
      <c r="X30" s="37">
        <f>Roster!Y145</f>
        <v>0</v>
      </c>
      <c r="Y30" s="37">
        <f>Roster!Z145</f>
        <v>0</v>
      </c>
      <c r="Z30" s="37">
        <f>Roster!AA145</f>
        <v>0</v>
      </c>
      <c r="AA30" s="37">
        <f>Roster!AB145</f>
        <v>0</v>
      </c>
      <c r="AB30" s="37">
        <f>Roster!AC145</f>
        <v>0</v>
      </c>
      <c r="AC30" s="37">
        <f>Roster!AD145</f>
        <v>0</v>
      </c>
      <c r="AD30" s="37">
        <f>Roster!AE145</f>
        <v>0</v>
      </c>
      <c r="AE30" s="37">
        <f>Roster!AF145</f>
        <v>0</v>
      </c>
      <c r="AF30" s="37">
        <f>Roster!AG145</f>
        <v>0</v>
      </c>
      <c r="AG30" s="38">
        <f>Roster!AH145</f>
        <v>0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>
        <f>Roster!D160</f>
        <v>0</v>
      </c>
      <c r="D33" s="37">
        <f>Roster!E160</f>
        <v>0</v>
      </c>
      <c r="E33" s="37">
        <f>Roster!F160</f>
        <v>0</v>
      </c>
      <c r="F33" s="37">
        <f>Roster!G160</f>
        <v>0</v>
      </c>
      <c r="G33" s="37">
        <f>Roster!H160</f>
        <v>0</v>
      </c>
      <c r="H33" s="37">
        <f>Roster!I160</f>
        <v>0</v>
      </c>
      <c r="I33" s="37">
        <f>Roster!J160</f>
        <v>0</v>
      </c>
      <c r="J33" s="37">
        <f>Roster!K160</f>
        <v>0</v>
      </c>
      <c r="K33" s="37">
        <f>Roster!L160</f>
        <v>0</v>
      </c>
      <c r="L33" s="37">
        <f>Roster!M160</f>
        <v>0</v>
      </c>
      <c r="M33" s="37">
        <f>Roster!N160</f>
        <v>0</v>
      </c>
      <c r="N33" s="37">
        <f>Roster!O160</f>
        <v>0</v>
      </c>
      <c r="O33" s="37">
        <f>Roster!P160</f>
        <v>0</v>
      </c>
      <c r="P33" s="37">
        <f>Roster!Q160</f>
        <v>0</v>
      </c>
      <c r="Q33" s="37">
        <f>Roster!R160</f>
        <v>0</v>
      </c>
      <c r="R33" s="37">
        <f>Roster!S160</f>
        <v>0</v>
      </c>
      <c r="S33" s="37">
        <f>Roster!T160</f>
        <v>0</v>
      </c>
      <c r="T33" s="37">
        <f>Roster!U160</f>
        <v>0</v>
      </c>
      <c r="U33" s="37">
        <f>Roster!V160</f>
        <v>0</v>
      </c>
      <c r="V33" s="37">
        <f>Roster!W160</f>
        <v>0</v>
      </c>
      <c r="W33" s="37">
        <f>Roster!X160</f>
        <v>0</v>
      </c>
      <c r="X33" s="37">
        <f>Roster!Y160</f>
        <v>0</v>
      </c>
      <c r="Y33" s="37">
        <f>Roster!Z160</f>
        <v>0</v>
      </c>
      <c r="Z33" s="37">
        <f>Roster!AA160</f>
        <v>0</v>
      </c>
      <c r="AA33" s="37">
        <f>Roster!AB160</f>
        <v>0</v>
      </c>
      <c r="AB33" s="37">
        <f>Roster!AC160</f>
        <v>0</v>
      </c>
      <c r="AC33" s="37">
        <f>Roster!AD160</f>
        <v>0</v>
      </c>
      <c r="AD33" s="37">
        <f>Roster!AE160</f>
        <v>0</v>
      </c>
      <c r="AE33" s="37">
        <f>Roster!AF160</f>
        <v>0</v>
      </c>
      <c r="AF33" s="38">
        <f>Roster!AG160</f>
        <v>0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>
        <f>Roster!D175</f>
        <v>0</v>
      </c>
      <c r="D36" s="37">
        <f>Roster!E175</f>
        <v>0</v>
      </c>
      <c r="E36" s="37">
        <f>Roster!F175</f>
        <v>0</v>
      </c>
      <c r="F36" s="37">
        <f>Roster!G175</f>
        <v>0</v>
      </c>
      <c r="G36" s="37">
        <f>Roster!H175</f>
        <v>0</v>
      </c>
      <c r="H36" s="37">
        <f>Roster!I175</f>
        <v>0</v>
      </c>
      <c r="I36" s="37">
        <f>Roster!J175</f>
        <v>0</v>
      </c>
      <c r="J36" s="37">
        <f>Roster!K175</f>
        <v>0</v>
      </c>
      <c r="K36" s="37">
        <f>Roster!L175</f>
        <v>0</v>
      </c>
      <c r="L36" s="37">
        <f>Roster!M175</f>
        <v>0</v>
      </c>
      <c r="M36" s="37">
        <f>Roster!N175</f>
        <v>0</v>
      </c>
      <c r="N36" s="37">
        <f>Roster!O175</f>
        <v>0</v>
      </c>
      <c r="O36" s="37">
        <f>Roster!P175</f>
        <v>0</v>
      </c>
      <c r="P36" s="37">
        <f>Roster!Q175</f>
        <v>0</v>
      </c>
      <c r="Q36" s="37">
        <f>Roster!R175</f>
        <v>0</v>
      </c>
      <c r="R36" s="37">
        <f>Roster!S175</f>
        <v>0</v>
      </c>
      <c r="S36" s="37">
        <f>Roster!T175</f>
        <v>0</v>
      </c>
      <c r="T36" s="37">
        <f>Roster!U175</f>
        <v>0</v>
      </c>
      <c r="U36" s="37">
        <f>Roster!V175</f>
        <v>0</v>
      </c>
      <c r="V36" s="37">
        <f>Roster!W175</f>
        <v>0</v>
      </c>
      <c r="W36" s="37">
        <f>Roster!X175</f>
        <v>0</v>
      </c>
      <c r="X36" s="37">
        <f>Roster!Y175</f>
        <v>0</v>
      </c>
      <c r="Y36" s="37">
        <f>Roster!Z175</f>
        <v>0</v>
      </c>
      <c r="Z36" s="37">
        <f>Roster!AA175</f>
        <v>0</v>
      </c>
      <c r="AA36" s="37">
        <f>Roster!AB175</f>
        <v>0</v>
      </c>
      <c r="AB36" s="37">
        <f>Roster!AC175</f>
        <v>0</v>
      </c>
      <c r="AC36" s="37">
        <f>Roster!AD175</f>
        <v>0</v>
      </c>
      <c r="AD36" s="37">
        <f>Roster!AE175</f>
        <v>0</v>
      </c>
      <c r="AE36" s="37">
        <f>Roster!AF175</f>
        <v>0</v>
      </c>
      <c r="AF36" s="37">
        <f>Roster!AG175</f>
        <v>0</v>
      </c>
      <c r="AG36" s="38">
        <f>Roster!AH175</f>
        <v>0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>
        <f>Roster!D190</f>
        <v>0</v>
      </c>
      <c r="D39" s="37">
        <f>Roster!E190</f>
        <v>0</v>
      </c>
      <c r="E39" s="37">
        <f>Roster!F190</f>
        <v>0</v>
      </c>
      <c r="F39" s="37">
        <f>Roster!G190</f>
        <v>0</v>
      </c>
      <c r="G39" s="37">
        <f>Roster!H190</f>
        <v>0</v>
      </c>
      <c r="H39" s="37">
        <f>Roster!I190</f>
        <v>0</v>
      </c>
      <c r="I39" s="37">
        <f>Roster!J190</f>
        <v>0</v>
      </c>
      <c r="J39" s="37">
        <f>Roster!K190</f>
        <v>0</v>
      </c>
      <c r="K39" s="37">
        <f>Roster!L190</f>
        <v>0</v>
      </c>
      <c r="L39" s="37">
        <f>Roster!M190</f>
        <v>0</v>
      </c>
      <c r="M39" s="37">
        <f>Roster!N190</f>
        <v>0</v>
      </c>
      <c r="N39" s="37">
        <f>Roster!O190</f>
        <v>0</v>
      </c>
      <c r="O39" s="37">
        <f>Roster!P190</f>
        <v>0</v>
      </c>
      <c r="P39" s="37">
        <f>Roster!Q190</f>
        <v>0</v>
      </c>
      <c r="Q39" s="37">
        <f>Roster!R190</f>
        <v>0</v>
      </c>
      <c r="R39" s="37">
        <f>Roster!S190</f>
        <v>0</v>
      </c>
      <c r="S39" s="37">
        <f>Roster!T190</f>
        <v>0</v>
      </c>
      <c r="T39" s="37">
        <f>Roster!U190</f>
        <v>0</v>
      </c>
      <c r="U39" s="37">
        <f>Roster!V190</f>
        <v>0</v>
      </c>
      <c r="V39" s="37">
        <f>Roster!W190</f>
        <v>0</v>
      </c>
      <c r="W39" s="37">
        <f>Roster!X190</f>
        <v>0</v>
      </c>
      <c r="X39" s="37">
        <f>Roster!Y190</f>
        <v>0</v>
      </c>
      <c r="Y39" s="37">
        <f>Roster!Z190</f>
        <v>0</v>
      </c>
      <c r="Z39" s="37">
        <f>Roster!AA190</f>
        <v>0</v>
      </c>
      <c r="AA39" s="37">
        <f>Roster!AB190</f>
        <v>0</v>
      </c>
      <c r="AB39" s="37">
        <f>Roster!AC190</f>
        <v>0</v>
      </c>
      <c r="AC39" s="37">
        <f>Roster!AD190</f>
        <v>0</v>
      </c>
      <c r="AD39" s="37">
        <f>Roster!AE190</f>
        <v>0</v>
      </c>
      <c r="AE39" s="37">
        <f>Roster!AF190</f>
        <v>0</v>
      </c>
      <c r="AF39" s="38">
        <f>Roster!AG190</f>
        <v>0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showRowColHeaders="0" topLeftCell="A2" zoomScale="322" zoomScaleNormal="322" workbookViewId="0">
      <selection activeCell="A2" sqref="A2:M16"/>
    </sheetView>
  </sheetViews>
  <sheetFormatPr defaultRowHeight="12.75"/>
  <cols>
    <col min="1" max="1" width="7" style="56" customWidth="1"/>
    <col min="2" max="2" width="10.7109375" style="56" customWidth="1"/>
    <col min="3" max="3" width="9.7109375" style="56" customWidth="1"/>
    <col min="4" max="5" width="5.140625" style="56" customWidth="1"/>
    <col min="6" max="12" width="5.28515625" style="56" customWidth="1"/>
    <col min="13" max="16384" width="9.14062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6" t="str">
        <f>CurYear-1 &amp; "/"&amp;CurYear</f>
        <v>2016/2017</v>
      </c>
      <c r="C3" s="186"/>
      <c r="D3" s="102" t="s">
        <v>9</v>
      </c>
      <c r="E3" s="102" t="s">
        <v>11</v>
      </c>
      <c r="F3" s="102" t="s">
        <v>10</v>
      </c>
      <c r="G3" s="102" t="s">
        <v>30</v>
      </c>
      <c r="H3" s="102" t="s">
        <v>41</v>
      </c>
      <c r="I3" s="102" t="s">
        <v>42</v>
      </c>
      <c r="J3" s="102" t="s">
        <v>47</v>
      </c>
      <c r="K3" s="107" t="s">
        <v>53</v>
      </c>
      <c r="L3" s="102" t="s">
        <v>48</v>
      </c>
      <c r="M3" s="102" t="s">
        <v>31</v>
      </c>
    </row>
    <row r="4" spans="2:13" s="55" customFormat="1">
      <c r="B4" s="103" t="str">
        <f>EmpGName01</f>
        <v>Luciano</v>
      </c>
      <c r="C4" s="103" t="str">
        <f>EmpSName01</f>
        <v>Marampon</v>
      </c>
      <c r="D4" s="82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56</v>
      </c>
      <c r="E4" s="82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82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23</v>
      </c>
      <c r="G4" s="82">
        <f>COUNTIF(Emp01Jan,"PO")+COUNTIF(Emp01Feb,"PO")+COUNTIF(Emp01Mar,"PO")+COUNTIF(Emp01Apr,"PO")+COUNTIF(Emp01May,"PO")+COUNTIF(Emp01Jun,"PO")+COUNTIF(Emp01Jul,"PO")+COUNTIF(Emp01Aug,"PO")+COUNTIF(Emp01Sep,"PO")+COUNTIF(Emp01Oct,"PO")+COUNTIF(Emp01Nov,"PO")+COUNTIF(Emp01Dec,"PO")</f>
        <v>0</v>
      </c>
      <c r="H4" s="82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1</v>
      </c>
      <c r="I4" s="82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5</v>
      </c>
      <c r="J4" s="82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82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82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4">
        <f>SUM(D4:L4)</f>
        <v>85</v>
      </c>
    </row>
    <row r="5" spans="2:13" s="55" customFormat="1">
      <c r="B5" s="104" t="str">
        <f>EmpGName02</f>
        <v>Kevin</v>
      </c>
      <c r="C5" s="104" t="str">
        <f>EmpSName02</f>
        <v>Stone</v>
      </c>
      <c r="D5" s="81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30</v>
      </c>
      <c r="E5" s="81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81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31</v>
      </c>
      <c r="G5" s="81">
        <f>COUNTIF(Emp02Jan,"PO")+COUNTIF(Emp02Feb,"PO")+COUNTIF(Emp02Mar,"PO")+COUNTIF(Emp02Apr,"PO")+COUNTIF(Emp02May,"PO")+COUNTIF(Emp02Jun,"PO")+COUNTIF(Emp02Jul,"PO")+COUNTIF(Emp02Aug,"PO")+COUNTIF(Emp02Sep,"PO")+COUNTIF(Emp02Oct,"PO")+COUNTIF(Emp02Nov,"PO")+COUNTIF(Emp02Dec,"PO")</f>
        <v>0</v>
      </c>
      <c r="H5" s="81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81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81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81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81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3">
        <f>SUM(D5:L5)</f>
        <v>61</v>
      </c>
    </row>
    <row r="6" spans="2:13" s="55" customFormat="1">
      <c r="B6" s="103" t="str">
        <f>EmpGName03</f>
        <v>Ian</v>
      </c>
      <c r="C6" s="103" t="str">
        <f>EmpSName03</f>
        <v>Thelning</v>
      </c>
      <c r="D6" s="82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4</v>
      </c>
      <c r="E6" s="82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82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2</v>
      </c>
      <c r="G6" s="82">
        <f>COUNTIF(Emp03Jan,"PO")+COUNTIF(Emp03Feb,"PO")+COUNTIF(Emp03Mar,"PO")+COUNTIF(Emp03Apr,"PO")+COUNTIF(Emp03May,"PO")+COUNTIF(Emp03Jun,"PO")+COUNTIF(Emp03Jul,"PO")+COUNTIF(Emp03Aug,"PO")+COUNTIF(Emp03Sep,"PO")+COUNTIF(Emp03Oct,"PO")+COUNTIF(Emp03Nov,"PO")+COUNTIF(Emp03Dec,"PO")</f>
        <v>0</v>
      </c>
      <c r="H6" s="82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82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82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82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1</v>
      </c>
      <c r="L6" s="82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4">
        <f>SUM(D6:L6)</f>
        <v>7</v>
      </c>
    </row>
    <row r="7" spans="2:13" s="55" customFormat="1">
      <c r="B7" s="104" t="str">
        <f>EmpGName04</f>
        <v>Leon</v>
      </c>
      <c r="C7" s="104" t="str">
        <f>EmpSName04</f>
        <v>King</v>
      </c>
      <c r="D7" s="81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4</v>
      </c>
      <c r="E7" s="81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81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3</v>
      </c>
      <c r="G7" s="81">
        <f>COUNTIF(Emp04Jan,"PO")+COUNTIF(Emp04Feb,"PO")+COUNTIF(Emp04Mar,"PO")+COUNTIF(Emp04Apr,"PO")+COUNTIF(Emp04May,"PO")+COUNTIF(Emp04Jun,"PO")+COUNTIF(Emp04Jul,"PO")+COUNTIF(Emp04Aug,"PO")+COUNTIF(Emp04Sep,"PO")+COUNTIF(Emp04Oct,"PO")+COUNTIF(Emp04Nov,"PO")+COUNTIF(Emp04Dec,"PO")</f>
        <v>0</v>
      </c>
      <c r="H7" s="81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81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81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81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81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3">
        <f t="shared" ref="M7:M11" si="0">SUM(D7:L7)</f>
        <v>7</v>
      </c>
    </row>
    <row r="8" spans="2:13" s="55" customFormat="1">
      <c r="B8" s="103" t="str">
        <f>EmpGName05</f>
        <v>David</v>
      </c>
      <c r="C8" s="103" t="str">
        <f>EmpSName05</f>
        <v>Castle</v>
      </c>
      <c r="D8" s="82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82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82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82">
        <f>COUNTIF(Emp05Jan,"PO")+COUNTIF(Emp05Feb,"PO")+COUNTIF(Emp05Mar,"PO")+COUNTIF(Emp05Apr,"PO")+COUNTIF(Emp05May,"PO")+COUNTIF(Emp05Jun,"PO")+COUNTIF(Emp05Jul,"PO")+COUNTIF(Emp05Aug,"PO")+COUNTIF(Emp05Sep,"PO")+COUNTIF(Emp05Oct,"PO")+COUNTIF(Emp05Nov,"PO")+COUNTIF(Emp05Dec,"PO")</f>
        <v>0</v>
      </c>
      <c r="H8" s="82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82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82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82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82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4">
        <f t="shared" si="0"/>
        <v>0</v>
      </c>
    </row>
    <row r="9" spans="2:13" s="55" customFormat="1">
      <c r="B9" s="104" t="str">
        <f>EmpGName06</f>
        <v>Troy</v>
      </c>
      <c r="C9" s="104" t="str">
        <f>EmpSName06</f>
        <v>Sorensen</v>
      </c>
      <c r="D9" s="81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81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81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81">
        <f>COUNTIF(Emp06Jan,"PO")+COUNTIF(Emp06Feb,"PO")+COUNTIF(Emp06Mar,"PO")+COUNTIF(Emp06Apr,"PO")+COUNTIF(Emp06May,"PO")+COUNTIF(Emp06Jun,"PO")+COUNTIF(Emp06Jul,"PO")+COUNTIF(Emp06Aug,"PO")+COUNTIF(Emp06Sep,"PO")+COUNTIF(Emp06Oct,"PO")+COUNTIF(Emp06Nov,"PO")+COUNTIF(Emp06Dec,"PO")</f>
        <v>0</v>
      </c>
      <c r="H9" s="81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81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81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81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81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3">
        <f t="shared" si="0"/>
        <v>0</v>
      </c>
    </row>
    <row r="10" spans="2:13" s="55" customFormat="1">
      <c r="B10" s="103" t="str">
        <f>EmpGName07</f>
        <v>Robin</v>
      </c>
      <c r="C10" s="103" t="str">
        <f>EmpSName07</f>
        <v>Fielding</v>
      </c>
      <c r="D10" s="84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4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4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4">
        <f>COUNTIF(Emp07Jan,"PO")+COUNTIF(Emp07Feb,"PO")+COUNTIF(Emp07Mar,"PO")+COUNTIF(Emp07Apr,"PO")+COUNTIF(Emp07May,"PO")+COUNTIF(Emp07Jun,"PO")+COUNTIF(Emp07Jul,"PO")+COUNTIF(Emp07Aug,"PO")+COUNTIF(Emp07Sep,"PO")+COUNTIF(Emp07Oct,"PO")+COUNTIF(Emp07Nov,"PO")+COUNTIF(Emp07Dec,"PO")</f>
        <v>0</v>
      </c>
      <c r="H10" s="82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82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82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4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82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10" s="84">
        <f t="shared" si="0"/>
        <v>0</v>
      </c>
    </row>
    <row r="11" spans="2:13" s="55" customFormat="1">
      <c r="B11" s="104" t="str">
        <f>EmpGName08</f>
        <v>Flim Flam</v>
      </c>
      <c r="C11" s="104" t="str">
        <f>EmpSName08</f>
        <v>Flannery</v>
      </c>
      <c r="D11" s="83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3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3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3">
        <f>COUNTIF(Emp08Jan,"PO")+COUNTIF(Emp08Feb,"PO")+COUNTIF(Emp08Mar,"PO")+COUNTIF(Emp08Apr,"PO")+COUNTIF(Emp08May,"PO")+COUNTIF(Emp08Jun,"PO")+COUNTIF(Emp08Jul,"PO")+COUNTIF(Emp08Aug,"PO")+COUNTIF(Emp08Sep,"PO")+COUNTIF(Emp08Oct,"PO")+COUNTIF(Emp08Nov,"PO")+COUNTIF(Emp08Dec,"PO")</f>
        <v>0</v>
      </c>
      <c r="H11" s="81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81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81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3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81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3">
        <f t="shared" si="0"/>
        <v>0</v>
      </c>
    </row>
    <row r="12" spans="2:13" s="55" customFormat="1">
      <c r="B12" s="103" t="str">
        <f>EmpGName09</f>
        <v>Paul</v>
      </c>
      <c r="C12" s="103" t="str">
        <f>EmpSName09</f>
        <v>Hogan</v>
      </c>
      <c r="D12" s="84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4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4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4">
        <f>COUNTIF(Emp09Jan,"PO")+COUNTIF(Emp09Feb,"PO")+COUNTIF(Emp09Mar,"PO")+COUNTIF(Emp09Apr,"PO")+COUNTIF(Emp09May,"PO")+COUNTIF(Emp09Jun,"PO")+COUNTIF(Emp09Jul,"PO")+COUNTIF(Emp09Aug,"PO")+COUNTIF(Emp09Sep,"PO")+COUNTIF(Emp09Oct,"PO")+COUNTIF(Emp09Nov,"PO")+COUNTIF(Emp09Dec,"PO")</f>
        <v>0</v>
      </c>
      <c r="H12" s="82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82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82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4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82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4">
        <f>SUM(D12:L12)</f>
        <v>0</v>
      </c>
    </row>
    <row r="13" spans="2:13" s="55" customFormat="1">
      <c r="B13" s="104" t="str">
        <f>EmpSName10</f>
        <v>Stretton</v>
      </c>
      <c r="C13" s="104" t="str">
        <f>EmpGName10</f>
        <v>John</v>
      </c>
      <c r="D13" s="83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3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3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3">
        <f>COUNTIF(Emp10Jan,"PO")+COUNTIF(Emp10Feb,"PO")+COUNTIF(Emp10Mar,"PO")+COUNTIF(Emp10Apr,"PO")+COUNTIF(Emp10May,"PO")+COUNTIF(Emp10Jun,"PO")+COUNTIF(Emp10Jul,"PO")+COUNTIF(Emp10Aug,"PO")+COUNTIF(Emp10Sep,"PO")+COUNTIF(Emp10Oct,"PO")+COUNTIF(Emp10Nov,"PO")+COUNTIF(Emp10Dec,"PO")</f>
        <v>0</v>
      </c>
      <c r="H13" s="81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81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81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3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81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3">
        <f t="shared" ref="M13:M15" si="1">SUM(D13:L13)</f>
        <v>0</v>
      </c>
    </row>
    <row r="14" spans="2:13" s="55" customFormat="1">
      <c r="B14" s="103" t="str">
        <f>EmpSName11</f>
        <v>Rowe</v>
      </c>
      <c r="C14" s="103" t="str">
        <f>EmpGName11</f>
        <v>Margaret</v>
      </c>
      <c r="D14" s="84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4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4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4">
        <f>COUNTIF(Emp11Jan,"PO")+COUNTIF(Emp11Feb,"PO")+COUNTIF(Emp11Mar,"PO")+COUNTIF(Emp11Apr,"PO")+COUNTIF(Emp11May,"PO")+COUNTIF(Emp11Jun,"PO")+COUNTIF(Emp11Jul,"PO")+COUNTIF(Emp11Aug,"PO")+COUNTIF(Emp11Sep,"PO")+COUNTIF(Emp11Oct,"PO")+COUNTIF(Emp11Nov,"PO")+COUNTIF(Emp11Dec,"PO")</f>
        <v>0</v>
      </c>
      <c r="H14" s="82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82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82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4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82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4">
        <f t="shared" si="1"/>
        <v>0</v>
      </c>
    </row>
    <row r="15" spans="2:13" s="55" customFormat="1" ht="15" hidden="1" customHeight="1">
      <c r="B15" s="104">
        <f>EmpSName12</f>
        <v>0</v>
      </c>
      <c r="C15" s="104">
        <f>EmpGName12</f>
        <v>0</v>
      </c>
      <c r="D15" s="83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3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3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3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3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3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3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3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3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3">
        <f t="shared" si="1"/>
        <v>0</v>
      </c>
    </row>
    <row r="16" spans="2:13" s="55" customFormat="1"/>
    <row r="17" spans="3:13" s="55" customFormat="1">
      <c r="C17" s="106" t="s">
        <v>52</v>
      </c>
      <c r="D17" s="105">
        <f>SUM(D4:D15)</f>
        <v>94</v>
      </c>
      <c r="E17" s="105">
        <f t="shared" ref="E17:M17" si="2">SUM(E4:E15)</f>
        <v>0</v>
      </c>
      <c r="F17" s="105">
        <f t="shared" si="2"/>
        <v>59</v>
      </c>
      <c r="G17" s="105">
        <f t="shared" si="2"/>
        <v>0</v>
      </c>
      <c r="H17" s="105">
        <f t="shared" si="2"/>
        <v>1</v>
      </c>
      <c r="I17" s="105">
        <f t="shared" si="2"/>
        <v>5</v>
      </c>
      <c r="J17" s="105">
        <f t="shared" si="2"/>
        <v>0</v>
      </c>
      <c r="K17" s="108">
        <f t="shared" si="2"/>
        <v>1</v>
      </c>
      <c r="L17" s="105">
        <f t="shared" si="2"/>
        <v>0</v>
      </c>
      <c r="M17" s="105">
        <f t="shared" si="2"/>
        <v>160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 selectUn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Toggle Sheet Controls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Toggle Sheet Controls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226</vt:i4>
      </vt:variant>
    </vt:vector>
  </HeadingPairs>
  <TitlesOfParts>
    <vt:vector size="241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Luciano</cp:lastModifiedBy>
  <cp:lastPrinted>2017-02-16T10:30:13Z</cp:lastPrinted>
  <dcterms:created xsi:type="dcterms:W3CDTF">2004-05-12T00:54:34Z</dcterms:created>
  <dcterms:modified xsi:type="dcterms:W3CDTF">2017-02-26T04:00:59Z</dcterms:modified>
</cp:coreProperties>
</file>