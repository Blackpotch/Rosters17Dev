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DEV\Rosters17Dev\"/>
    </mc:Choice>
  </mc:AlternateContent>
  <bookViews>
    <workbookView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PublicHolidays">DATA!$P$8:$P$22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353" i="2" l="1"/>
  <c r="C322" i="2"/>
  <c r="C291" i="2"/>
  <c r="C260" i="2"/>
  <c r="C229" i="2"/>
  <c r="C198" i="2"/>
  <c r="C167" i="2"/>
  <c r="C136" i="2"/>
  <c r="C105" i="2"/>
  <c r="C12" i="2"/>
  <c r="C43" i="2"/>
  <c r="C74" i="2"/>
  <c r="M31" i="9" l="1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H33" i="9" s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K33" i="9" l="1"/>
  <c r="M33" i="9"/>
  <c r="L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/>
  <c r="I33" i="9" l="1"/>
  <c r="J33" i="9"/>
  <c r="G33" i="9"/>
  <c r="E33" i="9"/>
  <c r="F33" i="9"/>
  <c r="K34" i="4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sharedStrings.xml><?xml version="1.0" encoding="utf-8"?>
<sst xmlns="http://schemas.openxmlformats.org/spreadsheetml/2006/main" count="10392" uniqueCount="106">
  <si>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</si>
  <si>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</si>
  <si>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</si>
  <si>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</si>
  <si>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</si>
  <si>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</si>
  <si>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</si>
  <si>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</si>
  <si>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</si>
  <si>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</si>
  <si>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</si>
  <si>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</si>
  <si>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</si>
  <si>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</si>
  <si>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</si>
  <si>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</si>
  <si>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</si>
  <si>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</si>
  <si>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</si>
  <si>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</si>
  <si>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</si>
  <si>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</si>
  <si>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</si>
  <si>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</si>
  <si>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</si>
  <si>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</si>
  <si>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</si>
  <si>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</si>
  <si>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</si>
  <si>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</si>
  <si>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</si>
  <si>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</si>
  <si>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</si>
  <si>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</si>
  <si>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</si>
  <si>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</si>
  <si>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</si>
  <si>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</si>
  <si>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</si>
  <si>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</si>
  <si>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</si>
  <si>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</si>
  <si>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</si>
  <si>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</si>
  <si>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</si>
  <si>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</si>
  <si>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</si>
  <si>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</si>
  <si>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</si>
  <si>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</si>
  <si>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</si>
  <si>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</si>
  <si>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</si>
  <si>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</si>
  <si>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</si>
  <si>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</si>
  <si>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</si>
  <si>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</si>
  <si>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</si>
  <si>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</si>
  <si>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</si>
  <si>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</si>
  <si>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</si>
  <si>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</si>
  <si>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</si>
  <si>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</si>
  <si>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</si>
  <si>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</si>
  <si>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</si>
  <si>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</si>
  <si>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</si>
  <si>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</si>
  <si>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</si>
  <si>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</si>
  <si>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</si>
  <si>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</si>
  <si>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</si>
  <si>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</si>
  <si>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</si>
  <si>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</si>
  <si>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</si>
  <si>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</si>
  <si>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</si>
  <si>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</si>
  <si>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</si>
  <si>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</si>
  <si>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</si>
  <si>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</si>
  <si>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</si>
  <si>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</si>
  <si>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>Public Holidays</t>
  </si>
  <si>
    <t>Simple</t>
  </si>
  <si>
    <t>New Years Day</t>
  </si>
  <si>
    <t>Australia Day</t>
  </si>
  <si>
    <t>Adelaide Cup</t>
  </si>
  <si>
    <t>Good Friday</t>
  </si>
  <si>
    <t>Easter Saturday</t>
  </si>
  <si>
    <t>Easter Monday</t>
  </si>
  <si>
    <t>Anzac Day</t>
  </si>
  <si>
    <t>Queens Birthday</t>
  </si>
  <si>
    <t>Labour Day</t>
  </si>
  <si>
    <t>Christmas Eve</t>
  </si>
  <si>
    <t>Christmas Day</t>
  </si>
  <si>
    <t>Boxing Day</t>
  </si>
  <si>
    <t>New Years Eve</t>
  </si>
  <si>
    <t>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</si>
</sst>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30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0000FF"/>
      <name val="Arial"/>
      <family val="2"/>
    </font>
    <font>
      <sz val="10"/>
      <color rgb="FF00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3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3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4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0" fontId="16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14" fillId="5" borderId="12" xfId="0" applyNumberFormat="1" applyFont="1" applyFill="1" applyBorder="1" applyAlignment="1" applyProtection="1">
      <alignment horizontal="center"/>
    </xf>
    <xf numFmtId="0" fontId="17" fillId="5" borderId="0" xfId="0" applyFont="1" applyFill="1" applyAlignment="1">
      <alignment vertical="center"/>
    </xf>
    <xf numFmtId="0" fontId="18" fillId="5" borderId="0" xfId="0" applyFont="1" applyFill="1" applyAlignment="1">
      <alignment horizont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top"/>
    </xf>
    <xf numFmtId="0" fontId="20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0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center"/>
    </xf>
    <xf numFmtId="49" fontId="14" fillId="0" borderId="10" xfId="0" applyNumberFormat="1" applyFont="1" applyBorder="1" applyAlignment="1" applyProtection="1">
      <alignment horizontal="center"/>
      <protection hidden="1"/>
    </xf>
    <xf numFmtId="0" fontId="20" fillId="5" borderId="0" xfId="0" applyFont="1" applyFill="1"/>
    <xf numFmtId="0" fontId="20" fillId="5" borderId="0" xfId="0" applyFont="1" applyFill="1" applyProtection="1">
      <protection locked="0"/>
    </xf>
    <xf numFmtId="0" fontId="13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3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3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3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0" borderId="44" xfId="0" applyFill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3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6" fillId="5" borderId="12" xfId="0" applyNumberFormat="1" applyFont="1" applyFill="1" applyBorder="1" applyAlignment="1" applyProtection="1">
      <alignment horizontal="center"/>
    </xf>
    <xf numFmtId="49" fontId="26" fillId="0" borderId="6" xfId="0" applyNumberFormat="1" applyFont="1" applyBorder="1" applyAlignment="1" applyProtection="1">
      <alignment horizontal="center"/>
      <protection hidden="1"/>
    </xf>
    <xf numFmtId="0" fontId="27" fillId="0" borderId="18" xfId="0" applyFont="1" applyBorder="1" applyAlignment="1">
      <alignment horizontal="center"/>
    </xf>
    <xf numFmtId="0" fontId="0" fillId="2" borderId="47" xfId="0" applyFill="1" applyBorder="1" applyAlignment="1" applyProtection="1">
      <alignment horizontal="center"/>
      <protection locked="0"/>
    </xf>
    <xf numFmtId="0" fontId="0" fillId="3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28" fillId="13" borderId="3" xfId="0" applyFont="1" applyFill="1" applyBorder="1"/>
    <xf numFmtId="0" fontId="29" fillId="13" borderId="3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3" fillId="13" borderId="47" xfId="0" applyFont="1" applyFill="1" applyBorder="1" applyAlignment="1" applyProtection="1">
      <alignment horizontal="center"/>
      <protection hidden="1"/>
    </xf>
    <xf numFmtId="0" fontId="13" fillId="13" borderId="45" xfId="0" applyFont="1" applyFill="1" applyBorder="1" applyAlignment="1" applyProtection="1">
      <alignment horizontal="center"/>
    </xf>
    <xf numFmtId="0" fontId="29" fillId="14" borderId="3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/>
    </xf>
    <xf numFmtId="0" fontId="9" fillId="0" borderId="52" xfId="0" applyFont="1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23" xfId="0" applyFont="1" applyBorder="1" applyProtection="1">
      <protection locked="0"/>
    </xf>
    <xf numFmtId="164" fontId="13" fillId="0" borderId="43" xfId="0" applyNumberFormat="1" applyFont="1" applyBorder="1" applyAlignment="1">
      <alignment horizontal="center"/>
    </xf>
    <xf numFmtId="14" fontId="13" fillId="0" borderId="53" xfId="0" applyNumberFormat="1" applyFont="1" applyBorder="1" applyProtection="1">
      <protection locked="0"/>
    </xf>
    <xf numFmtId="14" fontId="13" fillId="0" borderId="2" xfId="0" applyNumberFormat="1" applyFont="1" applyBorder="1" applyProtection="1">
      <protection locked="0"/>
    </xf>
    <xf numFmtId="14" fontId="13" fillId="0" borderId="33" xfId="0" applyNumberFormat="1" applyFont="1" applyBorder="1" applyProtection="1">
      <protection locked="0"/>
    </xf>
    <xf numFmtId="0" fontId="6" fillId="5" borderId="0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5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7" fillId="6" borderId="48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7" fillId="6" borderId="50" xfId="0" applyFont="1" applyFill="1" applyBorder="1" applyAlignment="1">
      <alignment horizontal="center" vertical="center" wrapText="1"/>
    </xf>
    <xf numFmtId="0" fontId="7" fillId="6" borderId="51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00CC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showGridLines="0" tabSelected="1" zoomScale="120" zoomScaleNormal="120" workbookViewId="0">
      <pane ySplit="10" topLeftCell="A11" activePane="bottomLeft" state="frozen"/>
      <selection pane="bottomLeft" activeCell="E14" sqref="E1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210" t="str">
        <f>Location &amp;  " -  Roster Sheets"</f>
        <v>Oodlawirra Quarantine Station -  Roster Sheets</v>
      </c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1"/>
      <c r="AB1" s="211"/>
      <c r="AC1" s="211"/>
      <c r="AD1" s="211"/>
      <c r="AE1" s="97"/>
      <c r="AF1" s="97"/>
      <c r="AG1" s="97"/>
      <c r="AH1" s="97"/>
    </row>
    <row r="2" spans="1:36" s="2" customFormat="1" ht="12" customHeight="1"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97"/>
      <c r="AF2" s="97"/>
      <c r="AG2" s="97"/>
      <c r="AH2" s="97"/>
    </row>
    <row r="3" spans="1:36" s="2" customFormat="1" ht="17.25" customHeight="1">
      <c r="B3" s="29"/>
      <c r="J3" s="208" t="str">
        <f>"Financial Year Commencing - 1st July, "&amp; CurYear-1</f>
        <v>Financial Year Commencing - 1st July, 2019</v>
      </c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97"/>
      <c r="AF3" s="97"/>
      <c r="AG3" s="97"/>
      <c r="AH3" s="97"/>
    </row>
    <row r="4" spans="1:36" s="30" customFormat="1" ht="12" customHeight="1">
      <c r="B4" s="77" t="s">
        <v>105</v>
      </c>
      <c r="C4" s="207"/>
      <c r="D4" s="20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</row>
    <row r="5" spans="1:36" s="31" customFormat="1" ht="53.25" hidden="1" customHeight="1"/>
    <row r="6" spans="1:36" s="142" customFormat="1" ht="14.25" hidden="1" customHeight="1"/>
    <row r="7" spans="1:36" s="142" customFormat="1" ht="14.25" hidden="1" customHeight="1">
      <c r="C7" s="155" t="s">
        <v>59</v>
      </c>
      <c r="D7" s="157" t="s">
        <v>11</v>
      </c>
      <c r="E7" s="149" t="s">
        <v>60</v>
      </c>
      <c r="F7" s="150" t="s">
        <v>63</v>
      </c>
      <c r="G7" s="151"/>
      <c r="H7" s="151"/>
      <c r="I7" s="151"/>
      <c r="J7" s="153"/>
      <c r="K7" s="154"/>
      <c r="L7" s="148" t="s">
        <v>45</v>
      </c>
      <c r="M7" s="149" t="s">
        <v>60</v>
      </c>
      <c r="N7" s="150" t="s">
        <v>66</v>
      </c>
      <c r="O7" s="151"/>
      <c r="P7" s="151"/>
      <c r="Q7" s="153"/>
      <c r="R7" s="154"/>
      <c r="S7" s="148" t="s">
        <v>58</v>
      </c>
      <c r="T7" s="149" t="s">
        <v>60</v>
      </c>
      <c r="U7" s="150" t="s">
        <v>61</v>
      </c>
      <c r="V7" s="151"/>
      <c r="W7" s="151"/>
      <c r="X7" s="153"/>
      <c r="Y7" s="151"/>
      <c r="Z7" s="148" t="s">
        <v>40</v>
      </c>
      <c r="AA7" s="149" t="s">
        <v>60</v>
      </c>
      <c r="AB7" s="150" t="s">
        <v>70</v>
      </c>
      <c r="AC7" s="151"/>
      <c r="AD7" s="151"/>
      <c r="AE7" s="153"/>
    </row>
    <row r="8" spans="1:36" s="142" customFormat="1" ht="14.25" hidden="1" customHeight="1">
      <c r="C8" s="156"/>
      <c r="D8" s="157" t="s">
        <v>9</v>
      </c>
      <c r="E8" s="149" t="s">
        <v>60</v>
      </c>
      <c r="F8" s="150" t="s">
        <v>64</v>
      </c>
      <c r="G8" s="151"/>
      <c r="H8" s="151"/>
      <c r="I8" s="151"/>
      <c r="J8" s="153"/>
      <c r="K8" s="154"/>
      <c r="L8" s="152" t="s">
        <v>46</v>
      </c>
      <c r="M8" s="149" t="s">
        <v>60</v>
      </c>
      <c r="N8" s="150" t="s">
        <v>67</v>
      </c>
      <c r="O8" s="151"/>
      <c r="P8" s="151"/>
      <c r="Q8" s="153"/>
      <c r="R8" s="154"/>
      <c r="S8" s="148" t="s">
        <v>62</v>
      </c>
      <c r="T8" s="149" t="s">
        <v>60</v>
      </c>
      <c r="U8" s="150" t="s">
        <v>68</v>
      </c>
      <c r="V8" s="151"/>
      <c r="W8" s="151"/>
      <c r="X8" s="153"/>
      <c r="Y8" s="151"/>
      <c r="Z8" s="148" t="s">
        <v>39</v>
      </c>
      <c r="AA8" s="149" t="s">
        <v>60</v>
      </c>
      <c r="AB8" s="150" t="s">
        <v>69</v>
      </c>
      <c r="AC8" s="151"/>
      <c r="AD8" s="151"/>
      <c r="AE8" s="153"/>
    </row>
    <row r="9" spans="1:36" s="142" customFormat="1" ht="14.25" hidden="1" customHeight="1">
      <c r="C9" s="156"/>
      <c r="D9" s="157" t="s">
        <v>10</v>
      </c>
      <c r="E9" s="149" t="s">
        <v>60</v>
      </c>
      <c r="F9" s="150" t="s">
        <v>65</v>
      </c>
      <c r="G9" s="151"/>
      <c r="H9" s="151"/>
      <c r="I9" s="151"/>
      <c r="J9" s="153"/>
      <c r="K9" s="154"/>
      <c r="L9" s="152"/>
      <c r="M9" s="158"/>
      <c r="N9" s="151"/>
      <c r="O9" s="151"/>
      <c r="P9" s="151"/>
      <c r="Q9" s="153"/>
      <c r="R9" s="154"/>
      <c r="S9" s="159"/>
      <c r="T9" s="158"/>
      <c r="U9" s="151"/>
      <c r="V9" s="151"/>
      <c r="W9" s="151"/>
      <c r="X9" s="153"/>
      <c r="Y9" s="151"/>
      <c r="Z9" s="148"/>
      <c r="AA9" s="158"/>
      <c r="AB9" s="151"/>
      <c r="AC9" s="151"/>
      <c r="AD9" s="151"/>
      <c r="AE9" s="153"/>
      <c r="AI9" s="142" t="s">
        <v>62</v>
      </c>
    </row>
    <row r="10" spans="1:36" s="142" customFormat="1" ht="14.25" hidden="1" customHeight="1">
      <c r="D10" s="144"/>
      <c r="E10" s="147"/>
      <c r="K10" s="145"/>
      <c r="L10" s="146"/>
      <c r="M10" s="143"/>
    </row>
    <row r="11" spans="1:36" s="72" customFormat="1" ht="12" customHeight="1"/>
    <row r="12" spans="1:36" s="2" customFormat="1">
      <c r="B12"/>
      <c r="C12" s="192">
        <f>CurYear-1</f>
        <v>2019</v>
      </c>
      <c r="D12" s="5" t="str">
        <f t="shared" ref="D12:AH12" si="0">LEFT(TEXT(D13&amp;"-"&amp;$C13&amp;"-"&amp; CurYear-1,"ddd"),2)</f>
        <v>Mo</v>
      </c>
      <c r="E12" s="5" t="str">
        <f t="shared" si="0"/>
        <v>Tu</v>
      </c>
      <c r="F12" s="5" t="str">
        <f t="shared" si="0"/>
        <v>We</v>
      </c>
      <c r="G12" s="5" t="str">
        <f t="shared" si="0"/>
        <v>Th</v>
      </c>
      <c r="H12" s="5" t="str">
        <f t="shared" si="0"/>
        <v>Fr</v>
      </c>
      <c r="I12" s="5" t="str">
        <f t="shared" si="0"/>
        <v>Sa</v>
      </c>
      <c r="J12" s="5" t="str">
        <f t="shared" si="0"/>
        <v>Su</v>
      </c>
      <c r="K12" s="5" t="str">
        <f t="shared" si="0"/>
        <v>Mo</v>
      </c>
      <c r="L12" s="5" t="str">
        <f t="shared" si="0"/>
        <v>Tu</v>
      </c>
      <c r="M12" s="5" t="str">
        <f t="shared" si="0"/>
        <v>We</v>
      </c>
      <c r="N12" s="5" t="str">
        <f t="shared" si="0"/>
        <v>Th</v>
      </c>
      <c r="O12" s="5" t="str">
        <f t="shared" si="0"/>
        <v>Fr</v>
      </c>
      <c r="P12" s="5" t="str">
        <f t="shared" si="0"/>
        <v>Sa</v>
      </c>
      <c r="Q12" s="5" t="str">
        <f t="shared" si="0"/>
        <v>Su</v>
      </c>
      <c r="R12" s="5" t="str">
        <f t="shared" si="0"/>
        <v>Mo</v>
      </c>
      <c r="S12" s="5" t="str">
        <f t="shared" si="0"/>
        <v>Tu</v>
      </c>
      <c r="T12" s="5" t="str">
        <f t="shared" si="0"/>
        <v>We</v>
      </c>
      <c r="U12" s="5" t="str">
        <f t="shared" si="0"/>
        <v>Th</v>
      </c>
      <c r="V12" s="5" t="str">
        <f t="shared" si="0"/>
        <v>Fr</v>
      </c>
      <c r="W12" s="5" t="str">
        <f t="shared" si="0"/>
        <v>Sa</v>
      </c>
      <c r="X12" s="5" t="str">
        <f t="shared" si="0"/>
        <v>Su</v>
      </c>
      <c r="Y12" s="5" t="str">
        <f t="shared" si="0"/>
        <v>Mo</v>
      </c>
      <c r="Z12" s="5" t="str">
        <f t="shared" si="0"/>
        <v>Tu</v>
      </c>
      <c r="AA12" s="5" t="str">
        <f t="shared" si="0"/>
        <v>We</v>
      </c>
      <c r="AB12" s="5" t="str">
        <f t="shared" si="0"/>
        <v>Th</v>
      </c>
      <c r="AC12" s="5" t="str">
        <f t="shared" si="0"/>
        <v>Fr</v>
      </c>
      <c r="AD12" s="5" t="str">
        <f t="shared" si="0"/>
        <v>Sa</v>
      </c>
      <c r="AE12" s="5" t="str">
        <f t="shared" si="0"/>
        <v>Su</v>
      </c>
      <c r="AF12" s="5" t="str">
        <f t="shared" si="0"/>
        <v>Mo</v>
      </c>
      <c r="AG12" s="5" t="str">
        <f t="shared" si="0"/>
        <v>Tu</v>
      </c>
      <c r="AH12" s="5" t="str">
        <f t="shared" si="0"/>
        <v>We</v>
      </c>
      <c r="AJ12" s="2" t="s">
        <v>62</v>
      </c>
    </row>
    <row r="13" spans="1:36">
      <c r="B13" s="87"/>
      <c r="C13" s="193" t="s">
        <v>18</v>
      </c>
      <c r="D13" s="195">
        <v>1</v>
      </c>
      <c r="E13" s="195">
        <v>2</v>
      </c>
      <c r="F13" s="194">
        <v>3</v>
      </c>
      <c r="G13" s="195">
        <v>4</v>
      </c>
      <c r="H13" s="195">
        <v>5</v>
      </c>
      <c r="I13" s="195">
        <v>6</v>
      </c>
      <c r="J13" s="195">
        <v>7</v>
      </c>
      <c r="K13" s="195">
        <v>8</v>
      </c>
      <c r="L13" s="195">
        <v>9</v>
      </c>
      <c r="M13" s="195">
        <v>10</v>
      </c>
      <c r="N13" s="195">
        <v>11</v>
      </c>
      <c r="O13" s="195">
        <v>12</v>
      </c>
      <c r="P13" s="195">
        <v>13</v>
      </c>
      <c r="Q13" s="195">
        <v>14</v>
      </c>
      <c r="R13" s="195">
        <v>15</v>
      </c>
      <c r="S13" s="195">
        <v>16</v>
      </c>
      <c r="T13" s="194">
        <v>17</v>
      </c>
      <c r="U13" s="195">
        <v>18</v>
      </c>
      <c r="V13" s="195">
        <v>19</v>
      </c>
      <c r="W13" s="195">
        <v>20</v>
      </c>
      <c r="X13" s="195">
        <v>21</v>
      </c>
      <c r="Y13" s="195">
        <v>22</v>
      </c>
      <c r="Z13" s="195">
        <v>23</v>
      </c>
      <c r="AA13" s="195">
        <v>24</v>
      </c>
      <c r="AB13" s="195">
        <v>25</v>
      </c>
      <c r="AC13" s="195">
        <v>26</v>
      </c>
      <c r="AD13" s="195">
        <v>27</v>
      </c>
      <c r="AE13" s="195">
        <v>28</v>
      </c>
      <c r="AF13" s="195">
        <v>29</v>
      </c>
      <c r="AG13" s="195">
        <v>30</v>
      </c>
      <c r="AH13" s="194">
        <v>31</v>
      </c>
    </row>
    <row r="14" spans="1:36">
      <c r="B14" s="84">
        <v>1</v>
      </c>
      <c r="C14" s="88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4">
        <v>2</v>
      </c>
      <c r="C15" s="89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4">
        <v>3</v>
      </c>
      <c r="C16" s="88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4">
        <v>4</v>
      </c>
      <c r="C17" s="89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4">
        <v>5</v>
      </c>
      <c r="C18" s="88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4">
        <v>6</v>
      </c>
      <c r="C19" s="89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4">
        <v>7</v>
      </c>
      <c r="C20" s="88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 hidden="1">
      <c r="B21" s="84">
        <v>8</v>
      </c>
      <c r="C21" s="89" t="str">
        <f>LEFT(EmpGName08)&amp;" " &amp;EmpSName08</f>
        <v xml:space="preserve">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 hidden="1">
      <c r="B22" s="84">
        <v>9</v>
      </c>
      <c r="C22" s="88" t="str">
        <f>LEFT(EmpGName09)&amp;" " &amp;EmpSName09</f>
        <v xml:space="preserve">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 hidden="1">
      <c r="B23" s="140">
        <v>10</v>
      </c>
      <c r="C23" s="89" t="str">
        <f>LEFT(EmpGName10)&amp;" " &amp;EmpSName10</f>
        <v xml:space="preserve"> 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 hidden="1">
      <c r="B24" s="140">
        <v>11</v>
      </c>
      <c r="C24" s="88" t="str">
        <f>LEFT(EmpGName11)&amp;" " &amp;EmpSName11</f>
        <v xml:space="preserve"> 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 hidden="1">
      <c r="B25" s="140">
        <v>12</v>
      </c>
      <c r="C25" s="89" t="str">
        <f>LEFT(EmpGName12)&amp;" " &amp;EmpSName12</f>
        <v xml:space="preserve"> 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 hidden="1">
      <c r="B26" s="140">
        <v>13</v>
      </c>
      <c r="C26" s="88" t="str">
        <f>LEFT(EmpGName13)&amp;" " &amp;EmpSName13</f>
        <v xml:space="preserve"> 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 hidden="1">
      <c r="B27" s="140">
        <v>14</v>
      </c>
      <c r="C27" s="89" t="str">
        <f>LEFT(EmpGName14)&amp;" " &amp;EmpSName14</f>
        <v xml:space="preserve"> 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 hidden="1">
      <c r="B28" s="140">
        <v>15</v>
      </c>
      <c r="C28" s="88" t="str">
        <f>LEFT(EmpGName15)&amp;" " &amp;EmpSName15</f>
        <v xml:space="preserve"> 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 hidden="1">
      <c r="B29" s="140">
        <v>16</v>
      </c>
      <c r="C29" s="89" t="str">
        <f>LEFT(EmpGName16)&amp;" " &amp;EmpSName16</f>
        <v xml:space="preserve"> 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 hidden="1">
      <c r="B30" s="140">
        <v>17</v>
      </c>
      <c r="C30" s="88" t="str">
        <f>LEFT(EmpGName17)&amp;" " &amp;EmpSName17</f>
        <v xml:space="preserve"> 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 hidden="1">
      <c r="B31" s="140">
        <v>18</v>
      </c>
      <c r="C31" s="89" t="str">
        <f>LEFT(EmpGName18)&amp;" " &amp;EmpSName18</f>
        <v xml:space="preserve"> 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 hidden="1">
      <c r="B32" s="140">
        <v>19</v>
      </c>
      <c r="C32" s="88" t="str">
        <f>LEFT(EmpGName19)&amp;" " &amp;EmpSName19</f>
        <v xml:space="preserve"> 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 hidden="1">
      <c r="B33" s="140">
        <v>20</v>
      </c>
      <c r="C33" s="89" t="str">
        <f>LEFT(EmpGName20)&amp;" " &amp;EmpSName20</f>
        <v xml:space="preserve"> 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 hidden="1">
      <c r="B34" s="140">
        <v>21</v>
      </c>
      <c r="C34" s="88" t="str">
        <f>LEFT(EmpGName21)&amp;" " &amp;EmpSName21</f>
        <v xml:space="preserve"> 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 hidden="1">
      <c r="B35" s="140">
        <v>22</v>
      </c>
      <c r="C35" s="89" t="str">
        <f>LEFT(EmpGName22)&amp;" " &amp;EmpSName22</f>
        <v xml:space="preserve"> 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 hidden="1">
      <c r="B36" s="140">
        <v>23</v>
      </c>
      <c r="C36" s="88" t="str">
        <f>LEFT(EmpGName23)&amp;" " &amp;EmpSName23</f>
        <v xml:space="preserve"> 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 hidden="1">
      <c r="B37" s="140">
        <v>24</v>
      </c>
      <c r="C37" s="89" t="str">
        <f>LEFT(EmpGName24)&amp;" " &amp;EmpSName24</f>
        <v xml:space="preserve"> 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 hidden="1">
      <c r="B38" s="140">
        <v>25</v>
      </c>
      <c r="C38" s="88" t="str">
        <f>LEFT(EmpGName25)&amp;" " &amp;EmpSName25</f>
        <v xml:space="preserve"> 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 hidden="1">
      <c r="B39" s="140">
        <v>26</v>
      </c>
      <c r="C39" s="89" t="str">
        <f>LEFT(EmpGName26)&amp;" " &amp;EmpSName26</f>
        <v xml:space="preserve"> 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 hidden="1">
      <c r="B40" s="140">
        <v>27</v>
      </c>
      <c r="C40" s="88" t="str">
        <f>LEFT(EmpGName27)&amp;" " &amp;EmpSName27</f>
        <v xml:space="preserve"> 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 hidden="1">
      <c r="B41" s="140">
        <v>28</v>
      </c>
      <c r="C41" s="89" t="str">
        <f>LEFT(EmpGName28)&amp;" " &amp;EmpSName28</f>
        <v xml:space="preserve"> 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s="192">
        <f>CurYear-1</f>
        <v>2019</v>
      </c>
      <c r="D43" s="5" t="str">
        <f t="shared" ref="D43:AH43" si="1">LEFT(TEXT(D44&amp;"-"&amp;$C44&amp;"-"&amp; CurYear-1,"ddd"),2)</f>
        <v>Th</v>
      </c>
      <c r="E43" s="5" t="str">
        <f t="shared" si="1"/>
        <v>Fr</v>
      </c>
      <c r="F43" s="5" t="str">
        <f t="shared" si="1"/>
        <v>Sa</v>
      </c>
      <c r="G43" s="5" t="str">
        <f t="shared" si="1"/>
        <v>Su</v>
      </c>
      <c r="H43" s="5" t="str">
        <f t="shared" si="1"/>
        <v>Mo</v>
      </c>
      <c r="I43" s="5" t="str">
        <f t="shared" si="1"/>
        <v>Tu</v>
      </c>
      <c r="J43" s="5" t="str">
        <f t="shared" si="1"/>
        <v>We</v>
      </c>
      <c r="K43" s="5" t="str">
        <f t="shared" si="1"/>
        <v>Th</v>
      </c>
      <c r="L43" s="5" t="str">
        <f t="shared" si="1"/>
        <v>Fr</v>
      </c>
      <c r="M43" s="5" t="str">
        <f t="shared" si="1"/>
        <v>Sa</v>
      </c>
      <c r="N43" s="5" t="str">
        <f t="shared" si="1"/>
        <v>Su</v>
      </c>
      <c r="O43" s="5" t="str">
        <f t="shared" si="1"/>
        <v>Mo</v>
      </c>
      <c r="P43" s="5" t="str">
        <f t="shared" si="1"/>
        <v>Tu</v>
      </c>
      <c r="Q43" s="5" t="str">
        <f t="shared" si="1"/>
        <v>We</v>
      </c>
      <c r="R43" s="5" t="str">
        <f t="shared" si="1"/>
        <v>Th</v>
      </c>
      <c r="S43" s="5" t="str">
        <f t="shared" si="1"/>
        <v>Fr</v>
      </c>
      <c r="T43" s="5" t="str">
        <f t="shared" si="1"/>
        <v>Sa</v>
      </c>
      <c r="U43" s="5" t="str">
        <f t="shared" si="1"/>
        <v>Su</v>
      </c>
      <c r="V43" s="5" t="str">
        <f t="shared" si="1"/>
        <v>Mo</v>
      </c>
      <c r="W43" s="5" t="str">
        <f t="shared" si="1"/>
        <v>Tu</v>
      </c>
      <c r="X43" s="5" t="str">
        <f t="shared" si="1"/>
        <v>We</v>
      </c>
      <c r="Y43" s="5" t="str">
        <f t="shared" si="1"/>
        <v>Th</v>
      </c>
      <c r="Z43" s="5" t="str">
        <f t="shared" si="1"/>
        <v>Fr</v>
      </c>
      <c r="AA43" s="5" t="str">
        <f t="shared" si="1"/>
        <v>Sa</v>
      </c>
      <c r="AB43" s="5" t="str">
        <f t="shared" si="1"/>
        <v>Su</v>
      </c>
      <c r="AC43" s="5" t="str">
        <f t="shared" si="1"/>
        <v>Mo</v>
      </c>
      <c r="AD43" s="5" t="str">
        <f t="shared" si="1"/>
        <v>Tu</v>
      </c>
      <c r="AE43" s="5" t="str">
        <f t="shared" si="1"/>
        <v>We</v>
      </c>
      <c r="AF43" s="5" t="str">
        <f t="shared" si="1"/>
        <v>Th</v>
      </c>
      <c r="AG43" s="5" t="str">
        <f t="shared" si="1"/>
        <v>Fr</v>
      </c>
      <c r="AH43" s="5" t="str">
        <f t="shared" si="1"/>
        <v>Sa</v>
      </c>
    </row>
    <row r="44" spans="2:34">
      <c r="B44" s="87"/>
      <c r="C44" s="193" t="s">
        <v>19</v>
      </c>
      <c r="D44" s="195">
        <v>1</v>
      </c>
      <c r="E44" s="195">
        <v>2</v>
      </c>
      <c r="F44" s="195">
        <v>3</v>
      </c>
      <c r="G44" s="195">
        <v>4</v>
      </c>
      <c r="H44" s="195">
        <v>5</v>
      </c>
      <c r="I44" s="195">
        <v>6</v>
      </c>
      <c r="J44" s="195">
        <v>7</v>
      </c>
      <c r="K44" s="195">
        <v>8</v>
      </c>
      <c r="L44" s="195">
        <v>9</v>
      </c>
      <c r="M44" s="195">
        <v>10</v>
      </c>
      <c r="N44" s="195">
        <v>11</v>
      </c>
      <c r="O44" s="195">
        <v>12</v>
      </c>
      <c r="P44" s="195">
        <v>13</v>
      </c>
      <c r="Q44" s="194">
        <v>14</v>
      </c>
      <c r="R44" s="195">
        <v>15</v>
      </c>
      <c r="S44" s="195">
        <v>16</v>
      </c>
      <c r="T44" s="195">
        <v>17</v>
      </c>
      <c r="U44" s="195">
        <v>18</v>
      </c>
      <c r="V44" s="195">
        <v>19</v>
      </c>
      <c r="W44" s="195">
        <v>20</v>
      </c>
      <c r="X44" s="195">
        <v>21</v>
      </c>
      <c r="Y44" s="195">
        <v>22</v>
      </c>
      <c r="Z44" s="195">
        <v>23</v>
      </c>
      <c r="AA44" s="195">
        <v>24</v>
      </c>
      <c r="AB44" s="195">
        <v>25</v>
      </c>
      <c r="AC44" s="195">
        <v>26</v>
      </c>
      <c r="AD44" s="195">
        <v>27</v>
      </c>
      <c r="AE44" s="194">
        <v>28</v>
      </c>
      <c r="AF44" s="195">
        <v>29</v>
      </c>
      <c r="AG44" s="195">
        <v>30</v>
      </c>
      <c r="AH44" s="195">
        <v>31</v>
      </c>
    </row>
    <row r="45" spans="2:34">
      <c r="B45" s="84">
        <v>1</v>
      </c>
      <c r="C45" s="88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4">
        <v>2</v>
      </c>
      <c r="C46" s="89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4">
        <v>3</v>
      </c>
      <c r="C47" s="88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4">
        <v>4</v>
      </c>
      <c r="C48" s="89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4">
        <v>5</v>
      </c>
      <c r="C49" s="88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4">
        <v>6</v>
      </c>
      <c r="C50" s="89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4">
        <v>7</v>
      </c>
      <c r="C51" s="88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 hidden="1">
      <c r="B52" s="84">
        <v>8</v>
      </c>
      <c r="C52" s="89" t="str">
        <f>LEFT(EmpGName08)&amp;" " &amp;EmpSName08</f>
        <v xml:space="preserve">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 hidden="1">
      <c r="B53" s="84">
        <v>9</v>
      </c>
      <c r="C53" s="88" t="str">
        <f>LEFT(EmpGName09)&amp;" " &amp;EmpSName09</f>
        <v xml:space="preserve"> 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 hidden="1">
      <c r="B54" s="140">
        <v>10</v>
      </c>
      <c r="C54" s="89" t="str">
        <f>LEFT(EmpGName10)&amp;" " &amp;EmpSName10</f>
        <v xml:space="preserve"> 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 hidden="1">
      <c r="B55" s="140">
        <v>11</v>
      </c>
      <c r="C55" s="88" t="str">
        <f>LEFT(EmpGName11)&amp;" " &amp;EmpSName11</f>
        <v xml:space="preserve"> 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 hidden="1">
      <c r="B56" s="140">
        <v>12</v>
      </c>
      <c r="C56" s="89" t="str">
        <f>LEFT(EmpGName12)&amp;" " &amp;EmpSName12</f>
        <v xml:space="preserve"> 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 hidden="1">
      <c r="B57" s="140">
        <v>13</v>
      </c>
      <c r="C57" s="88" t="str">
        <f>LEFT(EmpGName13)&amp;" " &amp;EmpSName13</f>
        <v xml:space="preserve"> 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 hidden="1">
      <c r="B58" s="140">
        <v>14</v>
      </c>
      <c r="C58" s="89" t="str">
        <f>LEFT(EmpGName14)&amp;" " &amp;EmpSName14</f>
        <v xml:space="preserve"> 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 hidden="1">
      <c r="B59" s="140">
        <v>15</v>
      </c>
      <c r="C59" s="88" t="str">
        <f>LEFT(EmpGName15)&amp;" " &amp;EmpSName15</f>
        <v xml:space="preserve"> 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 hidden="1">
      <c r="B60" s="140">
        <v>16</v>
      </c>
      <c r="C60" s="89" t="str">
        <f>LEFT(EmpGName16)&amp;" " &amp;EmpSName16</f>
        <v xml:space="preserve"> 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 hidden="1">
      <c r="B61" s="140">
        <v>17</v>
      </c>
      <c r="C61" s="88" t="str">
        <f>LEFT(EmpGName17)&amp;" " &amp;EmpSName17</f>
        <v xml:space="preserve"> 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 hidden="1">
      <c r="B62" s="140">
        <v>18</v>
      </c>
      <c r="C62" s="89" t="str">
        <f>LEFT(EmpGName18)&amp;" " &amp;EmpSName18</f>
        <v xml:space="preserve"> 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 hidden="1">
      <c r="B63" s="140">
        <v>19</v>
      </c>
      <c r="C63" s="88" t="str">
        <f>LEFT(EmpGName19)&amp;" " &amp;EmpSName19</f>
        <v xml:space="preserve"> 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 hidden="1">
      <c r="B64" s="140">
        <v>20</v>
      </c>
      <c r="C64" s="89" t="str">
        <f>LEFT(EmpGName20)&amp;" " &amp;EmpSName20</f>
        <v xml:space="preserve"> 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 hidden="1">
      <c r="B65" s="140">
        <v>21</v>
      </c>
      <c r="C65" s="88" t="str">
        <f>LEFT(EmpGName21)&amp;" " &amp;EmpSName21</f>
        <v xml:space="preserve"> 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 hidden="1">
      <c r="B66" s="140">
        <v>22</v>
      </c>
      <c r="C66" s="89" t="str">
        <f>LEFT(EmpGName22)&amp;" " &amp;EmpSName22</f>
        <v xml:space="preserve"> 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 hidden="1">
      <c r="B67" s="140">
        <v>23</v>
      </c>
      <c r="C67" s="88" t="str">
        <f>LEFT(EmpGName23)&amp;" " &amp;EmpSName23</f>
        <v xml:space="preserve"> 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 hidden="1">
      <c r="B68" s="140">
        <v>24</v>
      </c>
      <c r="C68" s="89" t="str">
        <f>LEFT(EmpGName24)&amp;" " &amp;EmpSName24</f>
        <v xml:space="preserve"> 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 hidden="1">
      <c r="B69" s="140">
        <v>25</v>
      </c>
      <c r="C69" s="88" t="str">
        <f>LEFT(EmpGName25)&amp;" " &amp;EmpSName25</f>
        <v xml:space="preserve"> 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 hidden="1">
      <c r="B70" s="140">
        <v>26</v>
      </c>
      <c r="C70" s="89" t="str">
        <f>LEFT(EmpGName26)&amp;" " &amp;EmpSName26</f>
        <v xml:space="preserve"> 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 hidden="1">
      <c r="B71" s="140">
        <v>27</v>
      </c>
      <c r="C71" s="88" t="str">
        <f>LEFT(EmpGName27)&amp;" " &amp;EmpSName27</f>
        <v xml:space="preserve"> 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 hidden="1">
      <c r="B72" s="140">
        <v>28</v>
      </c>
      <c r="C72" s="89" t="str">
        <f>LEFT(EmpGName28)&amp;" " &amp;EmpSName28</f>
        <v xml:space="preserve"> 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s="192">
        <f>CurYear-1</f>
        <v>2019</v>
      </c>
      <c r="D74" s="5" t="str">
        <f t="shared" ref="D74:AG74" si="2">LEFT(TEXT(D75&amp;"-"&amp;$C75&amp;"-"&amp; CurYear-1,"ddd"),2)</f>
        <v>Su</v>
      </c>
      <c r="E74" s="5" t="str">
        <f t="shared" si="2"/>
        <v>Mo</v>
      </c>
      <c r="F74" s="5" t="str">
        <f t="shared" si="2"/>
        <v>Tu</v>
      </c>
      <c r="G74" s="5" t="str">
        <f t="shared" si="2"/>
        <v>We</v>
      </c>
      <c r="H74" s="5" t="str">
        <f t="shared" si="2"/>
        <v>Th</v>
      </c>
      <c r="I74" s="5" t="str">
        <f t="shared" si="2"/>
        <v>Fr</v>
      </c>
      <c r="J74" s="5" t="str">
        <f t="shared" si="2"/>
        <v>Sa</v>
      </c>
      <c r="K74" s="5" t="str">
        <f t="shared" si="2"/>
        <v>Su</v>
      </c>
      <c r="L74" s="5" t="str">
        <f t="shared" si="2"/>
        <v>Mo</v>
      </c>
      <c r="M74" s="5" t="str">
        <f t="shared" si="2"/>
        <v>Tu</v>
      </c>
      <c r="N74" s="5" t="str">
        <f t="shared" si="2"/>
        <v>We</v>
      </c>
      <c r="O74" s="5" t="str">
        <f t="shared" si="2"/>
        <v>Th</v>
      </c>
      <c r="P74" s="5" t="str">
        <f t="shared" si="2"/>
        <v>Fr</v>
      </c>
      <c r="Q74" s="5" t="str">
        <f t="shared" si="2"/>
        <v>Sa</v>
      </c>
      <c r="R74" s="5" t="str">
        <f t="shared" si="2"/>
        <v>Su</v>
      </c>
      <c r="S74" s="5" t="str">
        <f t="shared" si="2"/>
        <v>Mo</v>
      </c>
      <c r="T74" s="5" t="str">
        <f t="shared" si="2"/>
        <v>Tu</v>
      </c>
      <c r="U74" s="5" t="str">
        <f t="shared" si="2"/>
        <v>We</v>
      </c>
      <c r="V74" s="5" t="str">
        <f t="shared" si="2"/>
        <v>Th</v>
      </c>
      <c r="W74" s="5" t="str">
        <f t="shared" si="2"/>
        <v>Fr</v>
      </c>
      <c r="X74" s="5" t="str">
        <f t="shared" si="2"/>
        <v>Sa</v>
      </c>
      <c r="Y74" s="5" t="str">
        <f t="shared" si="2"/>
        <v>Su</v>
      </c>
      <c r="Z74" s="5" t="str">
        <f t="shared" si="2"/>
        <v>Mo</v>
      </c>
      <c r="AA74" s="5" t="str">
        <f t="shared" si="2"/>
        <v>Tu</v>
      </c>
      <c r="AB74" s="5" t="str">
        <f t="shared" si="2"/>
        <v>We</v>
      </c>
      <c r="AC74" s="5" t="str">
        <f t="shared" si="2"/>
        <v>Th</v>
      </c>
      <c r="AD74" s="5" t="str">
        <f t="shared" si="2"/>
        <v>Fr</v>
      </c>
      <c r="AE74" s="5" t="str">
        <f t="shared" si="2"/>
        <v>Sa</v>
      </c>
      <c r="AF74" s="5" t="str">
        <f t="shared" si="2"/>
        <v>Su</v>
      </c>
      <c r="AG74" s="5" t="str">
        <f t="shared" si="2"/>
        <v>Mo</v>
      </c>
      <c r="AH74" s="5"/>
    </row>
    <row r="75" spans="2:34">
      <c r="B75" s="87"/>
      <c r="C75" s="193" t="s">
        <v>20</v>
      </c>
      <c r="D75" s="195">
        <v>1</v>
      </c>
      <c r="E75" s="195">
        <v>2</v>
      </c>
      <c r="F75" s="195">
        <v>3</v>
      </c>
      <c r="G75" s="195">
        <v>4</v>
      </c>
      <c r="H75" s="195">
        <v>5</v>
      </c>
      <c r="I75" s="195">
        <v>6</v>
      </c>
      <c r="J75" s="195">
        <v>7</v>
      </c>
      <c r="K75" s="195">
        <v>8</v>
      </c>
      <c r="L75" s="195">
        <v>9</v>
      </c>
      <c r="M75" s="195">
        <v>10</v>
      </c>
      <c r="N75" s="194">
        <v>11</v>
      </c>
      <c r="O75" s="195">
        <v>12</v>
      </c>
      <c r="P75" s="195">
        <v>13</v>
      </c>
      <c r="Q75" s="195">
        <v>14</v>
      </c>
      <c r="R75" s="195">
        <v>15</v>
      </c>
      <c r="S75" s="195">
        <v>16</v>
      </c>
      <c r="T75" s="195">
        <v>17</v>
      </c>
      <c r="U75" s="195">
        <v>18</v>
      </c>
      <c r="V75" s="195">
        <v>19</v>
      </c>
      <c r="W75" s="195">
        <v>20</v>
      </c>
      <c r="X75" s="195">
        <v>21</v>
      </c>
      <c r="Y75" s="195">
        <v>22</v>
      </c>
      <c r="Z75" s="195">
        <v>23</v>
      </c>
      <c r="AA75" s="195">
        <v>24</v>
      </c>
      <c r="AB75" s="194">
        <v>25</v>
      </c>
      <c r="AC75" s="195">
        <v>26</v>
      </c>
      <c r="AD75" s="195">
        <v>27</v>
      </c>
      <c r="AE75" s="195">
        <v>28</v>
      </c>
      <c r="AF75" s="195">
        <v>29</v>
      </c>
      <c r="AG75" s="195">
        <v>30</v>
      </c>
    </row>
    <row r="76" spans="2:34">
      <c r="B76" s="84">
        <v>1</v>
      </c>
      <c r="C76" s="88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4">
        <v>2</v>
      </c>
      <c r="C77" s="89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4">
        <v>3</v>
      </c>
      <c r="C78" s="88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4">
        <v>4</v>
      </c>
      <c r="C79" s="89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4">
        <v>5</v>
      </c>
      <c r="C80" s="88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4">
        <v>6</v>
      </c>
      <c r="C81" s="89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4">
        <v>7</v>
      </c>
      <c r="C82" s="88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 hidden="1">
      <c r="B83" s="84">
        <v>8</v>
      </c>
      <c r="C83" s="89" t="str">
        <f>LEFT(EmpGName08)&amp;" " &amp;EmpSName08</f>
        <v xml:space="preserve">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 hidden="1">
      <c r="B84" s="84">
        <v>9</v>
      </c>
      <c r="C84" s="88" t="str">
        <f>LEFT(EmpGName09)&amp;" " &amp;EmpSName09</f>
        <v xml:space="preserve">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 hidden="1">
      <c r="B85" s="140">
        <v>10</v>
      </c>
      <c r="C85" s="89" t="str">
        <f>LEFT(EmpGName10)&amp;" " &amp;EmpSName10</f>
        <v xml:space="preserve"> 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 hidden="1">
      <c r="B86" s="140">
        <v>11</v>
      </c>
      <c r="C86" s="88" t="str">
        <f>LEFT(EmpGName11)&amp;" " &amp;EmpSName11</f>
        <v xml:space="preserve"> 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 hidden="1">
      <c r="B87" s="140">
        <v>12</v>
      </c>
      <c r="C87" s="89" t="str">
        <f>LEFT(EmpGName12)&amp;" " &amp;EmpSName12</f>
        <v xml:space="preserve"> 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 hidden="1">
      <c r="B88" s="140">
        <v>13</v>
      </c>
      <c r="C88" s="88" t="str">
        <f>LEFT(EmpGName13)&amp;" " &amp;EmpSName13</f>
        <v xml:space="preserve"> 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 hidden="1">
      <c r="B89" s="140">
        <v>14</v>
      </c>
      <c r="C89" s="89" t="str">
        <f>LEFT(EmpGName14)&amp;" " &amp;EmpSName14</f>
        <v xml:space="preserve"> 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 hidden="1">
      <c r="B90" s="140">
        <v>15</v>
      </c>
      <c r="C90" s="88" t="str">
        <f>LEFT(EmpGName15)&amp;" " &amp;EmpSName15</f>
        <v xml:space="preserve"> 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 hidden="1">
      <c r="B91" s="140">
        <v>16</v>
      </c>
      <c r="C91" s="89" t="str">
        <f>LEFT(EmpGName16)&amp;" " &amp;EmpSName16</f>
        <v xml:space="preserve"> 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 hidden="1">
      <c r="B92" s="140">
        <v>17</v>
      </c>
      <c r="C92" s="88" t="str">
        <f>LEFT(EmpGName17)&amp;" " &amp;EmpSName17</f>
        <v xml:space="preserve"> 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 hidden="1">
      <c r="B93" s="140">
        <v>18</v>
      </c>
      <c r="C93" s="89" t="str">
        <f>LEFT(EmpGName18)&amp;" " &amp;EmpSName18</f>
        <v xml:space="preserve"> 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 hidden="1">
      <c r="B94" s="140">
        <v>19</v>
      </c>
      <c r="C94" s="88" t="str">
        <f>LEFT(EmpGName19)&amp;" " &amp;EmpSName19</f>
        <v xml:space="preserve"> 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 hidden="1">
      <c r="B95" s="140">
        <v>20</v>
      </c>
      <c r="C95" s="89" t="str">
        <f>LEFT(EmpGName20)&amp;" " &amp;EmpSName20</f>
        <v xml:space="preserve"> 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 hidden="1">
      <c r="B96" s="140">
        <v>21</v>
      </c>
      <c r="C96" s="88" t="str">
        <f>LEFT(EmpGName21)&amp;" " &amp;EmpSName21</f>
        <v xml:space="preserve"> 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 hidden="1">
      <c r="B97" s="140">
        <v>22</v>
      </c>
      <c r="C97" s="89" t="str">
        <f>LEFT(EmpGName22)&amp;" " &amp;EmpSName22</f>
        <v xml:space="preserve"> 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 hidden="1">
      <c r="B98" s="140">
        <v>23</v>
      </c>
      <c r="C98" s="88" t="str">
        <f>LEFT(EmpGName23)&amp;" " &amp;EmpSName23</f>
        <v xml:space="preserve"> 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 hidden="1">
      <c r="B99" s="140">
        <v>24</v>
      </c>
      <c r="C99" s="89" t="str">
        <f>LEFT(EmpGName24)&amp;" " &amp;EmpSName24</f>
        <v xml:space="preserve"> 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 hidden="1">
      <c r="B100" s="140">
        <v>25</v>
      </c>
      <c r="C100" s="88" t="str">
        <f>LEFT(EmpGName25)&amp;" " &amp;EmpSName25</f>
        <v xml:space="preserve"> 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 hidden="1">
      <c r="B101" s="140">
        <v>26</v>
      </c>
      <c r="C101" s="89" t="str">
        <f>LEFT(EmpGName26)&amp;" " &amp;EmpSName26</f>
        <v xml:space="preserve"> 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 hidden="1">
      <c r="B102" s="140">
        <v>27</v>
      </c>
      <c r="C102" s="88" t="str">
        <f>LEFT(EmpGName27)&amp;" " &amp;EmpSName27</f>
        <v xml:space="preserve"> 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 hidden="1">
      <c r="B103" s="168">
        <v>28</v>
      </c>
      <c r="C103" s="169" t="str">
        <f>LEFT(EmpGName28)&amp;" " &amp;EmpSName28</f>
        <v xml:space="preserve"> </v>
      </c>
      <c r="D103" s="170" t="s">
        <v>62</v>
      </c>
      <c r="E103" s="170" t="s">
        <v>62</v>
      </c>
      <c r="F103" s="170" t="s">
        <v>62</v>
      </c>
      <c r="G103" s="170" t="s">
        <v>62</v>
      </c>
      <c r="H103" s="170" t="s">
        <v>62</v>
      </c>
      <c r="I103" s="170" t="s">
        <v>62</v>
      </c>
      <c r="J103" s="170" t="s">
        <v>62</v>
      </c>
      <c r="K103" s="170" t="s">
        <v>62</v>
      </c>
      <c r="L103" s="170" t="s">
        <v>62</v>
      </c>
      <c r="M103" s="170" t="s">
        <v>62</v>
      </c>
      <c r="N103" s="170" t="s">
        <v>62</v>
      </c>
      <c r="O103" s="170" t="s">
        <v>62</v>
      </c>
      <c r="P103" s="170" t="s">
        <v>62</v>
      </c>
      <c r="Q103" s="170" t="s">
        <v>62</v>
      </c>
      <c r="R103" s="170" t="s">
        <v>62</v>
      </c>
      <c r="S103" s="170" t="s">
        <v>62</v>
      </c>
      <c r="T103" s="170" t="s">
        <v>62</v>
      </c>
      <c r="U103" s="170" t="s">
        <v>62</v>
      </c>
      <c r="V103" s="170" t="s">
        <v>62</v>
      </c>
      <c r="W103" s="170" t="s">
        <v>62</v>
      </c>
      <c r="X103" s="170" t="s">
        <v>62</v>
      </c>
      <c r="Y103" s="170" t="s">
        <v>62</v>
      </c>
      <c r="Z103" s="170" t="s">
        <v>62</v>
      </c>
      <c r="AA103" s="170" t="s">
        <v>62</v>
      </c>
      <c r="AB103" s="170" t="s">
        <v>62</v>
      </c>
      <c r="AC103" s="170" t="s">
        <v>62</v>
      </c>
      <c r="AD103" s="170" t="s">
        <v>62</v>
      </c>
      <c r="AE103" s="170" t="s">
        <v>62</v>
      </c>
      <c r="AF103" s="170" t="s">
        <v>62</v>
      </c>
      <c r="AG103" s="170" t="s">
        <v>62</v>
      </c>
    </row>
    <row r="104" spans="2:34" s="2" customFormat="1">
      <c r="B104" s="166"/>
      <c r="C104" s="167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</row>
    <row r="105" spans="2:34">
      <c r="C105" s="192">
        <f>CurYear-1</f>
        <v>2019</v>
      </c>
      <c r="D105" s="5" t="str">
        <f t="shared" ref="D105:AG105" si="3">LEFT(TEXT(D106&amp;"-"&amp;$C106&amp;"-"&amp; CurYear-1,"ddd"),2)</f>
        <v>Tu</v>
      </c>
      <c r="E105" s="5" t="str">
        <f t="shared" si="3"/>
        <v>We</v>
      </c>
      <c r="F105" s="5" t="str">
        <f t="shared" si="3"/>
        <v>Th</v>
      </c>
      <c r="G105" s="5" t="str">
        <f t="shared" si="3"/>
        <v>Fr</v>
      </c>
      <c r="H105" s="5" t="str">
        <f t="shared" si="3"/>
        <v>Sa</v>
      </c>
      <c r="I105" s="5" t="str">
        <f t="shared" si="3"/>
        <v>Su</v>
      </c>
      <c r="J105" s="5" t="str">
        <f t="shared" si="3"/>
        <v>Mo</v>
      </c>
      <c r="K105" s="5" t="str">
        <f t="shared" si="3"/>
        <v>Tu</v>
      </c>
      <c r="L105" s="5" t="str">
        <f t="shared" si="3"/>
        <v>We</v>
      </c>
      <c r="M105" s="5" t="str">
        <f t="shared" si="3"/>
        <v>Th</v>
      </c>
      <c r="N105" s="5" t="str">
        <f t="shared" si="3"/>
        <v>Fr</v>
      </c>
      <c r="O105" s="5" t="str">
        <f t="shared" si="3"/>
        <v>Sa</v>
      </c>
      <c r="P105" s="5" t="str">
        <f t="shared" si="3"/>
        <v>Su</v>
      </c>
      <c r="Q105" s="5" t="str">
        <f t="shared" si="3"/>
        <v>Mo</v>
      </c>
      <c r="R105" s="5" t="str">
        <f t="shared" si="3"/>
        <v>Tu</v>
      </c>
      <c r="S105" s="5" t="str">
        <f t="shared" si="3"/>
        <v>We</v>
      </c>
      <c r="T105" s="5" t="str">
        <f t="shared" si="3"/>
        <v>Th</v>
      </c>
      <c r="U105" s="5" t="str">
        <f t="shared" si="3"/>
        <v>Fr</v>
      </c>
      <c r="V105" s="5" t="str">
        <f t="shared" si="3"/>
        <v>Sa</v>
      </c>
      <c r="W105" s="5" t="str">
        <f t="shared" si="3"/>
        <v>Su</v>
      </c>
      <c r="X105" s="5" t="str">
        <f t="shared" si="3"/>
        <v>Mo</v>
      </c>
      <c r="Y105" s="5" t="str">
        <f t="shared" si="3"/>
        <v>Tu</v>
      </c>
      <c r="Z105" s="5" t="str">
        <f t="shared" si="3"/>
        <v>We</v>
      </c>
      <c r="AA105" s="5" t="str">
        <f t="shared" si="3"/>
        <v>Th</v>
      </c>
      <c r="AB105" s="5" t="str">
        <f t="shared" si="3"/>
        <v>Fr</v>
      </c>
      <c r="AC105" s="5" t="str">
        <f t="shared" si="3"/>
        <v>Sa</v>
      </c>
      <c r="AD105" s="5" t="str">
        <f t="shared" si="3"/>
        <v>Su</v>
      </c>
      <c r="AE105" s="5" t="str">
        <f t="shared" si="3"/>
        <v>Mo</v>
      </c>
      <c r="AF105" s="5" t="str">
        <f t="shared" si="3"/>
        <v>Tu</v>
      </c>
      <c r="AG105" s="5" t="str">
        <f t="shared" si="3"/>
        <v>We</v>
      </c>
      <c r="AH105" s="5" t="str">
        <f>LEFT(TEXT(AH106&amp;"-"&amp;$C106&amp;"-"&amp; CurYear-1,"ddd"),2)</f>
        <v>Th</v>
      </c>
    </row>
    <row r="106" spans="2:34">
      <c r="B106" s="87"/>
      <c r="C106" s="193" t="s">
        <v>21</v>
      </c>
      <c r="D106" s="195">
        <v>1</v>
      </c>
      <c r="E106" s="195">
        <v>2</v>
      </c>
      <c r="F106" s="195">
        <v>3</v>
      </c>
      <c r="G106" s="195">
        <v>4</v>
      </c>
      <c r="H106" s="195">
        <v>5</v>
      </c>
      <c r="I106" s="195">
        <v>6</v>
      </c>
      <c r="J106" s="199">
        <v>7</v>
      </c>
      <c r="K106" s="195">
        <v>8</v>
      </c>
      <c r="L106" s="194">
        <v>9</v>
      </c>
      <c r="M106" s="195">
        <v>10</v>
      </c>
      <c r="N106" s="195">
        <v>11</v>
      </c>
      <c r="O106" s="195">
        <v>12</v>
      </c>
      <c r="P106" s="195">
        <v>13</v>
      </c>
      <c r="Q106" s="195">
        <v>14</v>
      </c>
      <c r="R106" s="195">
        <v>15</v>
      </c>
      <c r="S106" s="195">
        <v>16</v>
      </c>
      <c r="T106" s="195">
        <v>17</v>
      </c>
      <c r="U106" s="195">
        <v>18</v>
      </c>
      <c r="V106" s="195">
        <v>19</v>
      </c>
      <c r="W106" s="195">
        <v>20</v>
      </c>
      <c r="X106" s="195">
        <v>21</v>
      </c>
      <c r="Y106" s="195">
        <v>22</v>
      </c>
      <c r="Z106" s="194">
        <v>23</v>
      </c>
      <c r="AA106" s="195">
        <v>24</v>
      </c>
      <c r="AB106" s="195">
        <v>25</v>
      </c>
      <c r="AC106" s="195">
        <v>26</v>
      </c>
      <c r="AD106" s="195">
        <v>27</v>
      </c>
      <c r="AE106" s="195">
        <v>28</v>
      </c>
      <c r="AF106" s="195">
        <v>29</v>
      </c>
      <c r="AG106" s="195">
        <v>30</v>
      </c>
      <c r="AH106" s="195">
        <v>31</v>
      </c>
    </row>
    <row r="107" spans="2:34">
      <c r="B107" s="84">
        <v>1</v>
      </c>
      <c r="C107" s="88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4">
        <v>2</v>
      </c>
      <c r="C108" s="89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4">
        <v>3</v>
      </c>
      <c r="C109" s="88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4">
        <v>4</v>
      </c>
      <c r="C110" s="89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4">
        <v>5</v>
      </c>
      <c r="C111" s="88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4">
        <v>6</v>
      </c>
      <c r="C112" s="89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4">
        <v>7</v>
      </c>
      <c r="C113" s="88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 hidden="1">
      <c r="B114" s="84">
        <v>8</v>
      </c>
      <c r="C114" s="89" t="str">
        <f>LEFT(EmpGName08)&amp;" " &amp;EmpSName08</f>
        <v xml:space="preserve"> 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 hidden="1">
      <c r="B115" s="84">
        <v>9</v>
      </c>
      <c r="C115" s="88" t="str">
        <f>LEFT(EmpGName09)&amp;" " &amp;EmpSName09</f>
        <v xml:space="preserve"> 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 hidden="1">
      <c r="B116" s="140">
        <v>10</v>
      </c>
      <c r="C116" s="89" t="str">
        <f>LEFT(EmpGName10)&amp;" " &amp;EmpSName10</f>
        <v xml:space="preserve"> 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 hidden="1">
      <c r="B117" s="140">
        <v>11</v>
      </c>
      <c r="C117" s="88" t="str">
        <f>LEFT(EmpGName11)&amp;" " &amp;EmpSName11</f>
        <v xml:space="preserve"> 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 hidden="1">
      <c r="B118" s="140">
        <v>12</v>
      </c>
      <c r="C118" s="89" t="str">
        <f>LEFT(EmpGName12)&amp;" " &amp;EmpSName12</f>
        <v xml:space="preserve"> 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 hidden="1">
      <c r="B119" s="140">
        <v>13</v>
      </c>
      <c r="C119" s="88" t="str">
        <f>LEFT(EmpGName13)&amp;" " &amp;EmpSName13</f>
        <v xml:space="preserve"> 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 hidden="1">
      <c r="B120" s="140">
        <v>14</v>
      </c>
      <c r="C120" s="89" t="str">
        <f>LEFT(EmpGName14)&amp;" " &amp;EmpSName14</f>
        <v xml:space="preserve"> 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 hidden="1">
      <c r="B121" s="140">
        <v>15</v>
      </c>
      <c r="C121" s="88" t="str">
        <f>LEFT(EmpGName15)&amp;" " &amp;EmpSName15</f>
        <v xml:space="preserve"> 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 hidden="1">
      <c r="B122" s="140">
        <v>16</v>
      </c>
      <c r="C122" s="89" t="str">
        <f>LEFT(EmpGName16)&amp;" " &amp;EmpSName16</f>
        <v xml:space="preserve"> 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 hidden="1">
      <c r="B123" s="140">
        <v>17</v>
      </c>
      <c r="C123" s="88" t="str">
        <f>LEFT(EmpGName17)&amp;" " &amp;EmpSName17</f>
        <v xml:space="preserve"> 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 hidden="1">
      <c r="B124" s="140">
        <v>18</v>
      </c>
      <c r="C124" s="89" t="str">
        <f>LEFT(EmpGName18)&amp;" " &amp;EmpSName18</f>
        <v xml:space="preserve"> 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 hidden="1">
      <c r="B125" s="140">
        <v>19</v>
      </c>
      <c r="C125" s="88" t="str">
        <f>LEFT(EmpGName19)&amp;" " &amp;EmpSName19</f>
        <v xml:space="preserve"> 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 hidden="1">
      <c r="B126" s="140">
        <v>20</v>
      </c>
      <c r="C126" s="89" t="str">
        <f>LEFT(EmpGName20)&amp;" " &amp;EmpSName20</f>
        <v xml:space="preserve"> 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 hidden="1">
      <c r="B127" s="140">
        <v>21</v>
      </c>
      <c r="C127" s="88" t="str">
        <f>LEFT(EmpGName21)&amp;" " &amp;EmpSName21</f>
        <v xml:space="preserve"> 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 hidden="1">
      <c r="B128" s="140">
        <v>22</v>
      </c>
      <c r="C128" s="89" t="str">
        <f>LEFT(EmpGName22)&amp;" " &amp;EmpSName22</f>
        <v xml:space="preserve"> 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 hidden="1">
      <c r="B129" s="140">
        <v>23</v>
      </c>
      <c r="C129" s="88" t="str">
        <f>LEFT(EmpGName23)&amp;" " &amp;EmpSName23</f>
        <v xml:space="preserve"> 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 hidden="1">
      <c r="B130" s="140">
        <v>24</v>
      </c>
      <c r="C130" s="89" t="str">
        <f>LEFT(EmpGName24)&amp;" " &amp;EmpSName24</f>
        <v xml:space="preserve"> 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 hidden="1">
      <c r="B131" s="140">
        <v>25</v>
      </c>
      <c r="C131" s="88" t="str">
        <f>LEFT(EmpGName25)&amp;" " &amp;EmpSName25</f>
        <v xml:space="preserve"> 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 hidden="1">
      <c r="B132" s="140">
        <v>26</v>
      </c>
      <c r="C132" s="89" t="str">
        <f>LEFT(EmpGName26)&amp;" " &amp;EmpSName26</f>
        <v xml:space="preserve"> 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 hidden="1">
      <c r="B133" s="140">
        <v>27</v>
      </c>
      <c r="C133" s="88" t="str">
        <f>LEFT(EmpGName27)&amp;" " &amp;EmpSName27</f>
        <v xml:space="preserve"> 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 hidden="1">
      <c r="B134" s="140">
        <v>28</v>
      </c>
      <c r="C134" s="89" t="str">
        <f>LEFT(EmpGName28)&amp;" " &amp;EmpSName28</f>
        <v xml:space="preserve"> 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s="192">
        <f>CurYear-1</f>
        <v>2019</v>
      </c>
      <c r="D136" s="5" t="str">
        <f t="shared" ref="D136:AG136" si="4">LEFT(TEXT(D137&amp;"-"&amp;$C137&amp;"-"&amp; CurYear-1,"ddd"),2)</f>
        <v>Fr</v>
      </c>
      <c r="E136" s="5" t="str">
        <f t="shared" si="4"/>
        <v>Sa</v>
      </c>
      <c r="F136" s="5" t="str">
        <f t="shared" si="4"/>
        <v>Su</v>
      </c>
      <c r="G136" s="5" t="str">
        <f t="shared" si="4"/>
        <v>Mo</v>
      </c>
      <c r="H136" s="5" t="str">
        <f t="shared" si="4"/>
        <v>Tu</v>
      </c>
      <c r="I136" s="5" t="str">
        <f t="shared" si="4"/>
        <v>We</v>
      </c>
      <c r="J136" s="5" t="str">
        <f t="shared" si="4"/>
        <v>Th</v>
      </c>
      <c r="K136" s="5" t="str">
        <f t="shared" si="4"/>
        <v>Fr</v>
      </c>
      <c r="L136" s="5" t="str">
        <f t="shared" si="4"/>
        <v>Sa</v>
      </c>
      <c r="M136" s="5" t="str">
        <f t="shared" si="4"/>
        <v>Su</v>
      </c>
      <c r="N136" s="5" t="str">
        <f t="shared" si="4"/>
        <v>Mo</v>
      </c>
      <c r="O136" s="5" t="str">
        <f t="shared" si="4"/>
        <v>Tu</v>
      </c>
      <c r="P136" s="5" t="str">
        <f t="shared" si="4"/>
        <v>We</v>
      </c>
      <c r="Q136" s="5" t="str">
        <f t="shared" si="4"/>
        <v>Th</v>
      </c>
      <c r="R136" s="5" t="str">
        <f t="shared" si="4"/>
        <v>Fr</v>
      </c>
      <c r="S136" s="5" t="str">
        <f t="shared" si="4"/>
        <v>Sa</v>
      </c>
      <c r="T136" s="5" t="str">
        <f t="shared" si="4"/>
        <v>Su</v>
      </c>
      <c r="U136" s="5" t="str">
        <f t="shared" si="4"/>
        <v>Mo</v>
      </c>
      <c r="V136" s="5" t="str">
        <f t="shared" si="4"/>
        <v>Tu</v>
      </c>
      <c r="W136" s="5" t="str">
        <f t="shared" si="4"/>
        <v>We</v>
      </c>
      <c r="X136" s="5" t="str">
        <f t="shared" si="4"/>
        <v>Th</v>
      </c>
      <c r="Y136" s="5" t="str">
        <f t="shared" si="4"/>
        <v>Fr</v>
      </c>
      <c r="Z136" s="5" t="str">
        <f t="shared" si="4"/>
        <v>Sa</v>
      </c>
      <c r="AA136" s="5" t="str">
        <f t="shared" si="4"/>
        <v>Su</v>
      </c>
      <c r="AB136" s="5" t="str">
        <f t="shared" si="4"/>
        <v>Mo</v>
      </c>
      <c r="AC136" s="5" t="str">
        <f t="shared" si="4"/>
        <v>Tu</v>
      </c>
      <c r="AD136" s="5" t="str">
        <f t="shared" si="4"/>
        <v>We</v>
      </c>
      <c r="AE136" s="5" t="str">
        <f t="shared" si="4"/>
        <v>Th</v>
      </c>
      <c r="AF136" s="5" t="str">
        <f t="shared" si="4"/>
        <v>Fr</v>
      </c>
      <c r="AG136" s="5" t="str">
        <f t="shared" si="4"/>
        <v>Sa</v>
      </c>
      <c r="AH136" s="5"/>
    </row>
    <row r="137" spans="2:34">
      <c r="B137" s="87"/>
      <c r="C137" s="193" t="s">
        <v>22</v>
      </c>
      <c r="D137" s="195">
        <v>1</v>
      </c>
      <c r="E137" s="195">
        <v>2</v>
      </c>
      <c r="F137" s="195">
        <v>3</v>
      </c>
      <c r="G137" s="195">
        <v>4</v>
      </c>
      <c r="H137" s="195">
        <v>5</v>
      </c>
      <c r="I137" s="194">
        <v>6</v>
      </c>
      <c r="J137" s="195">
        <v>7</v>
      </c>
      <c r="K137" s="195">
        <v>8</v>
      </c>
      <c r="L137" s="195">
        <v>9</v>
      </c>
      <c r="M137" s="195">
        <v>10</v>
      </c>
      <c r="N137" s="195">
        <v>11</v>
      </c>
      <c r="O137" s="195">
        <v>12</v>
      </c>
      <c r="P137" s="195">
        <v>13</v>
      </c>
      <c r="Q137" s="195">
        <v>14</v>
      </c>
      <c r="R137" s="195">
        <v>15</v>
      </c>
      <c r="S137" s="195">
        <v>16</v>
      </c>
      <c r="T137" s="195">
        <v>17</v>
      </c>
      <c r="U137" s="195">
        <v>18</v>
      </c>
      <c r="V137" s="195">
        <v>19</v>
      </c>
      <c r="W137" s="194">
        <v>20</v>
      </c>
      <c r="X137" s="195">
        <v>21</v>
      </c>
      <c r="Y137" s="195">
        <v>22</v>
      </c>
      <c r="Z137" s="195">
        <v>23</v>
      </c>
      <c r="AA137" s="195">
        <v>24</v>
      </c>
      <c r="AB137" s="195">
        <v>25</v>
      </c>
      <c r="AC137" s="195">
        <v>26</v>
      </c>
      <c r="AD137" s="195">
        <v>27</v>
      </c>
      <c r="AE137" s="195">
        <v>28</v>
      </c>
      <c r="AF137" s="195">
        <v>29</v>
      </c>
      <c r="AG137" s="195">
        <v>30</v>
      </c>
    </row>
    <row r="138" spans="2:34">
      <c r="B138" s="84">
        <v>1</v>
      </c>
      <c r="C138" s="88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4">
        <v>2</v>
      </c>
      <c r="C139" s="89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4">
        <v>3</v>
      </c>
      <c r="C140" s="88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4">
        <v>4</v>
      </c>
      <c r="C141" s="89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4">
        <v>5</v>
      </c>
      <c r="C142" s="88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4">
        <v>6</v>
      </c>
      <c r="C143" s="89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4">
        <v>7</v>
      </c>
      <c r="C144" s="88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 hidden="1">
      <c r="B145" s="84">
        <v>8</v>
      </c>
      <c r="C145" s="89" t="str">
        <f>LEFT(EmpGName08)&amp;" " &amp;EmpSName08</f>
        <v xml:space="preserve"> 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 hidden="1">
      <c r="B146" s="84">
        <v>9</v>
      </c>
      <c r="C146" s="88" t="str">
        <f>LEFT(EmpGName09)&amp;" " &amp;EmpSName09</f>
        <v xml:space="preserve"> 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 hidden="1">
      <c r="B147" s="140">
        <v>10</v>
      </c>
      <c r="C147" s="89" t="str">
        <f>LEFT(EmpGName10)&amp;" " &amp;EmpSName10</f>
        <v xml:space="preserve"> 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 hidden="1">
      <c r="B148" s="140">
        <v>11</v>
      </c>
      <c r="C148" s="88" t="str">
        <f>LEFT(EmpGName11)&amp;" " &amp;EmpSName11</f>
        <v xml:space="preserve"> 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 hidden="1">
      <c r="B149" s="140">
        <v>12</v>
      </c>
      <c r="C149" s="89" t="str">
        <f>LEFT(EmpGName12)&amp;" " &amp;EmpSName12</f>
        <v xml:space="preserve"> 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 hidden="1">
      <c r="B150" s="140">
        <v>13</v>
      </c>
      <c r="C150" s="88" t="str">
        <f>LEFT(EmpGName13)&amp;" " &amp;EmpSName13</f>
        <v xml:space="preserve"> 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 hidden="1">
      <c r="B151" s="140">
        <v>14</v>
      </c>
      <c r="C151" s="89" t="str">
        <f>LEFT(EmpGName14)&amp;" " &amp;EmpSName14</f>
        <v xml:space="preserve"> 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 hidden="1">
      <c r="B152" s="140">
        <v>15</v>
      </c>
      <c r="C152" s="88" t="str">
        <f>LEFT(EmpGName15)&amp;" " &amp;EmpSName15</f>
        <v xml:space="preserve"> 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 hidden="1">
      <c r="B153" s="140">
        <v>16</v>
      </c>
      <c r="C153" s="89" t="str">
        <f>LEFT(EmpGName16)&amp;" " &amp;EmpSName16</f>
        <v xml:space="preserve"> 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 hidden="1">
      <c r="B154" s="140">
        <v>17</v>
      </c>
      <c r="C154" s="88" t="str">
        <f>LEFT(EmpGName17)&amp;" " &amp;EmpSName17</f>
        <v xml:space="preserve"> 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 hidden="1">
      <c r="B155" s="140">
        <v>18</v>
      </c>
      <c r="C155" s="89" t="str">
        <f>LEFT(EmpGName18)&amp;" " &amp;EmpSName18</f>
        <v xml:space="preserve"> 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 hidden="1">
      <c r="B156" s="140">
        <v>19</v>
      </c>
      <c r="C156" s="88" t="str">
        <f>LEFT(EmpGName19)&amp;" " &amp;EmpSName19</f>
        <v xml:space="preserve"> 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 hidden="1">
      <c r="B157" s="140">
        <v>20</v>
      </c>
      <c r="C157" s="89" t="str">
        <f>LEFT(EmpGName20)&amp;" " &amp;EmpSName20</f>
        <v xml:space="preserve"> 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 hidden="1">
      <c r="B158" s="140">
        <v>21</v>
      </c>
      <c r="C158" s="88" t="str">
        <f>LEFT(EmpGName21)&amp;" " &amp;EmpSName21</f>
        <v xml:space="preserve"> 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 hidden="1">
      <c r="B159" s="140">
        <v>22</v>
      </c>
      <c r="C159" s="89" t="str">
        <f>LEFT(EmpGName22)&amp;" " &amp;EmpSName22</f>
        <v xml:space="preserve"> 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 hidden="1">
      <c r="B160" s="140">
        <v>23</v>
      </c>
      <c r="C160" s="88" t="str">
        <f>LEFT(EmpGName23)&amp;" " &amp;EmpSName23</f>
        <v xml:space="preserve"> 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 hidden="1">
      <c r="B161" s="140">
        <v>24</v>
      </c>
      <c r="C161" s="89" t="str">
        <f>LEFT(EmpGName24)&amp;" " &amp;EmpSName24</f>
        <v xml:space="preserve"> 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 hidden="1">
      <c r="B162" s="140">
        <v>25</v>
      </c>
      <c r="C162" s="88" t="str">
        <f>LEFT(EmpGName25)&amp;" " &amp;EmpSName25</f>
        <v xml:space="preserve"> 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 hidden="1">
      <c r="B163" s="140">
        <v>26</v>
      </c>
      <c r="C163" s="89" t="str">
        <f>LEFT(EmpGName26)&amp;" " &amp;EmpSName26</f>
        <v xml:space="preserve"> 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 hidden="1">
      <c r="B164" s="140">
        <v>27</v>
      </c>
      <c r="C164" s="88" t="str">
        <f>LEFT(EmpGName27)&amp;" " &amp;EmpSName27</f>
        <v xml:space="preserve"> 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 hidden="1">
      <c r="B165" s="171">
        <v>28</v>
      </c>
      <c r="C165" s="172" t="str">
        <f>LEFT(EmpGName28)&amp;" " &amp;EmpSName28</f>
        <v xml:space="preserve"> </v>
      </c>
      <c r="D165" s="173" t="s">
        <v>62</v>
      </c>
      <c r="E165" s="173" t="s">
        <v>62</v>
      </c>
      <c r="F165" s="173" t="s">
        <v>62</v>
      </c>
      <c r="G165" s="173" t="s">
        <v>62</v>
      </c>
      <c r="H165" s="173" t="s">
        <v>62</v>
      </c>
      <c r="I165" s="173" t="s">
        <v>62</v>
      </c>
      <c r="J165" s="173" t="s">
        <v>62</v>
      </c>
      <c r="K165" s="173" t="s">
        <v>62</v>
      </c>
      <c r="L165" s="173" t="s">
        <v>62</v>
      </c>
      <c r="M165" s="173" t="s">
        <v>62</v>
      </c>
      <c r="N165" s="173" t="s">
        <v>62</v>
      </c>
      <c r="O165" s="173" t="s">
        <v>62</v>
      </c>
      <c r="P165" s="173" t="s">
        <v>62</v>
      </c>
      <c r="Q165" s="173" t="s">
        <v>62</v>
      </c>
      <c r="R165" s="173" t="s">
        <v>62</v>
      </c>
      <c r="S165" s="173" t="s">
        <v>62</v>
      </c>
      <c r="T165" s="173" t="s">
        <v>62</v>
      </c>
      <c r="U165" s="173" t="s">
        <v>62</v>
      </c>
      <c r="V165" s="173" t="s">
        <v>62</v>
      </c>
      <c r="W165" s="173" t="s">
        <v>62</v>
      </c>
      <c r="X165" s="173" t="s">
        <v>62</v>
      </c>
      <c r="Y165" s="173" t="s">
        <v>62</v>
      </c>
      <c r="Z165" s="173" t="s">
        <v>62</v>
      </c>
      <c r="AA165" s="173" t="s">
        <v>62</v>
      </c>
      <c r="AB165" s="173" t="s">
        <v>62</v>
      </c>
      <c r="AC165" s="173" t="s">
        <v>62</v>
      </c>
      <c r="AD165" s="173" t="s">
        <v>62</v>
      </c>
      <c r="AE165" s="173" t="s">
        <v>62</v>
      </c>
      <c r="AF165" s="173" t="s">
        <v>62</v>
      </c>
      <c r="AG165" s="173" t="s">
        <v>62</v>
      </c>
    </row>
    <row r="166" spans="2:34" s="2" customFormat="1">
      <c r="B166" s="174"/>
      <c r="C166" s="175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76"/>
      <c r="S166" s="176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176"/>
    </row>
    <row r="167" spans="2:34">
      <c r="C167" s="192">
        <f>CurYear-1</f>
        <v>2019</v>
      </c>
      <c r="D167" s="5" t="str">
        <f t="shared" ref="D167:AG167" si="5">LEFT(TEXT(D168&amp;"-"&amp;$C168&amp;"-"&amp; CurYear-1,"ddd"),2)</f>
        <v>Su</v>
      </c>
      <c r="E167" s="5" t="str">
        <f t="shared" si="5"/>
        <v>Mo</v>
      </c>
      <c r="F167" s="5" t="str">
        <f t="shared" si="5"/>
        <v>Tu</v>
      </c>
      <c r="G167" s="5" t="str">
        <f t="shared" si="5"/>
        <v>We</v>
      </c>
      <c r="H167" s="5" t="str">
        <f t="shared" si="5"/>
        <v>Th</v>
      </c>
      <c r="I167" s="5" t="str">
        <f t="shared" si="5"/>
        <v>Fr</v>
      </c>
      <c r="J167" s="5" t="str">
        <f t="shared" si="5"/>
        <v>Sa</v>
      </c>
      <c r="K167" s="5" t="str">
        <f t="shared" si="5"/>
        <v>Su</v>
      </c>
      <c r="L167" s="5" t="str">
        <f t="shared" si="5"/>
        <v>Mo</v>
      </c>
      <c r="M167" s="5" t="str">
        <f t="shared" si="5"/>
        <v>Tu</v>
      </c>
      <c r="N167" s="5" t="str">
        <f t="shared" si="5"/>
        <v>We</v>
      </c>
      <c r="O167" s="5" t="str">
        <f t="shared" si="5"/>
        <v>Th</v>
      </c>
      <c r="P167" s="5" t="str">
        <f t="shared" si="5"/>
        <v>Fr</v>
      </c>
      <c r="Q167" s="5" t="str">
        <f t="shared" si="5"/>
        <v>Sa</v>
      </c>
      <c r="R167" s="5" t="str">
        <f t="shared" si="5"/>
        <v>Su</v>
      </c>
      <c r="S167" s="5" t="str">
        <f t="shared" si="5"/>
        <v>Mo</v>
      </c>
      <c r="T167" s="5" t="str">
        <f t="shared" si="5"/>
        <v>Tu</v>
      </c>
      <c r="U167" s="5" t="str">
        <f t="shared" si="5"/>
        <v>We</v>
      </c>
      <c r="V167" s="5" t="str">
        <f t="shared" si="5"/>
        <v>Th</v>
      </c>
      <c r="W167" s="5" t="str">
        <f t="shared" si="5"/>
        <v>Fr</v>
      </c>
      <c r="X167" s="5" t="str">
        <f t="shared" si="5"/>
        <v>Sa</v>
      </c>
      <c r="Y167" s="5" t="str">
        <f t="shared" si="5"/>
        <v>Su</v>
      </c>
      <c r="Z167" s="5" t="str">
        <f t="shared" si="5"/>
        <v>Mo</v>
      </c>
      <c r="AA167" s="5" t="str">
        <f t="shared" si="5"/>
        <v>Tu</v>
      </c>
      <c r="AB167" s="5" t="str">
        <f t="shared" si="5"/>
        <v>We</v>
      </c>
      <c r="AC167" s="5" t="str">
        <f t="shared" si="5"/>
        <v>Th</v>
      </c>
      <c r="AD167" s="5" t="str">
        <f t="shared" si="5"/>
        <v>Fr</v>
      </c>
      <c r="AE167" s="5" t="str">
        <f t="shared" si="5"/>
        <v>Sa</v>
      </c>
      <c r="AF167" s="5" t="str">
        <f t="shared" si="5"/>
        <v>Su</v>
      </c>
      <c r="AG167" s="5" t="str">
        <f t="shared" si="5"/>
        <v>Mo</v>
      </c>
      <c r="AH167" s="5" t="str">
        <f>LEFT(TEXT(AH168&amp;"-"&amp;$C168&amp;"-"&amp; CurYear-1,"ddd"),2)</f>
        <v>Tu</v>
      </c>
    </row>
    <row r="168" spans="2:34">
      <c r="B168" s="87"/>
      <c r="C168" s="193" t="s">
        <v>23</v>
      </c>
      <c r="D168" s="195">
        <v>1</v>
      </c>
      <c r="E168" s="195">
        <v>2</v>
      </c>
      <c r="F168" s="195">
        <v>3</v>
      </c>
      <c r="G168" s="194">
        <v>4</v>
      </c>
      <c r="H168" s="195">
        <v>5</v>
      </c>
      <c r="I168" s="195">
        <v>6</v>
      </c>
      <c r="J168" s="195">
        <v>7</v>
      </c>
      <c r="K168" s="195">
        <v>8</v>
      </c>
      <c r="L168" s="195">
        <v>9</v>
      </c>
      <c r="M168" s="195">
        <v>10</v>
      </c>
      <c r="N168" s="195">
        <v>11</v>
      </c>
      <c r="O168" s="195">
        <v>12</v>
      </c>
      <c r="P168" s="195">
        <v>13</v>
      </c>
      <c r="Q168" s="195">
        <v>14</v>
      </c>
      <c r="R168" s="195">
        <v>15</v>
      </c>
      <c r="S168" s="195">
        <v>16</v>
      </c>
      <c r="T168" s="195">
        <v>17</v>
      </c>
      <c r="U168" s="194">
        <v>18</v>
      </c>
      <c r="V168" s="195">
        <v>19</v>
      </c>
      <c r="W168" s="195">
        <v>20</v>
      </c>
      <c r="X168" s="195">
        <v>21</v>
      </c>
      <c r="Y168" s="195">
        <v>22</v>
      </c>
      <c r="Z168" s="195">
        <v>23</v>
      </c>
      <c r="AA168" s="199">
        <v>24</v>
      </c>
      <c r="AB168" s="199">
        <v>25</v>
      </c>
      <c r="AC168" s="199">
        <v>26</v>
      </c>
      <c r="AD168" s="195">
        <v>27</v>
      </c>
      <c r="AE168" s="195">
        <v>28</v>
      </c>
      <c r="AF168" s="195">
        <v>29</v>
      </c>
      <c r="AG168" s="195">
        <v>30</v>
      </c>
      <c r="AH168" s="199">
        <v>31</v>
      </c>
    </row>
    <row r="169" spans="2:34">
      <c r="B169" s="84">
        <v>1</v>
      </c>
      <c r="C169" s="88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4">
        <v>2</v>
      </c>
      <c r="C170" s="89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4">
        <v>3</v>
      </c>
      <c r="C171" s="88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4">
        <v>4</v>
      </c>
      <c r="C172" s="89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4">
        <v>5</v>
      </c>
      <c r="C173" s="88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4">
        <v>6</v>
      </c>
      <c r="C174" s="89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4">
        <v>7</v>
      </c>
      <c r="C175" s="88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 hidden="1">
      <c r="B176" s="84">
        <v>8</v>
      </c>
      <c r="C176" s="89" t="str">
        <f>LEFT(EmpGName08)&amp;" " &amp;EmpSName08</f>
        <v xml:space="preserve"> 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 hidden="1">
      <c r="B177" s="84">
        <v>9</v>
      </c>
      <c r="C177" s="88" t="str">
        <f>LEFT(EmpGName09)&amp;" " &amp;EmpSName09</f>
        <v xml:space="preserve"> 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 hidden="1">
      <c r="B178" s="140">
        <v>10</v>
      </c>
      <c r="C178" s="89" t="str">
        <f>LEFT(EmpGName10)&amp;" " &amp;EmpSName10</f>
        <v xml:space="preserve"> 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 hidden="1">
      <c r="B179" s="140">
        <v>11</v>
      </c>
      <c r="C179" s="88" t="str">
        <f>LEFT(EmpGName11)&amp;" " &amp;EmpSName11</f>
        <v xml:space="preserve"> 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 hidden="1">
      <c r="B180" s="140">
        <v>12</v>
      </c>
      <c r="C180" s="89" t="str">
        <f>LEFT(EmpGName12)&amp;" " &amp;EmpSName12</f>
        <v xml:space="preserve"> 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 hidden="1">
      <c r="B181" s="140">
        <v>13</v>
      </c>
      <c r="C181" s="88" t="str">
        <f>LEFT(EmpGName13)&amp;" " &amp;EmpSName13</f>
        <v xml:space="preserve"> 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 hidden="1">
      <c r="B182" s="140">
        <v>14</v>
      </c>
      <c r="C182" s="89" t="str">
        <f>LEFT(EmpGName14)&amp;" " &amp;EmpSName14</f>
        <v xml:space="preserve"> 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 hidden="1">
      <c r="B183" s="140">
        <v>15</v>
      </c>
      <c r="C183" s="88" t="str">
        <f>LEFT(EmpGName15)&amp;" " &amp;EmpSName15</f>
        <v xml:space="preserve"> 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 hidden="1">
      <c r="B184" s="140">
        <v>16</v>
      </c>
      <c r="C184" s="89" t="str">
        <f>LEFT(EmpGName16)&amp;" " &amp;EmpSName16</f>
        <v xml:space="preserve"> 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 hidden="1">
      <c r="B185" s="140">
        <v>17</v>
      </c>
      <c r="C185" s="88" t="str">
        <f>LEFT(EmpGName17)&amp;" " &amp;EmpSName17</f>
        <v xml:space="preserve"> 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 hidden="1">
      <c r="B186" s="140">
        <v>18</v>
      </c>
      <c r="C186" s="89" t="str">
        <f>LEFT(EmpGName18)&amp;" " &amp;EmpSName18</f>
        <v xml:space="preserve"> 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 hidden="1">
      <c r="B187" s="140">
        <v>19</v>
      </c>
      <c r="C187" s="88" t="str">
        <f>LEFT(EmpGName19)&amp;" " &amp;EmpSName19</f>
        <v xml:space="preserve"> 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 hidden="1">
      <c r="B188" s="140">
        <v>20</v>
      </c>
      <c r="C188" s="89" t="str">
        <f>LEFT(EmpGName20)&amp;" " &amp;EmpSName20</f>
        <v xml:space="preserve"> 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 hidden="1">
      <c r="B189" s="140">
        <v>21</v>
      </c>
      <c r="C189" s="88" t="str">
        <f>LEFT(EmpGName21)&amp;" " &amp;EmpSName21</f>
        <v xml:space="preserve"> 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 hidden="1">
      <c r="B190" s="140">
        <v>22</v>
      </c>
      <c r="C190" s="89" t="str">
        <f>LEFT(EmpGName22)&amp;" " &amp;EmpSName22</f>
        <v xml:space="preserve"> 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 hidden="1">
      <c r="B191" s="140">
        <v>23</v>
      </c>
      <c r="C191" s="88" t="str">
        <f>LEFT(EmpGName23)&amp;" " &amp;EmpSName23</f>
        <v xml:space="preserve"> 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 hidden="1">
      <c r="B192" s="140">
        <v>24</v>
      </c>
      <c r="C192" s="89" t="str">
        <f>LEFT(EmpGName24)&amp;" " &amp;EmpSName24</f>
        <v xml:space="preserve"> 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 hidden="1">
      <c r="B193" s="140">
        <v>25</v>
      </c>
      <c r="C193" s="88" t="str">
        <f>LEFT(EmpGName25)&amp;" " &amp;EmpSName25</f>
        <v xml:space="preserve"> 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 hidden="1">
      <c r="B194" s="140">
        <v>26</v>
      </c>
      <c r="C194" s="89" t="str">
        <f>LEFT(EmpGName26)&amp;" " &amp;EmpSName26</f>
        <v xml:space="preserve"> 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 hidden="1">
      <c r="B195" s="140">
        <v>27</v>
      </c>
      <c r="C195" s="88" t="str">
        <f>LEFT(EmpGName27)&amp;" " &amp;EmpSName27</f>
        <v xml:space="preserve"> 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 hidden="1">
      <c r="B196" s="140">
        <v>28</v>
      </c>
      <c r="C196" s="89" t="str">
        <f>LEFT(EmpGName28)&amp;" " &amp;EmpSName28</f>
        <v xml:space="preserve"> 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s="192" t="str">
        <f>CurYear</f>
        <v>2020</v>
      </c>
      <c r="D198" s="5" t="str">
        <f t="shared" ref="D198:AH198" si="6">LEFT(TEXT(D199&amp;"-"&amp;$C$199&amp;"-"&amp;CurYear,"ddd"),2)</f>
        <v>We</v>
      </c>
      <c r="E198" s="5" t="str">
        <f t="shared" si="6"/>
        <v>Th</v>
      </c>
      <c r="F198" s="5" t="str">
        <f t="shared" si="6"/>
        <v>Fr</v>
      </c>
      <c r="G198" s="5" t="str">
        <f t="shared" si="6"/>
        <v>Sa</v>
      </c>
      <c r="H198" s="5" t="str">
        <f t="shared" si="6"/>
        <v>Su</v>
      </c>
      <c r="I198" s="5" t="str">
        <f t="shared" si="6"/>
        <v>Mo</v>
      </c>
      <c r="J198" s="5" t="str">
        <f t="shared" si="6"/>
        <v>Tu</v>
      </c>
      <c r="K198" s="5" t="str">
        <f t="shared" si="6"/>
        <v>We</v>
      </c>
      <c r="L198" s="5" t="str">
        <f t="shared" si="6"/>
        <v>Th</v>
      </c>
      <c r="M198" s="5" t="str">
        <f t="shared" si="6"/>
        <v>Fr</v>
      </c>
      <c r="N198" s="5" t="str">
        <f t="shared" si="6"/>
        <v>Sa</v>
      </c>
      <c r="O198" s="5" t="str">
        <f t="shared" si="6"/>
        <v>Su</v>
      </c>
      <c r="P198" s="5" t="str">
        <f t="shared" si="6"/>
        <v>Mo</v>
      </c>
      <c r="Q198" s="5" t="str">
        <f t="shared" si="6"/>
        <v>Tu</v>
      </c>
      <c r="R198" s="5" t="str">
        <f t="shared" si="6"/>
        <v>We</v>
      </c>
      <c r="S198" s="5" t="str">
        <f t="shared" si="6"/>
        <v>Th</v>
      </c>
      <c r="T198" s="5" t="str">
        <f t="shared" si="6"/>
        <v>Fr</v>
      </c>
      <c r="U198" s="5" t="str">
        <f t="shared" si="6"/>
        <v>Sa</v>
      </c>
      <c r="V198" s="5" t="str">
        <f t="shared" si="6"/>
        <v>Su</v>
      </c>
      <c r="W198" s="5" t="str">
        <f t="shared" si="6"/>
        <v>Mo</v>
      </c>
      <c r="X198" s="5" t="str">
        <f t="shared" si="6"/>
        <v>Tu</v>
      </c>
      <c r="Y198" s="5" t="str">
        <f t="shared" si="6"/>
        <v>We</v>
      </c>
      <c r="Z198" s="5" t="str">
        <f t="shared" si="6"/>
        <v>Th</v>
      </c>
      <c r="AA198" s="5" t="str">
        <f t="shared" si="6"/>
        <v>Fr</v>
      </c>
      <c r="AB198" s="5" t="str">
        <f t="shared" si="6"/>
        <v>Sa</v>
      </c>
      <c r="AC198" s="5" t="str">
        <f t="shared" si="6"/>
        <v>Su</v>
      </c>
      <c r="AD198" s="5" t="str">
        <f t="shared" si="6"/>
        <v>Mo</v>
      </c>
      <c r="AE198" s="5" t="str">
        <f t="shared" si="6"/>
        <v>Tu</v>
      </c>
      <c r="AF198" s="5" t="str">
        <f t="shared" si="6"/>
        <v>We</v>
      </c>
      <c r="AG198" s="5" t="str">
        <f t="shared" si="6"/>
        <v>Th</v>
      </c>
      <c r="AH198" s="5" t="str">
        <f t="shared" si="6"/>
        <v>Fr</v>
      </c>
    </row>
    <row r="199" spans="2:34">
      <c r="B199" s="85"/>
      <c r="C199" s="193" t="s">
        <v>8</v>
      </c>
      <c r="D199" s="198">
        <v>1</v>
      </c>
      <c r="E199" s="195">
        <v>2</v>
      </c>
      <c r="F199" s="195">
        <v>3</v>
      </c>
      <c r="G199" s="195">
        <v>4</v>
      </c>
      <c r="H199" s="195">
        <v>5</v>
      </c>
      <c r="I199" s="195">
        <v>6</v>
      </c>
      <c r="J199" s="195">
        <v>7</v>
      </c>
      <c r="K199" s="195">
        <v>8</v>
      </c>
      <c r="L199" s="195">
        <v>9</v>
      </c>
      <c r="M199" s="195">
        <v>10</v>
      </c>
      <c r="N199" s="195">
        <v>11</v>
      </c>
      <c r="O199" s="195">
        <v>12</v>
      </c>
      <c r="P199" s="195">
        <v>13</v>
      </c>
      <c r="Q199" s="195">
        <v>14</v>
      </c>
      <c r="R199" s="194">
        <v>15</v>
      </c>
      <c r="S199" s="195">
        <v>16</v>
      </c>
      <c r="T199" s="195">
        <v>17</v>
      </c>
      <c r="U199" s="195">
        <v>18</v>
      </c>
      <c r="V199" s="195">
        <v>19</v>
      </c>
      <c r="W199" s="195">
        <v>20</v>
      </c>
      <c r="X199" s="195">
        <v>21</v>
      </c>
      <c r="Y199" s="195">
        <v>22</v>
      </c>
      <c r="Z199" s="195">
        <v>23</v>
      </c>
      <c r="AA199" s="195">
        <v>24</v>
      </c>
      <c r="AB199" s="195">
        <v>25</v>
      </c>
      <c r="AC199" s="199">
        <v>26</v>
      </c>
      <c r="AD199" s="195">
        <v>27</v>
      </c>
      <c r="AE199" s="195">
        <v>28</v>
      </c>
      <c r="AF199" s="194">
        <v>29</v>
      </c>
      <c r="AG199" s="195">
        <v>30</v>
      </c>
      <c r="AH199" s="195">
        <v>31</v>
      </c>
    </row>
    <row r="200" spans="2:34">
      <c r="B200" s="83">
        <v>1</v>
      </c>
      <c r="C200" s="88" t="str">
        <f>LEFT(EmpGName01)&amp;" " &amp; EmpSName01</f>
        <v>L Marampon</v>
      </c>
      <c r="D200" s="82" t="s">
        <v>62</v>
      </c>
      <c r="E200" s="82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3">
        <v>2</v>
      </c>
      <c r="C201" s="89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3">
        <v>3</v>
      </c>
      <c r="C202" s="88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3">
        <v>4</v>
      </c>
      <c r="C203" s="89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3">
        <v>5</v>
      </c>
      <c r="C204" s="88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3">
        <v>6</v>
      </c>
      <c r="C205" s="89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3">
        <v>7</v>
      </c>
      <c r="C206" s="88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 hidden="1">
      <c r="B207" s="83">
        <v>8</v>
      </c>
      <c r="C207" s="89" t="str">
        <f>LEFT(EmpGName08)&amp;" " &amp;EmpSName08</f>
        <v xml:space="preserve"> 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 hidden="1">
      <c r="B208" s="83">
        <v>9</v>
      </c>
      <c r="C208" s="88" t="str">
        <f>LEFT(EmpGName09)&amp;" " &amp;EmpSName09</f>
        <v xml:space="preserve"> 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 hidden="1">
      <c r="B209" s="141">
        <v>10</v>
      </c>
      <c r="C209" s="90" t="str">
        <f>LEFT(EmpGName10)&amp;" " &amp;EmpSName10</f>
        <v xml:space="preserve"> 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 hidden="1">
      <c r="B210" s="141">
        <v>11</v>
      </c>
      <c r="C210" s="88" t="str">
        <f>LEFT(EmpGName11)&amp;" " &amp;EmpSName11</f>
        <v xml:space="preserve"> 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 hidden="1">
      <c r="B211" s="141">
        <v>12</v>
      </c>
      <c r="C211" s="90" t="str">
        <f>LEFT(EmpGName12)&amp;" " &amp;EmpSName12</f>
        <v xml:space="preserve"> 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 hidden="1">
      <c r="B212" s="140">
        <v>13</v>
      </c>
      <c r="C212" s="88" t="str">
        <f>LEFT(EmpGName13)&amp;" " &amp;EmpSName13</f>
        <v xml:space="preserve"> 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 hidden="1">
      <c r="B213" s="140">
        <v>14</v>
      </c>
      <c r="C213" s="89" t="str">
        <f>LEFT(EmpGName14)&amp;" " &amp;EmpSName14</f>
        <v xml:space="preserve"> 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 hidden="1">
      <c r="B214" s="140">
        <v>15</v>
      </c>
      <c r="C214" s="88" t="str">
        <f>LEFT(EmpGName15)&amp;" " &amp;EmpSName15</f>
        <v xml:space="preserve"> 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 hidden="1">
      <c r="B215" s="140">
        <v>16</v>
      </c>
      <c r="C215" s="89" t="str">
        <f>LEFT(EmpGName16)&amp;" " &amp;EmpSName16</f>
        <v xml:space="preserve"> 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 hidden="1">
      <c r="B216" s="140">
        <v>17</v>
      </c>
      <c r="C216" s="88" t="str">
        <f>LEFT(EmpGName17)&amp;" " &amp;EmpSName17</f>
        <v xml:space="preserve"> 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 hidden="1">
      <c r="B217" s="140">
        <v>18</v>
      </c>
      <c r="C217" s="89" t="str">
        <f>LEFT(EmpGName18)&amp;" " &amp;EmpSName18</f>
        <v xml:space="preserve"> 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 hidden="1">
      <c r="B218" s="140">
        <v>19</v>
      </c>
      <c r="C218" s="88" t="str">
        <f>LEFT(EmpGName19)&amp;" " &amp;EmpSName19</f>
        <v xml:space="preserve"> 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 hidden="1">
      <c r="B219" s="140">
        <v>20</v>
      </c>
      <c r="C219" s="89" t="str">
        <f>LEFT(EmpGName20)&amp;" " &amp;EmpSName20</f>
        <v xml:space="preserve"> 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 hidden="1">
      <c r="B220" s="140">
        <v>21</v>
      </c>
      <c r="C220" s="88" t="str">
        <f>LEFT(EmpGName21)&amp;" " &amp;EmpSName21</f>
        <v xml:space="preserve"> 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 hidden="1">
      <c r="B221" s="140">
        <v>22</v>
      </c>
      <c r="C221" s="89" t="str">
        <f>LEFT(EmpGName22)&amp;" " &amp;EmpSName22</f>
        <v xml:space="preserve"> 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 hidden="1">
      <c r="B222" s="140">
        <v>23</v>
      </c>
      <c r="C222" s="88" t="str">
        <f>LEFT(EmpGName23)&amp;" " &amp;EmpSName23</f>
        <v xml:space="preserve"> 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 hidden="1">
      <c r="B223" s="140">
        <v>24</v>
      </c>
      <c r="C223" s="89" t="str">
        <f>LEFT(EmpGName24)&amp;" " &amp;EmpSName24</f>
        <v xml:space="preserve"> 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 hidden="1">
      <c r="B224" s="140">
        <v>25</v>
      </c>
      <c r="C224" s="88" t="str">
        <f>LEFT(EmpGName25)&amp;" " &amp;EmpSName25</f>
        <v xml:space="preserve"> 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 hidden="1">
      <c r="B225" s="140">
        <v>26</v>
      </c>
      <c r="C225" s="89" t="str">
        <f>LEFT(EmpGName26)&amp;" " &amp;EmpSName26</f>
        <v xml:space="preserve"> 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 hidden="1">
      <c r="B226" s="140">
        <v>27</v>
      </c>
      <c r="C226" s="88" t="str">
        <f>LEFT(EmpGName27)&amp;" " &amp;EmpSName27</f>
        <v xml:space="preserve"> 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 hidden="1">
      <c r="B227" s="140">
        <v>28</v>
      </c>
      <c r="C227" s="89" t="str">
        <f>LEFT(EmpGName28)&amp;" " &amp;EmpSName28</f>
        <v xml:space="preserve"> 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s="192" t="str">
        <f>CurYear</f>
        <v>2020</v>
      </c>
      <c r="D229" s="5" t="str">
        <f t="shared" ref="D229:AF229" si="7">LEFT(TEXT(D230&amp;"-"&amp;$C$230&amp;"-"&amp;CurYear,"ddd"),2)</f>
        <v>Sa</v>
      </c>
      <c r="E229" s="5" t="str">
        <f t="shared" si="7"/>
        <v>Su</v>
      </c>
      <c r="F229" s="5" t="str">
        <f t="shared" si="7"/>
        <v>Mo</v>
      </c>
      <c r="G229" s="5" t="str">
        <f t="shared" si="7"/>
        <v>Tu</v>
      </c>
      <c r="H229" s="5" t="str">
        <f t="shared" si="7"/>
        <v>We</v>
      </c>
      <c r="I229" s="5" t="str">
        <f t="shared" si="7"/>
        <v>Th</v>
      </c>
      <c r="J229" s="5" t="str">
        <f t="shared" si="7"/>
        <v>Fr</v>
      </c>
      <c r="K229" s="5" t="str">
        <f t="shared" si="7"/>
        <v>Sa</v>
      </c>
      <c r="L229" s="5" t="str">
        <f t="shared" si="7"/>
        <v>Su</v>
      </c>
      <c r="M229" s="5" t="str">
        <f t="shared" si="7"/>
        <v>Mo</v>
      </c>
      <c r="N229" s="5" t="str">
        <f t="shared" si="7"/>
        <v>Tu</v>
      </c>
      <c r="O229" s="5" t="str">
        <f t="shared" si="7"/>
        <v>We</v>
      </c>
      <c r="P229" s="5" t="str">
        <f t="shared" si="7"/>
        <v>Th</v>
      </c>
      <c r="Q229" s="5" t="str">
        <f t="shared" si="7"/>
        <v>Fr</v>
      </c>
      <c r="R229" s="5" t="str">
        <f t="shared" si="7"/>
        <v>Sa</v>
      </c>
      <c r="S229" s="5" t="str">
        <f t="shared" si="7"/>
        <v>Su</v>
      </c>
      <c r="T229" s="5" t="str">
        <f t="shared" si="7"/>
        <v>Mo</v>
      </c>
      <c r="U229" s="5" t="str">
        <f t="shared" si="7"/>
        <v>Tu</v>
      </c>
      <c r="V229" s="5" t="str">
        <f t="shared" si="7"/>
        <v>We</v>
      </c>
      <c r="W229" s="5" t="str">
        <f t="shared" si="7"/>
        <v>Th</v>
      </c>
      <c r="X229" s="5" t="str">
        <f t="shared" si="7"/>
        <v>Fr</v>
      </c>
      <c r="Y229" s="5" t="str">
        <f t="shared" si="7"/>
        <v>Sa</v>
      </c>
      <c r="Z229" s="5" t="str">
        <f t="shared" si="7"/>
        <v>Su</v>
      </c>
      <c r="AA229" s="5" t="str">
        <f t="shared" si="7"/>
        <v>Mo</v>
      </c>
      <c r="AB229" s="5" t="str">
        <f t="shared" si="7"/>
        <v>Tu</v>
      </c>
      <c r="AC229" s="5" t="str">
        <f t="shared" si="7"/>
        <v>We</v>
      </c>
      <c r="AD229" s="5" t="str">
        <f t="shared" si="7"/>
        <v>Th</v>
      </c>
      <c r="AE229" s="5" t="str">
        <f t="shared" si="7"/>
        <v>Fr</v>
      </c>
      <c r="AF229" s="177" t="str">
        <f t="shared" si="7"/>
        <v>Sa</v>
      </c>
    </row>
    <row r="230" spans="2:34">
      <c r="B230" s="85"/>
      <c r="C230" s="193" t="s">
        <v>13</v>
      </c>
      <c r="D230" s="195">
        <v>1</v>
      </c>
      <c r="E230" s="195">
        <v>2</v>
      </c>
      <c r="F230" s="195">
        <v>3</v>
      </c>
      <c r="G230" s="195">
        <v>4</v>
      </c>
      <c r="H230" s="195">
        <v>5</v>
      </c>
      <c r="I230" s="195">
        <v>6</v>
      </c>
      <c r="J230" s="195">
        <v>7</v>
      </c>
      <c r="K230" s="195">
        <v>8</v>
      </c>
      <c r="L230" s="195">
        <v>9</v>
      </c>
      <c r="M230" s="195">
        <v>10</v>
      </c>
      <c r="N230" s="195">
        <v>11</v>
      </c>
      <c r="O230" s="194">
        <v>12</v>
      </c>
      <c r="P230" s="195">
        <v>13</v>
      </c>
      <c r="Q230" s="195">
        <v>14</v>
      </c>
      <c r="R230" s="195">
        <v>15</v>
      </c>
      <c r="S230" s="195">
        <v>16</v>
      </c>
      <c r="T230" s="195">
        <v>17</v>
      </c>
      <c r="U230" s="195">
        <v>18</v>
      </c>
      <c r="V230" s="195">
        <v>19</v>
      </c>
      <c r="W230" s="195">
        <v>20</v>
      </c>
      <c r="X230" s="195">
        <v>21</v>
      </c>
      <c r="Y230" s="195">
        <v>22</v>
      </c>
      <c r="Z230" s="195">
        <v>23</v>
      </c>
      <c r="AA230" s="195">
        <v>24</v>
      </c>
      <c r="AB230" s="195">
        <v>25</v>
      </c>
      <c r="AC230" s="194">
        <v>26</v>
      </c>
      <c r="AD230" s="195">
        <v>27</v>
      </c>
      <c r="AE230" s="196">
        <v>28</v>
      </c>
      <c r="AF230" s="197">
        <v>29</v>
      </c>
      <c r="AG230" s="1"/>
      <c r="AH230" s="1"/>
    </row>
    <row r="231" spans="2:34">
      <c r="B231" s="83">
        <v>1</v>
      </c>
      <c r="C231" s="88" t="str">
        <f>LEFT(EmpGName01)&amp;" " &amp; EmpSName01</f>
        <v>L Marampon</v>
      </c>
      <c r="D231" s="4" t="s">
        <v>62</v>
      </c>
      <c r="E231" s="82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189" t="s">
        <v>62</v>
      </c>
      <c r="AF231" s="178" t="s">
        <v>62</v>
      </c>
      <c r="AG231" s="2"/>
      <c r="AH231" s="2"/>
    </row>
    <row r="232" spans="2:34">
      <c r="B232" s="83">
        <v>2</v>
      </c>
      <c r="C232" s="89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190" t="s">
        <v>62</v>
      </c>
      <c r="AF232" s="179" t="s">
        <v>62</v>
      </c>
      <c r="AG232" s="2"/>
      <c r="AH232" s="2"/>
    </row>
    <row r="233" spans="2:34">
      <c r="B233" s="83">
        <v>3</v>
      </c>
      <c r="C233" s="88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189" t="s">
        <v>62</v>
      </c>
      <c r="AF233" s="178" t="s">
        <v>62</v>
      </c>
      <c r="AG233" s="2"/>
      <c r="AH233" s="2"/>
    </row>
    <row r="234" spans="2:34">
      <c r="B234" s="83">
        <v>4</v>
      </c>
      <c r="C234" s="89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190" t="s">
        <v>62</v>
      </c>
      <c r="AF234" s="179" t="s">
        <v>62</v>
      </c>
      <c r="AG234" s="2"/>
      <c r="AH234" s="2"/>
    </row>
    <row r="235" spans="2:34">
      <c r="B235" s="83">
        <v>5</v>
      </c>
      <c r="C235" s="88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189" t="s">
        <v>62</v>
      </c>
      <c r="AF235" s="178" t="s">
        <v>62</v>
      </c>
      <c r="AG235" s="2"/>
      <c r="AH235" s="2"/>
    </row>
    <row r="236" spans="2:34">
      <c r="B236" s="83">
        <v>6</v>
      </c>
      <c r="C236" s="89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190" t="s">
        <v>62</v>
      </c>
      <c r="AF236" s="179" t="s">
        <v>62</v>
      </c>
      <c r="AG236" s="2"/>
      <c r="AH236" s="2"/>
    </row>
    <row r="237" spans="2:34">
      <c r="B237" s="83">
        <v>7</v>
      </c>
      <c r="C237" s="88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189" t="s">
        <v>62</v>
      </c>
      <c r="AF237" s="178" t="s">
        <v>62</v>
      </c>
      <c r="AG237" s="2"/>
      <c r="AH237" s="2"/>
    </row>
    <row r="238" spans="2:34" hidden="1">
      <c r="B238" s="83">
        <v>8</v>
      </c>
      <c r="C238" s="89" t="str">
        <f>LEFT(EmpGName08)&amp;" " &amp;EmpSName08</f>
        <v xml:space="preserve"> 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190" t="s">
        <v>62</v>
      </c>
      <c r="AF238" s="179" t="s">
        <v>62</v>
      </c>
      <c r="AG238" s="2"/>
      <c r="AH238" s="2"/>
    </row>
    <row r="239" spans="2:34" hidden="1">
      <c r="B239" s="83">
        <v>9</v>
      </c>
      <c r="C239" s="88" t="str">
        <f>LEFT(EmpGName09)&amp;" " &amp;EmpSName09</f>
        <v xml:space="preserve"> 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189" t="s">
        <v>62</v>
      </c>
      <c r="AF239" s="178" t="s">
        <v>62</v>
      </c>
      <c r="AG239" s="2"/>
      <c r="AH239" s="2"/>
    </row>
    <row r="240" spans="2:34" hidden="1">
      <c r="B240" s="141">
        <v>10</v>
      </c>
      <c r="C240" s="90" t="str">
        <f>LEFT(EmpGName10)&amp;" " &amp;EmpSName10</f>
        <v xml:space="preserve"> 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191" t="s">
        <v>62</v>
      </c>
      <c r="AF240" s="179" t="s">
        <v>62</v>
      </c>
      <c r="AG240" s="2"/>
      <c r="AH240" s="2"/>
    </row>
    <row r="241" spans="2:34" hidden="1">
      <c r="B241" s="141">
        <v>11</v>
      </c>
      <c r="C241" s="88" t="str">
        <f>LEFT(EmpGName11)&amp;" " &amp;EmpSName11</f>
        <v xml:space="preserve"> 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189" t="s">
        <v>62</v>
      </c>
      <c r="AF241" s="178" t="s">
        <v>62</v>
      </c>
      <c r="AG241" s="2"/>
      <c r="AH241" s="2"/>
    </row>
    <row r="242" spans="2:34" hidden="1">
      <c r="B242" s="141">
        <v>12</v>
      </c>
      <c r="C242" s="90" t="str">
        <f>LEFT(EmpGName12)&amp;" " &amp;EmpSName12</f>
        <v xml:space="preserve"> 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191" t="s">
        <v>62</v>
      </c>
      <c r="AF242" s="179" t="s">
        <v>62</v>
      </c>
      <c r="AG242" s="2"/>
      <c r="AH242" s="2"/>
    </row>
    <row r="243" spans="2:34" hidden="1">
      <c r="B243" s="140">
        <v>13</v>
      </c>
      <c r="C243" s="88" t="str">
        <f>LEFT(EmpGName13)&amp;" " &amp;EmpSName13</f>
        <v xml:space="preserve"> 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189" t="s">
        <v>62</v>
      </c>
      <c r="AF243" s="178" t="s">
        <v>62</v>
      </c>
      <c r="AG243" s="2"/>
      <c r="AH243" s="2"/>
    </row>
    <row r="244" spans="2:34" hidden="1">
      <c r="B244" s="140">
        <v>14</v>
      </c>
      <c r="C244" s="89" t="str">
        <f>LEFT(EmpGName14)&amp;" " &amp;EmpSName14</f>
        <v xml:space="preserve"> 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190" t="s">
        <v>62</v>
      </c>
      <c r="AF244" s="179" t="s">
        <v>62</v>
      </c>
      <c r="AG244" s="2"/>
      <c r="AH244" s="2"/>
    </row>
    <row r="245" spans="2:34" hidden="1">
      <c r="B245" s="140">
        <v>15</v>
      </c>
      <c r="C245" s="88" t="str">
        <f>LEFT(EmpGName15)&amp;" " &amp;EmpSName15</f>
        <v xml:space="preserve"> 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189" t="s">
        <v>62</v>
      </c>
      <c r="AF245" s="178" t="s">
        <v>62</v>
      </c>
      <c r="AG245" s="2"/>
      <c r="AH245" s="2"/>
    </row>
    <row r="246" spans="2:34" hidden="1">
      <c r="B246" s="140">
        <v>16</v>
      </c>
      <c r="C246" s="89" t="str">
        <f>LEFT(EmpGName16)&amp;" " &amp;EmpSName16</f>
        <v xml:space="preserve"> 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190" t="s">
        <v>62</v>
      </c>
      <c r="AF246" s="179" t="s">
        <v>62</v>
      </c>
      <c r="AG246" s="2"/>
      <c r="AH246" s="2"/>
    </row>
    <row r="247" spans="2:34" hidden="1">
      <c r="B247" s="140">
        <v>17</v>
      </c>
      <c r="C247" s="88" t="str">
        <f>LEFT(EmpGName17)&amp;" " &amp;EmpSName17</f>
        <v xml:space="preserve"> 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189" t="s">
        <v>62</v>
      </c>
      <c r="AF247" s="178" t="s">
        <v>62</v>
      </c>
      <c r="AG247" s="2"/>
      <c r="AH247" s="2"/>
    </row>
    <row r="248" spans="2:34" hidden="1">
      <c r="B248" s="140">
        <v>18</v>
      </c>
      <c r="C248" s="89" t="str">
        <f>LEFT(EmpGName18)&amp;" " &amp;EmpSName18</f>
        <v xml:space="preserve"> 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190" t="s">
        <v>62</v>
      </c>
      <c r="AF248" s="179" t="s">
        <v>62</v>
      </c>
      <c r="AG248" s="2"/>
      <c r="AH248" s="2"/>
    </row>
    <row r="249" spans="2:34" hidden="1">
      <c r="B249" s="140">
        <v>19</v>
      </c>
      <c r="C249" s="88" t="str">
        <f>LEFT(EmpGName19)&amp;" " &amp;EmpSName19</f>
        <v xml:space="preserve"> 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189" t="s">
        <v>62</v>
      </c>
      <c r="AF249" s="178" t="s">
        <v>62</v>
      </c>
      <c r="AG249" s="2"/>
      <c r="AH249" s="2"/>
    </row>
    <row r="250" spans="2:34" hidden="1">
      <c r="B250" s="140">
        <v>20</v>
      </c>
      <c r="C250" s="89" t="str">
        <f>LEFT(EmpGName20)&amp;" " &amp;EmpSName20</f>
        <v xml:space="preserve"> 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190" t="s">
        <v>62</v>
      </c>
      <c r="AF250" s="179" t="s">
        <v>62</v>
      </c>
      <c r="AG250" s="2"/>
      <c r="AH250" s="2"/>
    </row>
    <row r="251" spans="2:34" hidden="1">
      <c r="B251" s="140">
        <v>21</v>
      </c>
      <c r="C251" s="88" t="str">
        <f>LEFT(EmpGName21)&amp;" " &amp;EmpSName21</f>
        <v xml:space="preserve"> 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189" t="s">
        <v>62</v>
      </c>
      <c r="AF251" s="178" t="s">
        <v>62</v>
      </c>
      <c r="AG251" s="2"/>
      <c r="AH251" s="2"/>
    </row>
    <row r="252" spans="2:34" hidden="1">
      <c r="B252" s="140">
        <v>22</v>
      </c>
      <c r="C252" s="89" t="str">
        <f>LEFT(EmpGName22)&amp;" " &amp;EmpSName22</f>
        <v xml:space="preserve"> 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190" t="s">
        <v>62</v>
      </c>
      <c r="AF252" s="179" t="s">
        <v>62</v>
      </c>
      <c r="AG252" s="2"/>
      <c r="AH252" s="2"/>
    </row>
    <row r="253" spans="2:34" hidden="1">
      <c r="B253" s="140">
        <v>23</v>
      </c>
      <c r="C253" s="88" t="str">
        <f>LEFT(EmpGName23)&amp;" " &amp;EmpSName23</f>
        <v xml:space="preserve"> 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189" t="s">
        <v>62</v>
      </c>
      <c r="AF253" s="178" t="s">
        <v>62</v>
      </c>
      <c r="AG253" s="2"/>
      <c r="AH253" s="2"/>
    </row>
    <row r="254" spans="2:34" hidden="1">
      <c r="B254" s="140">
        <v>24</v>
      </c>
      <c r="C254" s="89" t="str">
        <f>LEFT(EmpGName24)&amp;" " &amp;EmpSName24</f>
        <v xml:space="preserve"> 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190" t="s">
        <v>62</v>
      </c>
      <c r="AF254" s="179" t="s">
        <v>62</v>
      </c>
      <c r="AG254" s="2"/>
      <c r="AH254" s="2"/>
    </row>
    <row r="255" spans="2:34" hidden="1">
      <c r="B255" s="140">
        <v>25</v>
      </c>
      <c r="C255" s="88" t="str">
        <f>LEFT(EmpGName25)&amp;" " &amp;EmpSName25</f>
        <v xml:space="preserve"> 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189" t="s">
        <v>62</v>
      </c>
      <c r="AF255" s="178" t="s">
        <v>62</v>
      </c>
      <c r="AG255" s="2"/>
      <c r="AH255" s="2"/>
    </row>
    <row r="256" spans="2:34" hidden="1">
      <c r="B256" s="140">
        <v>26</v>
      </c>
      <c r="C256" s="89" t="str">
        <f>LEFT(EmpGName26)&amp;" " &amp;EmpSName26</f>
        <v xml:space="preserve"> 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190" t="s">
        <v>62</v>
      </c>
      <c r="AF256" s="179" t="s">
        <v>62</v>
      </c>
      <c r="AG256" s="2"/>
      <c r="AH256" s="2"/>
    </row>
    <row r="257" spans="2:34" hidden="1">
      <c r="B257" s="140">
        <v>27</v>
      </c>
      <c r="C257" s="88" t="str">
        <f>LEFT(EmpGName27)&amp;" " &amp;EmpSName27</f>
        <v xml:space="preserve"> 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189" t="s">
        <v>62</v>
      </c>
      <c r="AF257" s="178" t="s">
        <v>62</v>
      </c>
      <c r="AG257" s="2"/>
      <c r="AH257" s="2"/>
    </row>
    <row r="258" spans="2:34" hidden="1">
      <c r="B258" s="140">
        <v>28</v>
      </c>
      <c r="C258" s="89" t="str">
        <f>LEFT(EmpGName28)&amp;" " &amp;EmpSName28</f>
        <v xml:space="preserve"> 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190" t="s">
        <v>62</v>
      </c>
      <c r="AF258" s="179" t="s">
        <v>62</v>
      </c>
      <c r="AG258" s="7"/>
      <c r="AH258" s="7"/>
    </row>
    <row r="259" spans="2:34">
      <c r="B259" s="166"/>
      <c r="C259" s="167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7"/>
      <c r="AH259" s="7"/>
    </row>
    <row r="260" spans="2:34">
      <c r="C260" s="192" t="str">
        <f>CurYear</f>
        <v>2020</v>
      </c>
      <c r="D260" s="5" t="str">
        <f t="shared" ref="D260:AH260" si="8">LEFT(TEXT(D261&amp;"-"&amp;$C$261&amp;"-"&amp;CurYear,"ddd"),2)</f>
        <v>Su</v>
      </c>
      <c r="E260" s="5" t="str">
        <f t="shared" si="8"/>
        <v>Mo</v>
      </c>
      <c r="F260" s="5" t="str">
        <f t="shared" si="8"/>
        <v>Tu</v>
      </c>
      <c r="G260" s="5" t="str">
        <f t="shared" si="8"/>
        <v>We</v>
      </c>
      <c r="H260" s="5" t="str">
        <f t="shared" si="8"/>
        <v>Th</v>
      </c>
      <c r="I260" s="5" t="str">
        <f t="shared" si="8"/>
        <v>Fr</v>
      </c>
      <c r="J260" s="5" t="str">
        <f t="shared" si="8"/>
        <v>Sa</v>
      </c>
      <c r="K260" s="5" t="str">
        <f t="shared" si="8"/>
        <v>Su</v>
      </c>
      <c r="L260" s="5" t="str">
        <f t="shared" si="8"/>
        <v>Mo</v>
      </c>
      <c r="M260" s="5" t="str">
        <f t="shared" si="8"/>
        <v>Tu</v>
      </c>
      <c r="N260" s="5" t="str">
        <f t="shared" si="8"/>
        <v>We</v>
      </c>
      <c r="O260" s="5" t="str">
        <f t="shared" si="8"/>
        <v>Th</v>
      </c>
      <c r="P260" s="5" t="str">
        <f t="shared" si="8"/>
        <v>Fr</v>
      </c>
      <c r="Q260" s="5" t="str">
        <f t="shared" si="8"/>
        <v>Sa</v>
      </c>
      <c r="R260" s="5" t="str">
        <f t="shared" si="8"/>
        <v>Su</v>
      </c>
      <c r="S260" s="5" t="str">
        <f t="shared" si="8"/>
        <v>Mo</v>
      </c>
      <c r="T260" s="5" t="str">
        <f t="shared" si="8"/>
        <v>Tu</v>
      </c>
      <c r="U260" s="5" t="str">
        <f t="shared" si="8"/>
        <v>We</v>
      </c>
      <c r="V260" s="5" t="str">
        <f t="shared" si="8"/>
        <v>Th</v>
      </c>
      <c r="W260" s="5" t="str">
        <f t="shared" si="8"/>
        <v>Fr</v>
      </c>
      <c r="X260" s="5" t="str">
        <f t="shared" si="8"/>
        <v>Sa</v>
      </c>
      <c r="Y260" s="5" t="str">
        <f t="shared" si="8"/>
        <v>Su</v>
      </c>
      <c r="Z260" s="5" t="str">
        <f t="shared" si="8"/>
        <v>Mo</v>
      </c>
      <c r="AA260" s="5" t="str">
        <f t="shared" si="8"/>
        <v>Tu</v>
      </c>
      <c r="AB260" s="5" t="str">
        <f t="shared" si="8"/>
        <v>We</v>
      </c>
      <c r="AC260" s="5" t="str">
        <f t="shared" si="8"/>
        <v>Th</v>
      </c>
      <c r="AD260" s="5" t="str">
        <f t="shared" si="8"/>
        <v>Fr</v>
      </c>
      <c r="AE260" s="5" t="str">
        <f t="shared" si="8"/>
        <v>Sa</v>
      </c>
      <c r="AF260" s="5" t="str">
        <f t="shared" si="8"/>
        <v>Su</v>
      </c>
      <c r="AG260" s="5" t="str">
        <f t="shared" si="8"/>
        <v>Mo</v>
      </c>
      <c r="AH260" s="5" t="str">
        <f t="shared" si="8"/>
        <v>Tu</v>
      </c>
    </row>
    <row r="261" spans="2:34">
      <c r="B261" s="87"/>
      <c r="C261" s="193" t="s">
        <v>14</v>
      </c>
      <c r="D261" s="195">
        <v>1</v>
      </c>
      <c r="E261" s="195">
        <v>2</v>
      </c>
      <c r="F261" s="195">
        <v>3</v>
      </c>
      <c r="G261" s="195">
        <v>4</v>
      </c>
      <c r="H261" s="195">
        <v>5</v>
      </c>
      <c r="I261" s="195">
        <v>6</v>
      </c>
      <c r="J261" s="195">
        <v>7</v>
      </c>
      <c r="K261" s="195">
        <v>8</v>
      </c>
      <c r="L261" s="195">
        <v>9</v>
      </c>
      <c r="M261" s="195">
        <v>10</v>
      </c>
      <c r="N261" s="194">
        <v>11</v>
      </c>
      <c r="O261" s="199">
        <v>12</v>
      </c>
      <c r="P261" s="195">
        <v>13</v>
      </c>
      <c r="Q261" s="195">
        <v>14</v>
      </c>
      <c r="R261" s="195">
        <v>15</v>
      </c>
      <c r="S261" s="195">
        <v>16</v>
      </c>
      <c r="T261" s="195">
        <v>17</v>
      </c>
      <c r="U261" s="195">
        <v>18</v>
      </c>
      <c r="V261" s="195">
        <v>19</v>
      </c>
      <c r="W261" s="195">
        <v>20</v>
      </c>
      <c r="X261" s="195">
        <v>21</v>
      </c>
      <c r="Y261" s="195">
        <v>22</v>
      </c>
      <c r="Z261" s="195">
        <v>23</v>
      </c>
      <c r="AA261" s="195">
        <v>24</v>
      </c>
      <c r="AB261" s="194">
        <v>25</v>
      </c>
      <c r="AC261" s="195">
        <v>26</v>
      </c>
      <c r="AD261" s="195">
        <v>27</v>
      </c>
      <c r="AE261" s="195">
        <v>28</v>
      </c>
      <c r="AF261" s="195">
        <v>29</v>
      </c>
      <c r="AG261" s="199">
        <v>30</v>
      </c>
      <c r="AH261" s="199">
        <v>31</v>
      </c>
    </row>
    <row r="262" spans="2:34">
      <c r="B262" s="83">
        <v>1</v>
      </c>
      <c r="C262" s="88" t="str">
        <f>LEFT(EmpGName01)&amp;" " &amp; EmpSName01</f>
        <v>L Marampon</v>
      </c>
      <c r="D262" s="4" t="s">
        <v>62</v>
      </c>
      <c r="E262" s="4" t="s">
        <v>62</v>
      </c>
      <c r="F262" s="82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3">
        <v>2</v>
      </c>
      <c r="C263" s="89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3">
        <v>3</v>
      </c>
      <c r="C264" s="88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3">
        <v>4</v>
      </c>
      <c r="C265" s="89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3">
        <v>5</v>
      </c>
      <c r="C266" s="88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3">
        <v>6</v>
      </c>
      <c r="C267" s="89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3">
        <v>7</v>
      </c>
      <c r="C268" s="88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 hidden="1">
      <c r="B269" s="83">
        <v>8</v>
      </c>
      <c r="C269" s="89" t="str">
        <f>LEFT(EmpGName08)&amp;" " &amp;EmpSName08</f>
        <v xml:space="preserve"> 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 hidden="1">
      <c r="B270" s="83">
        <v>9</v>
      </c>
      <c r="C270" s="88" t="str">
        <f>LEFT(EmpGName09)&amp;" " &amp;EmpSName09</f>
        <v xml:space="preserve"> 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 hidden="1">
      <c r="B271" s="141">
        <v>10</v>
      </c>
      <c r="C271" s="90" t="str">
        <f>LEFT(EmpGName10)&amp;" " &amp;EmpSName10</f>
        <v xml:space="preserve"> 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 hidden="1">
      <c r="B272" s="141">
        <v>11</v>
      </c>
      <c r="C272" s="88" t="str">
        <f>LEFT(EmpGName11)&amp;" " &amp;EmpSName11</f>
        <v xml:space="preserve"> 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 hidden="1">
      <c r="B273" s="141">
        <v>12</v>
      </c>
      <c r="C273" s="90" t="str">
        <f>LEFT(EmpGName12)&amp;" " &amp;EmpSName12</f>
        <v xml:space="preserve"> 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 hidden="1">
      <c r="B274" s="140">
        <v>13</v>
      </c>
      <c r="C274" s="88" t="str">
        <f>LEFT(EmpGName13)&amp;" " &amp;EmpSName13</f>
        <v xml:space="preserve"> 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 hidden="1">
      <c r="B275" s="140">
        <v>14</v>
      </c>
      <c r="C275" s="89" t="str">
        <f>LEFT(EmpGName14)&amp;" " &amp;EmpSName14</f>
        <v xml:space="preserve"> 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 hidden="1">
      <c r="B276" s="140">
        <v>15</v>
      </c>
      <c r="C276" s="88" t="str">
        <f>LEFT(EmpGName15)&amp;" " &amp;EmpSName15</f>
        <v xml:space="preserve"> 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 hidden="1">
      <c r="B277" s="140">
        <v>16</v>
      </c>
      <c r="C277" s="89" t="str">
        <f>LEFT(EmpGName16)&amp;" " &amp;EmpSName16</f>
        <v xml:space="preserve"> 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 hidden="1">
      <c r="B278" s="140">
        <v>17</v>
      </c>
      <c r="C278" s="88" t="str">
        <f>LEFT(EmpGName17)&amp;" " &amp;EmpSName17</f>
        <v xml:space="preserve"> 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 hidden="1">
      <c r="B279" s="140">
        <v>18</v>
      </c>
      <c r="C279" s="89" t="str">
        <f>LEFT(EmpGName18)&amp;" " &amp;EmpSName18</f>
        <v xml:space="preserve"> 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 hidden="1">
      <c r="B280" s="140">
        <v>19</v>
      </c>
      <c r="C280" s="88" t="str">
        <f>LEFT(EmpGName19)&amp;" " &amp;EmpSName19</f>
        <v xml:space="preserve"> 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 hidden="1">
      <c r="B281" s="140">
        <v>20</v>
      </c>
      <c r="C281" s="89" t="str">
        <f>LEFT(EmpGName20)&amp;" " &amp;EmpSName20</f>
        <v xml:space="preserve"> 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 hidden="1">
      <c r="B282" s="140">
        <v>21</v>
      </c>
      <c r="C282" s="88" t="str">
        <f>LEFT(EmpGName21)&amp;" " &amp;EmpSName21</f>
        <v xml:space="preserve"> 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 hidden="1">
      <c r="B283" s="140">
        <v>22</v>
      </c>
      <c r="C283" s="89" t="str">
        <f>LEFT(EmpGName22)&amp;" " &amp;EmpSName22</f>
        <v xml:space="preserve"> 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 hidden="1">
      <c r="B284" s="140">
        <v>23</v>
      </c>
      <c r="C284" s="88" t="str">
        <f>LEFT(EmpGName23)&amp;" " &amp;EmpSName23</f>
        <v xml:space="preserve"> 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 hidden="1">
      <c r="B285" s="140">
        <v>24</v>
      </c>
      <c r="C285" s="89" t="str">
        <f>LEFT(EmpGName24)&amp;" " &amp;EmpSName24</f>
        <v xml:space="preserve"> 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 hidden="1">
      <c r="B286" s="140">
        <v>25</v>
      </c>
      <c r="C286" s="88" t="str">
        <f>LEFT(EmpGName25)&amp;" " &amp;EmpSName25</f>
        <v xml:space="preserve"> 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 hidden="1">
      <c r="B287" s="140">
        <v>26</v>
      </c>
      <c r="C287" s="89" t="str">
        <f>LEFT(EmpGName26)&amp;" " &amp;EmpSName26</f>
        <v xml:space="preserve"> 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 hidden="1">
      <c r="B288" s="140">
        <v>27</v>
      </c>
      <c r="C288" s="88" t="str">
        <f>LEFT(EmpGName27)&amp;" " &amp;EmpSName27</f>
        <v xml:space="preserve"> 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 hidden="1">
      <c r="B289" s="140">
        <v>28</v>
      </c>
      <c r="C289" s="89" t="str">
        <f>LEFT(EmpGName28)&amp;" " &amp;EmpSName28</f>
        <v xml:space="preserve"> 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</row>
    <row r="291" spans="2:34">
      <c r="C291" s="192" t="str">
        <f>CurYear</f>
        <v>2020</v>
      </c>
      <c r="D291" s="5" t="str">
        <f>LEFT(TEXT(D292&amp;"-"&amp;$C292&amp;"-"&amp;$B$4,"ddd"),2)</f>
        <v>We</v>
      </c>
      <c r="E291" s="5" t="str">
        <f t="shared" ref="E291:AF291" si="9">LEFT(TEXT(E292&amp;"-"&amp;$C292&amp;"-"&amp;$B$4,"ddd"),2)</f>
        <v>Th</v>
      </c>
      <c r="F291" s="5" t="str">
        <f t="shared" si="9"/>
        <v>Fr</v>
      </c>
      <c r="G291" s="5" t="str">
        <f t="shared" si="9"/>
        <v>Sa</v>
      </c>
      <c r="H291" s="5" t="str">
        <f t="shared" si="9"/>
        <v>Su</v>
      </c>
      <c r="I291" s="5" t="str">
        <f t="shared" si="9"/>
        <v>Mo</v>
      </c>
      <c r="J291" s="5" t="str">
        <f t="shared" si="9"/>
        <v>Tu</v>
      </c>
      <c r="K291" s="5" t="str">
        <f t="shared" si="9"/>
        <v>We</v>
      </c>
      <c r="L291" s="5" t="str">
        <f t="shared" si="9"/>
        <v>Th</v>
      </c>
      <c r="M291" s="5" t="str">
        <f t="shared" si="9"/>
        <v>Fr</v>
      </c>
      <c r="N291" s="5" t="str">
        <f t="shared" si="9"/>
        <v>Sa</v>
      </c>
      <c r="O291" s="5" t="str">
        <f t="shared" si="9"/>
        <v>Su</v>
      </c>
      <c r="P291" s="5" t="str">
        <f t="shared" si="9"/>
        <v>Mo</v>
      </c>
      <c r="Q291" s="5" t="str">
        <f t="shared" si="9"/>
        <v>Tu</v>
      </c>
      <c r="R291" s="5" t="str">
        <f t="shared" si="9"/>
        <v>We</v>
      </c>
      <c r="S291" s="5" t="str">
        <f t="shared" si="9"/>
        <v>Th</v>
      </c>
      <c r="T291" s="5" t="str">
        <f t="shared" si="9"/>
        <v>Fr</v>
      </c>
      <c r="U291" s="5" t="str">
        <f t="shared" si="9"/>
        <v>Sa</v>
      </c>
      <c r="V291" s="5" t="str">
        <f t="shared" si="9"/>
        <v>Su</v>
      </c>
      <c r="W291" s="5" t="str">
        <f t="shared" si="9"/>
        <v>Mo</v>
      </c>
      <c r="X291" s="5" t="str">
        <f t="shared" si="9"/>
        <v>Tu</v>
      </c>
      <c r="Y291" s="5" t="str">
        <f t="shared" si="9"/>
        <v>We</v>
      </c>
      <c r="Z291" s="5" t="str">
        <f t="shared" si="9"/>
        <v>Th</v>
      </c>
      <c r="AA291" s="5" t="str">
        <f t="shared" si="9"/>
        <v>Fr</v>
      </c>
      <c r="AB291" s="5" t="str">
        <f t="shared" si="9"/>
        <v>Sa</v>
      </c>
      <c r="AC291" s="5" t="str">
        <f t="shared" si="9"/>
        <v>Su</v>
      </c>
      <c r="AD291" s="5" t="str">
        <f t="shared" si="9"/>
        <v>Mo</v>
      </c>
      <c r="AE291" s="5" t="str">
        <f t="shared" si="9"/>
        <v>Tu</v>
      </c>
      <c r="AF291" s="5" t="str">
        <f t="shared" si="9"/>
        <v>We</v>
      </c>
      <c r="AG291" s="5" t="str">
        <f>LEFT(TEXT(AG292&amp;"-"&amp;$C292&amp;"-"&amp;$B$4,"ddd"),2)</f>
        <v>Th</v>
      </c>
      <c r="AH291" s="1"/>
    </row>
    <row r="292" spans="2:34">
      <c r="B292" s="86"/>
      <c r="C292" s="193" t="s">
        <v>15</v>
      </c>
      <c r="D292" s="195">
        <v>1</v>
      </c>
      <c r="E292" s="199">
        <v>2</v>
      </c>
      <c r="F292" s="195">
        <v>3</v>
      </c>
      <c r="G292" s="195">
        <v>4</v>
      </c>
      <c r="H292" s="195">
        <v>5</v>
      </c>
      <c r="I292" s="195">
        <v>6</v>
      </c>
      <c r="J292" s="195">
        <v>7</v>
      </c>
      <c r="K292" s="194">
        <v>8</v>
      </c>
      <c r="L292" s="195">
        <v>9</v>
      </c>
      <c r="M292" s="195">
        <v>10</v>
      </c>
      <c r="N292" s="195">
        <v>11</v>
      </c>
      <c r="O292" s="195">
        <v>12</v>
      </c>
      <c r="P292" s="195">
        <v>13</v>
      </c>
      <c r="Q292" s="195">
        <v>14</v>
      </c>
      <c r="R292" s="195">
        <v>15</v>
      </c>
      <c r="S292" s="195">
        <v>16</v>
      </c>
      <c r="T292" s="195">
        <v>17</v>
      </c>
      <c r="U292" s="195">
        <v>18</v>
      </c>
      <c r="V292" s="195">
        <v>19</v>
      </c>
      <c r="W292" s="195">
        <v>20</v>
      </c>
      <c r="X292" s="195">
        <v>21</v>
      </c>
      <c r="Y292" s="194">
        <v>22</v>
      </c>
      <c r="Z292" s="195">
        <v>23</v>
      </c>
      <c r="AA292" s="195">
        <v>24</v>
      </c>
      <c r="AB292" s="199">
        <v>25</v>
      </c>
      <c r="AC292" s="195">
        <v>26</v>
      </c>
      <c r="AD292" s="195">
        <v>27</v>
      </c>
      <c r="AE292" s="195">
        <v>28</v>
      </c>
      <c r="AF292" s="195">
        <v>29</v>
      </c>
      <c r="AG292" s="195">
        <v>30</v>
      </c>
      <c r="AH292" s="91"/>
    </row>
    <row r="293" spans="2:34">
      <c r="B293" s="83">
        <v>1</v>
      </c>
      <c r="C293" s="88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3">
        <v>2</v>
      </c>
      <c r="C294" s="89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3">
        <v>3</v>
      </c>
      <c r="C295" s="88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3">
        <v>4</v>
      </c>
      <c r="C296" s="89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3">
        <v>5</v>
      </c>
      <c r="C297" s="88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3">
        <v>6</v>
      </c>
      <c r="C298" s="89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3">
        <v>7</v>
      </c>
      <c r="C299" s="88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 hidden="1">
      <c r="B300" s="83">
        <v>8</v>
      </c>
      <c r="C300" s="89" t="str">
        <f>LEFT(EmpGName08)&amp;" " &amp;EmpSName08</f>
        <v xml:space="preserve"> 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 hidden="1">
      <c r="B301" s="83">
        <v>9</v>
      </c>
      <c r="C301" s="88" t="str">
        <f>LEFT(EmpGName09)&amp;" " &amp;EmpSName09</f>
        <v xml:space="preserve"> 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 hidden="1">
      <c r="B302" s="141">
        <v>10</v>
      </c>
      <c r="C302" s="89" t="str">
        <f>LEFT(EmpGName10)&amp;" " &amp;EmpSName10</f>
        <v xml:space="preserve"> 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4"/>
    </row>
    <row r="303" spans="2:34" hidden="1">
      <c r="B303" s="141">
        <v>11</v>
      </c>
      <c r="C303" s="88" t="str">
        <f>LEFT(EmpGName11)&amp;" " &amp;EmpSName11</f>
        <v xml:space="preserve"> 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4"/>
    </row>
    <row r="304" spans="2:34" hidden="1">
      <c r="B304" s="141">
        <v>12</v>
      </c>
      <c r="C304" s="89" t="str">
        <f>LEFT(EmpGName12)&amp;" " &amp;EmpSName12</f>
        <v xml:space="preserve"> 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4"/>
    </row>
    <row r="305" spans="2:34" hidden="1">
      <c r="B305" s="140">
        <v>13</v>
      </c>
      <c r="C305" s="88" t="str">
        <f>LEFT(EmpGName13)&amp;" " &amp;EmpSName13</f>
        <v xml:space="preserve"> 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4"/>
    </row>
    <row r="306" spans="2:34" hidden="1">
      <c r="B306" s="140">
        <v>14</v>
      </c>
      <c r="C306" s="89" t="str">
        <f>LEFT(EmpGName14)&amp;" " &amp;EmpSName14</f>
        <v xml:space="preserve"> 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4"/>
    </row>
    <row r="307" spans="2:34" hidden="1">
      <c r="B307" s="140">
        <v>15</v>
      </c>
      <c r="C307" s="88" t="str">
        <f>LEFT(EmpGName15)&amp;" " &amp;EmpSName15</f>
        <v xml:space="preserve"> 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4"/>
    </row>
    <row r="308" spans="2:34" hidden="1">
      <c r="B308" s="140">
        <v>16</v>
      </c>
      <c r="C308" s="89" t="str">
        <f>LEFT(EmpGName16)&amp;" " &amp;EmpSName16</f>
        <v xml:space="preserve"> 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4"/>
    </row>
    <row r="309" spans="2:34" hidden="1">
      <c r="B309" s="140">
        <v>17</v>
      </c>
      <c r="C309" s="88" t="str">
        <f>LEFT(EmpGName17)&amp;" " &amp;EmpSName17</f>
        <v xml:space="preserve"> 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4"/>
    </row>
    <row r="310" spans="2:34" hidden="1">
      <c r="B310" s="140">
        <v>18</v>
      </c>
      <c r="C310" s="89" t="str">
        <f>LEFT(EmpGName18)&amp;" " &amp;EmpSName18</f>
        <v xml:space="preserve"> 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4"/>
    </row>
    <row r="311" spans="2:34" hidden="1">
      <c r="B311" s="140">
        <v>19</v>
      </c>
      <c r="C311" s="88" t="str">
        <f>LEFT(EmpGName19)&amp;" " &amp;EmpSName19</f>
        <v xml:space="preserve"> 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4"/>
    </row>
    <row r="312" spans="2:34" hidden="1">
      <c r="B312" s="140">
        <v>20</v>
      </c>
      <c r="C312" s="89" t="str">
        <f>LEFT(EmpGName20)&amp;" " &amp;EmpSName20</f>
        <v xml:space="preserve"> 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4"/>
    </row>
    <row r="313" spans="2:34" hidden="1">
      <c r="B313" s="140">
        <v>21</v>
      </c>
      <c r="C313" s="88" t="str">
        <f>LEFT(EmpGName21)&amp;" " &amp;EmpSName21</f>
        <v xml:space="preserve"> 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4"/>
    </row>
    <row r="314" spans="2:34" hidden="1">
      <c r="B314" s="140">
        <v>22</v>
      </c>
      <c r="C314" s="89" t="str">
        <f>LEFT(EmpGName22)&amp;" " &amp;EmpSName22</f>
        <v xml:space="preserve"> 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4"/>
    </row>
    <row r="315" spans="2:34" hidden="1">
      <c r="B315" s="140">
        <v>23</v>
      </c>
      <c r="C315" s="88" t="str">
        <f>LEFT(EmpGName23)&amp;" " &amp;EmpSName23</f>
        <v xml:space="preserve"> 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4"/>
    </row>
    <row r="316" spans="2:34" hidden="1">
      <c r="B316" s="140">
        <v>24</v>
      </c>
      <c r="C316" s="89" t="str">
        <f>LEFT(EmpGName24)&amp;" " &amp;EmpSName24</f>
        <v xml:space="preserve"> 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4"/>
    </row>
    <row r="317" spans="2:34" hidden="1">
      <c r="B317" s="140">
        <v>25</v>
      </c>
      <c r="C317" s="88" t="str">
        <f>LEFT(EmpGName25)&amp;" " &amp;EmpSName25</f>
        <v xml:space="preserve"> 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4"/>
    </row>
    <row r="318" spans="2:34" hidden="1">
      <c r="B318" s="140">
        <v>26</v>
      </c>
      <c r="C318" s="89" t="str">
        <f>LEFT(EmpGName26)&amp;" " &amp;EmpSName26</f>
        <v xml:space="preserve"> 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4"/>
    </row>
    <row r="319" spans="2:34" hidden="1">
      <c r="B319" s="140">
        <v>27</v>
      </c>
      <c r="C319" s="88" t="str">
        <f>LEFT(EmpGName27)&amp;" " &amp;EmpSName27</f>
        <v xml:space="preserve"> 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4"/>
    </row>
    <row r="320" spans="2:34" hidden="1">
      <c r="B320" s="180">
        <v>28</v>
      </c>
      <c r="C320" s="181" t="str">
        <f>LEFT(EmpGName28)&amp;" " &amp;EmpSName28</f>
        <v xml:space="preserve"> </v>
      </c>
      <c r="D320" s="179" t="s">
        <v>62</v>
      </c>
      <c r="E320" s="179" t="s">
        <v>62</v>
      </c>
      <c r="F320" s="179" t="s">
        <v>62</v>
      </c>
      <c r="G320" s="179" t="s">
        <v>62</v>
      </c>
      <c r="H320" s="179" t="s">
        <v>62</v>
      </c>
      <c r="I320" s="179" t="s">
        <v>62</v>
      </c>
      <c r="J320" s="179" t="s">
        <v>62</v>
      </c>
      <c r="K320" s="179" t="s">
        <v>62</v>
      </c>
      <c r="L320" s="179" t="s">
        <v>62</v>
      </c>
      <c r="M320" s="179" t="s">
        <v>62</v>
      </c>
      <c r="N320" s="179" t="s">
        <v>62</v>
      </c>
      <c r="O320" s="179" t="s">
        <v>62</v>
      </c>
      <c r="P320" s="179" t="s">
        <v>62</v>
      </c>
      <c r="Q320" s="179" t="s">
        <v>62</v>
      </c>
      <c r="R320" s="179" t="s">
        <v>62</v>
      </c>
      <c r="S320" s="179" t="s">
        <v>62</v>
      </c>
      <c r="T320" s="179" t="s">
        <v>62</v>
      </c>
      <c r="U320" s="179" t="s">
        <v>62</v>
      </c>
      <c r="V320" s="179" t="s">
        <v>62</v>
      </c>
      <c r="W320" s="179" t="s">
        <v>62</v>
      </c>
      <c r="X320" s="179" t="s">
        <v>62</v>
      </c>
      <c r="Y320" s="179" t="s">
        <v>62</v>
      </c>
      <c r="Z320" s="179" t="s">
        <v>62</v>
      </c>
      <c r="AA320" s="179" t="s">
        <v>62</v>
      </c>
      <c r="AB320" s="179" t="s">
        <v>62</v>
      </c>
      <c r="AC320" s="179" t="s">
        <v>62</v>
      </c>
      <c r="AD320" s="179" t="s">
        <v>62</v>
      </c>
      <c r="AE320" s="179" t="s">
        <v>62</v>
      </c>
      <c r="AF320" s="179" t="s">
        <v>62</v>
      </c>
      <c r="AG320" s="179" t="s">
        <v>62</v>
      </c>
      <c r="AH320" s="74"/>
    </row>
    <row r="321" spans="1:34">
      <c r="A321" s="20"/>
      <c r="AH321" s="2"/>
    </row>
    <row r="322" spans="1:34">
      <c r="C322" s="192" t="str">
        <f>CurYear</f>
        <v>2020</v>
      </c>
      <c r="D322" s="5" t="str">
        <f>LEFT(TEXT(D323&amp;"-"&amp;$C323&amp;"-"&amp; CurYear,"ddd"),2)</f>
        <v>Fr</v>
      </c>
      <c r="E322" s="5" t="str">
        <f t="shared" ref="E322:AF322" si="10">LEFT(TEXT(E323&amp;"-"&amp;$C323&amp;"-"&amp; CurYear,"ddd"),2)</f>
        <v>Sa</v>
      </c>
      <c r="F322" s="5" t="str">
        <f t="shared" si="10"/>
        <v>Su</v>
      </c>
      <c r="G322" s="5" t="str">
        <f t="shared" si="10"/>
        <v>Mo</v>
      </c>
      <c r="H322" s="5" t="str">
        <f t="shared" si="10"/>
        <v>Tu</v>
      </c>
      <c r="I322" s="5" t="str">
        <f t="shared" si="10"/>
        <v>We</v>
      </c>
      <c r="J322" s="5" t="str">
        <f t="shared" si="10"/>
        <v>Th</v>
      </c>
      <c r="K322" s="5" t="str">
        <f t="shared" si="10"/>
        <v>Fr</v>
      </c>
      <c r="L322" s="5" t="str">
        <f t="shared" si="10"/>
        <v>Sa</v>
      </c>
      <c r="M322" s="5" t="str">
        <f t="shared" si="10"/>
        <v>Su</v>
      </c>
      <c r="N322" s="5" t="str">
        <f t="shared" si="10"/>
        <v>Mo</v>
      </c>
      <c r="O322" s="5" t="str">
        <f t="shared" si="10"/>
        <v>Tu</v>
      </c>
      <c r="P322" s="5" t="str">
        <f t="shared" si="10"/>
        <v>We</v>
      </c>
      <c r="Q322" s="5" t="str">
        <f t="shared" si="10"/>
        <v>Th</v>
      </c>
      <c r="R322" s="5" t="str">
        <f t="shared" si="10"/>
        <v>Fr</v>
      </c>
      <c r="S322" s="5" t="str">
        <f t="shared" si="10"/>
        <v>Sa</v>
      </c>
      <c r="T322" s="5" t="str">
        <f t="shared" si="10"/>
        <v>Su</v>
      </c>
      <c r="U322" s="5" t="str">
        <f t="shared" si="10"/>
        <v>Mo</v>
      </c>
      <c r="V322" s="5" t="str">
        <f t="shared" si="10"/>
        <v>Tu</v>
      </c>
      <c r="W322" s="5" t="str">
        <f t="shared" si="10"/>
        <v>We</v>
      </c>
      <c r="X322" s="5" t="str">
        <f t="shared" si="10"/>
        <v>Th</v>
      </c>
      <c r="Y322" s="5" t="str">
        <f t="shared" si="10"/>
        <v>Fr</v>
      </c>
      <c r="Z322" s="5" t="str">
        <f t="shared" si="10"/>
        <v>Sa</v>
      </c>
      <c r="AA322" s="5" t="str">
        <f t="shared" si="10"/>
        <v>Su</v>
      </c>
      <c r="AB322" s="5" t="str">
        <f t="shared" si="10"/>
        <v>Mo</v>
      </c>
      <c r="AC322" s="5" t="str">
        <f t="shared" si="10"/>
        <v>Tu</v>
      </c>
      <c r="AD322" s="5" t="str">
        <f t="shared" si="10"/>
        <v>We</v>
      </c>
      <c r="AE322" s="5" t="str">
        <f t="shared" si="10"/>
        <v>Th</v>
      </c>
      <c r="AF322" s="5" t="str">
        <f t="shared" si="10"/>
        <v>Fr</v>
      </c>
      <c r="AG322" s="5" t="str">
        <f>LEFT(TEXT(AG323&amp;"-"&amp;$C323&amp;"-"&amp; CurYear,"ddd"),2)</f>
        <v>Sa</v>
      </c>
      <c r="AH322" s="5" t="str">
        <f>LEFT(TEXT(AH323&amp;"-"&amp;$C323&amp;"-"&amp; CurYear,"ddd"),2)</f>
        <v>Su</v>
      </c>
    </row>
    <row r="323" spans="1:34">
      <c r="B323" s="87"/>
      <c r="C323" s="193" t="s">
        <v>16</v>
      </c>
      <c r="D323" s="195">
        <v>1</v>
      </c>
      <c r="E323" s="195">
        <v>2</v>
      </c>
      <c r="F323" s="195">
        <v>3</v>
      </c>
      <c r="G323" s="195">
        <v>4</v>
      </c>
      <c r="H323" s="195">
        <v>5</v>
      </c>
      <c r="I323" s="194">
        <v>6</v>
      </c>
      <c r="J323" s="195">
        <v>7</v>
      </c>
      <c r="K323" s="199">
        <v>8</v>
      </c>
      <c r="L323" s="195">
        <v>9</v>
      </c>
      <c r="M323" s="195">
        <v>10</v>
      </c>
      <c r="N323" s="195">
        <v>11</v>
      </c>
      <c r="O323" s="195">
        <v>12</v>
      </c>
      <c r="P323" s="195">
        <v>13</v>
      </c>
      <c r="Q323" s="195">
        <v>14</v>
      </c>
      <c r="R323" s="195">
        <v>15</v>
      </c>
      <c r="S323" s="195">
        <v>16</v>
      </c>
      <c r="T323" s="195">
        <v>17</v>
      </c>
      <c r="U323" s="195">
        <v>18</v>
      </c>
      <c r="V323" s="195">
        <v>19</v>
      </c>
      <c r="W323" s="194">
        <v>20</v>
      </c>
      <c r="X323" s="195">
        <v>21</v>
      </c>
      <c r="Y323" s="195">
        <v>22</v>
      </c>
      <c r="Z323" s="195">
        <v>23</v>
      </c>
      <c r="AA323" s="195">
        <v>24</v>
      </c>
      <c r="AB323" s="195">
        <v>25</v>
      </c>
      <c r="AC323" s="195">
        <v>26</v>
      </c>
      <c r="AD323" s="195">
        <v>27</v>
      </c>
      <c r="AE323" s="195">
        <v>28</v>
      </c>
      <c r="AF323" s="195">
        <v>29</v>
      </c>
      <c r="AG323" s="195">
        <v>30</v>
      </c>
      <c r="AH323" s="195">
        <v>31</v>
      </c>
    </row>
    <row r="324" spans="1:34">
      <c r="B324" s="84">
        <v>1</v>
      </c>
      <c r="C324" s="88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4">
        <v>2</v>
      </c>
      <c r="C325" s="89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4">
        <v>3</v>
      </c>
      <c r="C326" s="88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4">
        <v>4</v>
      </c>
      <c r="C327" s="89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4">
        <v>5</v>
      </c>
      <c r="C328" s="88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4">
        <v>6</v>
      </c>
      <c r="C329" s="89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4">
        <v>7</v>
      </c>
      <c r="C330" s="88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 hidden="1">
      <c r="B331" s="84">
        <v>8</v>
      </c>
      <c r="C331" s="89" t="str">
        <f>LEFT(EmpGName08)&amp;" " &amp;EmpSName08</f>
        <v xml:space="preserve"> 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 hidden="1">
      <c r="B332" s="84">
        <v>9</v>
      </c>
      <c r="C332" s="88" t="str">
        <f>LEFT(EmpGName09)&amp;" " &amp;EmpSName09</f>
        <v xml:space="preserve"> 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 hidden="1">
      <c r="B333" s="140">
        <v>10</v>
      </c>
      <c r="C333" s="89" t="str">
        <f>LEFT(EmpGName10)&amp;" " &amp;EmpSName10</f>
        <v xml:space="preserve"> 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 hidden="1">
      <c r="B334" s="140">
        <v>11</v>
      </c>
      <c r="C334" s="88" t="str">
        <f>LEFT(EmpGName11)&amp;" " &amp;EmpSName11</f>
        <v xml:space="preserve"> 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 hidden="1">
      <c r="B335" s="140">
        <v>12</v>
      </c>
      <c r="C335" s="89" t="str">
        <f>LEFT(EmpGName12)&amp;" " &amp;EmpSName12</f>
        <v xml:space="preserve"> 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 hidden="1">
      <c r="B336" s="140">
        <v>13</v>
      </c>
      <c r="C336" s="88" t="str">
        <f>LEFT(EmpGName13)&amp;" " &amp;EmpSName13</f>
        <v xml:space="preserve"> 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 hidden="1">
      <c r="B337" s="140">
        <v>14</v>
      </c>
      <c r="C337" s="89" t="str">
        <f>LEFT(EmpGName14)&amp;" " &amp;EmpSName14</f>
        <v xml:space="preserve"> 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 hidden="1">
      <c r="B338" s="140">
        <v>15</v>
      </c>
      <c r="C338" s="88" t="str">
        <f>LEFT(EmpGName15)&amp;" " &amp;EmpSName15</f>
        <v xml:space="preserve"> 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 hidden="1">
      <c r="B339" s="140">
        <v>16</v>
      </c>
      <c r="C339" s="89" t="str">
        <f>LEFT(EmpGName16)&amp;" " &amp;EmpSName16</f>
        <v xml:space="preserve"> 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 hidden="1">
      <c r="B340" s="140">
        <v>17</v>
      </c>
      <c r="C340" s="88" t="str">
        <f>LEFT(EmpGName17)&amp;" " &amp;EmpSName17</f>
        <v xml:space="preserve"> 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 hidden="1">
      <c r="B341" s="140">
        <v>18</v>
      </c>
      <c r="C341" s="89" t="str">
        <f>LEFT(EmpGName18)&amp;" " &amp;EmpSName18</f>
        <v xml:space="preserve"> 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 hidden="1">
      <c r="B342" s="140">
        <v>19</v>
      </c>
      <c r="C342" s="88" t="str">
        <f>LEFT(EmpGName19)&amp;" " &amp;EmpSName19</f>
        <v xml:space="preserve"> 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 hidden="1">
      <c r="B343" s="140">
        <v>20</v>
      </c>
      <c r="C343" s="89" t="str">
        <f>LEFT(EmpGName20)&amp;" " &amp;EmpSName20</f>
        <v xml:space="preserve"> 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 hidden="1">
      <c r="B344" s="140">
        <v>21</v>
      </c>
      <c r="C344" s="88" t="str">
        <f>LEFT(EmpGName21)&amp;" " &amp;EmpSName21</f>
        <v xml:space="preserve"> 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 hidden="1">
      <c r="B345" s="140">
        <v>22</v>
      </c>
      <c r="C345" s="89" t="str">
        <f>LEFT(EmpGName22)&amp;" " &amp;EmpSName22</f>
        <v xml:space="preserve"> 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 hidden="1">
      <c r="B346" s="140">
        <v>23</v>
      </c>
      <c r="C346" s="88" t="str">
        <f>LEFT(EmpGName23)&amp;" " &amp;EmpSName23</f>
        <v xml:space="preserve"> 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 hidden="1">
      <c r="B347" s="140">
        <v>24</v>
      </c>
      <c r="C347" s="89" t="str">
        <f>LEFT(EmpGName24)&amp;" " &amp;EmpSName24</f>
        <v xml:space="preserve"> 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 hidden="1">
      <c r="B348" s="140">
        <v>25</v>
      </c>
      <c r="C348" s="88" t="str">
        <f>LEFT(EmpGName25)&amp;" " &amp;EmpSName25</f>
        <v xml:space="preserve"> 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 hidden="1">
      <c r="B349" s="140">
        <v>26</v>
      </c>
      <c r="C349" s="89" t="str">
        <f>LEFT(EmpGName26)&amp;" " &amp;EmpSName26</f>
        <v xml:space="preserve"> 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 hidden="1">
      <c r="B350" s="140">
        <v>27</v>
      </c>
      <c r="C350" s="88" t="str">
        <f>LEFT(EmpGName27)&amp;" " &amp;EmpSName27</f>
        <v xml:space="preserve"> 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 hidden="1">
      <c r="B351" s="140">
        <v>28</v>
      </c>
      <c r="C351" s="89" t="str">
        <f>LEFT(EmpGName28)&amp;" " &amp;EmpSName28</f>
        <v xml:space="preserve"> 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s="192" t="str">
        <f>CurYear</f>
        <v>2020</v>
      </c>
      <c r="D353" s="5" t="str">
        <f>LEFT(TEXT(D354&amp;"-"&amp;$C354&amp;"-"&amp;CurYear,"ddd"),2)</f>
        <v>Mo</v>
      </c>
      <c r="E353" s="5" t="str">
        <f t="shared" ref="E353:AF353" si="11">LEFT(TEXT(E354&amp;"-"&amp;$C354&amp;"-"&amp;CurYear,"ddd"),2)</f>
        <v>Tu</v>
      </c>
      <c r="F353" s="5" t="str">
        <f t="shared" si="11"/>
        <v>We</v>
      </c>
      <c r="G353" s="5" t="str">
        <f t="shared" si="11"/>
        <v>Th</v>
      </c>
      <c r="H353" s="5" t="str">
        <f t="shared" si="11"/>
        <v>Fr</v>
      </c>
      <c r="I353" s="5" t="str">
        <f t="shared" si="11"/>
        <v>Sa</v>
      </c>
      <c r="J353" s="5" t="str">
        <f t="shared" si="11"/>
        <v>Su</v>
      </c>
      <c r="K353" s="5" t="str">
        <f t="shared" si="11"/>
        <v>Mo</v>
      </c>
      <c r="L353" s="5" t="str">
        <f t="shared" si="11"/>
        <v>Tu</v>
      </c>
      <c r="M353" s="5" t="str">
        <f t="shared" si="11"/>
        <v>We</v>
      </c>
      <c r="N353" s="5" t="str">
        <f t="shared" si="11"/>
        <v>Th</v>
      </c>
      <c r="O353" s="5" t="str">
        <f t="shared" si="11"/>
        <v>Fr</v>
      </c>
      <c r="P353" s="5" t="str">
        <f t="shared" si="11"/>
        <v>Sa</v>
      </c>
      <c r="Q353" s="5" t="str">
        <f t="shared" si="11"/>
        <v>Su</v>
      </c>
      <c r="R353" s="5" t="str">
        <f t="shared" si="11"/>
        <v>Mo</v>
      </c>
      <c r="S353" s="5" t="str">
        <f t="shared" si="11"/>
        <v>Tu</v>
      </c>
      <c r="T353" s="5" t="str">
        <f t="shared" si="11"/>
        <v>We</v>
      </c>
      <c r="U353" s="5" t="str">
        <f t="shared" si="11"/>
        <v>Th</v>
      </c>
      <c r="V353" s="5" t="str">
        <f t="shared" si="11"/>
        <v>Fr</v>
      </c>
      <c r="W353" s="5" t="str">
        <f t="shared" si="11"/>
        <v>Sa</v>
      </c>
      <c r="X353" s="5" t="str">
        <f t="shared" si="11"/>
        <v>Su</v>
      </c>
      <c r="Y353" s="5" t="str">
        <f t="shared" si="11"/>
        <v>Mo</v>
      </c>
      <c r="Z353" s="5" t="str">
        <f t="shared" si="11"/>
        <v>Tu</v>
      </c>
      <c r="AA353" s="5" t="str">
        <f t="shared" si="11"/>
        <v>We</v>
      </c>
      <c r="AB353" s="5" t="str">
        <f t="shared" si="11"/>
        <v>Th</v>
      </c>
      <c r="AC353" s="5" t="str">
        <f t="shared" si="11"/>
        <v>Fr</v>
      </c>
      <c r="AD353" s="5" t="str">
        <f t="shared" si="11"/>
        <v>Sa</v>
      </c>
      <c r="AE353" s="5" t="str">
        <f t="shared" si="11"/>
        <v>Su</v>
      </c>
      <c r="AF353" s="5" t="str">
        <f t="shared" si="11"/>
        <v>Mo</v>
      </c>
      <c r="AG353" s="5" t="str">
        <f>LEFT(TEXT(AG354&amp;"-"&amp;$C354&amp;"-"&amp;CurYear,"ddd"),2)</f>
        <v>Tu</v>
      </c>
      <c r="AH353" s="5"/>
    </row>
    <row r="354" spans="2:34">
      <c r="B354" s="87"/>
      <c r="C354" s="193" t="s">
        <v>17</v>
      </c>
      <c r="D354" s="195">
        <v>1</v>
      </c>
      <c r="E354" s="195">
        <v>2</v>
      </c>
      <c r="F354" s="194">
        <v>3</v>
      </c>
      <c r="G354" s="195">
        <v>4</v>
      </c>
      <c r="H354" s="195">
        <v>5</v>
      </c>
      <c r="I354" s="195">
        <v>6</v>
      </c>
      <c r="J354" s="195">
        <v>7</v>
      </c>
      <c r="K354" s="195">
        <v>8</v>
      </c>
      <c r="L354" s="195">
        <v>9</v>
      </c>
      <c r="M354" s="195">
        <v>10</v>
      </c>
      <c r="N354" s="195">
        <v>11</v>
      </c>
      <c r="O354" s="195">
        <v>12</v>
      </c>
      <c r="P354" s="195">
        <v>13</v>
      </c>
      <c r="Q354" s="195">
        <v>14</v>
      </c>
      <c r="R354" s="195">
        <v>15</v>
      </c>
      <c r="S354" s="195">
        <v>16</v>
      </c>
      <c r="T354" s="194">
        <v>17</v>
      </c>
      <c r="U354" s="195">
        <v>18</v>
      </c>
      <c r="V354" s="195">
        <v>19</v>
      </c>
      <c r="W354" s="195">
        <v>20</v>
      </c>
      <c r="X354" s="195">
        <v>21</v>
      </c>
      <c r="Y354" s="195">
        <v>22</v>
      </c>
      <c r="Z354" s="195">
        <v>23</v>
      </c>
      <c r="AA354" s="195">
        <v>24</v>
      </c>
      <c r="AB354" s="195">
        <v>25</v>
      </c>
      <c r="AC354" s="195">
        <v>26</v>
      </c>
      <c r="AD354" s="195">
        <v>27</v>
      </c>
      <c r="AE354" s="195">
        <v>28</v>
      </c>
      <c r="AF354" s="195">
        <v>29</v>
      </c>
      <c r="AG354" s="195">
        <v>30</v>
      </c>
      <c r="AH354" s="91"/>
    </row>
    <row r="355" spans="2:34">
      <c r="B355" s="84">
        <v>1</v>
      </c>
      <c r="C355" s="88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4">
        <v>2</v>
      </c>
      <c r="C356" s="89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4">
        <v>3</v>
      </c>
      <c r="C357" s="88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4">
        <v>4</v>
      </c>
      <c r="C358" s="89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4">
        <v>5</v>
      </c>
      <c r="C359" s="88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4">
        <v>6</v>
      </c>
      <c r="C360" s="89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4">
        <v>7</v>
      </c>
      <c r="C361" s="88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 hidden="1">
      <c r="B362" s="84">
        <v>8</v>
      </c>
      <c r="C362" s="89" t="str">
        <f>LEFT(EmpGName08)&amp;" " &amp;EmpSName08</f>
        <v xml:space="preserve"> 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 hidden="1">
      <c r="B363" s="84">
        <v>9</v>
      </c>
      <c r="C363" s="88" t="str">
        <f>LEFT(EmpGName09)&amp;" " &amp;EmpSName09</f>
        <v xml:space="preserve"> 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 hidden="1">
      <c r="B364" s="140">
        <v>10</v>
      </c>
      <c r="C364" s="89" t="str">
        <f>LEFT(EmpGName10)&amp;" " &amp;EmpSName10</f>
        <v xml:space="preserve"> 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4"/>
    </row>
    <row r="365" spans="2:34" hidden="1">
      <c r="B365" s="140">
        <v>11</v>
      </c>
      <c r="C365" s="88" t="str">
        <f>LEFT(EmpGName11)&amp;" " &amp;EmpSName11</f>
        <v xml:space="preserve"> 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4"/>
    </row>
    <row r="366" spans="2:34" hidden="1">
      <c r="B366" s="140">
        <v>12</v>
      </c>
      <c r="C366" s="89" t="str">
        <f>LEFT(EmpGName12)&amp;" " &amp;EmpSName12</f>
        <v xml:space="preserve"> 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4"/>
    </row>
    <row r="367" spans="2:34" hidden="1">
      <c r="B367" s="140">
        <v>13</v>
      </c>
      <c r="C367" s="88" t="str">
        <f>LEFT(EmpGName13)&amp;" " &amp;EmpSName13</f>
        <v xml:space="preserve"> 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 hidden="1">
      <c r="B368" s="140">
        <v>14</v>
      </c>
      <c r="C368" s="89" t="str">
        <f>LEFT(EmpGName14)&amp;" " &amp;EmpSName14</f>
        <v xml:space="preserve"> 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 hidden="1">
      <c r="B369" s="140">
        <v>15</v>
      </c>
      <c r="C369" s="88" t="str">
        <f>LEFT(EmpGName15)&amp;" " &amp;EmpSName15</f>
        <v xml:space="preserve"> 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 hidden="1">
      <c r="B370" s="140">
        <v>16</v>
      </c>
      <c r="C370" s="89" t="str">
        <f>LEFT(EmpGName16)&amp;" " &amp;EmpSName16</f>
        <v xml:space="preserve"> 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 hidden="1">
      <c r="B371" s="140">
        <v>17</v>
      </c>
      <c r="C371" s="88" t="str">
        <f>LEFT(EmpGName17)&amp;" " &amp;EmpSName17</f>
        <v xml:space="preserve"> 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 hidden="1">
      <c r="B372" s="140">
        <v>18</v>
      </c>
      <c r="C372" s="89" t="str">
        <f>LEFT(EmpGName18)&amp;" " &amp;EmpSName18</f>
        <v xml:space="preserve"> 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 hidden="1">
      <c r="B373" s="140">
        <v>19</v>
      </c>
      <c r="C373" s="88" t="str">
        <f>LEFT(EmpGName19)&amp;" " &amp;EmpSName19</f>
        <v xml:space="preserve"> 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 hidden="1">
      <c r="B374" s="140">
        <v>20</v>
      </c>
      <c r="C374" s="89" t="str">
        <f>LEFT(EmpGName20)&amp;" " &amp;EmpSName20</f>
        <v xml:space="preserve"> 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 hidden="1">
      <c r="B375" s="140">
        <v>21</v>
      </c>
      <c r="C375" s="88" t="str">
        <f>LEFT(EmpGName21)&amp;" " &amp;EmpSName21</f>
        <v xml:space="preserve"> 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 hidden="1">
      <c r="B376" s="140">
        <v>22</v>
      </c>
      <c r="C376" s="89" t="str">
        <f>LEFT(EmpGName22)&amp;" " &amp;EmpSName22</f>
        <v xml:space="preserve"> 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 hidden="1">
      <c r="B377" s="140">
        <v>23</v>
      </c>
      <c r="C377" s="88" t="str">
        <f>LEFT(EmpGName23)&amp;" " &amp;EmpSName23</f>
        <v xml:space="preserve"> 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 hidden="1">
      <c r="B378" s="140">
        <v>24</v>
      </c>
      <c r="C378" s="89" t="str">
        <f>LEFT(EmpGName24)&amp;" " &amp;EmpSName24</f>
        <v xml:space="preserve"> 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 hidden="1">
      <c r="B379" s="140">
        <v>25</v>
      </c>
      <c r="C379" s="88" t="str">
        <f>LEFT(EmpGName25)&amp;" " &amp;EmpSName25</f>
        <v xml:space="preserve"> 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 hidden="1">
      <c r="B380" s="140">
        <v>26</v>
      </c>
      <c r="C380" s="89" t="str">
        <f>LEFT(EmpGName26)&amp;" " &amp;EmpSName26</f>
        <v xml:space="preserve"> 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 hidden="1">
      <c r="B381" s="140">
        <v>27</v>
      </c>
      <c r="C381" s="88" t="str">
        <f>LEFT(EmpGName27)&amp;" " &amp;EmpSName27</f>
        <v xml:space="preserve"> 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 hidden="1">
      <c r="B382" s="180">
        <v>28</v>
      </c>
      <c r="C382" s="181" t="str">
        <f>LEFT(EmpGName28)&amp;" " &amp;EmpSName28</f>
        <v xml:space="preserve"> </v>
      </c>
      <c r="D382" s="179" t="s">
        <v>62</v>
      </c>
      <c r="E382" s="179" t="s">
        <v>62</v>
      </c>
      <c r="F382" s="179" t="s">
        <v>62</v>
      </c>
      <c r="G382" s="179" t="s">
        <v>62</v>
      </c>
      <c r="H382" s="179" t="s">
        <v>62</v>
      </c>
      <c r="I382" s="179" t="s">
        <v>62</v>
      </c>
      <c r="J382" s="179" t="s">
        <v>62</v>
      </c>
      <c r="K382" s="179" t="s">
        <v>62</v>
      </c>
      <c r="L382" s="179" t="s">
        <v>62</v>
      </c>
      <c r="M382" s="179" t="s">
        <v>62</v>
      </c>
      <c r="N382" s="179" t="s">
        <v>62</v>
      </c>
      <c r="O382" s="179" t="s">
        <v>62</v>
      </c>
      <c r="P382" s="179" t="s">
        <v>62</v>
      </c>
      <c r="Q382" s="179" t="s">
        <v>62</v>
      </c>
      <c r="R382" s="179" t="s">
        <v>62</v>
      </c>
      <c r="S382" s="179" t="s">
        <v>62</v>
      </c>
      <c r="T382" s="179" t="s">
        <v>62</v>
      </c>
      <c r="U382" s="179" t="s">
        <v>62</v>
      </c>
      <c r="V382" s="179" t="s">
        <v>62</v>
      </c>
      <c r="W382" s="179" t="s">
        <v>62</v>
      </c>
      <c r="X382" s="179" t="s">
        <v>62</v>
      </c>
      <c r="Y382" s="179" t="s">
        <v>62</v>
      </c>
      <c r="Z382" s="179" t="s">
        <v>62</v>
      </c>
      <c r="AA382" s="179" t="s">
        <v>62</v>
      </c>
      <c r="AB382" s="179" t="s">
        <v>62</v>
      </c>
      <c r="AC382" s="179" t="s">
        <v>62</v>
      </c>
      <c r="AD382" s="179" t="s">
        <v>62</v>
      </c>
      <c r="AE382" s="179" t="s">
        <v>62</v>
      </c>
      <c r="AF382" s="179" t="s">
        <v>62</v>
      </c>
      <c r="AG382" s="179" t="s">
        <v>62</v>
      </c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5">
    <dataValidation type="list" allowBlank="1" showInputMessage="1" showErrorMessage="1" sqref="AH293:AH320 AH355:AH366 AG231:AH259">
      <formula1>Shifts</formula1>
    </dataValidation>
    <dataValidation type="list" allowBlank="1" showInputMessage="1" showErrorMessage="1" errorTitle="Invalid Entry" error="Entry can be D,A,N,RO,SL,AL or blank only!" sqref="D290:AH290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InputMessage="1" showErrorMessage="1" errorTitle="Invalid Entry" error="Entry can be D,A,N,H,RO,SL,AL,NA or blank only!" sqref="D243:AF259 D26:AH41 D305:AG320 D57:AH72 D88:AG104 D119:AH134 D150:AG166 D181:AH196 D274:AH289 D336:AH351 D367:AG382 D212:AH227">
      <formula1>Shifts</formula1>
    </dataValidation>
    <dataValidation type="list" allowBlank="1" showInputMessage="1" showErrorMessage="1" errorTitle="Invalid Entry" error="Entry can be D,A,N,H,RO,SL,AL,NA or blank only!" sqref="D200:AH211 D231:AF242 D262:AH273 D293:AG304 D324:AH335 D355:AG366 D14:AH25 D45:AH56 D76:AG87 D107:AH118 D138:AG149 D169:AH18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P35"/>
  <sheetViews>
    <sheetView showRowColHeaders="0" topLeftCell="A13" workbookViewId="0">
      <selection activeCell="D35" sqref="D35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21.21875" customWidth="1"/>
    <col min="16" max="16" width="13.88671875" customWidth="1"/>
  </cols>
  <sheetData>
    <row r="2" spans="2:16" ht="39" customHeight="1"/>
    <row r="3" spans="2:16" ht="17.399999999999999">
      <c r="C3" s="138" t="s">
        <v>24</v>
      </c>
      <c r="D3" s="139" t="s">
        <v>53</v>
      </c>
    </row>
    <row r="4" spans="2:16">
      <c r="G4" s="20" t="s">
        <v>52</v>
      </c>
    </row>
    <row r="5" spans="2:16" ht="13.8" thickBot="1"/>
    <row r="6" spans="2:16" ht="14.4" customHeight="1" thickBot="1">
      <c r="B6" s="218" t="s">
        <v>0</v>
      </c>
      <c r="C6" s="219"/>
      <c r="D6" s="219"/>
      <c r="E6" s="220"/>
      <c r="G6" s="216" t="s">
        <v>7</v>
      </c>
      <c r="I6" s="216" t="s">
        <v>12</v>
      </c>
      <c r="K6" s="216" t="s">
        <v>72</v>
      </c>
      <c r="M6" s="221" t="s">
        <v>73</v>
      </c>
      <c r="O6" s="212" t="s">
        <v>90</v>
      </c>
      <c r="P6" s="213"/>
    </row>
    <row r="7" spans="2:16" ht="14.4" customHeight="1" thickBot="1">
      <c r="B7" s="64"/>
      <c r="C7" s="65" t="s">
        <v>1</v>
      </c>
      <c r="D7" s="65" t="s">
        <v>2</v>
      </c>
      <c r="E7" s="65" t="s">
        <v>3</v>
      </c>
      <c r="G7" s="217"/>
      <c r="I7" s="217"/>
      <c r="K7" s="217"/>
      <c r="M7" s="221"/>
      <c r="O7" s="214"/>
      <c r="P7" s="215"/>
    </row>
    <row r="8" spans="2:16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0" t="s">
        <v>10</v>
      </c>
      <c r="K8" s="163">
        <v>42188</v>
      </c>
      <c r="M8" s="203">
        <f>InitialPeriodEnding</f>
        <v>42188</v>
      </c>
      <c r="O8" s="200" t="s">
        <v>92</v>
      </c>
      <c r="P8" s="204">
        <v>43831</v>
      </c>
    </row>
    <row r="9" spans="2:16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1" t="s">
        <v>11</v>
      </c>
      <c r="M9" s="203">
        <f>M8+7*2</f>
        <v>42202</v>
      </c>
      <c r="O9" s="201" t="s">
        <v>93</v>
      </c>
      <c r="P9" s="205">
        <v>43856</v>
      </c>
    </row>
    <row r="10" spans="2:16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1" t="s">
        <v>9</v>
      </c>
      <c r="M10" s="203">
        <f t="shared" ref="M10:M34" si="0">M9+7*2</f>
        <v>42216</v>
      </c>
      <c r="O10" s="201" t="s">
        <v>94</v>
      </c>
      <c r="P10" s="205">
        <v>43902</v>
      </c>
    </row>
    <row r="11" spans="2:16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1" t="s">
        <v>58</v>
      </c>
      <c r="M11" s="203">
        <f t="shared" si="0"/>
        <v>42230</v>
      </c>
      <c r="O11" s="201" t="s">
        <v>95</v>
      </c>
      <c r="P11" s="205">
        <v>43920</v>
      </c>
    </row>
    <row r="12" spans="2:16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1" t="s">
        <v>39</v>
      </c>
      <c r="M12" s="203">
        <f t="shared" si="0"/>
        <v>42244</v>
      </c>
      <c r="O12" s="201" t="s">
        <v>96</v>
      </c>
      <c r="P12" s="205">
        <v>43921</v>
      </c>
    </row>
    <row r="13" spans="2:16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1" t="s">
        <v>40</v>
      </c>
      <c r="M13" s="203">
        <f t="shared" si="0"/>
        <v>42258</v>
      </c>
      <c r="O13" s="201" t="s">
        <v>97</v>
      </c>
      <c r="P13" s="205">
        <v>43923</v>
      </c>
    </row>
    <row r="14" spans="2:16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1" t="s">
        <v>45</v>
      </c>
      <c r="M14" s="203">
        <f t="shared" si="0"/>
        <v>42272</v>
      </c>
      <c r="O14" s="201" t="s">
        <v>98</v>
      </c>
      <c r="P14" s="205">
        <v>43946</v>
      </c>
    </row>
    <row r="15" spans="2:16" ht="14.4" thickBot="1">
      <c r="B15" s="50" t="s">
        <v>37</v>
      </c>
      <c r="C15" s="58"/>
      <c r="D15" s="58"/>
      <c r="E15" s="63" t="str">
        <f>LEFT(EmpGName08)&amp;" " &amp; LEFT(EmpSName08)</f>
        <v xml:space="preserve"> </v>
      </c>
      <c r="I15" s="161" t="s">
        <v>46</v>
      </c>
      <c r="M15" s="203">
        <f t="shared" si="0"/>
        <v>42286</v>
      </c>
      <c r="O15" s="201" t="s">
        <v>99</v>
      </c>
      <c r="P15" s="205">
        <v>43959</v>
      </c>
    </row>
    <row r="16" spans="2:16" ht="14.4" thickBot="1">
      <c r="B16" s="50" t="s">
        <v>38</v>
      </c>
      <c r="C16" s="58"/>
      <c r="D16" s="58"/>
      <c r="E16" s="63" t="str">
        <f>LEFT(EmpGName09)&amp;" " &amp; LEFT(EmpSName09)</f>
        <v xml:space="preserve"> </v>
      </c>
      <c r="I16" s="161" t="s">
        <v>51</v>
      </c>
      <c r="M16" s="203">
        <f t="shared" si="0"/>
        <v>42300</v>
      </c>
      <c r="O16" s="201" t="s">
        <v>100</v>
      </c>
      <c r="P16" s="205">
        <v>43745</v>
      </c>
    </row>
    <row r="17" spans="2:16" ht="14.4" thickBot="1">
      <c r="B17" s="66" t="s">
        <v>47</v>
      </c>
      <c r="C17" s="58"/>
      <c r="D17" s="58"/>
      <c r="E17" s="63" t="str">
        <f>LEFT(EmpGName10)&amp;" " &amp; LEFT(EmpSName10)</f>
        <v xml:space="preserve"> </v>
      </c>
      <c r="I17" s="161" t="s">
        <v>62</v>
      </c>
      <c r="M17" s="203">
        <f t="shared" si="0"/>
        <v>42314</v>
      </c>
      <c r="O17" s="201" t="s">
        <v>101</v>
      </c>
      <c r="P17" s="205">
        <v>43823</v>
      </c>
    </row>
    <row r="18" spans="2:16" ht="14.4" thickBot="1">
      <c r="B18" s="66" t="s">
        <v>48</v>
      </c>
      <c r="C18" s="58"/>
      <c r="D18" s="58"/>
      <c r="E18" s="63" t="str">
        <f>LEFT(EmpGName11)&amp;" " &amp; LEFT(EmpSName11)</f>
        <v xml:space="preserve"> </v>
      </c>
      <c r="I18" s="162"/>
      <c r="M18" s="203">
        <f t="shared" si="0"/>
        <v>42328</v>
      </c>
      <c r="O18" s="201" t="s">
        <v>102</v>
      </c>
      <c r="P18" s="205">
        <v>43824</v>
      </c>
    </row>
    <row r="19" spans="2:16" ht="14.4" thickBot="1">
      <c r="B19" s="66" t="s">
        <v>49</v>
      </c>
      <c r="C19" s="164"/>
      <c r="D19" s="164"/>
      <c r="E19" s="63" t="str">
        <f>LEFT(EmpGName12)&amp;" " &amp; LEFT(EmpSName12)</f>
        <v xml:space="preserve"> </v>
      </c>
      <c r="M19" s="203">
        <f>M18+7*2</f>
        <v>42342</v>
      </c>
      <c r="O19" s="201" t="s">
        <v>103</v>
      </c>
      <c r="P19" s="205">
        <v>43825</v>
      </c>
    </row>
    <row r="20" spans="2:16" ht="14.4" thickBot="1">
      <c r="B20" s="66" t="s">
        <v>74</v>
      </c>
      <c r="C20" s="164"/>
      <c r="D20" s="164"/>
      <c r="E20" s="63" t="str">
        <f>LEFT(EmpGName13)&amp;" " &amp; LEFT(EmpSName13)</f>
        <v xml:space="preserve"> </v>
      </c>
      <c r="M20" s="203">
        <f t="shared" si="0"/>
        <v>42356</v>
      </c>
      <c r="O20" s="201" t="s">
        <v>104</v>
      </c>
      <c r="P20" s="205">
        <v>43830</v>
      </c>
    </row>
    <row r="21" spans="2:16" ht="14.4" thickBot="1">
      <c r="B21" s="66" t="s">
        <v>75</v>
      </c>
      <c r="C21" s="164"/>
      <c r="D21" s="164"/>
      <c r="E21" s="63" t="str">
        <f>LEFT(EmpGName14)&amp;" " &amp; LEFT(EmpSName14)</f>
        <v xml:space="preserve"> </v>
      </c>
      <c r="M21" s="203">
        <f t="shared" si="0"/>
        <v>42370</v>
      </c>
      <c r="O21" s="201"/>
      <c r="P21" s="205"/>
    </row>
    <row r="22" spans="2:16" ht="14.4" thickBot="1">
      <c r="B22" s="66" t="s">
        <v>76</v>
      </c>
      <c r="C22" s="164"/>
      <c r="D22" s="164"/>
      <c r="E22" s="63" t="str">
        <f>LEFT(EmpGName15)&amp;" " &amp; LEFT(EmpSName15)</f>
        <v xml:space="preserve"> </v>
      </c>
      <c r="M22" s="203">
        <f t="shared" si="0"/>
        <v>42384</v>
      </c>
      <c r="O22" s="202"/>
      <c r="P22" s="206"/>
    </row>
    <row r="23" spans="2:16" ht="14.4" thickBot="1">
      <c r="B23" s="66" t="s">
        <v>77</v>
      </c>
      <c r="C23" s="164"/>
      <c r="D23" s="164"/>
      <c r="E23" s="63" t="str">
        <f>LEFT(EmpGName16)&amp;" " &amp; LEFT(EmpSName16)</f>
        <v xml:space="preserve"> </v>
      </c>
      <c r="M23" s="203">
        <f t="shared" si="0"/>
        <v>42398</v>
      </c>
      <c r="O23" s="44"/>
      <c r="P23" s="44"/>
    </row>
    <row r="24" spans="2:16" ht="14.4" thickBot="1">
      <c r="B24" s="66" t="s">
        <v>78</v>
      </c>
      <c r="C24" s="164"/>
      <c r="D24" s="164"/>
      <c r="E24" s="63" t="str">
        <f>LEFT(EmpGName17)&amp;" " &amp; LEFT(EmpSName17)</f>
        <v xml:space="preserve"> </v>
      </c>
      <c r="M24" s="203">
        <f t="shared" si="0"/>
        <v>42412</v>
      </c>
    </row>
    <row r="25" spans="2:16" ht="14.4" thickBot="1">
      <c r="B25" s="66" t="s">
        <v>79</v>
      </c>
      <c r="C25" s="164"/>
      <c r="D25" s="164"/>
      <c r="E25" s="63" t="str">
        <f>LEFT(EmpGName18)&amp;" " &amp; LEFT(EmpSName18)</f>
        <v xml:space="preserve"> </v>
      </c>
      <c r="M25" s="203">
        <f t="shared" si="0"/>
        <v>42426</v>
      </c>
    </row>
    <row r="26" spans="2:16" ht="14.4" thickBot="1">
      <c r="B26" s="66" t="s">
        <v>80</v>
      </c>
      <c r="C26" s="164"/>
      <c r="D26" s="164"/>
      <c r="E26" s="63" t="str">
        <f>LEFT(EmpGName19)&amp;" " &amp; LEFT(EmpSName19)</f>
        <v xml:space="preserve"> </v>
      </c>
      <c r="M26" s="203">
        <f t="shared" si="0"/>
        <v>42440</v>
      </c>
    </row>
    <row r="27" spans="2:16" ht="14.4" thickBot="1">
      <c r="B27" s="66" t="s">
        <v>81</v>
      </c>
      <c r="C27" s="164"/>
      <c r="D27" s="164"/>
      <c r="E27" s="63" t="str">
        <f>LEFT(EmpGName20)&amp;" " &amp; LEFT(EmpSName20)</f>
        <v xml:space="preserve"> </v>
      </c>
      <c r="M27" s="203">
        <f t="shared" si="0"/>
        <v>42454</v>
      </c>
    </row>
    <row r="28" spans="2:16" ht="14.4" thickBot="1">
      <c r="B28" s="66" t="s">
        <v>82</v>
      </c>
      <c r="C28" s="164"/>
      <c r="D28" s="164"/>
      <c r="E28" s="63" t="str">
        <f>LEFT(EmpGName21)&amp;" " &amp; LEFT(EmpSName21)</f>
        <v xml:space="preserve"> </v>
      </c>
      <c r="M28" s="203">
        <f t="shared" si="0"/>
        <v>42468</v>
      </c>
    </row>
    <row r="29" spans="2:16" ht="14.4" thickBot="1">
      <c r="B29" s="66" t="s">
        <v>83</v>
      </c>
      <c r="C29" s="164"/>
      <c r="D29" s="164"/>
      <c r="E29" s="63" t="str">
        <f>LEFT(EmpGName22)&amp;" " &amp; LEFT(EmpSName22)</f>
        <v xml:space="preserve"> </v>
      </c>
      <c r="M29" s="203">
        <f t="shared" si="0"/>
        <v>42482</v>
      </c>
    </row>
    <row r="30" spans="2:16" ht="14.4" thickBot="1">
      <c r="B30" s="66" t="s">
        <v>84</v>
      </c>
      <c r="C30" s="164"/>
      <c r="D30" s="164"/>
      <c r="E30" s="63" t="str">
        <f>LEFT(EmpGName23)&amp;" " &amp; LEFT(EmpSName23)</f>
        <v xml:space="preserve"> </v>
      </c>
      <c r="M30" s="203">
        <f t="shared" si="0"/>
        <v>42496</v>
      </c>
    </row>
    <row r="31" spans="2:16" ht="14.4" thickBot="1">
      <c r="B31" s="66" t="s">
        <v>85</v>
      </c>
      <c r="C31" s="164"/>
      <c r="D31" s="164"/>
      <c r="E31" s="63" t="str">
        <f>LEFT(EmpGName24)&amp;" " &amp; LEFT(EmpSName24)</f>
        <v xml:space="preserve"> </v>
      </c>
      <c r="M31" s="203">
        <f t="shared" si="0"/>
        <v>42510</v>
      </c>
    </row>
    <row r="32" spans="2:16" ht="14.4" thickBot="1">
      <c r="B32" s="66" t="s">
        <v>86</v>
      </c>
      <c r="C32" s="164"/>
      <c r="D32" s="164"/>
      <c r="E32" s="63" t="str">
        <f>LEFT(EmpGName25)&amp;" " &amp; LEFT(EmpSName25)</f>
        <v xml:space="preserve"> </v>
      </c>
      <c r="M32" s="203">
        <f t="shared" si="0"/>
        <v>42524</v>
      </c>
    </row>
    <row r="33" spans="2:13" ht="14.4" thickBot="1">
      <c r="B33" s="66" t="s">
        <v>87</v>
      </c>
      <c r="C33" s="164"/>
      <c r="D33" s="164"/>
      <c r="E33" s="63" t="str">
        <f>LEFT(EmpGName26)&amp;" " &amp; LEFT(EmpSName26)</f>
        <v xml:space="preserve"> </v>
      </c>
      <c r="M33" s="203">
        <f t="shared" si="0"/>
        <v>42538</v>
      </c>
    </row>
    <row r="34" spans="2:13" ht="14.4" thickBot="1">
      <c r="B34" s="66" t="s">
        <v>88</v>
      </c>
      <c r="C34" s="164"/>
      <c r="D34" s="164"/>
      <c r="E34" s="63" t="str">
        <f>LEFT(EmpGName27)&amp;" " &amp; LEFT(EmpSName27)</f>
        <v xml:space="preserve"> </v>
      </c>
      <c r="M34" s="203">
        <f t="shared" si="0"/>
        <v>42552</v>
      </c>
    </row>
    <row r="35" spans="2:13" ht="14.4" thickBot="1">
      <c r="B35" s="67" t="s">
        <v>89</v>
      </c>
      <c r="C35" s="165"/>
      <c r="D35" s="165"/>
      <c r="E35" s="92" t="str">
        <f>LEFT(EmpGName28)&amp;" " &amp; LEFT(EmpSName28)</f>
        <v xml:space="preserve"> 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6">
    <mergeCell ref="O6:P7"/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18" t="str">
        <f>Location</f>
        <v>Oodlawirra Quarantine Station</v>
      </c>
      <c r="J2" s="101"/>
      <c r="K2" s="101"/>
      <c r="L2" s="101"/>
      <c r="M2" s="101"/>
      <c r="N2" s="101"/>
      <c r="O2" s="101"/>
      <c r="P2" s="101"/>
      <c r="Q2" s="101"/>
      <c r="R2" s="118" t="str">
        <f xml:space="preserve"> "Financial Year Commencing 1st July, " &amp; CurYear -1</f>
        <v>Financial Year Commencing 1st July, 2019</v>
      </c>
      <c r="S2" s="34"/>
      <c r="T2" s="101"/>
      <c r="U2" s="101"/>
      <c r="V2" s="34"/>
      <c r="W2" s="101"/>
      <c r="X2" s="101"/>
      <c r="Y2" s="101"/>
      <c r="Z2" s="101"/>
      <c r="AA2" s="101"/>
      <c r="AB2" s="101"/>
      <c r="AC2" s="101"/>
      <c r="AD2" s="101"/>
      <c r="AE2" s="101"/>
      <c r="AF2" s="101"/>
    </row>
    <row r="3" spans="2:33" s="26" customFormat="1" ht="27" customHeight="1">
      <c r="B3" s="47"/>
      <c r="I3" s="119" t="s">
        <v>25</v>
      </c>
      <c r="R3" s="119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98" customFormat="1" ht="13.8" thickBot="1">
      <c r="B4" s="99"/>
      <c r="C4" s="28" t="str">
        <f>LEFT(TEXT(C5&amp;"-"&amp;$B5&amp;"-"&amp;CurYear-1,"ddd"),2)</f>
        <v>Mo</v>
      </c>
      <c r="D4" s="28" t="str">
        <f t="shared" ref="D4:AG4" si="0">LEFT(TEXT(D5&amp;"-"&amp;$B5&amp;"-"&amp;CurYear-1,"ddd"),2)</f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98" t="str">
        <f t="shared" si="0"/>
        <v>We</v>
      </c>
    </row>
    <row r="5" spans="2:33" ht="14.4" thickTop="1" thickBot="1">
      <c r="B5" s="102" t="str">
        <f>Roster!C13</f>
        <v>July</v>
      </c>
      <c r="C5" s="103">
        <v>1</v>
      </c>
      <c r="D5" s="104">
        <v>2</v>
      </c>
      <c r="E5" s="104">
        <v>3</v>
      </c>
      <c r="F5" s="104">
        <v>4</v>
      </c>
      <c r="G5" s="104">
        <v>5</v>
      </c>
      <c r="H5" s="104">
        <v>6</v>
      </c>
      <c r="I5" s="104">
        <v>7</v>
      </c>
      <c r="J5" s="104">
        <v>8</v>
      </c>
      <c r="K5" s="104">
        <v>9</v>
      </c>
      <c r="L5" s="104">
        <v>10</v>
      </c>
      <c r="M5" s="104">
        <v>11</v>
      </c>
      <c r="N5" s="104">
        <v>12</v>
      </c>
      <c r="O5" s="104">
        <v>13</v>
      </c>
      <c r="P5" s="104">
        <v>14</v>
      </c>
      <c r="Q5" s="104">
        <v>15</v>
      </c>
      <c r="R5" s="104">
        <v>16</v>
      </c>
      <c r="S5" s="104">
        <v>17</v>
      </c>
      <c r="T5" s="104">
        <v>18</v>
      </c>
      <c r="U5" s="104">
        <v>19</v>
      </c>
      <c r="V5" s="104">
        <v>20</v>
      </c>
      <c r="W5" s="104">
        <v>21</v>
      </c>
      <c r="X5" s="104">
        <v>22</v>
      </c>
      <c r="Y5" s="104">
        <v>23</v>
      </c>
      <c r="Z5" s="104">
        <v>24</v>
      </c>
      <c r="AA5" s="104">
        <v>25</v>
      </c>
      <c r="AB5" s="104">
        <v>26</v>
      </c>
      <c r="AC5" s="104">
        <v>27</v>
      </c>
      <c r="AD5" s="104">
        <v>28</v>
      </c>
      <c r="AE5" s="104">
        <v>29</v>
      </c>
      <c r="AF5" s="104">
        <v>30</v>
      </c>
      <c r="AG5" s="105">
        <v>31</v>
      </c>
    </row>
    <row r="6" spans="2:33" ht="14.4" thickTop="1" thickBot="1">
      <c r="B6" s="102">
        <f>CurYear-1</f>
        <v>2019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102" t="str">
        <f>Roster!C44</f>
        <v>August</v>
      </c>
      <c r="C8" s="103">
        <v>1</v>
      </c>
      <c r="D8" s="104">
        <v>2</v>
      </c>
      <c r="E8" s="104">
        <v>3</v>
      </c>
      <c r="F8" s="104">
        <v>4</v>
      </c>
      <c r="G8" s="104">
        <v>5</v>
      </c>
      <c r="H8" s="104">
        <v>6</v>
      </c>
      <c r="I8" s="104">
        <v>7</v>
      </c>
      <c r="J8" s="104">
        <v>8</v>
      </c>
      <c r="K8" s="104">
        <v>9</v>
      </c>
      <c r="L8" s="104">
        <v>10</v>
      </c>
      <c r="M8" s="104">
        <v>11</v>
      </c>
      <c r="N8" s="104">
        <v>12</v>
      </c>
      <c r="O8" s="104">
        <v>13</v>
      </c>
      <c r="P8" s="104">
        <v>14</v>
      </c>
      <c r="Q8" s="104">
        <v>15</v>
      </c>
      <c r="R8" s="104">
        <v>16</v>
      </c>
      <c r="S8" s="104">
        <v>17</v>
      </c>
      <c r="T8" s="104">
        <v>18</v>
      </c>
      <c r="U8" s="104">
        <v>19</v>
      </c>
      <c r="V8" s="104">
        <v>20</v>
      </c>
      <c r="W8" s="104">
        <v>21</v>
      </c>
      <c r="X8" s="104">
        <v>22</v>
      </c>
      <c r="Y8" s="104">
        <v>23</v>
      </c>
      <c r="Z8" s="104">
        <v>24</v>
      </c>
      <c r="AA8" s="104">
        <v>25</v>
      </c>
      <c r="AB8" s="104">
        <v>26</v>
      </c>
      <c r="AC8" s="104">
        <v>27</v>
      </c>
      <c r="AD8" s="107">
        <v>28</v>
      </c>
      <c r="AE8" s="104">
        <v>29</v>
      </c>
      <c r="AF8" s="108">
        <v>30</v>
      </c>
      <c r="AG8" s="105">
        <v>31</v>
      </c>
    </row>
    <row r="9" spans="2:33" ht="14.4" thickTop="1" thickBot="1">
      <c r="B9" s="102">
        <f>CurYear-1</f>
        <v>2019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8" t="str">
        <f t="shared" si="2"/>
        <v>Su</v>
      </c>
      <c r="AF10" s="21" t="str">
        <f t="shared" si="2"/>
        <v>Mo</v>
      </c>
      <c r="AG10" s="109"/>
    </row>
    <row r="11" spans="2:33" ht="14.4" thickTop="1" thickBot="1">
      <c r="B11" s="102" t="str">
        <f>Roster!C75</f>
        <v>September</v>
      </c>
      <c r="C11" s="110">
        <v>1</v>
      </c>
      <c r="D11" s="111">
        <v>2</v>
      </c>
      <c r="E11" s="111">
        <v>3</v>
      </c>
      <c r="F11" s="111">
        <v>4</v>
      </c>
      <c r="G11" s="111">
        <v>5</v>
      </c>
      <c r="H11" s="111">
        <v>6</v>
      </c>
      <c r="I11" s="111">
        <v>7</v>
      </c>
      <c r="J11" s="111">
        <v>8</v>
      </c>
      <c r="K11" s="111">
        <v>9</v>
      </c>
      <c r="L11" s="111">
        <v>10</v>
      </c>
      <c r="M11" s="111">
        <v>11</v>
      </c>
      <c r="N11" s="111">
        <v>12</v>
      </c>
      <c r="O11" s="111">
        <v>13</v>
      </c>
      <c r="P11" s="111">
        <v>14</v>
      </c>
      <c r="Q11" s="111">
        <v>15</v>
      </c>
      <c r="R11" s="111">
        <v>16</v>
      </c>
      <c r="S11" s="111">
        <v>17</v>
      </c>
      <c r="T11" s="111">
        <v>18</v>
      </c>
      <c r="U11" s="111">
        <v>19</v>
      </c>
      <c r="V11" s="111">
        <v>20</v>
      </c>
      <c r="W11" s="111">
        <v>21</v>
      </c>
      <c r="X11" s="111">
        <v>22</v>
      </c>
      <c r="Y11" s="111">
        <v>23</v>
      </c>
      <c r="Z11" s="111">
        <v>24</v>
      </c>
      <c r="AA11" s="111">
        <v>25</v>
      </c>
      <c r="AB11" s="111">
        <v>26</v>
      </c>
      <c r="AC11" s="111">
        <v>27</v>
      </c>
      <c r="AD11" s="111">
        <v>28</v>
      </c>
      <c r="AE11" s="111">
        <v>29</v>
      </c>
      <c r="AF11" s="112">
        <v>30</v>
      </c>
    </row>
    <row r="12" spans="2:33" ht="14.4" thickTop="1" thickBot="1">
      <c r="B12" s="102">
        <f>CurYear-1</f>
        <v>2019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102" t="str">
        <f>Roster!C106</f>
        <v>October</v>
      </c>
      <c r="C14" s="103">
        <v>1</v>
      </c>
      <c r="D14" s="104">
        <v>2</v>
      </c>
      <c r="E14" s="104">
        <v>3</v>
      </c>
      <c r="F14" s="104">
        <v>4</v>
      </c>
      <c r="G14" s="104">
        <v>5</v>
      </c>
      <c r="H14" s="104">
        <v>6</v>
      </c>
      <c r="I14" s="104">
        <v>7</v>
      </c>
      <c r="J14" s="104">
        <v>8</v>
      </c>
      <c r="K14" s="104">
        <v>9</v>
      </c>
      <c r="L14" s="104">
        <v>10</v>
      </c>
      <c r="M14" s="104">
        <v>11</v>
      </c>
      <c r="N14" s="104">
        <v>12</v>
      </c>
      <c r="O14" s="104">
        <v>13</v>
      </c>
      <c r="P14" s="104">
        <v>14</v>
      </c>
      <c r="Q14" s="104">
        <v>15</v>
      </c>
      <c r="R14" s="104">
        <v>16</v>
      </c>
      <c r="S14" s="104">
        <v>17</v>
      </c>
      <c r="T14" s="104">
        <v>18</v>
      </c>
      <c r="U14" s="104">
        <v>19</v>
      </c>
      <c r="V14" s="104">
        <v>20</v>
      </c>
      <c r="W14" s="104">
        <v>21</v>
      </c>
      <c r="X14" s="104">
        <v>22</v>
      </c>
      <c r="Y14" s="104">
        <v>23</v>
      </c>
      <c r="Z14" s="104">
        <v>24</v>
      </c>
      <c r="AA14" s="104">
        <v>25</v>
      </c>
      <c r="AB14" s="104">
        <v>26</v>
      </c>
      <c r="AC14" s="104">
        <v>27</v>
      </c>
      <c r="AD14" s="104">
        <v>28</v>
      </c>
      <c r="AE14" s="104">
        <v>29</v>
      </c>
      <c r="AF14" s="104">
        <v>30</v>
      </c>
      <c r="AG14" s="105">
        <v>31</v>
      </c>
    </row>
    <row r="15" spans="2:33" ht="14.4" thickTop="1" thickBot="1">
      <c r="B15" s="102">
        <f>CurYear-1</f>
        <v>2019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09"/>
    </row>
    <row r="17" spans="2:33" ht="14.4" thickTop="1" thickBot="1">
      <c r="B17" s="102" t="str">
        <f>Roster!C137</f>
        <v>November</v>
      </c>
      <c r="C17" s="110">
        <v>1</v>
      </c>
      <c r="D17" s="111">
        <v>2</v>
      </c>
      <c r="E17" s="111">
        <v>3</v>
      </c>
      <c r="F17" s="111">
        <v>4</v>
      </c>
      <c r="G17" s="111">
        <v>5</v>
      </c>
      <c r="H17" s="111">
        <v>6</v>
      </c>
      <c r="I17" s="111">
        <v>7</v>
      </c>
      <c r="J17" s="111">
        <v>8</v>
      </c>
      <c r="K17" s="111">
        <v>9</v>
      </c>
      <c r="L17" s="111">
        <v>10</v>
      </c>
      <c r="M17" s="111">
        <v>11</v>
      </c>
      <c r="N17" s="111">
        <v>12</v>
      </c>
      <c r="O17" s="111">
        <v>13</v>
      </c>
      <c r="P17" s="111">
        <v>14</v>
      </c>
      <c r="Q17" s="111">
        <v>15</v>
      </c>
      <c r="R17" s="111">
        <v>16</v>
      </c>
      <c r="S17" s="111">
        <v>17</v>
      </c>
      <c r="T17" s="111">
        <v>18</v>
      </c>
      <c r="U17" s="111">
        <v>19</v>
      </c>
      <c r="V17" s="111">
        <v>20</v>
      </c>
      <c r="W17" s="111">
        <v>21</v>
      </c>
      <c r="X17" s="111">
        <v>22</v>
      </c>
      <c r="Y17" s="111">
        <v>23</v>
      </c>
      <c r="Z17" s="111">
        <v>24</v>
      </c>
      <c r="AA17" s="111">
        <v>25</v>
      </c>
      <c r="AB17" s="111">
        <v>26</v>
      </c>
      <c r="AC17" s="111">
        <v>27</v>
      </c>
      <c r="AD17" s="111">
        <v>28</v>
      </c>
      <c r="AE17" s="111">
        <v>29</v>
      </c>
      <c r="AF17" s="112">
        <v>30</v>
      </c>
    </row>
    <row r="18" spans="2:33" ht="14.4" thickTop="1" thickBot="1">
      <c r="B18" s="102">
        <f>CurYear-1</f>
        <v>2019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3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102" t="str">
        <f>Roster!C168</f>
        <v>December</v>
      </c>
      <c r="C20" s="103">
        <v>1</v>
      </c>
      <c r="D20" s="104">
        <v>2</v>
      </c>
      <c r="E20" s="104">
        <v>3</v>
      </c>
      <c r="F20" s="104">
        <v>4</v>
      </c>
      <c r="G20" s="104">
        <v>5</v>
      </c>
      <c r="H20" s="104">
        <v>6</v>
      </c>
      <c r="I20" s="104">
        <v>7</v>
      </c>
      <c r="J20" s="104">
        <v>8</v>
      </c>
      <c r="K20" s="104">
        <v>9</v>
      </c>
      <c r="L20" s="104">
        <v>10</v>
      </c>
      <c r="M20" s="104">
        <v>11</v>
      </c>
      <c r="N20" s="104">
        <v>12</v>
      </c>
      <c r="O20" s="104">
        <v>13</v>
      </c>
      <c r="P20" s="104">
        <v>14</v>
      </c>
      <c r="Q20" s="104">
        <v>15</v>
      </c>
      <c r="R20" s="104">
        <v>16</v>
      </c>
      <c r="S20" s="104">
        <v>17</v>
      </c>
      <c r="T20" s="104">
        <v>18</v>
      </c>
      <c r="U20" s="104">
        <v>19</v>
      </c>
      <c r="V20" s="104">
        <v>20</v>
      </c>
      <c r="W20" s="104">
        <v>21</v>
      </c>
      <c r="X20" s="104">
        <v>22</v>
      </c>
      <c r="Y20" s="104">
        <v>23</v>
      </c>
      <c r="Z20" s="104">
        <v>24</v>
      </c>
      <c r="AA20" s="104">
        <v>25</v>
      </c>
      <c r="AB20" s="104">
        <v>26</v>
      </c>
      <c r="AC20" s="104">
        <v>27</v>
      </c>
      <c r="AD20" s="104">
        <v>28</v>
      </c>
      <c r="AE20" s="104">
        <v>29</v>
      </c>
      <c r="AF20" s="104">
        <v>30</v>
      </c>
      <c r="AG20" s="105">
        <v>31</v>
      </c>
    </row>
    <row r="21" spans="2:33" ht="14.4" thickTop="1" thickBot="1">
      <c r="B21" s="102">
        <f>CurYear-1</f>
        <v>2019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We</v>
      </c>
      <c r="D22" s="47" t="str">
        <f t="shared" si="6"/>
        <v>Th</v>
      </c>
      <c r="E22" s="47" t="str">
        <f t="shared" si="6"/>
        <v>Fr</v>
      </c>
      <c r="F22" s="47" t="str">
        <f t="shared" si="6"/>
        <v>Sa</v>
      </c>
      <c r="G22" s="47" t="str">
        <f t="shared" si="6"/>
        <v>Su</v>
      </c>
      <c r="H22" s="47" t="str">
        <f t="shared" si="6"/>
        <v>Mo</v>
      </c>
      <c r="I22" s="47" t="str">
        <f t="shared" si="6"/>
        <v>Tu</v>
      </c>
      <c r="J22" s="47" t="str">
        <f t="shared" si="6"/>
        <v>We</v>
      </c>
      <c r="K22" s="47" t="str">
        <f t="shared" si="6"/>
        <v>Th</v>
      </c>
      <c r="L22" s="47" t="str">
        <f t="shared" si="6"/>
        <v>Fr</v>
      </c>
      <c r="M22" s="47" t="str">
        <f t="shared" si="6"/>
        <v>Sa</v>
      </c>
      <c r="N22" s="47" t="str">
        <f t="shared" si="6"/>
        <v>Su</v>
      </c>
      <c r="O22" s="47" t="str">
        <f t="shared" si="6"/>
        <v>Mo</v>
      </c>
      <c r="P22" s="47" t="str">
        <f t="shared" si="6"/>
        <v>Tu</v>
      </c>
      <c r="Q22" s="47" t="str">
        <f t="shared" si="6"/>
        <v>We</v>
      </c>
      <c r="R22" s="47" t="str">
        <f t="shared" si="6"/>
        <v>Th</v>
      </c>
      <c r="S22" s="47" t="str">
        <f t="shared" si="6"/>
        <v>Fr</v>
      </c>
      <c r="T22" s="47" t="str">
        <f t="shared" si="6"/>
        <v>Sa</v>
      </c>
      <c r="U22" s="47" t="str">
        <f t="shared" si="6"/>
        <v>Su</v>
      </c>
      <c r="V22" s="47" t="str">
        <f t="shared" si="6"/>
        <v>Mo</v>
      </c>
      <c r="W22" s="47" t="str">
        <f t="shared" si="6"/>
        <v>Tu</v>
      </c>
      <c r="X22" s="47" t="str">
        <f t="shared" si="6"/>
        <v>We</v>
      </c>
      <c r="Y22" s="47" t="str">
        <f t="shared" si="6"/>
        <v>Th</v>
      </c>
      <c r="Z22" s="47" t="str">
        <f t="shared" si="6"/>
        <v>Fr</v>
      </c>
      <c r="AA22" s="47" t="str">
        <f t="shared" si="6"/>
        <v>Sa</v>
      </c>
      <c r="AB22" s="47" t="str">
        <f t="shared" si="6"/>
        <v>Su</v>
      </c>
      <c r="AC22" s="47" t="str">
        <f t="shared" si="6"/>
        <v>Mo</v>
      </c>
      <c r="AD22" s="47" t="str">
        <f t="shared" si="6"/>
        <v>Tu</v>
      </c>
      <c r="AE22" s="47" t="str">
        <f t="shared" si="6"/>
        <v>We</v>
      </c>
      <c r="AF22" s="47" t="str">
        <f t="shared" si="6"/>
        <v>Th</v>
      </c>
      <c r="AG22" s="47" t="str">
        <f t="shared" si="6"/>
        <v>Fr</v>
      </c>
    </row>
    <row r="23" spans="2:33" ht="14.4" thickTop="1" thickBot="1">
      <c r="B23" s="102" t="str">
        <f>Roster!$C$199</f>
        <v>January</v>
      </c>
      <c r="C23" s="103">
        <v>1</v>
      </c>
      <c r="D23" s="104">
        <v>2</v>
      </c>
      <c r="E23" s="104">
        <v>3</v>
      </c>
      <c r="F23" s="104">
        <v>4</v>
      </c>
      <c r="G23" s="104">
        <v>5</v>
      </c>
      <c r="H23" s="104">
        <v>6</v>
      </c>
      <c r="I23" s="104">
        <v>7</v>
      </c>
      <c r="J23" s="104">
        <v>8</v>
      </c>
      <c r="K23" s="104">
        <v>9</v>
      </c>
      <c r="L23" s="104">
        <v>10</v>
      </c>
      <c r="M23" s="104">
        <v>11</v>
      </c>
      <c r="N23" s="104">
        <v>12</v>
      </c>
      <c r="O23" s="104">
        <v>13</v>
      </c>
      <c r="P23" s="104">
        <v>14</v>
      </c>
      <c r="Q23" s="104">
        <v>15</v>
      </c>
      <c r="R23" s="104">
        <v>16</v>
      </c>
      <c r="S23" s="104">
        <v>17</v>
      </c>
      <c r="T23" s="104">
        <v>18</v>
      </c>
      <c r="U23" s="104">
        <v>19</v>
      </c>
      <c r="V23" s="104">
        <v>20</v>
      </c>
      <c r="W23" s="104">
        <v>21</v>
      </c>
      <c r="X23" s="104">
        <v>22</v>
      </c>
      <c r="Y23" s="104">
        <v>23</v>
      </c>
      <c r="Z23" s="104">
        <v>24</v>
      </c>
      <c r="AA23" s="104">
        <v>25</v>
      </c>
      <c r="AB23" s="104">
        <v>26</v>
      </c>
      <c r="AC23" s="104">
        <v>27</v>
      </c>
      <c r="AD23" s="104">
        <v>28</v>
      </c>
      <c r="AE23" s="104">
        <v>29</v>
      </c>
      <c r="AF23" s="104">
        <v>30</v>
      </c>
      <c r="AG23" s="105">
        <v>31</v>
      </c>
    </row>
    <row r="24" spans="2:33" ht="14.4" thickTop="1" thickBot="1">
      <c r="B24" s="102" t="str">
        <f>CurYear</f>
        <v>2020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Sa</v>
      </c>
      <c r="D25" s="120" t="str">
        <f t="shared" si="7"/>
        <v>Su</v>
      </c>
      <c r="E25" s="120" t="str">
        <f t="shared" si="7"/>
        <v>Mo</v>
      </c>
      <c r="F25" s="120" t="str">
        <f t="shared" si="7"/>
        <v>Tu</v>
      </c>
      <c r="G25" s="120" t="str">
        <f t="shared" si="7"/>
        <v>We</v>
      </c>
      <c r="H25" s="120" t="str">
        <f t="shared" si="7"/>
        <v>Th</v>
      </c>
      <c r="I25" s="120" t="str">
        <f t="shared" si="7"/>
        <v>Fr</v>
      </c>
      <c r="J25" s="120" t="str">
        <f t="shared" si="7"/>
        <v>Sa</v>
      </c>
      <c r="K25" s="120" t="str">
        <f t="shared" si="7"/>
        <v>Su</v>
      </c>
      <c r="L25" s="120" t="str">
        <f t="shared" si="7"/>
        <v>Mo</v>
      </c>
      <c r="M25" s="120" t="str">
        <f t="shared" si="7"/>
        <v>Tu</v>
      </c>
      <c r="N25" s="120" t="str">
        <f t="shared" si="7"/>
        <v>We</v>
      </c>
      <c r="O25" s="120" t="str">
        <f t="shared" si="7"/>
        <v>Th</v>
      </c>
      <c r="P25" s="120" t="str">
        <f t="shared" si="7"/>
        <v>Fr</v>
      </c>
      <c r="Q25" s="120" t="str">
        <f t="shared" si="7"/>
        <v>Sa</v>
      </c>
      <c r="R25" s="120" t="str">
        <f t="shared" si="7"/>
        <v>Su</v>
      </c>
      <c r="S25" s="120" t="str">
        <f t="shared" si="7"/>
        <v>Mo</v>
      </c>
      <c r="T25" s="120" t="str">
        <f t="shared" si="7"/>
        <v>Tu</v>
      </c>
      <c r="U25" s="120" t="str">
        <f t="shared" si="7"/>
        <v>We</v>
      </c>
      <c r="V25" s="120" t="str">
        <f t="shared" si="7"/>
        <v>Th</v>
      </c>
      <c r="W25" s="120" t="str">
        <f t="shared" si="7"/>
        <v>Fr</v>
      </c>
      <c r="X25" s="120" t="str">
        <f t="shared" si="7"/>
        <v>Sa</v>
      </c>
      <c r="Y25" s="120" t="str">
        <f t="shared" si="7"/>
        <v>Su</v>
      </c>
      <c r="Z25" s="120" t="str">
        <f t="shared" si="7"/>
        <v>Mo</v>
      </c>
      <c r="AA25" s="120" t="str">
        <f t="shared" si="7"/>
        <v>Tu</v>
      </c>
      <c r="AB25" s="120" t="str">
        <f t="shared" si="7"/>
        <v>We</v>
      </c>
      <c r="AC25" s="120" t="str">
        <f t="shared" si="7"/>
        <v>Th</v>
      </c>
      <c r="AD25" s="120" t="str">
        <f t="shared" si="7"/>
        <v>Fr</v>
      </c>
      <c r="AE25" s="136" t="str">
        <f t="shared" si="7"/>
        <v>Sa</v>
      </c>
      <c r="AF25" s="115"/>
      <c r="AG25" s="115"/>
    </row>
    <row r="26" spans="2:33" ht="14.4" thickTop="1" thickBot="1">
      <c r="B26" s="102" t="str">
        <f>Roster!$C$230</f>
        <v>February</v>
      </c>
      <c r="C26" s="103">
        <v>1</v>
      </c>
      <c r="D26" s="111">
        <v>2</v>
      </c>
      <c r="E26" s="111">
        <v>3</v>
      </c>
      <c r="F26" s="111">
        <v>4</v>
      </c>
      <c r="G26" s="111">
        <v>5</v>
      </c>
      <c r="H26" s="111">
        <v>6</v>
      </c>
      <c r="I26" s="111">
        <v>7</v>
      </c>
      <c r="J26" s="111">
        <v>8</v>
      </c>
      <c r="K26" s="111">
        <v>9</v>
      </c>
      <c r="L26" s="111">
        <v>10</v>
      </c>
      <c r="M26" s="111">
        <v>11</v>
      </c>
      <c r="N26" s="111">
        <v>12</v>
      </c>
      <c r="O26" s="111">
        <v>13</v>
      </c>
      <c r="P26" s="111">
        <v>14</v>
      </c>
      <c r="Q26" s="111">
        <v>15</v>
      </c>
      <c r="R26" s="111">
        <v>16</v>
      </c>
      <c r="S26" s="111">
        <v>17</v>
      </c>
      <c r="T26" s="111">
        <v>18</v>
      </c>
      <c r="U26" s="111">
        <v>19</v>
      </c>
      <c r="V26" s="111">
        <v>20</v>
      </c>
      <c r="W26" s="111">
        <v>21</v>
      </c>
      <c r="X26" s="111">
        <v>22</v>
      </c>
      <c r="Y26" s="111">
        <v>23</v>
      </c>
      <c r="Z26" s="111">
        <v>24</v>
      </c>
      <c r="AA26" s="111">
        <v>25</v>
      </c>
      <c r="AB26" s="111">
        <v>26</v>
      </c>
      <c r="AC26" s="111">
        <v>27</v>
      </c>
      <c r="AD26" s="116">
        <v>28</v>
      </c>
      <c r="AE26" s="121">
        <v>29</v>
      </c>
      <c r="AF26" s="98"/>
    </row>
    <row r="27" spans="2:33" ht="14.4" thickTop="1" thickBot="1">
      <c r="B27" s="102" t="str">
        <f>CurYear</f>
        <v>2020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2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102" t="str">
        <f>Roster!$C$261</f>
        <v>March</v>
      </c>
      <c r="C29" s="103">
        <v>1</v>
      </c>
      <c r="D29" s="104">
        <v>2</v>
      </c>
      <c r="E29" s="104">
        <v>3</v>
      </c>
      <c r="F29" s="104">
        <v>4</v>
      </c>
      <c r="G29" s="104">
        <v>5</v>
      </c>
      <c r="H29" s="104">
        <v>6</v>
      </c>
      <c r="I29" s="104">
        <v>7</v>
      </c>
      <c r="J29" s="104">
        <v>8</v>
      </c>
      <c r="K29" s="104">
        <v>9</v>
      </c>
      <c r="L29" s="104">
        <v>10</v>
      </c>
      <c r="M29" s="104">
        <v>11</v>
      </c>
      <c r="N29" s="104">
        <v>12</v>
      </c>
      <c r="O29" s="104">
        <v>13</v>
      </c>
      <c r="P29" s="104">
        <v>14</v>
      </c>
      <c r="Q29" s="104">
        <v>15</v>
      </c>
      <c r="R29" s="104">
        <v>16</v>
      </c>
      <c r="S29" s="104">
        <v>17</v>
      </c>
      <c r="T29" s="104">
        <v>18</v>
      </c>
      <c r="U29" s="104">
        <v>19</v>
      </c>
      <c r="V29" s="104">
        <v>20</v>
      </c>
      <c r="W29" s="104">
        <v>21</v>
      </c>
      <c r="X29" s="104">
        <v>22</v>
      </c>
      <c r="Y29" s="104">
        <v>23</v>
      </c>
      <c r="Z29" s="104">
        <v>24</v>
      </c>
      <c r="AA29" s="104">
        <v>25</v>
      </c>
      <c r="AB29" s="104">
        <v>26</v>
      </c>
      <c r="AC29" s="104">
        <v>27</v>
      </c>
      <c r="AD29" s="104">
        <v>28</v>
      </c>
      <c r="AE29" s="104">
        <v>29</v>
      </c>
      <c r="AF29" s="104">
        <v>30</v>
      </c>
      <c r="AG29" s="105">
        <v>31</v>
      </c>
    </row>
    <row r="30" spans="2:33" ht="14.4" thickTop="1" thickBot="1">
      <c r="B30" s="102" t="str">
        <f>CurYear</f>
        <v>2020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117"/>
    </row>
    <row r="32" spans="2:33" ht="14.4" thickTop="1" thickBot="1">
      <c r="B32" s="102" t="str">
        <f>Roster!$C$292</f>
        <v>April</v>
      </c>
      <c r="C32" s="103">
        <v>1</v>
      </c>
      <c r="D32" s="104">
        <v>2</v>
      </c>
      <c r="E32" s="104">
        <v>3</v>
      </c>
      <c r="F32" s="104">
        <v>4</v>
      </c>
      <c r="G32" s="104">
        <v>5</v>
      </c>
      <c r="H32" s="104">
        <v>6</v>
      </c>
      <c r="I32" s="104">
        <v>7</v>
      </c>
      <c r="J32" s="104">
        <v>8</v>
      </c>
      <c r="K32" s="104">
        <v>9</v>
      </c>
      <c r="L32" s="104">
        <v>10</v>
      </c>
      <c r="M32" s="104">
        <v>11</v>
      </c>
      <c r="N32" s="104">
        <v>12</v>
      </c>
      <c r="O32" s="104">
        <v>13</v>
      </c>
      <c r="P32" s="104">
        <v>14</v>
      </c>
      <c r="Q32" s="104">
        <v>15</v>
      </c>
      <c r="R32" s="104">
        <v>16</v>
      </c>
      <c r="S32" s="104">
        <v>17</v>
      </c>
      <c r="T32" s="104">
        <v>18</v>
      </c>
      <c r="U32" s="104">
        <v>19</v>
      </c>
      <c r="V32" s="104">
        <v>20</v>
      </c>
      <c r="W32" s="104">
        <v>21</v>
      </c>
      <c r="X32" s="104">
        <v>22</v>
      </c>
      <c r="Y32" s="104">
        <v>23</v>
      </c>
      <c r="Z32" s="104">
        <v>24</v>
      </c>
      <c r="AA32" s="104">
        <v>25</v>
      </c>
      <c r="AB32" s="104">
        <v>26</v>
      </c>
      <c r="AC32" s="104">
        <v>27</v>
      </c>
      <c r="AD32" s="104">
        <v>28</v>
      </c>
      <c r="AE32" s="104">
        <v>29</v>
      </c>
      <c r="AF32" s="105">
        <v>30</v>
      </c>
    </row>
    <row r="33" spans="2:33" ht="14.4" thickTop="1" thickBot="1">
      <c r="B33" s="102" t="str">
        <f>CurYear</f>
        <v>2020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102" t="str">
        <f>Roster!$C$323</f>
        <v>May</v>
      </c>
      <c r="C35" s="103">
        <v>1</v>
      </c>
      <c r="D35" s="104">
        <v>2</v>
      </c>
      <c r="E35" s="104">
        <v>3</v>
      </c>
      <c r="F35" s="104">
        <v>4</v>
      </c>
      <c r="G35" s="104">
        <v>5</v>
      </c>
      <c r="H35" s="104">
        <v>6</v>
      </c>
      <c r="I35" s="104">
        <v>7</v>
      </c>
      <c r="J35" s="104">
        <v>8</v>
      </c>
      <c r="K35" s="104">
        <v>9</v>
      </c>
      <c r="L35" s="104">
        <v>10</v>
      </c>
      <c r="M35" s="104">
        <v>11</v>
      </c>
      <c r="N35" s="104">
        <v>12</v>
      </c>
      <c r="O35" s="104">
        <v>13</v>
      </c>
      <c r="P35" s="104">
        <v>14</v>
      </c>
      <c r="Q35" s="104">
        <v>15</v>
      </c>
      <c r="R35" s="104">
        <v>16</v>
      </c>
      <c r="S35" s="104">
        <v>17</v>
      </c>
      <c r="T35" s="104">
        <v>18</v>
      </c>
      <c r="U35" s="104">
        <v>19</v>
      </c>
      <c r="V35" s="104">
        <v>20</v>
      </c>
      <c r="W35" s="104">
        <v>21</v>
      </c>
      <c r="X35" s="104">
        <v>22</v>
      </c>
      <c r="Y35" s="104">
        <v>23</v>
      </c>
      <c r="Z35" s="104">
        <v>24</v>
      </c>
      <c r="AA35" s="104">
        <v>25</v>
      </c>
      <c r="AB35" s="104">
        <v>26</v>
      </c>
      <c r="AC35" s="104">
        <v>27</v>
      </c>
      <c r="AD35" s="104">
        <v>28</v>
      </c>
      <c r="AE35" s="104">
        <v>29</v>
      </c>
      <c r="AF35" s="104">
        <v>30</v>
      </c>
      <c r="AG35" s="105">
        <v>31</v>
      </c>
    </row>
    <row r="36" spans="2:33" ht="14.4" thickTop="1" thickBot="1">
      <c r="B36" s="102" t="str">
        <f>CurYear</f>
        <v>2020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09"/>
    </row>
    <row r="38" spans="2:33" ht="14.4" thickTop="1" thickBot="1">
      <c r="B38" s="102" t="str">
        <f>Roster!C354</f>
        <v>June</v>
      </c>
      <c r="C38" s="103">
        <v>1</v>
      </c>
      <c r="D38" s="104">
        <v>2</v>
      </c>
      <c r="E38" s="104">
        <v>3</v>
      </c>
      <c r="F38" s="104">
        <v>4</v>
      </c>
      <c r="G38" s="104">
        <v>5</v>
      </c>
      <c r="H38" s="104">
        <v>6</v>
      </c>
      <c r="I38" s="104">
        <v>7</v>
      </c>
      <c r="J38" s="104">
        <v>8</v>
      </c>
      <c r="K38" s="104">
        <v>9</v>
      </c>
      <c r="L38" s="104">
        <v>10</v>
      </c>
      <c r="M38" s="104">
        <v>11</v>
      </c>
      <c r="N38" s="104">
        <v>12</v>
      </c>
      <c r="O38" s="104">
        <v>13</v>
      </c>
      <c r="P38" s="104">
        <v>14</v>
      </c>
      <c r="Q38" s="104">
        <v>15</v>
      </c>
      <c r="R38" s="104">
        <v>16</v>
      </c>
      <c r="S38" s="104">
        <v>17</v>
      </c>
      <c r="T38" s="104">
        <v>18</v>
      </c>
      <c r="U38" s="104">
        <v>19</v>
      </c>
      <c r="V38" s="104">
        <v>20</v>
      </c>
      <c r="W38" s="104">
        <v>21</v>
      </c>
      <c r="X38" s="104">
        <v>22</v>
      </c>
      <c r="Y38" s="104">
        <v>23</v>
      </c>
      <c r="Z38" s="104">
        <v>24</v>
      </c>
      <c r="AA38" s="104">
        <v>25</v>
      </c>
      <c r="AB38" s="104">
        <v>26</v>
      </c>
      <c r="AC38" s="104">
        <v>27</v>
      </c>
      <c r="AD38" s="104">
        <v>28</v>
      </c>
      <c r="AE38" s="104">
        <v>29</v>
      </c>
      <c r="AF38" s="105">
        <v>30</v>
      </c>
    </row>
    <row r="39" spans="2:33" ht="14.4" thickTop="1" thickBot="1">
      <c r="B39" s="102" t="str">
        <f>CurYear</f>
        <v>2020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26" customFormat="1" ht="17.399999999999999">
      <c r="B1" s="125"/>
    </row>
    <row r="2" spans="2:35" s="126" customFormat="1" ht="24.75" customHeight="1">
      <c r="B2" s="125"/>
      <c r="I2" s="130" t="str">
        <f>Location</f>
        <v>Oodlawirra Quarantine Station</v>
      </c>
      <c r="J2" s="128"/>
      <c r="K2" s="128"/>
      <c r="L2" s="128"/>
      <c r="M2" s="128"/>
      <c r="N2" s="128"/>
      <c r="O2" s="128"/>
      <c r="P2" s="128"/>
      <c r="Q2" s="128"/>
      <c r="R2" s="130" t="str">
        <f xml:space="preserve"> "Financial Year Commencing 1st July, " &amp; CurYear -1</f>
        <v>Financial Year Commencing 1st July, 2019</v>
      </c>
      <c r="S2" s="127"/>
      <c r="T2" s="128"/>
      <c r="U2" s="128"/>
      <c r="V2" s="127"/>
      <c r="W2" s="128"/>
      <c r="X2" s="128"/>
      <c r="Y2" s="128"/>
      <c r="Z2" s="128"/>
      <c r="AA2" s="128"/>
      <c r="AB2" s="128"/>
      <c r="AC2" s="128"/>
      <c r="AD2" s="128"/>
      <c r="AE2" s="128"/>
      <c r="AF2" s="128"/>
    </row>
    <row r="3" spans="2:35" s="126" customFormat="1" ht="27" customHeight="1">
      <c r="B3" s="125"/>
      <c r="I3" s="131" t="s">
        <v>25</v>
      </c>
      <c r="R3" s="131" t="str">
        <f>EmpGName02 &amp;" " &amp; EmpSName02</f>
        <v>Kevin Stone</v>
      </c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2:35" s="44" customFormat="1" ht="13.8" thickBot="1">
      <c r="B4" s="99"/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99" t="str">
        <f t="shared" si="0"/>
        <v>We</v>
      </c>
    </row>
    <row r="5" spans="2:35" ht="14.4" thickTop="1" thickBot="1">
      <c r="B5" s="102" t="str">
        <f>Roster!C13</f>
        <v>July</v>
      </c>
      <c r="C5" s="103">
        <v>1</v>
      </c>
      <c r="D5" s="104">
        <v>2</v>
      </c>
      <c r="E5" s="104">
        <v>3</v>
      </c>
      <c r="F5" s="104">
        <v>4</v>
      </c>
      <c r="G5" s="104">
        <v>5</v>
      </c>
      <c r="H5" s="104">
        <v>6</v>
      </c>
      <c r="I5" s="104">
        <v>7</v>
      </c>
      <c r="J5" s="104">
        <v>8</v>
      </c>
      <c r="K5" s="104">
        <v>9</v>
      </c>
      <c r="L5" s="104">
        <v>10</v>
      </c>
      <c r="M5" s="104">
        <v>11</v>
      </c>
      <c r="N5" s="104">
        <v>12</v>
      </c>
      <c r="O5" s="104">
        <v>13</v>
      </c>
      <c r="P5" s="104">
        <v>14</v>
      </c>
      <c r="Q5" s="104">
        <v>15</v>
      </c>
      <c r="R5" s="104">
        <v>16</v>
      </c>
      <c r="S5" s="104">
        <v>17</v>
      </c>
      <c r="T5" s="104">
        <v>18</v>
      </c>
      <c r="U5" s="104">
        <v>19</v>
      </c>
      <c r="V5" s="104">
        <v>20</v>
      </c>
      <c r="W5" s="104">
        <v>21</v>
      </c>
      <c r="X5" s="104">
        <v>22</v>
      </c>
      <c r="Y5" s="104">
        <v>23</v>
      </c>
      <c r="Z5" s="104">
        <v>24</v>
      </c>
      <c r="AA5" s="104">
        <v>25</v>
      </c>
      <c r="AB5" s="104">
        <v>26</v>
      </c>
      <c r="AC5" s="104">
        <v>27</v>
      </c>
      <c r="AD5" s="104">
        <v>28</v>
      </c>
      <c r="AE5" s="104">
        <v>29</v>
      </c>
      <c r="AF5" s="104">
        <v>30</v>
      </c>
      <c r="AG5" s="105">
        <v>31</v>
      </c>
    </row>
    <row r="6" spans="2:35" ht="14.4" thickTop="1" thickBot="1">
      <c r="B6" s="102">
        <f>CurYear-1</f>
        <v>2019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106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5" ht="14.4" thickTop="1" thickBot="1">
      <c r="B8" s="102" t="str">
        <f>Roster!C44</f>
        <v>August</v>
      </c>
      <c r="C8" s="103">
        <v>1</v>
      </c>
      <c r="D8" s="104">
        <v>2</v>
      </c>
      <c r="E8" s="104">
        <v>3</v>
      </c>
      <c r="F8" s="104">
        <v>4</v>
      </c>
      <c r="G8" s="104">
        <v>5</v>
      </c>
      <c r="H8" s="104">
        <v>6</v>
      </c>
      <c r="I8" s="104">
        <v>7</v>
      </c>
      <c r="J8" s="104">
        <v>8</v>
      </c>
      <c r="K8" s="104">
        <v>9</v>
      </c>
      <c r="L8" s="104">
        <v>10</v>
      </c>
      <c r="M8" s="104">
        <v>11</v>
      </c>
      <c r="N8" s="104">
        <v>12</v>
      </c>
      <c r="O8" s="104">
        <v>13</v>
      </c>
      <c r="P8" s="104">
        <v>14</v>
      </c>
      <c r="Q8" s="104">
        <v>15</v>
      </c>
      <c r="R8" s="104">
        <v>16</v>
      </c>
      <c r="S8" s="104">
        <v>17</v>
      </c>
      <c r="T8" s="104">
        <v>18</v>
      </c>
      <c r="U8" s="104">
        <v>19</v>
      </c>
      <c r="V8" s="104">
        <v>20</v>
      </c>
      <c r="W8" s="104">
        <v>21</v>
      </c>
      <c r="X8" s="104">
        <v>22</v>
      </c>
      <c r="Y8" s="104">
        <v>23</v>
      </c>
      <c r="Z8" s="104">
        <v>24</v>
      </c>
      <c r="AA8" s="104">
        <v>25</v>
      </c>
      <c r="AB8" s="104">
        <v>26</v>
      </c>
      <c r="AC8" s="104">
        <v>27</v>
      </c>
      <c r="AD8" s="107">
        <v>28</v>
      </c>
      <c r="AE8" s="104">
        <v>29</v>
      </c>
      <c r="AF8" s="108">
        <v>30</v>
      </c>
      <c r="AG8" s="105">
        <v>31</v>
      </c>
    </row>
    <row r="9" spans="2:35" ht="14.4" thickTop="1" thickBot="1">
      <c r="B9" s="102">
        <f>CurYear-1</f>
        <v>2019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8" t="str">
        <f t="shared" si="2"/>
        <v>Su</v>
      </c>
      <c r="AF10" s="21" t="str">
        <f t="shared" si="2"/>
        <v>Mo</v>
      </c>
      <c r="AG10" s="109"/>
      <c r="AI10" s="100"/>
    </row>
    <row r="11" spans="2:35" ht="14.4" thickTop="1" thickBot="1">
      <c r="B11" s="102" t="str">
        <f>Roster!C75</f>
        <v>September</v>
      </c>
      <c r="C11" s="110">
        <v>1</v>
      </c>
      <c r="D11" s="111">
        <v>2</v>
      </c>
      <c r="E11" s="111">
        <v>3</v>
      </c>
      <c r="F11" s="111">
        <v>4</v>
      </c>
      <c r="G11" s="111">
        <v>5</v>
      </c>
      <c r="H11" s="111">
        <v>6</v>
      </c>
      <c r="I11" s="111">
        <v>7</v>
      </c>
      <c r="J11" s="111">
        <v>8</v>
      </c>
      <c r="K11" s="111">
        <v>9</v>
      </c>
      <c r="L11" s="111">
        <v>10</v>
      </c>
      <c r="M11" s="111">
        <v>11</v>
      </c>
      <c r="N11" s="111">
        <v>12</v>
      </c>
      <c r="O11" s="111">
        <v>13</v>
      </c>
      <c r="P11" s="111">
        <v>14</v>
      </c>
      <c r="Q11" s="111">
        <v>15</v>
      </c>
      <c r="R11" s="111">
        <v>16</v>
      </c>
      <c r="S11" s="111">
        <v>17</v>
      </c>
      <c r="T11" s="111">
        <v>18</v>
      </c>
      <c r="U11" s="111">
        <v>19</v>
      </c>
      <c r="V11" s="111">
        <v>20</v>
      </c>
      <c r="W11" s="111">
        <v>21</v>
      </c>
      <c r="X11" s="111">
        <v>22</v>
      </c>
      <c r="Y11" s="111">
        <v>23</v>
      </c>
      <c r="Z11" s="111">
        <v>24</v>
      </c>
      <c r="AA11" s="111">
        <v>25</v>
      </c>
      <c r="AB11" s="111">
        <v>26</v>
      </c>
      <c r="AC11" s="111">
        <v>27</v>
      </c>
      <c r="AD11" s="111">
        <v>28</v>
      </c>
      <c r="AE11" s="111">
        <v>29</v>
      </c>
      <c r="AF11" s="112">
        <v>30</v>
      </c>
      <c r="AG11" s="20"/>
    </row>
    <row r="12" spans="2:35" ht="14.4" thickTop="1" thickBot="1">
      <c r="B12" s="102">
        <f>CurYear-1</f>
        <v>2019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5" ht="14.4" thickTop="1" thickBot="1">
      <c r="B14" s="102" t="str">
        <f>Roster!C106</f>
        <v>October</v>
      </c>
      <c r="C14" s="103">
        <v>1</v>
      </c>
      <c r="D14" s="104">
        <v>2</v>
      </c>
      <c r="E14" s="104">
        <v>3</v>
      </c>
      <c r="F14" s="104">
        <v>4</v>
      </c>
      <c r="G14" s="104">
        <v>5</v>
      </c>
      <c r="H14" s="104">
        <v>6</v>
      </c>
      <c r="I14" s="104">
        <v>7</v>
      </c>
      <c r="J14" s="104">
        <v>8</v>
      </c>
      <c r="K14" s="104">
        <v>9</v>
      </c>
      <c r="L14" s="104">
        <v>10</v>
      </c>
      <c r="M14" s="104">
        <v>11</v>
      </c>
      <c r="N14" s="104">
        <v>12</v>
      </c>
      <c r="O14" s="104">
        <v>13</v>
      </c>
      <c r="P14" s="104">
        <v>14</v>
      </c>
      <c r="Q14" s="104">
        <v>15</v>
      </c>
      <c r="R14" s="104">
        <v>16</v>
      </c>
      <c r="S14" s="104">
        <v>17</v>
      </c>
      <c r="T14" s="104">
        <v>18</v>
      </c>
      <c r="U14" s="104">
        <v>19</v>
      </c>
      <c r="V14" s="104">
        <v>20</v>
      </c>
      <c r="W14" s="104">
        <v>21</v>
      </c>
      <c r="X14" s="104">
        <v>22</v>
      </c>
      <c r="Y14" s="104">
        <v>23</v>
      </c>
      <c r="Z14" s="104">
        <v>24</v>
      </c>
      <c r="AA14" s="104">
        <v>25</v>
      </c>
      <c r="AB14" s="104">
        <v>26</v>
      </c>
      <c r="AC14" s="104">
        <v>27</v>
      </c>
      <c r="AD14" s="104">
        <v>28</v>
      </c>
      <c r="AE14" s="104">
        <v>29</v>
      </c>
      <c r="AF14" s="104">
        <v>30</v>
      </c>
      <c r="AG14" s="105">
        <v>31</v>
      </c>
    </row>
    <row r="15" spans="2:35" ht="14.4" thickTop="1" thickBot="1">
      <c r="B15" s="102">
        <f>CurYear-1</f>
        <v>2019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09"/>
    </row>
    <row r="17" spans="2:33" ht="14.4" thickTop="1" thickBot="1">
      <c r="B17" s="102" t="str">
        <f>Roster!C137</f>
        <v>November</v>
      </c>
      <c r="C17" s="110">
        <v>1</v>
      </c>
      <c r="D17" s="111">
        <v>2</v>
      </c>
      <c r="E17" s="111">
        <v>3</v>
      </c>
      <c r="F17" s="111">
        <v>4</v>
      </c>
      <c r="G17" s="111">
        <v>5</v>
      </c>
      <c r="H17" s="111">
        <v>6</v>
      </c>
      <c r="I17" s="111">
        <v>7</v>
      </c>
      <c r="J17" s="111">
        <v>8</v>
      </c>
      <c r="K17" s="111">
        <v>9</v>
      </c>
      <c r="L17" s="111">
        <v>10</v>
      </c>
      <c r="M17" s="111">
        <v>11</v>
      </c>
      <c r="N17" s="111">
        <v>12</v>
      </c>
      <c r="O17" s="111">
        <v>13</v>
      </c>
      <c r="P17" s="111">
        <v>14</v>
      </c>
      <c r="Q17" s="111">
        <v>15</v>
      </c>
      <c r="R17" s="111">
        <v>16</v>
      </c>
      <c r="S17" s="111">
        <v>17</v>
      </c>
      <c r="T17" s="111">
        <v>18</v>
      </c>
      <c r="U17" s="111">
        <v>19</v>
      </c>
      <c r="V17" s="111">
        <v>20</v>
      </c>
      <c r="W17" s="111">
        <v>21</v>
      </c>
      <c r="X17" s="111">
        <v>22</v>
      </c>
      <c r="Y17" s="111">
        <v>23</v>
      </c>
      <c r="Z17" s="111">
        <v>24</v>
      </c>
      <c r="AA17" s="111">
        <v>25</v>
      </c>
      <c r="AB17" s="111">
        <v>26</v>
      </c>
      <c r="AC17" s="111">
        <v>27</v>
      </c>
      <c r="AD17" s="111">
        <v>28</v>
      </c>
      <c r="AE17" s="111">
        <v>29</v>
      </c>
      <c r="AF17" s="112">
        <v>30</v>
      </c>
      <c r="AG17" s="20"/>
    </row>
    <row r="18" spans="2:33" ht="14.4" thickTop="1" thickBot="1">
      <c r="B18" s="102">
        <f>CurYear-1</f>
        <v>2019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3"/>
    </row>
    <row r="19" spans="2:33" ht="14.4" thickTop="1" thickBot="1">
      <c r="B19" s="46"/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102" t="str">
        <f>Roster!C168</f>
        <v>December</v>
      </c>
      <c r="C20" s="103">
        <v>1</v>
      </c>
      <c r="D20" s="104">
        <v>2</v>
      </c>
      <c r="E20" s="104">
        <v>3</v>
      </c>
      <c r="F20" s="104">
        <v>4</v>
      </c>
      <c r="G20" s="104">
        <v>5</v>
      </c>
      <c r="H20" s="104">
        <v>6</v>
      </c>
      <c r="I20" s="104">
        <v>7</v>
      </c>
      <c r="J20" s="104">
        <v>8</v>
      </c>
      <c r="K20" s="104">
        <v>9</v>
      </c>
      <c r="L20" s="104">
        <v>10</v>
      </c>
      <c r="M20" s="104">
        <v>11</v>
      </c>
      <c r="N20" s="104">
        <v>12</v>
      </c>
      <c r="O20" s="104">
        <v>13</v>
      </c>
      <c r="P20" s="104">
        <v>14</v>
      </c>
      <c r="Q20" s="104">
        <v>15</v>
      </c>
      <c r="R20" s="104">
        <v>16</v>
      </c>
      <c r="S20" s="104">
        <v>17</v>
      </c>
      <c r="T20" s="104">
        <v>18</v>
      </c>
      <c r="U20" s="104">
        <v>19</v>
      </c>
      <c r="V20" s="104">
        <v>20</v>
      </c>
      <c r="W20" s="104">
        <v>21</v>
      </c>
      <c r="X20" s="104">
        <v>22</v>
      </c>
      <c r="Y20" s="104">
        <v>23</v>
      </c>
      <c r="Z20" s="104">
        <v>24</v>
      </c>
      <c r="AA20" s="104">
        <v>25</v>
      </c>
      <c r="AB20" s="104">
        <v>26</v>
      </c>
      <c r="AC20" s="104">
        <v>27</v>
      </c>
      <c r="AD20" s="104">
        <v>28</v>
      </c>
      <c r="AE20" s="104">
        <v>29</v>
      </c>
      <c r="AF20" s="104">
        <v>30</v>
      </c>
      <c r="AG20" s="105">
        <v>31</v>
      </c>
    </row>
    <row r="21" spans="2:33" ht="14.4" thickTop="1" thickBot="1">
      <c r="B21" s="102">
        <f>CurYear-1</f>
        <v>2019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We</v>
      </c>
      <c r="D22" s="47" t="str">
        <f t="shared" si="6"/>
        <v>Th</v>
      </c>
      <c r="E22" s="47" t="str">
        <f t="shared" si="6"/>
        <v>Fr</v>
      </c>
      <c r="F22" s="47" t="str">
        <f t="shared" si="6"/>
        <v>Sa</v>
      </c>
      <c r="G22" s="47" t="str">
        <f t="shared" si="6"/>
        <v>Su</v>
      </c>
      <c r="H22" s="47" t="str">
        <f t="shared" si="6"/>
        <v>Mo</v>
      </c>
      <c r="I22" s="47" t="str">
        <f t="shared" si="6"/>
        <v>Tu</v>
      </c>
      <c r="J22" s="47" t="str">
        <f t="shared" si="6"/>
        <v>We</v>
      </c>
      <c r="K22" s="47" t="str">
        <f t="shared" si="6"/>
        <v>Th</v>
      </c>
      <c r="L22" s="47" t="str">
        <f t="shared" si="6"/>
        <v>Fr</v>
      </c>
      <c r="M22" s="47" t="str">
        <f t="shared" si="6"/>
        <v>Sa</v>
      </c>
      <c r="N22" s="47" t="str">
        <f t="shared" si="6"/>
        <v>Su</v>
      </c>
      <c r="O22" s="47" t="str">
        <f t="shared" si="6"/>
        <v>Mo</v>
      </c>
      <c r="P22" s="47" t="str">
        <f t="shared" si="6"/>
        <v>Tu</v>
      </c>
      <c r="Q22" s="47" t="str">
        <f t="shared" si="6"/>
        <v>We</v>
      </c>
      <c r="R22" s="47" t="str">
        <f t="shared" si="6"/>
        <v>Th</v>
      </c>
      <c r="S22" s="47" t="str">
        <f t="shared" si="6"/>
        <v>Fr</v>
      </c>
      <c r="T22" s="47" t="str">
        <f t="shared" si="6"/>
        <v>Sa</v>
      </c>
      <c r="U22" s="47" t="str">
        <f t="shared" si="6"/>
        <v>Su</v>
      </c>
      <c r="V22" s="47" t="str">
        <f t="shared" si="6"/>
        <v>Mo</v>
      </c>
      <c r="W22" s="47" t="str">
        <f t="shared" si="6"/>
        <v>Tu</v>
      </c>
      <c r="X22" s="47" t="str">
        <f t="shared" si="6"/>
        <v>We</v>
      </c>
      <c r="Y22" s="47" t="str">
        <f t="shared" si="6"/>
        <v>Th</v>
      </c>
      <c r="Z22" s="47" t="str">
        <f t="shared" si="6"/>
        <v>Fr</v>
      </c>
      <c r="AA22" s="47" t="str">
        <f t="shared" si="6"/>
        <v>Sa</v>
      </c>
      <c r="AB22" s="47" t="str">
        <f t="shared" si="6"/>
        <v>Su</v>
      </c>
      <c r="AC22" s="47" t="str">
        <f t="shared" si="6"/>
        <v>Mo</v>
      </c>
      <c r="AD22" s="47" t="str">
        <f t="shared" si="6"/>
        <v>Tu</v>
      </c>
      <c r="AE22" s="47" t="str">
        <f t="shared" si="6"/>
        <v>We</v>
      </c>
      <c r="AF22" s="47" t="str">
        <f t="shared" si="6"/>
        <v>Th</v>
      </c>
      <c r="AG22" s="47" t="str">
        <f t="shared" si="6"/>
        <v>Fr</v>
      </c>
    </row>
    <row r="23" spans="2:33" ht="14.4" thickTop="1" thickBot="1">
      <c r="B23" s="102" t="str">
        <f>Roster!$C$199</f>
        <v>January</v>
      </c>
      <c r="C23" s="103">
        <v>1</v>
      </c>
      <c r="D23" s="104">
        <v>2</v>
      </c>
      <c r="E23" s="104">
        <v>3</v>
      </c>
      <c r="F23" s="104">
        <v>4</v>
      </c>
      <c r="G23" s="104">
        <v>5</v>
      </c>
      <c r="H23" s="104">
        <v>6</v>
      </c>
      <c r="I23" s="104">
        <v>7</v>
      </c>
      <c r="J23" s="104">
        <v>8</v>
      </c>
      <c r="K23" s="104">
        <v>9</v>
      </c>
      <c r="L23" s="104">
        <v>10</v>
      </c>
      <c r="M23" s="104">
        <v>11</v>
      </c>
      <c r="N23" s="104">
        <v>12</v>
      </c>
      <c r="O23" s="104">
        <v>13</v>
      </c>
      <c r="P23" s="104">
        <v>14</v>
      </c>
      <c r="Q23" s="104">
        <v>15</v>
      </c>
      <c r="R23" s="104">
        <v>16</v>
      </c>
      <c r="S23" s="104">
        <v>17</v>
      </c>
      <c r="T23" s="104">
        <v>18</v>
      </c>
      <c r="U23" s="104">
        <v>19</v>
      </c>
      <c r="V23" s="104">
        <v>20</v>
      </c>
      <c r="W23" s="104">
        <v>21</v>
      </c>
      <c r="X23" s="104">
        <v>22</v>
      </c>
      <c r="Y23" s="104">
        <v>23</v>
      </c>
      <c r="Z23" s="104">
        <v>24</v>
      </c>
      <c r="AA23" s="104">
        <v>25</v>
      </c>
      <c r="AB23" s="104">
        <v>26</v>
      </c>
      <c r="AC23" s="104">
        <v>27</v>
      </c>
      <c r="AD23" s="104">
        <v>28</v>
      </c>
      <c r="AE23" s="104">
        <v>29</v>
      </c>
      <c r="AF23" s="104">
        <v>30</v>
      </c>
      <c r="AG23" s="105">
        <v>31</v>
      </c>
    </row>
    <row r="24" spans="2:33" ht="14.4" thickTop="1" thickBot="1">
      <c r="B24" s="102" t="str">
        <f>CurYear</f>
        <v>2020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114"/>
      <c r="AG25" s="115"/>
    </row>
    <row r="26" spans="2:33" ht="14.4" thickTop="1" thickBot="1">
      <c r="B26" s="102" t="str">
        <f>Roster!$C$230</f>
        <v>February</v>
      </c>
      <c r="C26" s="103">
        <v>1</v>
      </c>
      <c r="D26" s="111">
        <v>2</v>
      </c>
      <c r="E26" s="111">
        <v>3</v>
      </c>
      <c r="F26" s="111">
        <v>4</v>
      </c>
      <c r="G26" s="111">
        <v>5</v>
      </c>
      <c r="H26" s="111">
        <v>6</v>
      </c>
      <c r="I26" s="111">
        <v>7</v>
      </c>
      <c r="J26" s="111">
        <v>8</v>
      </c>
      <c r="K26" s="111">
        <v>9</v>
      </c>
      <c r="L26" s="111">
        <v>10</v>
      </c>
      <c r="M26" s="111">
        <v>11</v>
      </c>
      <c r="N26" s="111">
        <v>12</v>
      </c>
      <c r="O26" s="111">
        <v>13</v>
      </c>
      <c r="P26" s="111">
        <v>14</v>
      </c>
      <c r="Q26" s="111">
        <v>15</v>
      </c>
      <c r="R26" s="111">
        <v>16</v>
      </c>
      <c r="S26" s="111">
        <v>17</v>
      </c>
      <c r="T26" s="111">
        <v>18</v>
      </c>
      <c r="U26" s="111">
        <v>19</v>
      </c>
      <c r="V26" s="111">
        <v>20</v>
      </c>
      <c r="W26" s="111">
        <v>21</v>
      </c>
      <c r="X26" s="111">
        <v>22</v>
      </c>
      <c r="Y26" s="111">
        <v>23</v>
      </c>
      <c r="Z26" s="111">
        <v>24</v>
      </c>
      <c r="AA26" s="111">
        <v>25</v>
      </c>
      <c r="AB26" s="111">
        <v>26</v>
      </c>
      <c r="AC26" s="111">
        <v>27</v>
      </c>
      <c r="AD26" s="116">
        <v>28</v>
      </c>
      <c r="AE26" s="121">
        <v>29</v>
      </c>
      <c r="AF26" s="98"/>
      <c r="AG26" s="20"/>
    </row>
    <row r="27" spans="2:33" ht="14.4" thickTop="1" thickBot="1">
      <c r="B27" s="102" t="str">
        <f>CurYear</f>
        <v>2020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2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47" t="str">
        <f t="shared" si="8"/>
        <v>Tu</v>
      </c>
    </row>
    <row r="29" spans="2:33" ht="14.4" thickTop="1" thickBot="1">
      <c r="B29" s="102" t="str">
        <f>Roster!$C$261</f>
        <v>March</v>
      </c>
      <c r="C29" s="103">
        <v>1</v>
      </c>
      <c r="D29" s="104">
        <v>2</v>
      </c>
      <c r="E29" s="104">
        <v>3</v>
      </c>
      <c r="F29" s="104">
        <v>4</v>
      </c>
      <c r="G29" s="104">
        <v>5</v>
      </c>
      <c r="H29" s="104">
        <v>6</v>
      </c>
      <c r="I29" s="104">
        <v>7</v>
      </c>
      <c r="J29" s="104">
        <v>8</v>
      </c>
      <c r="K29" s="104">
        <v>9</v>
      </c>
      <c r="L29" s="104">
        <v>10</v>
      </c>
      <c r="M29" s="104">
        <v>11</v>
      </c>
      <c r="N29" s="104">
        <v>12</v>
      </c>
      <c r="O29" s="104">
        <v>13</v>
      </c>
      <c r="P29" s="104">
        <v>14</v>
      </c>
      <c r="Q29" s="104">
        <v>15</v>
      </c>
      <c r="R29" s="104">
        <v>16</v>
      </c>
      <c r="S29" s="104">
        <v>17</v>
      </c>
      <c r="T29" s="104">
        <v>18</v>
      </c>
      <c r="U29" s="104">
        <v>19</v>
      </c>
      <c r="V29" s="104">
        <v>20</v>
      </c>
      <c r="W29" s="104">
        <v>21</v>
      </c>
      <c r="X29" s="104">
        <v>22</v>
      </c>
      <c r="Y29" s="104">
        <v>23</v>
      </c>
      <c r="Z29" s="104">
        <v>24</v>
      </c>
      <c r="AA29" s="104">
        <v>25</v>
      </c>
      <c r="AB29" s="104">
        <v>26</v>
      </c>
      <c r="AC29" s="104">
        <v>27</v>
      </c>
      <c r="AD29" s="104">
        <v>28</v>
      </c>
      <c r="AE29" s="104">
        <v>29</v>
      </c>
      <c r="AF29" s="104">
        <v>30</v>
      </c>
      <c r="AG29" s="105">
        <v>31</v>
      </c>
    </row>
    <row r="30" spans="2:33" ht="14.4" thickTop="1" thickBot="1">
      <c r="B30" s="102" t="str">
        <f>CurYear</f>
        <v>2020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117"/>
    </row>
    <row r="32" spans="2:33" ht="14.4" thickTop="1" thickBot="1">
      <c r="B32" s="102" t="str">
        <f>Roster!$C$292</f>
        <v>April</v>
      </c>
      <c r="C32" s="103">
        <v>1</v>
      </c>
      <c r="D32" s="104">
        <v>2</v>
      </c>
      <c r="E32" s="104">
        <v>3</v>
      </c>
      <c r="F32" s="104">
        <v>4</v>
      </c>
      <c r="G32" s="104">
        <v>5</v>
      </c>
      <c r="H32" s="104">
        <v>6</v>
      </c>
      <c r="I32" s="104">
        <v>7</v>
      </c>
      <c r="J32" s="104">
        <v>8</v>
      </c>
      <c r="K32" s="104">
        <v>9</v>
      </c>
      <c r="L32" s="104">
        <v>10</v>
      </c>
      <c r="M32" s="104">
        <v>11</v>
      </c>
      <c r="N32" s="104">
        <v>12</v>
      </c>
      <c r="O32" s="104">
        <v>13</v>
      </c>
      <c r="P32" s="104">
        <v>14</v>
      </c>
      <c r="Q32" s="104">
        <v>15</v>
      </c>
      <c r="R32" s="104">
        <v>16</v>
      </c>
      <c r="S32" s="104">
        <v>17</v>
      </c>
      <c r="T32" s="104">
        <v>18</v>
      </c>
      <c r="U32" s="104">
        <v>19</v>
      </c>
      <c r="V32" s="104">
        <v>20</v>
      </c>
      <c r="W32" s="104">
        <v>21</v>
      </c>
      <c r="X32" s="104">
        <v>22</v>
      </c>
      <c r="Y32" s="104">
        <v>23</v>
      </c>
      <c r="Z32" s="104">
        <v>24</v>
      </c>
      <c r="AA32" s="104">
        <v>25</v>
      </c>
      <c r="AB32" s="104">
        <v>26</v>
      </c>
      <c r="AC32" s="104">
        <v>27</v>
      </c>
      <c r="AD32" s="104">
        <v>28</v>
      </c>
      <c r="AE32" s="104">
        <v>29</v>
      </c>
      <c r="AF32" s="105">
        <v>30</v>
      </c>
      <c r="AG32" s="20"/>
    </row>
    <row r="33" spans="2:33" ht="14.4" thickTop="1" thickBot="1">
      <c r="B33" s="102" t="str">
        <f>CurYear</f>
        <v>2020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102" t="str">
        <f>Roster!$C$323</f>
        <v>May</v>
      </c>
      <c r="C35" s="103">
        <v>1</v>
      </c>
      <c r="D35" s="104">
        <v>2</v>
      </c>
      <c r="E35" s="104">
        <v>3</v>
      </c>
      <c r="F35" s="104">
        <v>4</v>
      </c>
      <c r="G35" s="104">
        <v>5</v>
      </c>
      <c r="H35" s="104">
        <v>6</v>
      </c>
      <c r="I35" s="104">
        <v>7</v>
      </c>
      <c r="J35" s="104">
        <v>8</v>
      </c>
      <c r="K35" s="104">
        <v>9</v>
      </c>
      <c r="L35" s="104">
        <v>10</v>
      </c>
      <c r="M35" s="104">
        <v>11</v>
      </c>
      <c r="N35" s="104">
        <v>12</v>
      </c>
      <c r="O35" s="104">
        <v>13</v>
      </c>
      <c r="P35" s="104">
        <v>14</v>
      </c>
      <c r="Q35" s="104">
        <v>15</v>
      </c>
      <c r="R35" s="104">
        <v>16</v>
      </c>
      <c r="S35" s="104">
        <v>17</v>
      </c>
      <c r="T35" s="104">
        <v>18</v>
      </c>
      <c r="U35" s="104">
        <v>19</v>
      </c>
      <c r="V35" s="104">
        <v>20</v>
      </c>
      <c r="W35" s="104">
        <v>21</v>
      </c>
      <c r="X35" s="104">
        <v>22</v>
      </c>
      <c r="Y35" s="104">
        <v>23</v>
      </c>
      <c r="Z35" s="104">
        <v>24</v>
      </c>
      <c r="AA35" s="104">
        <v>25</v>
      </c>
      <c r="AB35" s="104">
        <v>26</v>
      </c>
      <c r="AC35" s="104">
        <v>27</v>
      </c>
      <c r="AD35" s="104">
        <v>28</v>
      </c>
      <c r="AE35" s="104">
        <v>29</v>
      </c>
      <c r="AF35" s="104">
        <v>30</v>
      </c>
      <c r="AG35" s="105">
        <v>31</v>
      </c>
    </row>
    <row r="36" spans="2:33" ht="14.4" thickTop="1" thickBot="1">
      <c r="B36" s="102" t="str">
        <f>CurYear</f>
        <v>2020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09"/>
    </row>
    <row r="38" spans="2:33" ht="14.4" thickTop="1" thickBot="1">
      <c r="B38" s="102" t="str">
        <f>Roster!C354</f>
        <v>June</v>
      </c>
      <c r="C38" s="103">
        <v>1</v>
      </c>
      <c r="D38" s="104">
        <v>2</v>
      </c>
      <c r="E38" s="104">
        <v>3</v>
      </c>
      <c r="F38" s="104">
        <v>4</v>
      </c>
      <c r="G38" s="104">
        <v>5</v>
      </c>
      <c r="H38" s="104">
        <v>6</v>
      </c>
      <c r="I38" s="104">
        <v>7</v>
      </c>
      <c r="J38" s="104">
        <v>8</v>
      </c>
      <c r="K38" s="104">
        <v>9</v>
      </c>
      <c r="L38" s="104">
        <v>10</v>
      </c>
      <c r="M38" s="104">
        <v>11</v>
      </c>
      <c r="N38" s="104">
        <v>12</v>
      </c>
      <c r="O38" s="104">
        <v>13</v>
      </c>
      <c r="P38" s="104">
        <v>14</v>
      </c>
      <c r="Q38" s="104">
        <v>15</v>
      </c>
      <c r="R38" s="104">
        <v>16</v>
      </c>
      <c r="S38" s="104">
        <v>17</v>
      </c>
      <c r="T38" s="104">
        <v>18</v>
      </c>
      <c r="U38" s="104">
        <v>19</v>
      </c>
      <c r="V38" s="104">
        <v>20</v>
      </c>
      <c r="W38" s="104">
        <v>21</v>
      </c>
      <c r="X38" s="104">
        <v>22</v>
      </c>
      <c r="Y38" s="104">
        <v>23</v>
      </c>
      <c r="Z38" s="104">
        <v>24</v>
      </c>
      <c r="AA38" s="104">
        <v>25</v>
      </c>
      <c r="AB38" s="104">
        <v>26</v>
      </c>
      <c r="AC38" s="104">
        <v>27</v>
      </c>
      <c r="AD38" s="104">
        <v>28</v>
      </c>
      <c r="AE38" s="104">
        <v>29</v>
      </c>
      <c r="AF38" s="105">
        <v>30</v>
      </c>
      <c r="AG38" s="20"/>
    </row>
    <row r="39" spans="2:33" ht="14.4" thickTop="1" thickBot="1">
      <c r="B39" s="102" t="str">
        <f>CurYear</f>
        <v>2020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124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EmpGName03 &amp;" " &amp; EmpSName03</f>
        <v>Ian Thelning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2020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2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2020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2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EmpGName05 &amp;" " &amp; EmpSName05</f>
        <v>David Castle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2020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2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2020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2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EmpGName07 &amp;" " &amp; EmpSName07</f>
        <v>Troy Sorensen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2020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2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EmpGName08 &amp;" " &amp; EmpSName08</f>
        <v xml:space="preserve"> 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2020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35"/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98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2020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Roster!D209</f>
        <v>.</v>
      </c>
      <c r="D24" s="75" t="str">
        <f>Roster!E209</f>
        <v>.</v>
      </c>
      <c r="E24" s="75" t="str">
        <f>Roster!F209</f>
        <v>.</v>
      </c>
      <c r="F24" s="75" t="str">
        <f>Roster!G209</f>
        <v>.</v>
      </c>
      <c r="G24" s="75" t="str">
        <f>Roster!H209</f>
        <v>.</v>
      </c>
      <c r="H24" s="75" t="str">
        <f>Roster!I209</f>
        <v>.</v>
      </c>
      <c r="I24" s="75" t="str">
        <f>Roster!J209</f>
        <v>.</v>
      </c>
      <c r="J24" s="75" t="str">
        <f>Roster!K209</f>
        <v>.</v>
      </c>
      <c r="K24" s="75" t="str">
        <f>Roster!L209</f>
        <v>.</v>
      </c>
      <c r="L24" s="75" t="str">
        <f>Roster!M209</f>
        <v>.</v>
      </c>
      <c r="M24" s="75" t="str">
        <f>Roster!N209</f>
        <v>.</v>
      </c>
      <c r="N24" s="75" t="str">
        <f>Roster!O209</f>
        <v>.</v>
      </c>
      <c r="O24" s="75" t="str">
        <f>Roster!P209</f>
        <v>.</v>
      </c>
      <c r="P24" s="75" t="str">
        <f>Roster!Q209</f>
        <v>.</v>
      </c>
      <c r="Q24" s="75" t="str">
        <f>Roster!R209</f>
        <v>.</v>
      </c>
      <c r="R24" s="75" t="str">
        <f>Roster!S209</f>
        <v>.</v>
      </c>
      <c r="S24" s="75" t="str">
        <f>Roster!T209</f>
        <v>.</v>
      </c>
      <c r="T24" s="75" t="str">
        <f>Roster!U209</f>
        <v>.</v>
      </c>
      <c r="U24" s="75" t="str">
        <f>Roster!V209</f>
        <v>.</v>
      </c>
      <c r="V24" s="75" t="str">
        <f>Roster!W209</f>
        <v>.</v>
      </c>
      <c r="W24" s="75" t="str">
        <f>Roster!X209</f>
        <v>.</v>
      </c>
      <c r="X24" s="75" t="str">
        <f>Roster!Y209</f>
        <v>.</v>
      </c>
      <c r="Y24" s="75" t="str">
        <f>Roster!Z209</f>
        <v>.</v>
      </c>
      <c r="Z24" s="75" t="str">
        <f>Roster!AA209</f>
        <v>.</v>
      </c>
      <c r="AA24" s="75" t="str">
        <f>Roster!AB209</f>
        <v>.</v>
      </c>
      <c r="AB24" s="75" t="str">
        <f>Roster!AC209</f>
        <v>.</v>
      </c>
      <c r="AC24" s="75" t="str">
        <f>Roster!AD209</f>
        <v>.</v>
      </c>
      <c r="AD24" s="75" t="str">
        <f>Roster!AE209</f>
        <v>.</v>
      </c>
      <c r="AE24" s="75" t="str">
        <f>Roster!AF209</f>
        <v>.</v>
      </c>
      <c r="AF24" s="75" t="str">
        <f>Roster!AG209</f>
        <v>.</v>
      </c>
      <c r="AG24" s="76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2020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3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2020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86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87">
        <v>29</v>
      </c>
      <c r="AF26" s="44"/>
    </row>
    <row r="27" spans="2:33" ht="14.4" thickTop="1" thickBot="1">
      <c r="B27" s="32" t="str">
        <f>CurYear</f>
        <v>2020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88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showRowColHeaders="0" zoomScale="185" zoomScaleNormal="185" workbookViewId="0">
      <selection activeCell="A2" sqref="A2:M16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22" t="str">
        <f>CurYear-1 &amp; "/"&amp;CurYear</f>
        <v>2019/2020</v>
      </c>
      <c r="D3" s="222"/>
      <c r="E3" s="93" t="s">
        <v>9</v>
      </c>
      <c r="F3" s="93" t="s">
        <v>11</v>
      </c>
      <c r="G3" s="93" t="s">
        <v>10</v>
      </c>
      <c r="H3" s="93" t="s">
        <v>71</v>
      </c>
      <c r="I3" s="93" t="s">
        <v>39</v>
      </c>
      <c r="J3" s="93" t="s">
        <v>40</v>
      </c>
      <c r="K3" s="93" t="s">
        <v>45</v>
      </c>
      <c r="L3" s="96" t="s">
        <v>51</v>
      </c>
      <c r="M3" s="93" t="s">
        <v>46</v>
      </c>
      <c r="N3" s="93" t="s">
        <v>29</v>
      </c>
    </row>
    <row r="4" spans="2:14" s="55" customFormat="1">
      <c r="B4" s="55">
        <v>1</v>
      </c>
      <c r="C4" s="182" t="str">
        <f>EmpGName01</f>
        <v>Luciano</v>
      </c>
      <c r="D4" s="182" t="str">
        <f>EmpSName01</f>
        <v>Marampon</v>
      </c>
      <c r="E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F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1">
        <f>SUM(E4:M4)</f>
        <v>0</v>
      </c>
    </row>
    <row r="5" spans="2:14" s="55" customFormat="1">
      <c r="B5" s="55">
        <v>2</v>
      </c>
      <c r="C5" s="183" t="str">
        <f>EmpGName02</f>
        <v>Kevin</v>
      </c>
      <c r="D5" s="183" t="str">
        <f>EmpSName02</f>
        <v>Stone</v>
      </c>
      <c r="E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F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80">
        <f>SUM(E5:M5)</f>
        <v>0</v>
      </c>
    </row>
    <row r="6" spans="2:14" s="55" customFormat="1">
      <c r="B6" s="55">
        <v>3</v>
      </c>
      <c r="C6" s="182" t="str">
        <f>EmpGName03</f>
        <v>Ian</v>
      </c>
      <c r="D6" s="182" t="str">
        <f>EmpSName03</f>
        <v>Thelning</v>
      </c>
      <c r="E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F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1">
        <f>SUM(E6:M6)</f>
        <v>0</v>
      </c>
    </row>
    <row r="7" spans="2:14" s="55" customFormat="1">
      <c r="B7" s="55">
        <v>4</v>
      </c>
      <c r="C7" s="183" t="str">
        <f>EmpGName04</f>
        <v>Leon</v>
      </c>
      <c r="D7" s="183" t="str">
        <f>EmpSName04</f>
        <v>King</v>
      </c>
      <c r="E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F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80">
        <f t="shared" ref="N7:N11" si="0">SUM(E7:M7)</f>
        <v>0</v>
      </c>
    </row>
    <row r="8" spans="2:14" s="55" customFormat="1">
      <c r="B8" s="55">
        <v>5</v>
      </c>
      <c r="C8" s="182" t="str">
        <f>EmpGName05</f>
        <v>David</v>
      </c>
      <c r="D8" s="182" t="str">
        <f>EmpSName05</f>
        <v>Castle</v>
      </c>
      <c r="E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F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1">
        <f t="shared" si="0"/>
        <v>0</v>
      </c>
    </row>
    <row r="9" spans="2:14" s="55" customFormat="1">
      <c r="B9" s="55">
        <v>6</v>
      </c>
      <c r="C9" s="183" t="str">
        <f>EmpGName06</f>
        <v>Robin</v>
      </c>
      <c r="D9" s="183" t="str">
        <f>EmpSName06</f>
        <v>Fielding</v>
      </c>
      <c r="E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F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80">
        <f t="shared" si="0"/>
        <v>0</v>
      </c>
    </row>
    <row r="10" spans="2:14" s="55" customFormat="1">
      <c r="B10" s="55">
        <v>7</v>
      </c>
      <c r="C10" s="182" t="str">
        <f>EmpGName07</f>
        <v>Troy</v>
      </c>
      <c r="D10" s="182" t="str">
        <f>EmpSName07</f>
        <v>Sorensen</v>
      </c>
      <c r="E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F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1">
        <f t="shared" si="0"/>
        <v>0</v>
      </c>
    </row>
    <row r="11" spans="2:14" s="55" customFormat="1" hidden="1">
      <c r="B11" s="55">
        <v>8</v>
      </c>
      <c r="C11" s="183">
        <f>EmpGName08</f>
        <v>0</v>
      </c>
      <c r="D11" s="183">
        <f>EmpSName08</f>
        <v>0</v>
      </c>
      <c r="E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F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80">
        <f t="shared" si="0"/>
        <v>0</v>
      </c>
    </row>
    <row r="12" spans="2:14" s="55" customFormat="1" hidden="1">
      <c r="B12" s="55">
        <v>9</v>
      </c>
      <c r="C12" s="182">
        <f>EmpGName09</f>
        <v>0</v>
      </c>
      <c r="D12" s="182">
        <f>EmpSName09</f>
        <v>0</v>
      </c>
      <c r="E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F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1">
        <f>SUM(E12:M12)</f>
        <v>0</v>
      </c>
    </row>
    <row r="13" spans="2:14" s="55" customFormat="1" hidden="1">
      <c r="B13" s="55">
        <v>10</v>
      </c>
      <c r="C13" s="183">
        <f>EmpSName10</f>
        <v>0</v>
      </c>
      <c r="D13" s="183">
        <f>EmpGName10</f>
        <v>0</v>
      </c>
      <c r="E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F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80">
        <f t="shared" ref="N13:N16" si="1">SUM(E13:M13)</f>
        <v>0</v>
      </c>
    </row>
    <row r="14" spans="2:14" s="55" customFormat="1" hidden="1">
      <c r="B14" s="55">
        <v>11</v>
      </c>
      <c r="C14" s="182">
        <f>EmpSName11</f>
        <v>0</v>
      </c>
      <c r="D14" s="182">
        <f>EmpGName11</f>
        <v>0</v>
      </c>
      <c r="E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F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1">
        <f t="shared" si="1"/>
        <v>0</v>
      </c>
    </row>
    <row r="15" spans="2:14" s="55" customFormat="1" ht="15" hidden="1" customHeight="1">
      <c r="B15" s="55">
        <v>12</v>
      </c>
      <c r="C15" s="183">
        <f>EmpSName12</f>
        <v>0</v>
      </c>
      <c r="D15" s="183">
        <f>EmpGName12</f>
        <v>0</v>
      </c>
      <c r="E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F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80">
        <f t="shared" si="1"/>
        <v>0</v>
      </c>
    </row>
    <row r="16" spans="2:14" s="55" customFormat="1" ht="15" hidden="1" customHeight="1">
      <c r="B16" s="55">
        <v>13</v>
      </c>
      <c r="C16" s="184">
        <f>EmpSName13</f>
        <v>0</v>
      </c>
      <c r="D16" s="182">
        <f>EmpGName13</f>
        <v>0</v>
      </c>
      <c r="E16" s="81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0</v>
      </c>
      <c r="F16" s="81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1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1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9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9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9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1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9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1">
        <f t="shared" si="1"/>
        <v>0</v>
      </c>
    </row>
    <row r="17" spans="2:14" s="55" customFormat="1" ht="15" hidden="1" customHeight="1">
      <c r="B17" s="55">
        <v>14</v>
      </c>
      <c r="C17" s="185">
        <f>EmpSName14</f>
        <v>0</v>
      </c>
      <c r="D17" s="183">
        <f>EmpGName14</f>
        <v>0</v>
      </c>
      <c r="E17" s="80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0</v>
      </c>
      <c r="F17" s="80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80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80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80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80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80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80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80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80">
        <f t="shared" ref="N17" si="2">SUM(E17:M17)</f>
        <v>0</v>
      </c>
    </row>
    <row r="18" spans="2:14" s="55" customFormat="1" ht="15" hidden="1" customHeight="1">
      <c r="B18" s="55">
        <v>15</v>
      </c>
      <c r="C18" s="182">
        <f>EmpSName15</f>
        <v>0</v>
      </c>
      <c r="D18" s="182">
        <f>EmpGName15</f>
        <v>0</v>
      </c>
      <c r="E18" s="81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0</v>
      </c>
      <c r="F18" s="81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1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1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9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9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9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1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9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1">
        <f t="shared" ref="N18" si="3">SUM(E18:M18)</f>
        <v>0</v>
      </c>
    </row>
    <row r="19" spans="2:14" s="55" customFormat="1" ht="15" hidden="1" customHeight="1">
      <c r="B19" s="55">
        <v>16</v>
      </c>
      <c r="C19" s="183">
        <f>EmpSName16</f>
        <v>0</v>
      </c>
      <c r="D19" s="183">
        <f>EmpGName16</f>
        <v>0</v>
      </c>
      <c r="E19" s="80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0</v>
      </c>
      <c r="F19" s="80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80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80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80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80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80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80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80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80">
        <f t="shared" ref="N19" si="4">SUM(E19:M19)</f>
        <v>0</v>
      </c>
    </row>
    <row r="20" spans="2:14" s="55" customFormat="1" ht="15" hidden="1" customHeight="1">
      <c r="B20" s="55">
        <v>17</v>
      </c>
      <c r="C20" s="182">
        <f>EmpSName17</f>
        <v>0</v>
      </c>
      <c r="D20" s="182">
        <f>EmpGName17</f>
        <v>0</v>
      </c>
      <c r="E20" s="81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0</v>
      </c>
      <c r="F20" s="81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1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1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9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9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9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1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9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1">
        <f t="shared" ref="N20" si="5">SUM(E20:M20)</f>
        <v>0</v>
      </c>
    </row>
    <row r="21" spans="2:14" s="55" customFormat="1" ht="15" hidden="1" customHeight="1">
      <c r="B21" s="55">
        <v>18</v>
      </c>
      <c r="C21" s="183">
        <f>EmpSName18</f>
        <v>0</v>
      </c>
      <c r="D21" s="183">
        <f>EmpGName18</f>
        <v>0</v>
      </c>
      <c r="E21" s="80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0</v>
      </c>
      <c r="F21" s="80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80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80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80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80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80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80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80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80">
        <f t="shared" ref="N21" si="6">SUM(E21:M21)</f>
        <v>0</v>
      </c>
    </row>
    <row r="22" spans="2:14" s="55" customFormat="1" ht="15" hidden="1" customHeight="1">
      <c r="B22" s="55">
        <v>19</v>
      </c>
      <c r="C22" s="182">
        <f>EmpSName19</f>
        <v>0</v>
      </c>
      <c r="D22" s="182">
        <f>EmpGName19</f>
        <v>0</v>
      </c>
      <c r="E22" s="81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0</v>
      </c>
      <c r="F22" s="81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1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1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9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9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9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1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9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1">
        <f t="shared" ref="N22" si="7">SUM(E22:M22)</f>
        <v>0</v>
      </c>
    </row>
    <row r="23" spans="2:14" s="55" customFormat="1" ht="15" hidden="1" customHeight="1">
      <c r="B23" s="55">
        <v>20</v>
      </c>
      <c r="C23" s="183">
        <f>EmpSName20</f>
        <v>0</v>
      </c>
      <c r="D23" s="183">
        <f>EmpGName20</f>
        <v>0</v>
      </c>
      <c r="E23" s="80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0</v>
      </c>
      <c r="F23" s="80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80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80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80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80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80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80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80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80">
        <f t="shared" ref="N23" si="8">SUM(E23:M23)</f>
        <v>0</v>
      </c>
    </row>
    <row r="24" spans="2:14" s="55" customFormat="1" ht="15" hidden="1" customHeight="1">
      <c r="B24" s="55">
        <v>21</v>
      </c>
      <c r="C24" s="182">
        <f>EmpSName21</f>
        <v>0</v>
      </c>
      <c r="D24" s="182">
        <f>EmpGName21</f>
        <v>0</v>
      </c>
      <c r="E24" s="81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0</v>
      </c>
      <c r="F24" s="81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1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1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9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9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9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1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9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1">
        <f t="shared" ref="N24" si="9">SUM(E24:M24)</f>
        <v>0</v>
      </c>
    </row>
    <row r="25" spans="2:14" s="55" customFormat="1" ht="15" hidden="1" customHeight="1">
      <c r="B25" s="55">
        <v>22</v>
      </c>
      <c r="C25" s="183" t="s">
        <v>91</v>
      </c>
      <c r="D25" s="183">
        <f>EmpGName22</f>
        <v>0</v>
      </c>
      <c r="E25" s="80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0</v>
      </c>
      <c r="F25" s="80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80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80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80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80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80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80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80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80">
        <f t="shared" ref="N25" si="10">SUM(E25:M25)</f>
        <v>0</v>
      </c>
    </row>
    <row r="26" spans="2:14" s="55" customFormat="1" ht="15" hidden="1" customHeight="1">
      <c r="B26" s="55">
        <v>23</v>
      </c>
      <c r="C26" s="182">
        <f>EmpSName23</f>
        <v>0</v>
      </c>
      <c r="D26" s="182">
        <f>EmpGName23</f>
        <v>0</v>
      </c>
      <c r="E26" s="81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0</v>
      </c>
      <c r="F26" s="81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1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1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9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9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9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1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9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1">
        <f t="shared" ref="N26" si="11">SUM(E26:M26)</f>
        <v>0</v>
      </c>
    </row>
    <row r="27" spans="2:14" s="55" customFormat="1" ht="15" hidden="1" customHeight="1">
      <c r="B27" s="55">
        <v>24</v>
      </c>
      <c r="C27" s="183">
        <f>EmpSName24</f>
        <v>0</v>
      </c>
      <c r="D27" s="183">
        <f>EmpGName24</f>
        <v>0</v>
      </c>
      <c r="E27" s="80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0</v>
      </c>
      <c r="F27" s="80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80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80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80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80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80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80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80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80">
        <f t="shared" ref="N27" si="12">SUM(E27:M27)</f>
        <v>0</v>
      </c>
    </row>
    <row r="28" spans="2:14" s="55" customFormat="1" ht="15" hidden="1" customHeight="1">
      <c r="B28" s="55">
        <v>25</v>
      </c>
      <c r="C28" s="182">
        <f>EmpSName25</f>
        <v>0</v>
      </c>
      <c r="D28" s="182">
        <f>EmpGName25</f>
        <v>0</v>
      </c>
      <c r="E28" s="81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0</v>
      </c>
      <c r="F28" s="81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1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1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9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9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9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1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9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1">
        <f t="shared" ref="N28" si="13">SUM(E28:M28)</f>
        <v>0</v>
      </c>
    </row>
    <row r="29" spans="2:14" s="55" customFormat="1" ht="15" hidden="1" customHeight="1">
      <c r="B29" s="55">
        <v>26</v>
      </c>
      <c r="C29" s="183">
        <f>EmpSName26</f>
        <v>0</v>
      </c>
      <c r="D29" s="183">
        <f>EmpGName26</f>
        <v>0</v>
      </c>
      <c r="E29" s="80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0</v>
      </c>
      <c r="F29" s="80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80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80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80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80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80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80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80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80">
        <f t="shared" ref="N29" si="14">SUM(E29:M29)</f>
        <v>0</v>
      </c>
    </row>
    <row r="30" spans="2:14" s="55" customFormat="1" ht="15" hidden="1" customHeight="1">
      <c r="B30" s="55">
        <v>27</v>
      </c>
      <c r="C30" s="182">
        <f>EmpSName27</f>
        <v>0</v>
      </c>
      <c r="D30" s="182">
        <f>EmpGName27</f>
        <v>0</v>
      </c>
      <c r="E30" s="81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0</v>
      </c>
      <c r="F30" s="81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1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1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9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9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9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1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9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1">
        <f t="shared" ref="N30" si="15">SUM(E30:M30)</f>
        <v>0</v>
      </c>
    </row>
    <row r="31" spans="2:14" s="55" customFormat="1" ht="15" hidden="1" customHeight="1">
      <c r="B31" s="55">
        <v>28</v>
      </c>
      <c r="C31" s="183">
        <f>EmpSName28</f>
        <v>0</v>
      </c>
      <c r="D31" s="183">
        <f>EmpGName28</f>
        <v>0</v>
      </c>
      <c r="E31" s="80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0</v>
      </c>
      <c r="F31" s="80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80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80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80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80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80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80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80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80">
        <f t="shared" ref="N31" si="16">SUM(E31:M31)</f>
        <v>0</v>
      </c>
    </row>
    <row r="32" spans="2:14" s="55" customFormat="1"/>
    <row r="33" spans="4:14" s="55" customFormat="1">
      <c r="D33" s="95" t="s">
        <v>50</v>
      </c>
      <c r="E33" s="94">
        <f>SUM(E4:E31)</f>
        <v>0</v>
      </c>
      <c r="F33" s="94">
        <f t="shared" ref="F33:N33" si="17">SUM(F4:F31)</f>
        <v>0</v>
      </c>
      <c r="G33" s="94">
        <f t="shared" si="17"/>
        <v>0</v>
      </c>
      <c r="H33" s="94">
        <f t="shared" si="17"/>
        <v>0</v>
      </c>
      <c r="I33" s="94">
        <f t="shared" si="17"/>
        <v>0</v>
      </c>
      <c r="J33" s="94">
        <f t="shared" si="17"/>
        <v>0</v>
      </c>
      <c r="K33" s="94">
        <f t="shared" si="17"/>
        <v>0</v>
      </c>
      <c r="L33" s="94">
        <f t="shared" si="17"/>
        <v>0</v>
      </c>
      <c r="M33" s="94">
        <f t="shared" si="17"/>
        <v>0</v>
      </c>
      <c r="N33" s="94">
        <f t="shared" si="17"/>
        <v>0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 selectUn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483</vt:i4>
      </vt:variant>
    </vt:vector>
  </HeadingPairs>
  <TitlesOfParts>
    <vt:vector size="498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PublicHolidays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2019-08-02T00:50:39Z</dcterms:modified>
</cp:coreProperties>
</file>