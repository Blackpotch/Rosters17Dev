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tumpers\PIRSA\Rosters17Dev\"/>
    </mc:Choice>
  </mc:AlternateContent>
  <bookViews>
    <workbookView xWindow="0" yWindow="0" windowWidth="2172" windowHeight="396" tabRatio="752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Roster!$D$200:$AH$200,Roster!$D$215:$AF$215,Roster!$D$230:$AH$230,Roster!$D$245:$AG$245,Roster!$D$260:$AH$260,Roster!$D$275:$AG$275,Roster!$D$14:$AH$14,Roster!$D$45:$AH$45,Roster!$D$76:$AG$76,Roster!$D$107:$AH$107,Roster!$D$138:$AG$138,Roster!$D$169:$AH$169</definedName>
    <definedName name="AllEmps">Roster!$D$14:$AH$25,Roster!$D$45:$AH$56,Roster!$D$76:$AG$87,Roster!$D$107:$AH$118,Roster!$D$138:$AG$149,Roster!$D$169:$AH$180,Roster!$D$200:$AH$211,Roster!$D$215:$AF$226,Roster!$D$230:$AH$241,Roster!$D$245:$AG$256,Roster!$D$260:$AH$271,Roster!$D$275:$AG$286</definedName>
    <definedName name="April_Heads">Roster!$C$244:$AG$244</definedName>
    <definedName name="August_Heads">Roster!$C$44:$AH$44</definedName>
    <definedName name="AutoEnd">Roster!$A$5</definedName>
    <definedName name="BlockEmps">DATA!$C$8:$E$19</definedName>
    <definedName name="CurYear">Roster!$B$4</definedName>
    <definedName name="D">Roster!$D$200:$AH$211,Roster!$D$215:$AF$226,Roster!$D$230:$AH$241,Roster!$D$245:$AG$256,Roster!$D$260:$AH$271,Roster!$D$275:$AG$286,Roster!$D$14:$AH$25,Roster!$D$45:$AH$56,Roster!$D$76:$AG$87,Roster!$D$107:$AH$118,Roster!$D$138:$AG$149,Roster!$D$169:$AH$180</definedName>
    <definedName name="December_Heads">Roster!$C$168:$AH$168</definedName>
    <definedName name="ee">Roster!$D$14:$AH$25,Roster!$D$45:$AH$56,Roster!$D$76:$AG$87,Roster!$D$107:$AH$118,Roster!$D$138:$AG$149,Roster!$D$169:$AH$180,Roster!$D$200:$AH$211,Roster!$D$215:$AF$226,Roster!$D$230:$AH$241,Roster!$D$245:$AG$256,Roster!$D$260:$AH$271,Roster!$D$275:$AG$286</definedName>
    <definedName name="Emp01Apr">Roster!$D$245:$AG$245</definedName>
    <definedName name="Emp01Aug">Roster!$D$45:$AH$45</definedName>
    <definedName name="Emp01Dec">Roster!$D$169:$AH$169</definedName>
    <definedName name="Emp01Feb">Roster!$D$215:$AF$215</definedName>
    <definedName name="Emp01Jan">Roster!$D$200:$AH$200</definedName>
    <definedName name="Emp01Jul">Roster!$D$14:$AH$14</definedName>
    <definedName name="Emp01Jun">Roster!$D$275:$AG$275</definedName>
    <definedName name="Emp01Mar">Roster!$D$230:$AH$230</definedName>
    <definedName name="Emp01May">Roster!$D$260:$AH$260</definedName>
    <definedName name="Emp01Nov">Roster!$D$138:$AG$138</definedName>
    <definedName name="Emp01Oct">Roster!$D$107:$AH$107</definedName>
    <definedName name="Emp01Sep">Roster!$D$76:$AG$76</definedName>
    <definedName name="Emp01Summary">Summary!$B$4:$C$4</definedName>
    <definedName name="Emp02Apr">Roster!$D$246:$AG$246</definedName>
    <definedName name="Emp02Aug">Roster!$D$46:$AH$46</definedName>
    <definedName name="Emp02Dec">Roster!$D$170:$AH$170</definedName>
    <definedName name="Emp02Feb">Roster!$D$216:$AF$216</definedName>
    <definedName name="Emp02Jan">Roster!$D$201:$AH$201</definedName>
    <definedName name="Emp02Jul">Roster!$D$15:$AH$15</definedName>
    <definedName name="Emp02Jun">Roster!$D$276:$AG$276</definedName>
    <definedName name="Emp02Mar">Roster!$D$231:$AH$231</definedName>
    <definedName name="Emp02May">Roster!$D$261:$AH$261</definedName>
    <definedName name="Emp02Nov">Roster!$D$139:$AG$139</definedName>
    <definedName name="Emp02Oct">Roster!$D$108:$AH$108</definedName>
    <definedName name="Emp02Sep">Roster!$D$77:$AG$77</definedName>
    <definedName name="Emp02Summary">Summary!$B$5:$C$5</definedName>
    <definedName name="Emp03Apr">Roster!$D$247:$AG$247</definedName>
    <definedName name="Emp03Aug">Roster!$D$47:$AH$47</definedName>
    <definedName name="Emp03Dec">Roster!$D$171:$AH$171</definedName>
    <definedName name="Emp03Feb">Roster!$D$217:$AF$217</definedName>
    <definedName name="Emp03Jan">Roster!$D$202:$AH$202</definedName>
    <definedName name="Emp03Jul">Roster!$D$16:$AH$16</definedName>
    <definedName name="Emp03Jun">Roster!$D$277:$AG$277</definedName>
    <definedName name="Emp03Mar">Roster!$D$232:$AH$232</definedName>
    <definedName name="Emp03May">Roster!$D$262:$AH$262</definedName>
    <definedName name="Emp03Nov">Roster!$D$140:$AG$140</definedName>
    <definedName name="Emp03Oct">Roster!$D$109:$AH$109</definedName>
    <definedName name="Emp03Sep">Roster!$D$78:$AG$78</definedName>
    <definedName name="Emp03Summary">Summary!$B$6:$C$6</definedName>
    <definedName name="Emp04Apr">Roster!$D$248:$AG$248</definedName>
    <definedName name="Emp04Aug">Roster!$D$48:$AH$48</definedName>
    <definedName name="Emp04Dec">Roster!$D$172:$AH$172</definedName>
    <definedName name="Emp04Feb">Roster!$D$218:$AF$218</definedName>
    <definedName name="Emp04Jan">Roster!$D$203:$AH$203</definedName>
    <definedName name="Emp04Jul">Roster!$D$17:$AH$17</definedName>
    <definedName name="Emp04Jun">Roster!$D$278:$AG$278</definedName>
    <definedName name="Emp04Mar">Roster!$D$233:$AH$233</definedName>
    <definedName name="Emp04May">Roster!$D$263:$AH$263</definedName>
    <definedName name="Emp04Nov">Roster!$D$141:$AG$141</definedName>
    <definedName name="Emp04Oct">Roster!$D$110:$AH$110</definedName>
    <definedName name="Emp04Sep">Roster!$D$79:$AG$79</definedName>
    <definedName name="Emp04Summary">Summary!$B$7:$C$7</definedName>
    <definedName name="Emp05Apr">Roster!$D$249:$AG$249</definedName>
    <definedName name="Emp05Aug">Roster!$D$49:$AH$49</definedName>
    <definedName name="Emp05Dec">Roster!$D$173:$AH$173</definedName>
    <definedName name="Emp05Feb">Roster!$D$219:$AF$219</definedName>
    <definedName name="Emp05Jan">Roster!$D$204:$AH$204</definedName>
    <definedName name="Emp05Jul">Roster!$D$18:$AH$18</definedName>
    <definedName name="Emp05Jun">Roster!$D$279:$AG$279</definedName>
    <definedName name="Emp05Mar">Roster!$D$234:$AH$234</definedName>
    <definedName name="Emp05May">Roster!$D$264:$AH$264</definedName>
    <definedName name="Emp05Nov">Roster!$D$142:$AG$142</definedName>
    <definedName name="Emp05Oct">Roster!$D$111:$AH$111</definedName>
    <definedName name="Emp05Sep">Roster!$D$80:$AG$80</definedName>
    <definedName name="Emp05Summary">Summary!$B$8:$C$8</definedName>
    <definedName name="Emp06Apr">Roster!$D$250:$AG$250</definedName>
    <definedName name="Emp06Aug">Roster!$D$50:$AH$50</definedName>
    <definedName name="Emp06Dec">Roster!$D$174:$AH$174</definedName>
    <definedName name="Emp06Feb">Roster!$D$220:$AF$220</definedName>
    <definedName name="Emp06Jan">Roster!$D$205:$AH$205</definedName>
    <definedName name="Emp06Jul">Roster!$D$19:$AH$19</definedName>
    <definedName name="Emp06Jun">Roster!$D$280:$AG$280</definedName>
    <definedName name="Emp06Mar">Roster!$D$235:$AH$235</definedName>
    <definedName name="Emp06May">Roster!$D$265:$AH$265</definedName>
    <definedName name="Emp06Nov">Roster!$D$143:$AG$143</definedName>
    <definedName name="Emp06Oct">Roster!$D$112:$AH$112</definedName>
    <definedName name="Emp06Sep">Roster!$D$81:$AG$81</definedName>
    <definedName name="Emp06Summary">Summary!$B$9:$C$9</definedName>
    <definedName name="Emp07Apr">Roster!$D$251:$AG$251</definedName>
    <definedName name="Emp07Aug">Roster!$D$51:$AH$51</definedName>
    <definedName name="Emp07Dec">Roster!$D$175:$AH$175</definedName>
    <definedName name="Emp07Feb">Roster!$D$221:$AF$221</definedName>
    <definedName name="Emp07Jan">Roster!$D$206:$AH$206</definedName>
    <definedName name="Emp07Jul">Roster!$D$20:$AH$20</definedName>
    <definedName name="Emp07Jun">Roster!$D$281:$AG$281</definedName>
    <definedName name="Emp07Mar">Roster!$D$236:$AH$236</definedName>
    <definedName name="Emp07May">Roster!$D$266:$AH$266</definedName>
    <definedName name="Emp07Nov">Roster!$D$144:$AG$144</definedName>
    <definedName name="Emp07Oct">Roster!$D$113:$AH$113</definedName>
    <definedName name="Emp07Sep">Roster!$D$82:$AG$82</definedName>
    <definedName name="Emp07Summary">Summary!$B$10:$C$10</definedName>
    <definedName name="Emp08Apr">Roster!$D$252:$AG$252</definedName>
    <definedName name="Emp08Aug">Roster!$D$52:$AH$52</definedName>
    <definedName name="Emp08Dec">Roster!$D$176:$AH$176</definedName>
    <definedName name="Emp08Feb">Roster!$D$222:$AF$222</definedName>
    <definedName name="Emp08Jan">Roster!$D$207:$AH$207</definedName>
    <definedName name="Emp08Jul">Roster!$D$21:$AH$21</definedName>
    <definedName name="Emp08Jun">Roster!$D$282:$AG$282</definedName>
    <definedName name="Emp08Mar">Roster!$D$237:$AH$237</definedName>
    <definedName name="Emp08May">Roster!$D$267:$AH$267</definedName>
    <definedName name="Emp08Nov">Roster!$D$145:$AG$145</definedName>
    <definedName name="Emp08Oct">Roster!$D$114:$AH$114</definedName>
    <definedName name="Emp08Sep">Roster!$D$83:$AG$83</definedName>
    <definedName name="Emp08Summary">Summary!$B$11:$C$11</definedName>
    <definedName name="Emp09Apr">Roster!$D$253:$AG$253</definedName>
    <definedName name="Emp09Aug">Roster!$D$53:$AH$53</definedName>
    <definedName name="Emp09Dec">Roster!$D$177:$AH$177</definedName>
    <definedName name="Emp09Feb">Roster!$D$223:$AF$223</definedName>
    <definedName name="Emp09Jan">Roster!$D$208:$AH$208</definedName>
    <definedName name="Emp09Jul">Roster!$D$22:$AH$22</definedName>
    <definedName name="Emp09Jun">Roster!$D$283:$AG$283</definedName>
    <definedName name="Emp09Mar">Roster!$D$238:$AH$238</definedName>
    <definedName name="Emp09May">Roster!$D$268:$AH$268</definedName>
    <definedName name="Emp09Nov">Roster!$D$146:$AG$146</definedName>
    <definedName name="Emp09Oct">Roster!$D$115:$AH$115</definedName>
    <definedName name="Emp09Sep">Roster!$D$84:$AG$84</definedName>
    <definedName name="Emp09Summary">Summary!$B$12:$C$12</definedName>
    <definedName name="Emp10Apr">Roster!$D$254:$AG$254</definedName>
    <definedName name="Emp10Aug">Roster!$D$54:$AH$54</definedName>
    <definedName name="Emp10Dec">Roster!$D$178:$AH$178</definedName>
    <definedName name="Emp10Feb">Roster!$D$224:$AF$224</definedName>
    <definedName name="Emp10Jan">Roster!$D$209:$AH$209</definedName>
    <definedName name="Emp10Jul">Roster!$D$23:$AH$23</definedName>
    <definedName name="Emp10Jun">Roster!$D$284:$AG$284</definedName>
    <definedName name="Emp10Mar">Roster!$D$239:$AH$239</definedName>
    <definedName name="Emp10May">Roster!$D$269:$AH$269</definedName>
    <definedName name="Emp10Nov">Roster!$D$147:$AG$147</definedName>
    <definedName name="Emp10Oct">Roster!$D$116:$AH$116</definedName>
    <definedName name="Emp10Sep">Roster!$D$85:$AG$85</definedName>
    <definedName name="Emp10Summary">Summary!$B$13:$C$13</definedName>
    <definedName name="Emp11Apr">Roster!$D$255:$AG$255</definedName>
    <definedName name="Emp11Aug">Roster!$D$55:$AH$55</definedName>
    <definedName name="Emp11Dec">Roster!$D$179:$AH$179</definedName>
    <definedName name="Emp11Feb">Roster!$D$225:$AF$225</definedName>
    <definedName name="Emp11Jan">Roster!$D$210:$AH$210</definedName>
    <definedName name="Emp11Jul">Roster!$D$24:$AH$24</definedName>
    <definedName name="Emp11Jun">Roster!$D$285:$AG$285</definedName>
    <definedName name="Emp11Mar">Roster!$D$240:$AH$240</definedName>
    <definedName name="Emp11May">Roster!$D$270:$AH$270</definedName>
    <definedName name="Emp11Nov">Roster!$D$148:$AG$148</definedName>
    <definedName name="Emp11Oct">Roster!$D$117:$AH$117</definedName>
    <definedName name="Emp11Sep">Roster!$D$86:$AG$86</definedName>
    <definedName name="Emp11Summary">Summary!$B$14:$C$14</definedName>
    <definedName name="Emp12Apr">Roster!$D$256:$AG$256</definedName>
    <definedName name="Emp12Aug">Roster!$D$56:$AH$56</definedName>
    <definedName name="Emp12Dec">Roster!$D$180:$AH$180</definedName>
    <definedName name="Emp12Feb">Roster!$D$226:$AF$226</definedName>
    <definedName name="Emp12Jan">Roster!$D$211:$AH$211</definedName>
    <definedName name="Emp12Jul">Roster!$D$25:$AH$25</definedName>
    <definedName name="Emp12Jun">Roster!$D$286:$AG$286</definedName>
    <definedName name="Emp12Mar">Roster!$D$241:$AH$241</definedName>
    <definedName name="Emp12May">Roster!$D$271:$AH$271</definedName>
    <definedName name="Emp12Nov">Roster!$D$149:$AG$149</definedName>
    <definedName name="Emp12Oct">Roster!$D$118:$AH$118</definedName>
    <definedName name="Emp12Sep">Roster!$D$87:$AG$87</definedName>
    <definedName name="Emp12Summary">Summary!$B$15:$C$15</definedName>
    <definedName name="Emp13Aug">Roster!$D$57:$AH$57</definedName>
    <definedName name="Emp13Dec">Roster!$D$181:$AH$181</definedName>
    <definedName name="Emp13Jul">Roster!$D$26:$AH$26</definedName>
    <definedName name="Emp13Nov">Roster!$D$150:$AG$150</definedName>
    <definedName name="Emp13Oct">Roster!$D$119:$AH$119</definedName>
    <definedName name="Emp13Sep">Roster!$D$88:$AG$88</definedName>
    <definedName name="Emp14Aug">Roster!$D$58:$AH$58</definedName>
    <definedName name="Emp14Dec">Roster!$D$182:$AH$182</definedName>
    <definedName name="Emp14Jul">Roster!$D$27:$AH$27</definedName>
    <definedName name="Emp14Nov">Roster!$D$151:$AG$151</definedName>
    <definedName name="Emp14Oct">Roster!$D$120:$AH$120</definedName>
    <definedName name="Emp14Sep">Roster!$D$89:$AG$89</definedName>
    <definedName name="Emp15Aug">Roster!$D$59:$AH$59</definedName>
    <definedName name="Emp15Dec">Roster!$D$183:$AH$183</definedName>
    <definedName name="Emp15Jul">Roster!$D$28:$AH$28</definedName>
    <definedName name="Emp15Nov">Roster!$D$152:$AG$152</definedName>
    <definedName name="Emp15Oct">Roster!$D$121:$AH$121</definedName>
    <definedName name="Emp15Sep">Roster!$D$90:$AG$90</definedName>
    <definedName name="Emp16Aug">Roster!$D$60:$AH$60</definedName>
    <definedName name="Emp16Dec">Roster!$D$184:$AH$184</definedName>
    <definedName name="Emp16Jul">Roster!$D$29:$AH$29</definedName>
    <definedName name="Emp16Nov">Roster!$D$153:$AG$153</definedName>
    <definedName name="Emp16Oct">Roster!$D$122:$AH$122</definedName>
    <definedName name="Emp16Sep">Roster!$D$91:$AG$91</definedName>
    <definedName name="Emp17Aug">Roster!$D$61:$AH$61</definedName>
    <definedName name="Emp17Dec">Roster!$D$185:$AH$185</definedName>
    <definedName name="Emp17Jul">Roster!$D$30:$AH$30</definedName>
    <definedName name="Emp17Nov">Roster!$D$154:$AG$154</definedName>
    <definedName name="Emp17Oct">Roster!$D$123:$AH$123</definedName>
    <definedName name="Emp17Sep">Roster!$D$92:$AG$92</definedName>
    <definedName name="Emp18Aug">Roster!$D$62:$AH$62</definedName>
    <definedName name="Emp18Dec">Roster!$D$186:$AH$186</definedName>
    <definedName name="Emp18Jul">Roster!$D$31:$AH$31</definedName>
    <definedName name="Emp18Nov">Roster!$D$155:$AG$155</definedName>
    <definedName name="Emp18Oct">Roster!$D$124:$AH$124</definedName>
    <definedName name="Emp18Sep">Roster!$D$93:$AG$93</definedName>
    <definedName name="Emp19Aug">Roster!$D$63:$AH$63</definedName>
    <definedName name="Emp19Dec">Roster!$D$187:$AH$187</definedName>
    <definedName name="Emp19Jul">Roster!$D$32:$AH$32</definedName>
    <definedName name="Emp19Nov">Roster!$D$156:$AG$156</definedName>
    <definedName name="Emp19Oct">Roster!$D$125:$AH$125</definedName>
    <definedName name="Emp19Sep">Roster!$D$94:$AG$94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20Aug">Roster!$D$64:$AH$64</definedName>
    <definedName name="Emp20Dec">Roster!$D$188:$AH$188</definedName>
    <definedName name="Emp20Jul">Roster!$D$33:$AH$33</definedName>
    <definedName name="Emp20Nov">Roster!$D$157:$AG$157</definedName>
    <definedName name="Emp20Oct">Roster!$D$126:$AH$126</definedName>
    <definedName name="Emp20Sep">Roster!$D$95:$AG$95</definedName>
    <definedName name="Emp21Aug">Roster!$D$65:$AH$65</definedName>
    <definedName name="Emp21Dec">Roster!$D$189:$AH$189</definedName>
    <definedName name="Emp21Jul">Roster!$D$34:$AH$34</definedName>
    <definedName name="Emp21Nov">Roster!$D$158:$AG$158</definedName>
    <definedName name="Emp21Oct">Roster!$D$127:$AH$127</definedName>
    <definedName name="Emp21Sep">Roster!$D$96:$AG$96</definedName>
    <definedName name="Emp22Aug">Roster!$D$66:$AH$66</definedName>
    <definedName name="Emp22Dec">Roster!$D$190:$AH$190</definedName>
    <definedName name="Emp22Jul">Roster!$D$35:$AH$35</definedName>
    <definedName name="Emp22Nov">Roster!$D$159:$AG$159</definedName>
    <definedName name="Emp22Oct">Roster!$D$128:$AH$128</definedName>
    <definedName name="Emp22Sep">Roster!$D$97:$AG$97</definedName>
    <definedName name="Emp23Aug">Roster!$D$67:$AH$67</definedName>
    <definedName name="Emp23Dec">Roster!$D$191:$AH$191</definedName>
    <definedName name="Emp23Jul">Roster!$D$36:$AH$36</definedName>
    <definedName name="Emp23Nov">Roster!$D$160:$AG$160</definedName>
    <definedName name="Emp23Oct">Roster!$D$129:$AH$129</definedName>
    <definedName name="Emp23Sep">Roster!$D$98:$AG$98</definedName>
    <definedName name="Emp24Aug">Roster!$D$68:$AH$68</definedName>
    <definedName name="Emp24Dec">Roster!$D$192:$AH$192</definedName>
    <definedName name="Emp24Jul">Roster!$D$37:$AH$37</definedName>
    <definedName name="Emp24Nov">Roster!$D$161:$AG$161</definedName>
    <definedName name="Emp24Oct">Roster!$D$130:$AH$130</definedName>
    <definedName name="Emp24Sep">Roster!$D$99:$AG$99</definedName>
    <definedName name="Emp25Aug">Roster!$D$69:$AH$69</definedName>
    <definedName name="Emp25Dec">Roster!$D$193:$AH$193</definedName>
    <definedName name="Emp25Jul">Roster!$D$38:$AH$38</definedName>
    <definedName name="Emp25Nov">Roster!$D$162:$AG$162</definedName>
    <definedName name="Emp25Oct">Roster!$D$131:$AH$131</definedName>
    <definedName name="Emp25Sep">Roster!$D$100:$AG$100</definedName>
    <definedName name="Emp26Aug">Roster!$D$70:$AH$70</definedName>
    <definedName name="Emp26Dec">Roster!$D$194:$AH$194</definedName>
    <definedName name="Emp26Jul">Roster!$D$39:$AH$39</definedName>
    <definedName name="Emp26Nov">Roster!$D$163:$AG$163</definedName>
    <definedName name="Emp26Oct">Roster!$D$132:$AH$132</definedName>
    <definedName name="Emp26Sep">Roster!$D$101:$AG$101</definedName>
    <definedName name="Emp27Aug">Roster!$D$71:$AH$71</definedName>
    <definedName name="Emp27Dec">Roster!$D$195:$AH$195</definedName>
    <definedName name="Emp27Jul">Roster!$D$40:$AH$40</definedName>
    <definedName name="Emp27Nov">Roster!$D$164:$AG$164</definedName>
    <definedName name="Emp27Oct">Roster!$D$133:$AH$133</definedName>
    <definedName name="Emp27Sep">Roster!$D$102:$AG$102</definedName>
    <definedName name="Emp28Aug">Roster!$D$72:$AH$72</definedName>
    <definedName name="Emp28Dec">Roster!$D$196:$AH$196</definedName>
    <definedName name="Emp28Jul">Roster!$D$41:$AH$41</definedName>
    <definedName name="Emp28Nov">Roster!$D$165:$AG$165</definedName>
    <definedName name="Emp28Oct">Roster!$D$134:$AH$134</definedName>
    <definedName name="Emp28Sep">Roster!$D$103:$AG$103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GName13">DATA!$D$20</definedName>
    <definedName name="EmpGName14">DATA!$D$21</definedName>
    <definedName name="EmpGName15">DATA!$D$22</definedName>
    <definedName name="EmpGName16">DATA!$D$23</definedName>
    <definedName name="EmpGName17">DATA!$D$24</definedName>
    <definedName name="EmpGName18">DATA!$D$25</definedName>
    <definedName name="EmpGName19">DATA!$D$26</definedName>
    <definedName name="EmpGName20">DATA!$D$27</definedName>
    <definedName name="EmpGName21">DATA!$D$28</definedName>
    <definedName name="EmpGName22">DATA!$D$29</definedName>
    <definedName name="EmpGName23">DATA!$D$30</definedName>
    <definedName name="EmpGName24">DATA!$D$31</definedName>
    <definedName name="EmpGName25">DATA!$D$32</definedName>
    <definedName name="EmpGName26">DATA!$D$33</definedName>
    <definedName name="EmpGName27">DATA!$D$34</definedName>
    <definedName name="EmpGName28">DATA!$D$35</definedName>
    <definedName name="EmpsALL">Roster!$D$14:$AH$25,Roster!$D$45:$AH$56,Roster!$D$76:$AG$87,Roster!$D$107:$AH$118,Roster!$D$138:$AG$149,Roster!$D$169:$AH$180,Roster!$D$200:$AH$211,Roster!$D$215:$AF$226,Roster!$D$230:$AH$241,Roster!$D$245:$AG$256,Roster!$D$260:$AH$271,Roster!$D$275:$AG$286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e13">DATA!$C$20</definedName>
    <definedName name="EmpSName14">DATA!$C$21</definedName>
    <definedName name="EmpSName15">DATA!$C$22</definedName>
    <definedName name="EmpSName16">DATA!$C$23</definedName>
    <definedName name="EmpSName17">DATA!$C$24</definedName>
    <definedName name="EmpSName18">DATA!$C$25</definedName>
    <definedName name="EmpSName19">DATA!$C$26</definedName>
    <definedName name="EmpSName20">DATA!$C$27</definedName>
    <definedName name="EmpSName21">DATA!$C$28</definedName>
    <definedName name="EmpSName22">DATA!$C$29</definedName>
    <definedName name="EmpSName23">DATA!$C$30</definedName>
    <definedName name="EmpSName24">DATA!$C$31</definedName>
    <definedName name="EmpSName25">DATA!$C$32</definedName>
    <definedName name="EmpSName26">DATA!$C$33</definedName>
    <definedName name="EmpSName27">DATA!$C$34</definedName>
    <definedName name="EmpSName28">DATA!$C$35</definedName>
    <definedName name="EmpSNamfe09">DATA!$C$16</definedName>
    <definedName name="FebHead">Roster!$AF$214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ruary_Heads">Roster!$C$214:$AF$214</definedName>
    <definedName name="FebVal">Roster!$D$215:$AF$220</definedName>
    <definedName name="InitialPeriodEnding">DATA!$K$8</definedName>
    <definedName name="January_Heads">Roster!$C$199:$AH$199</definedName>
    <definedName name="JanVal">Roster!$D$200:$AH$205</definedName>
    <definedName name="July_Heads">Roster!$C$13:$AH$13</definedName>
    <definedName name="June_Heads">Roster!$C$274:$AG$274</definedName>
    <definedName name="LegEnd">Roster!$A$6:$A$10</definedName>
    <definedName name="Location">DATA!$D$3</definedName>
    <definedName name="March_Heads">Roster!$C$229:$AH$229</definedName>
    <definedName name="May_Heads">Roster!$C$259:$AH$259</definedName>
    <definedName name="November_Heads">Roster!$C$137:$AG$137</definedName>
    <definedName name="October_Heads">Roster!$C$106:$AH$106</definedName>
    <definedName name="PeriodsEnding">DATA!$M$8:$M$34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Roster!$B$12:$AH$287</definedName>
    <definedName name="September_Heads">Roster!$C$75:$AG$75</definedName>
    <definedName name="Shifts">DATA!$I$8:$I$18</definedName>
    <definedName name="test">Roster!$D$200:$AH$200,Roster!$D$215:$AF$215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52511"/>
  <customWorkbookViews>
    <customWorkbookView name="Looch - Personal View" guid="{AD9D0CFE-E6C4-49DD-B2D2-304A3BF30C6C}" mergeInterval="0" personalView="1" maximized="1" windowWidth="1020" windowHeight="544" activeSheetId="2"/>
    <customWorkbookView name="Summary" guid="{9CC23DA7-DD7F-416D-ABE1-6A68EF4528AC}" includePrintSettings="0" includeHiddenRowCol="0" maximized="1" windowWidth="1020" windowHeight="606" tabRatio="752" activeSheetId="9" showComments="commIndAndComment"/>
  </customWorkbookViews>
</workbook>
</file>

<file path=xl/calcChain.xml><?xml version="1.0" encoding="utf-8"?>
<calcChain xmlns="http://schemas.openxmlformats.org/spreadsheetml/2006/main">
  <c r="C196" i="2" l="1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41" i="2" l="1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C45" i="2"/>
  <c r="C46" i="2"/>
  <c r="C47" i="2"/>
  <c r="C48" i="2"/>
  <c r="C49" i="2"/>
  <c r="C50" i="2"/>
  <c r="C51" i="2"/>
  <c r="C52" i="2"/>
  <c r="C53" i="2"/>
  <c r="C54" i="2"/>
  <c r="C55" i="2"/>
  <c r="C56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C76" i="2"/>
  <c r="C77" i="2"/>
  <c r="E35" i="1" l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M8" i="1" l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L10" i="9" l="1"/>
  <c r="C176" i="2" l="1"/>
  <c r="G14" i="9"/>
  <c r="G13" i="9"/>
  <c r="G12" i="9"/>
  <c r="G11" i="9"/>
  <c r="G10" i="9"/>
  <c r="G9" i="9"/>
  <c r="G8" i="9"/>
  <c r="G7" i="9"/>
  <c r="G6" i="9"/>
  <c r="G5" i="9"/>
  <c r="G4" i="9"/>
  <c r="C19" i="2" l="1"/>
  <c r="G15" i="9" l="1"/>
  <c r="I18" i="4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K15" i="9" l="1"/>
  <c r="K14" i="9"/>
  <c r="K12" i="9"/>
  <c r="K13" i="9"/>
  <c r="K11" i="9"/>
  <c r="K10" i="9"/>
  <c r="K9" i="9"/>
  <c r="K8" i="9"/>
  <c r="K7" i="9"/>
  <c r="K6" i="9"/>
  <c r="K5" i="9"/>
  <c r="K4" i="9"/>
  <c r="B11" i="9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G258" i="2"/>
  <c r="AH258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L15" i="9"/>
  <c r="L14" i="9"/>
  <c r="L13" i="9"/>
  <c r="J15" i="9"/>
  <c r="J14" i="9"/>
  <c r="J13" i="9"/>
  <c r="I15" i="9"/>
  <c r="I14" i="9"/>
  <c r="I13" i="9"/>
  <c r="H15" i="9"/>
  <c r="H14" i="9"/>
  <c r="H13" i="9"/>
  <c r="F15" i="9"/>
  <c r="F14" i="9"/>
  <c r="F13" i="9"/>
  <c r="E15" i="9"/>
  <c r="E14" i="9"/>
  <c r="E13" i="9"/>
  <c r="D14" i="9"/>
  <c r="D15" i="9"/>
  <c r="D13" i="9"/>
  <c r="C15" i="9"/>
  <c r="C14" i="9"/>
  <c r="C13" i="9"/>
  <c r="B15" i="9"/>
  <c r="B14" i="9"/>
  <c r="B13" i="9"/>
  <c r="C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180" i="2"/>
  <c r="C179" i="2"/>
  <c r="C178" i="2"/>
  <c r="C149" i="2"/>
  <c r="C148" i="2"/>
  <c r="C147" i="2"/>
  <c r="C118" i="2"/>
  <c r="C117" i="2"/>
  <c r="C116" i="2"/>
  <c r="C87" i="2"/>
  <c r="C86" i="2"/>
  <c r="C85" i="2"/>
  <c r="C25" i="2"/>
  <c r="C24" i="2"/>
  <c r="C23" i="2"/>
  <c r="E19" i="1"/>
  <c r="E18" i="1"/>
  <c r="E17" i="1"/>
  <c r="E12" i="3"/>
  <c r="D12" i="3"/>
  <c r="F12" i="4"/>
  <c r="E12" i="4"/>
  <c r="L12" i="9"/>
  <c r="L11" i="9"/>
  <c r="L9" i="9"/>
  <c r="L8" i="9"/>
  <c r="L7" i="9"/>
  <c r="L6" i="9"/>
  <c r="L5" i="9"/>
  <c r="L4" i="9"/>
  <c r="J12" i="9"/>
  <c r="J11" i="9"/>
  <c r="J10" i="9"/>
  <c r="J9" i="9"/>
  <c r="J8" i="9"/>
  <c r="J7" i="9"/>
  <c r="J6" i="9"/>
  <c r="J5" i="9"/>
  <c r="J4" i="9"/>
  <c r="H4" i="9"/>
  <c r="K17" i="9" l="1"/>
  <c r="J17" i="9"/>
  <c r="L17" i="9"/>
  <c r="Y31" i="14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M13" i="9"/>
  <c r="M15" i="9"/>
  <c r="M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AC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O10" i="11" s="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177" i="2"/>
  <c r="C175" i="2"/>
  <c r="C174" i="2"/>
  <c r="C173" i="2"/>
  <c r="C172" i="2"/>
  <c r="C171" i="2"/>
  <c r="C170" i="2"/>
  <c r="C169" i="2"/>
  <c r="C146" i="2"/>
  <c r="C145" i="2"/>
  <c r="C144" i="2"/>
  <c r="C143" i="2"/>
  <c r="C142" i="2"/>
  <c r="C141" i="2"/>
  <c r="C140" i="2"/>
  <c r="C139" i="2"/>
  <c r="C138" i="2"/>
  <c r="C115" i="2"/>
  <c r="C114" i="2"/>
  <c r="C113" i="2"/>
  <c r="C112" i="2"/>
  <c r="C111" i="2"/>
  <c r="C110" i="2"/>
  <c r="C109" i="2"/>
  <c r="C108" i="2"/>
  <c r="C107" i="2"/>
  <c r="C84" i="2"/>
  <c r="C83" i="2"/>
  <c r="C82" i="2"/>
  <c r="C81" i="2"/>
  <c r="C80" i="2"/>
  <c r="C79" i="2"/>
  <c r="C78" i="2"/>
  <c r="C22" i="2"/>
  <c r="C21" i="2"/>
  <c r="C20" i="2"/>
  <c r="C18" i="2"/>
  <c r="C17" i="2"/>
  <c r="C16" i="2"/>
  <c r="C15" i="2"/>
  <c r="C14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H167" i="2"/>
  <c r="G167" i="2"/>
  <c r="F167" i="2"/>
  <c r="E167" i="2"/>
  <c r="D167" i="2"/>
  <c r="AG136" i="2"/>
  <c r="AF136" i="2"/>
  <c r="AE136" i="2"/>
  <c r="AD136" i="2"/>
  <c r="AC136" i="2"/>
  <c r="AB136" i="2"/>
  <c r="AA136" i="2"/>
  <c r="Z136" i="2"/>
  <c r="Y136" i="2"/>
  <c r="X136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AH105" i="2"/>
  <c r="AG105" i="2"/>
  <c r="AF105" i="2"/>
  <c r="AE105" i="2"/>
  <c r="AD105" i="2"/>
  <c r="AC105" i="2"/>
  <c r="AB105" i="2"/>
  <c r="AA105" i="2"/>
  <c r="Z105" i="2"/>
  <c r="Y105" i="2"/>
  <c r="X105" i="2"/>
  <c r="W105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67" i="2"/>
  <c r="C136" i="2"/>
  <c r="C105" i="2"/>
  <c r="C12" i="2"/>
  <c r="J1" i="2"/>
  <c r="I12" i="9"/>
  <c r="I11" i="9"/>
  <c r="I10" i="9"/>
  <c r="I9" i="9"/>
  <c r="I8" i="9"/>
  <c r="I7" i="9"/>
  <c r="I6" i="9"/>
  <c r="I5" i="9"/>
  <c r="I4" i="9"/>
  <c r="F5" i="9"/>
  <c r="D12" i="9"/>
  <c r="E12" i="9"/>
  <c r="F12" i="9"/>
  <c r="H12" i="9"/>
  <c r="D11" i="9"/>
  <c r="E11" i="9"/>
  <c r="F11" i="9"/>
  <c r="H11" i="9"/>
  <c r="D10" i="9"/>
  <c r="E10" i="9"/>
  <c r="F10" i="9"/>
  <c r="H10" i="9"/>
  <c r="D9" i="9"/>
  <c r="E9" i="9"/>
  <c r="F9" i="9"/>
  <c r="H9" i="9"/>
  <c r="D8" i="9"/>
  <c r="E8" i="9"/>
  <c r="F8" i="9"/>
  <c r="H8" i="9"/>
  <c r="D7" i="9"/>
  <c r="E7" i="9"/>
  <c r="F7" i="9"/>
  <c r="H7" i="9"/>
  <c r="D6" i="9"/>
  <c r="E6" i="9"/>
  <c r="F6" i="9"/>
  <c r="H6" i="9"/>
  <c r="D5" i="9"/>
  <c r="E5" i="9"/>
  <c r="H5" i="9"/>
  <c r="D4" i="9"/>
  <c r="E4" i="9"/>
  <c r="F4" i="9"/>
  <c r="C11" i="9"/>
  <c r="C10" i="9"/>
  <c r="B10" i="9"/>
  <c r="B12" i="9"/>
  <c r="B3" i="9"/>
  <c r="C9" i="9"/>
  <c r="B9" i="9"/>
  <c r="C8" i="9"/>
  <c r="B8" i="9"/>
  <c r="B7" i="9"/>
  <c r="C7" i="9"/>
  <c r="C6" i="9"/>
  <c r="B6" i="9"/>
  <c r="C5" i="9"/>
  <c r="B5" i="9"/>
  <c r="C4" i="9"/>
  <c r="B4" i="9"/>
  <c r="P10" i="12"/>
  <c r="J37" i="8"/>
  <c r="U13" i="8"/>
  <c r="O16" i="7"/>
  <c r="C13" i="5"/>
  <c r="X13" i="5"/>
  <c r="F34" i="4"/>
  <c r="X37" i="4"/>
  <c r="T37" i="4"/>
  <c r="AE34" i="4"/>
  <c r="AA34" i="4"/>
  <c r="W34" i="4"/>
  <c r="K34" i="4"/>
  <c r="AF34" i="4"/>
  <c r="AB34" i="4"/>
  <c r="X34" i="4"/>
  <c r="Z37" i="4"/>
  <c r="E28" i="3"/>
  <c r="J28" i="3"/>
  <c r="AE28" i="3"/>
  <c r="S28" i="3"/>
  <c r="C28" i="3"/>
  <c r="N28" i="3"/>
  <c r="T28" i="3"/>
  <c r="U34" i="3"/>
  <c r="G19" i="3"/>
  <c r="L34" i="4" l="1"/>
  <c r="I37" i="5"/>
  <c r="S37" i="4"/>
  <c r="AA37" i="4"/>
  <c r="AE37" i="4"/>
  <c r="F37" i="4"/>
  <c r="D37" i="4"/>
  <c r="AF37" i="4"/>
  <c r="AC37" i="4"/>
  <c r="S34" i="3"/>
  <c r="D34" i="4"/>
  <c r="C34" i="4"/>
  <c r="P13" i="5"/>
  <c r="O37" i="5"/>
  <c r="H34" i="4"/>
  <c r="G34" i="4"/>
  <c r="AD37" i="5"/>
  <c r="AE37" i="5"/>
  <c r="P34" i="4"/>
  <c r="O34" i="4"/>
  <c r="V34" i="4"/>
  <c r="E13" i="5"/>
  <c r="AF34" i="3"/>
  <c r="T34" i="4"/>
  <c r="S34" i="4"/>
  <c r="N34" i="4"/>
  <c r="U13" i="5"/>
  <c r="J37" i="4"/>
  <c r="AB37" i="4"/>
  <c r="V37" i="4"/>
  <c r="C37" i="4"/>
  <c r="M37" i="4"/>
  <c r="K37" i="4"/>
  <c r="E37" i="4"/>
  <c r="L37" i="4"/>
  <c r="W37" i="4"/>
  <c r="H37" i="4"/>
  <c r="G37" i="4"/>
  <c r="N37" i="4"/>
  <c r="AE19" i="7"/>
  <c r="Y22" i="10"/>
  <c r="X19" i="7"/>
  <c r="E22" i="10"/>
  <c r="AA7" i="12"/>
  <c r="R37" i="4"/>
  <c r="P37" i="4"/>
  <c r="O37" i="4"/>
  <c r="U37" i="4"/>
  <c r="C7" i="12"/>
  <c r="M7" i="12"/>
  <c r="T7" i="12"/>
  <c r="S37" i="8"/>
  <c r="AC34" i="7"/>
  <c r="O28" i="3"/>
  <c r="AC7" i="7"/>
  <c r="L34" i="7"/>
  <c r="N25" i="6"/>
  <c r="K10" i="12"/>
  <c r="O25" i="6"/>
  <c r="U25" i="7"/>
  <c r="AC25" i="6"/>
  <c r="AF4" i="10"/>
  <c r="H25" i="7"/>
  <c r="J4" i="10"/>
  <c r="D4" i="10"/>
  <c r="S4" i="10"/>
  <c r="G31" i="11"/>
  <c r="Y28" i="10"/>
  <c r="U4" i="3"/>
  <c r="Y4" i="3"/>
  <c r="E22" i="3"/>
  <c r="AD28" i="3"/>
  <c r="I28" i="3"/>
  <c r="G28" i="3"/>
  <c r="W28" i="3"/>
  <c r="M7" i="3"/>
  <c r="U28" i="3"/>
  <c r="U4" i="4"/>
  <c r="F4" i="10"/>
  <c r="E25" i="7"/>
  <c r="T19" i="11"/>
  <c r="P25" i="6"/>
  <c r="M25" i="6"/>
  <c r="AB34" i="7"/>
  <c r="AD25" i="7"/>
  <c r="W19" i="3"/>
  <c r="Y28" i="3"/>
  <c r="D28" i="3"/>
  <c r="K28" i="3"/>
  <c r="AA28" i="3"/>
  <c r="P28" i="3"/>
  <c r="S25" i="3"/>
  <c r="AE25" i="6"/>
  <c r="C37" i="8"/>
  <c r="E13" i="8"/>
  <c r="P31" i="11"/>
  <c r="K13" i="8"/>
  <c r="W31" i="11"/>
  <c r="AA10" i="6"/>
  <c r="M34" i="7"/>
  <c r="O13" i="8"/>
  <c r="AF34" i="11"/>
  <c r="X22" i="6"/>
  <c r="W22" i="6"/>
  <c r="O22" i="7"/>
  <c r="AB22" i="7"/>
  <c r="AE10" i="11"/>
  <c r="P31" i="3"/>
  <c r="V19" i="4"/>
  <c r="AA37" i="12"/>
  <c r="X13" i="12"/>
  <c r="U13" i="12"/>
  <c r="H31" i="3"/>
  <c r="N31" i="4"/>
  <c r="I22" i="6"/>
  <c r="S13" i="6"/>
  <c r="K4" i="8"/>
  <c r="R10" i="11"/>
  <c r="AE22" i="7"/>
  <c r="AE4" i="8"/>
  <c r="P34" i="11"/>
  <c r="E13" i="12"/>
  <c r="K37" i="12"/>
  <c r="F22" i="7"/>
  <c r="AD4" i="8"/>
  <c r="I10" i="11"/>
  <c r="H13" i="12"/>
  <c r="N37" i="12"/>
  <c r="Y22" i="6"/>
  <c r="D4" i="8"/>
  <c r="K7" i="10"/>
  <c r="AC34" i="11"/>
  <c r="P37" i="12"/>
  <c r="J4" i="8"/>
  <c r="I4" i="8"/>
  <c r="W34" i="11"/>
  <c r="S34" i="5"/>
  <c r="H22" i="6"/>
  <c r="G22" i="6"/>
  <c r="T4" i="8"/>
  <c r="AA7" i="10"/>
  <c r="V7" i="10"/>
  <c r="M34" i="11"/>
  <c r="J22" i="6"/>
  <c r="U7" i="10"/>
  <c r="U10" i="11"/>
  <c r="T7" i="10"/>
  <c r="G34" i="11"/>
  <c r="Y7" i="4"/>
  <c r="AD19" i="4"/>
  <c r="D10" i="5"/>
  <c r="R37" i="6"/>
  <c r="L22" i="6"/>
  <c r="AB22" i="6"/>
  <c r="M22" i="6"/>
  <c r="AC22" i="6"/>
  <c r="K22" i="6"/>
  <c r="AA22" i="6"/>
  <c r="H4" i="8"/>
  <c r="X4" i="8"/>
  <c r="O7" i="10"/>
  <c r="AE7" i="10"/>
  <c r="X13" i="6"/>
  <c r="AA4" i="8"/>
  <c r="F4" i="8"/>
  <c r="Q7" i="10"/>
  <c r="F10" i="11"/>
  <c r="V10" i="11"/>
  <c r="Y34" i="11"/>
  <c r="I34" i="11"/>
  <c r="AB37" i="12"/>
  <c r="L37" i="12"/>
  <c r="C22" i="7"/>
  <c r="S22" i="7"/>
  <c r="Z4" i="8"/>
  <c r="E4" i="8"/>
  <c r="P7" i="10"/>
  <c r="P10" i="11"/>
  <c r="AB34" i="11"/>
  <c r="L34" i="11"/>
  <c r="Q13" i="12"/>
  <c r="W37" i="12"/>
  <c r="G37" i="12"/>
  <c r="V22" i="6"/>
  <c r="V22" i="7"/>
  <c r="Y4" i="8"/>
  <c r="C4" i="8"/>
  <c r="N7" i="10"/>
  <c r="Y10" i="11"/>
  <c r="D10" i="11"/>
  <c r="S34" i="11"/>
  <c r="C34" i="11"/>
  <c r="T13" i="12"/>
  <c r="D13" i="12"/>
  <c r="AD37" i="12"/>
  <c r="F37" i="12"/>
  <c r="K31" i="3"/>
  <c r="E10" i="5"/>
  <c r="W7" i="4"/>
  <c r="P19" i="4"/>
  <c r="F34" i="5"/>
  <c r="L37" i="7"/>
  <c r="P22" i="6"/>
  <c r="AF22" i="6"/>
  <c r="Q22" i="6"/>
  <c r="AG22" i="6"/>
  <c r="O22" i="6"/>
  <c r="AE22" i="6"/>
  <c r="L4" i="8"/>
  <c r="AB4" i="8"/>
  <c r="C7" i="10"/>
  <c r="S7" i="10"/>
  <c r="V4" i="8"/>
  <c r="L7" i="10"/>
  <c r="J10" i="11"/>
  <c r="Z10" i="11"/>
  <c r="U34" i="11"/>
  <c r="E34" i="11"/>
  <c r="X37" i="12"/>
  <c r="H37" i="12"/>
  <c r="G22" i="7"/>
  <c r="W22" i="7"/>
  <c r="U4" i="8"/>
  <c r="AF7" i="10"/>
  <c r="J7" i="10"/>
  <c r="K10" i="11"/>
  <c r="X34" i="11"/>
  <c r="H34" i="11"/>
  <c r="AC13" i="12"/>
  <c r="M13" i="12"/>
  <c r="S37" i="12"/>
  <c r="C37" i="12"/>
  <c r="F22" i="6"/>
  <c r="Q22" i="7"/>
  <c r="S4" i="8"/>
  <c r="AD7" i="10"/>
  <c r="I7" i="10"/>
  <c r="T10" i="11"/>
  <c r="AE34" i="11"/>
  <c r="O34" i="11"/>
  <c r="AF13" i="12"/>
  <c r="P13" i="12"/>
  <c r="V37" i="12"/>
  <c r="N31" i="3"/>
  <c r="AC31" i="3"/>
  <c r="AA31" i="3"/>
  <c r="H19" i="4"/>
  <c r="K31" i="4"/>
  <c r="X7" i="4"/>
  <c r="U31" i="4"/>
  <c r="N34" i="5"/>
  <c r="Y37" i="6"/>
  <c r="D22" i="6"/>
  <c r="T22" i="6"/>
  <c r="E22" i="6"/>
  <c r="U22" i="6"/>
  <c r="C22" i="6"/>
  <c r="S22" i="6"/>
  <c r="P4" i="8"/>
  <c r="AF4" i="8"/>
  <c r="G7" i="10"/>
  <c r="W7" i="10"/>
  <c r="K13" i="6"/>
  <c r="Q4" i="8"/>
  <c r="AB7" i="10"/>
  <c r="F7" i="10"/>
  <c r="N10" i="11"/>
  <c r="AD10" i="11"/>
  <c r="Q34" i="11"/>
  <c r="T37" i="12"/>
  <c r="D37" i="12"/>
  <c r="K22" i="7"/>
  <c r="AA22" i="7"/>
  <c r="O4" i="8"/>
  <c r="Z7" i="10"/>
  <c r="E7" i="10"/>
  <c r="AA10" i="11"/>
  <c r="E10" i="11"/>
  <c r="T34" i="11"/>
  <c r="D34" i="11"/>
  <c r="Y13" i="12"/>
  <c r="I13" i="12"/>
  <c r="AE37" i="12"/>
  <c r="O37" i="12"/>
  <c r="W13" i="6"/>
  <c r="L22" i="7"/>
  <c r="N4" i="8"/>
  <c r="Y7" i="10"/>
  <c r="D7" i="10"/>
  <c r="AA34" i="11"/>
  <c r="K34" i="11"/>
  <c r="AB13" i="12"/>
  <c r="L13" i="12"/>
  <c r="R37" i="12"/>
  <c r="L7" i="3"/>
  <c r="AE7" i="3"/>
  <c r="E4" i="12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F17" i="9"/>
  <c r="H17" i="9"/>
  <c r="I17" i="9"/>
  <c r="D17" i="9"/>
  <c r="E17" i="9"/>
  <c r="G17" i="9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M8" i="9"/>
  <c r="M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M11" i="9"/>
  <c r="M12" i="9"/>
  <c r="M10" i="9"/>
  <c r="M9" i="9"/>
  <c r="M6" i="9"/>
  <c r="M5" i="9"/>
  <c r="M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  <c r="M17" i="9" l="1"/>
</calcChain>
</file>

<file path=xl/sharedStrings.xml><?xml version="1.0" encoding="utf-8"?>
<sst xmlns="http://schemas.openxmlformats.org/spreadsheetml/2006/main" count="7495" uniqueCount="132">
  <si>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</si>
  <si>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</si>
  <si>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</si>
  <si>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</si>
  <si>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</si>
  <si>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</si>
  <si>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</si>
  <si>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</si>
  <si>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</si>
  <si>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</si>
  <si>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</si>
  <si>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</si>
  <si>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</si>
  <si>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</si>
  <si>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</si>
  <si>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</si>
  <si>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</si>
  <si>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</si>
  <si>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</si>
  <si>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</si>
  <si>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</si>
  <si>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</si>
  <si>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</si>
  <si>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</si>
  <si>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</si>
  <si>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</si>
  <si>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</si>
  <si>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</si>
  <si>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</si>
  <si>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</si>
  <si>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</si>
  <si>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</si>
  <si>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</si>
  <si>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</si>
  <si>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</si>
  <si>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</si>
  <si>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</si>
  <si>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</si>
  <si>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</si>
  <si>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</si>
  <si>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</si>
  <si>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</si>
  <si>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</si>
  <si>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</si>
  <si>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</si>
  <si>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</si>
  <si>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</si>
  <si>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</si>
  <si>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</si>
  <si>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</si>
  <si>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</si>
  <si>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</si>
  <si>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</si>
  <si>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Oodlawirra Quarantine Station</t>
  </si>
  <si>
    <t>Sorensen</t>
  </si>
  <si>
    <t>Troy</t>
  </si>
  <si>
    <t>Fielding</t>
  </si>
  <si>
    <t>Robin</t>
  </si>
  <si>
    <t>X</t>
  </si>
  <si>
    <t>LEGEND:</t>
  </si>
  <si>
    <t>=</t>
  </si>
  <si>
    <t>Paid Day Off</t>
  </si>
  <si>
    <t>.</t>
  </si>
  <si>
    <t>Night Shift</t>
  </si>
  <si>
    <t>Day Shift</t>
  </si>
  <si>
    <t>Afternoon Shift</t>
  </si>
  <si>
    <t>Heat Policy</t>
  </si>
  <si>
    <t>Special</t>
  </si>
  <si>
    <t>Rostered Off</t>
  </si>
  <si>
    <t>Sick Leave</t>
  </si>
  <si>
    <t>Annual Leave</t>
  </si>
  <si>
    <t>PDO</t>
  </si>
  <si>
    <t>Initial Period Ending</t>
  </si>
  <si>
    <t>Periods Ending</t>
  </si>
  <si>
    <t>2019</t>
  </si>
  <si>
    <t>Emp13</t>
  </si>
  <si>
    <t>Emp14</t>
  </si>
  <si>
    <t>Emp15</t>
  </si>
  <si>
    <t>Emp16</t>
  </si>
  <si>
    <t>Emp17</t>
  </si>
  <si>
    <t>Emp18</t>
  </si>
  <si>
    <t>Emp19</t>
  </si>
  <si>
    <t>Emp20</t>
  </si>
  <si>
    <t>Emp21</t>
  </si>
  <si>
    <t>Emp22</t>
  </si>
  <si>
    <t>Emp23</t>
  </si>
  <si>
    <t>Emp24</t>
  </si>
  <si>
    <t>Emp25</t>
  </si>
  <si>
    <t>Emp26</t>
  </si>
  <si>
    <t>Emp27</t>
  </si>
  <si>
    <t>Emp28</t>
  </si>
  <si>
    <t xml:space="preserve">Odd </t>
  </si>
  <si>
    <t>Bodd</t>
  </si>
  <si>
    <t>Odd1</t>
  </si>
  <si>
    <t>Odd2</t>
  </si>
  <si>
    <t>Odd3</t>
  </si>
  <si>
    <t>Odd4</t>
  </si>
  <si>
    <t>Odd5</t>
  </si>
  <si>
    <t>Odd6</t>
  </si>
  <si>
    <t>Odd7</t>
  </si>
  <si>
    <t>Odd8</t>
  </si>
  <si>
    <t>Odd9</t>
  </si>
  <si>
    <t>Odd10</t>
  </si>
  <si>
    <t>Odd11</t>
  </si>
  <si>
    <t>Odd12</t>
  </si>
  <si>
    <t>Odd13</t>
  </si>
  <si>
    <t>Odd14</t>
  </si>
  <si>
    <t>Odd15</t>
  </si>
  <si>
    <t>Odd16</t>
  </si>
  <si>
    <t>Odd17</t>
  </si>
  <si>
    <t>Odd18</t>
  </si>
  <si>
    <t>Odd19</t>
  </si>
  <si>
    <t>Odd20</t>
  </si>
  <si>
    <t>1Bod</t>
  </si>
  <si>
    <t>2Bod</t>
  </si>
  <si>
    <t>4Bod</t>
  </si>
  <si>
    <t>Abod</t>
  </si>
  <si>
    <t>Bbod</t>
  </si>
  <si>
    <t>Cbod</t>
  </si>
  <si>
    <t>Dbod</t>
  </si>
  <si>
    <t>Ebod</t>
  </si>
  <si>
    <t>Fbod</t>
  </si>
  <si>
    <t>Gbod</t>
  </si>
  <si>
    <t>Hbod</t>
  </si>
  <si>
    <t>Ibod</t>
  </si>
  <si>
    <t>Jbod</t>
  </si>
  <si>
    <t>Kbod</t>
  </si>
  <si>
    <t>Lbod</t>
  </si>
  <si>
    <t>Mbod</t>
  </si>
  <si>
    <t>Nbod</t>
  </si>
  <si>
    <t>Obod</t>
  </si>
  <si>
    <t>Pbod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</si>
</sst>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C09]dd\-mmm\-yy;@"/>
  </numFmts>
  <fonts count="28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  <font>
      <sz val="10"/>
      <color rgb="FFFFFFFF"/>
      <name val="Arial"/>
      <family val="2"/>
    </font>
    <font>
      <sz val="10"/>
      <color rgb="FFFF00FF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</borders>
  <cellStyleXfs count="1">
    <xf numFmtId="0" fontId="0" fillId="0" borderId="0"/>
  </cellStyleXfs>
  <cellXfs count="202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/>
    <xf numFmtId="0" fontId="14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4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0" fontId="3" fillId="3" borderId="33" xfId="0" applyFont="1" applyFill="1" applyBorder="1" applyAlignment="1" applyProtection="1">
      <protection hidden="1"/>
    </xf>
    <xf numFmtId="0" fontId="14" fillId="0" borderId="35" xfId="0" applyFont="1" applyFill="1" applyBorder="1" applyAlignment="1" applyProtection="1">
      <alignment horizontal="center"/>
      <protection hidden="1"/>
    </xf>
    <xf numFmtId="0" fontId="0" fillId="2" borderId="35" xfId="0" applyFill="1" applyBorder="1" applyAlignment="1" applyProtection="1">
      <alignment horizontal="center"/>
      <protection locked="0"/>
    </xf>
    <xf numFmtId="0" fontId="0" fillId="3" borderId="35" xfId="0" applyFill="1" applyBorder="1" applyAlignment="1" applyProtection="1">
      <alignment horizontal="center"/>
      <protection locked="0"/>
    </xf>
    <xf numFmtId="0" fontId="0" fillId="8" borderId="35" xfId="0" applyFill="1" applyBorder="1" applyAlignment="1" applyProtection="1">
      <alignment horizontal="center"/>
      <protection locked="0"/>
    </xf>
    <xf numFmtId="0" fontId="7" fillId="9" borderId="22" xfId="0" applyFont="1" applyFill="1" applyBorder="1" applyAlignment="1" applyProtection="1">
      <alignment horizontal="center"/>
      <protection hidden="1"/>
    </xf>
    <xf numFmtId="49" fontId="0" fillId="11" borderId="22" xfId="0" applyNumberFormat="1" applyFill="1" applyBorder="1" applyProtection="1">
      <protection hidden="1"/>
    </xf>
    <xf numFmtId="49" fontId="0" fillId="10" borderId="22" xfId="0" applyNumberFormat="1" applyFill="1" applyBorder="1" applyProtection="1"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0" fillId="12" borderId="37" xfId="0" applyFill="1" applyBorder="1" applyProtection="1"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5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7" fillId="5" borderId="0" xfId="0" applyFont="1" applyFill="1" applyAlignment="1">
      <alignment vertical="center"/>
    </xf>
    <xf numFmtId="0" fontId="17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49" fontId="15" fillId="5" borderId="12" xfId="0" applyNumberFormat="1" applyFont="1" applyFill="1" applyBorder="1" applyAlignment="1" applyProtection="1">
      <alignment horizont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/>
    </xf>
    <xf numFmtId="0" fontId="19" fillId="5" borderId="0" xfId="0" applyFont="1" applyFill="1"/>
    <xf numFmtId="0" fontId="20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1" fillId="5" borderId="0" xfId="0" applyFont="1" applyFill="1" applyBorder="1" applyAlignment="1">
      <alignment vertical="top"/>
    </xf>
    <xf numFmtId="0" fontId="0" fillId="0" borderId="0" xfId="0" applyBorder="1" applyAlignment="1">
      <alignment horizontal="center"/>
    </xf>
    <xf numFmtId="49" fontId="15" fillId="5" borderId="0" xfId="0" applyNumberFormat="1" applyFont="1" applyFill="1" applyBorder="1" applyAlignment="1" applyProtection="1">
      <alignment horizontal="center"/>
    </xf>
    <xf numFmtId="49" fontId="15" fillId="0" borderId="10" xfId="0" applyNumberFormat="1" applyFont="1" applyBorder="1" applyAlignment="1" applyProtection="1">
      <alignment horizontal="center"/>
      <protection hidden="1"/>
    </xf>
    <xf numFmtId="0" fontId="21" fillId="5" borderId="0" xfId="0" applyFont="1" applyFill="1"/>
    <xf numFmtId="0" fontId="21" fillId="5" borderId="0" xfId="0" applyFont="1" applyFill="1" applyProtection="1">
      <protection locked="0"/>
    </xf>
    <xf numFmtId="0" fontId="14" fillId="0" borderId="3" xfId="0" applyFont="1" applyFill="1" applyBorder="1" applyAlignment="1">
      <alignment horizontal="center" shrinkToFit="1"/>
    </xf>
    <xf numFmtId="0" fontId="4" fillId="0" borderId="3" xfId="0" applyFont="1" applyFill="1" applyBorder="1" applyAlignment="1">
      <alignment horizontal="center" shrinkToFit="1"/>
    </xf>
    <xf numFmtId="0" fontId="0" fillId="4" borderId="0" xfId="0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7" fillId="4" borderId="41" xfId="0" applyFont="1" applyFill="1" applyBorder="1" applyAlignment="1">
      <alignment horizontal="center" vertical="center"/>
    </xf>
    <xf numFmtId="0" fontId="9" fillId="4" borderId="41" xfId="0" applyFont="1" applyFill="1" applyBorder="1" applyAlignment="1">
      <alignment horizontal="center" vertical="center"/>
    </xf>
    <xf numFmtId="0" fontId="9" fillId="4" borderId="41" xfId="0" applyFont="1" applyFill="1" applyBorder="1"/>
    <xf numFmtId="0" fontId="0" fillId="4" borderId="41" xfId="0" applyFill="1" applyBorder="1"/>
    <xf numFmtId="0" fontId="7" fillId="4" borderId="41" xfId="0" applyFont="1" applyFill="1" applyBorder="1" applyAlignment="1">
      <alignment horizontal="center"/>
    </xf>
    <xf numFmtId="0" fontId="0" fillId="4" borderId="42" xfId="0" applyFill="1" applyBorder="1"/>
    <xf numFmtId="0" fontId="0" fillId="4" borderId="35" xfId="0" applyFill="1" applyBorder="1"/>
    <xf numFmtId="0" fontId="7" fillId="4" borderId="37" xfId="0" applyFont="1" applyFill="1" applyBorder="1"/>
    <xf numFmtId="0" fontId="0" fillId="4" borderId="37" xfId="0" applyFill="1" applyBorder="1"/>
    <xf numFmtId="0" fontId="7" fillId="4" borderId="35" xfId="0" applyFont="1" applyFill="1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0" fontId="7" fillId="4" borderId="41" xfId="0" applyFont="1" applyFill="1" applyBorder="1" applyAlignment="1">
      <alignment vertical="center"/>
    </xf>
    <xf numFmtId="0" fontId="7" fillId="0" borderId="25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>
      <alignment horizontal="center" vertical="center"/>
    </xf>
    <xf numFmtId="164" fontId="7" fillId="0" borderId="43" xfId="0" applyNumberFormat="1" applyFont="1" applyBorder="1" applyAlignment="1">
      <alignment horizontal="center"/>
    </xf>
    <xf numFmtId="164" fontId="7" fillId="0" borderId="43" xfId="0" applyNumberFormat="1" applyFont="1" applyBorder="1" applyAlignment="1" applyProtection="1">
      <alignment horizontal="center" vertical="center"/>
      <protection locked="0"/>
    </xf>
    <xf numFmtId="0" fontId="14" fillId="0" borderId="44" xfId="0" applyFont="1" applyFill="1" applyBorder="1" applyAlignment="1" applyProtection="1">
      <alignment horizontal="center"/>
    </xf>
    <xf numFmtId="0" fontId="0" fillId="0" borderId="44" xfId="0" applyFill="1" applyBorder="1" applyAlignment="1" applyProtection="1">
      <alignment horizontal="center"/>
    </xf>
    <xf numFmtId="0" fontId="26" fillId="0" borderId="0" xfId="0" applyFont="1" applyAlignment="1" applyProtection="1">
      <alignment horizontal="center"/>
    </xf>
    <xf numFmtId="0" fontId="27" fillId="0" borderId="3" xfId="0" applyFont="1" applyFill="1" applyBorder="1" applyAlignment="1">
      <alignment horizontal="center"/>
    </xf>
    <xf numFmtId="49" fontId="3" fillId="5" borderId="37" xfId="0" applyNumberFormat="1" applyFont="1" applyFill="1" applyBorder="1" applyAlignment="1" applyProtection="1">
      <protection locked="0"/>
    </xf>
    <xf numFmtId="49" fontId="3" fillId="5" borderId="34" xfId="0" applyNumberFormat="1" applyFont="1" applyFill="1" applyBorder="1" applyAlignment="1" applyProtection="1">
      <protection locked="0"/>
    </xf>
    <xf numFmtId="0" fontId="6" fillId="5" borderId="0" xfId="0" applyFont="1" applyFill="1" applyBorder="1" applyAlignment="1">
      <alignment horizontal="center"/>
    </xf>
    <xf numFmtId="0" fontId="24" fillId="5" borderId="0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2" fillId="5" borderId="0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6" borderId="43" xfId="0" applyFont="1" applyFill="1" applyBorder="1" applyAlignment="1">
      <alignment horizontal="center" vertical="center" wrapText="1"/>
    </xf>
    <xf numFmtId="0" fontId="7" fillId="9" borderId="22" xfId="0" applyFont="1" applyFill="1" applyBorder="1" applyAlignment="1" applyProtection="1">
      <alignment horizontal="center"/>
      <protection hidden="1"/>
    </xf>
    <xf numFmtId="0" fontId="14" fillId="0" borderId="0" xfId="0" applyFont="1" applyFill="1" applyBorder="1" applyAlignment="1">
      <alignment horizontal="center" shrinkToFit="1"/>
    </xf>
    <xf numFmtId="0" fontId="7" fillId="0" borderId="0" xfId="0" applyFont="1" applyFill="1" applyBorder="1"/>
    <xf numFmtId="0" fontId="14" fillId="0" borderId="37" xfId="0" applyFont="1" applyFill="1" applyBorder="1" applyAlignment="1">
      <alignment horizontal="center" shrinkToFit="1"/>
    </xf>
    <xf numFmtId="0" fontId="7" fillId="3" borderId="37" xfId="0" applyFont="1" applyFill="1" applyBorder="1"/>
    <xf numFmtId="0" fontId="0" fillId="3" borderId="37" xfId="0" applyFill="1" applyBorder="1" applyAlignment="1" applyProtection="1">
      <alignment horizontal="center"/>
      <protection locked="0"/>
    </xf>
    <xf numFmtId="0" fontId="14" fillId="0" borderId="46" xfId="0" applyFont="1" applyFill="1" applyBorder="1" applyAlignment="1">
      <alignment horizontal="center" shrinkToFit="1"/>
    </xf>
    <xf numFmtId="0" fontId="7" fillId="3" borderId="46" xfId="0" applyFont="1" applyFill="1" applyBorder="1"/>
    <xf numFmtId="0" fontId="0" fillId="3" borderId="46" xfId="0" applyFill="1" applyBorder="1" applyAlignment="1" applyProtection="1">
      <alignment horizontal="center"/>
      <protection locked="0"/>
    </xf>
    <xf numFmtId="0" fontId="14" fillId="0" borderId="45" xfId="0" applyFont="1" applyFill="1" applyBorder="1" applyAlignment="1">
      <alignment horizontal="center" shrinkToFit="1"/>
    </xf>
    <xf numFmtId="0" fontId="7" fillId="0" borderId="45" xfId="0" applyFont="1" applyFill="1" applyBorder="1"/>
    <xf numFmtId="0" fontId="0" fillId="0" borderId="45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904"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</dxfs>
  <tableStyles count="0" defaultTableStyle="TableStyleMedium2" defaultPivotStyle="PivotStyleLight16"/>
  <colors>
    <mruColors>
      <color rgb="FF0000CC"/>
      <color rgb="FF0000FF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4</xdr:row>
          <xdr:rowOff>53340</xdr:rowOff>
        </xdr:from>
        <xdr:to>
          <xdr:col>18</xdr:col>
          <xdr:colOff>7620</xdr:colOff>
          <xdr:row>11</xdr:row>
          <xdr:rowOff>53340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4</xdr:row>
          <xdr:rowOff>53340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4</xdr:row>
          <xdr:rowOff>53340</xdr:rowOff>
        </xdr:from>
        <xdr:to>
          <xdr:col>12</xdr:col>
          <xdr:colOff>160020</xdr:colOff>
          <xdr:row>11</xdr:row>
          <xdr:rowOff>38100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4</xdr:row>
          <xdr:rowOff>358140</xdr:rowOff>
        </xdr:from>
        <xdr:to>
          <xdr:col>7</xdr:col>
          <xdr:colOff>60960</xdr:colOff>
          <xdr:row>11</xdr:row>
          <xdr:rowOff>38100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4</xdr:row>
          <xdr:rowOff>358140</xdr:rowOff>
        </xdr:from>
        <xdr:to>
          <xdr:col>3</xdr:col>
          <xdr:colOff>60960</xdr:colOff>
          <xdr:row>11</xdr:row>
          <xdr:rowOff>45720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4</xdr:row>
          <xdr:rowOff>53340</xdr:rowOff>
        </xdr:from>
        <xdr:to>
          <xdr:col>7</xdr:col>
          <xdr:colOff>121920</xdr:colOff>
          <xdr:row>11</xdr:row>
          <xdr:rowOff>38100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4</xdr:row>
          <xdr:rowOff>358140</xdr:rowOff>
        </xdr:from>
        <xdr:to>
          <xdr:col>13</xdr:col>
          <xdr:colOff>220980</xdr:colOff>
          <xdr:row>11</xdr:row>
          <xdr:rowOff>38100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4</xdr:row>
          <xdr:rowOff>358140</xdr:rowOff>
        </xdr:from>
        <xdr:to>
          <xdr:col>20</xdr:col>
          <xdr:colOff>129540</xdr:colOff>
          <xdr:row>11</xdr:row>
          <xdr:rowOff>38100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4</xdr:row>
          <xdr:rowOff>53340</xdr:rowOff>
        </xdr:from>
        <xdr:to>
          <xdr:col>2</xdr:col>
          <xdr:colOff>800100</xdr:colOff>
          <xdr:row>11</xdr:row>
          <xdr:rowOff>99060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4</xdr:row>
          <xdr:rowOff>53340</xdr:rowOff>
        </xdr:from>
        <xdr:to>
          <xdr:col>33</xdr:col>
          <xdr:colOff>53340</xdr:colOff>
          <xdr:row>11</xdr:row>
          <xdr:rowOff>30480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4</xdr:row>
          <xdr:rowOff>358140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4</xdr:row>
          <xdr:rowOff>358140</xdr:rowOff>
        </xdr:from>
        <xdr:to>
          <xdr:col>33</xdr:col>
          <xdr:colOff>53340</xdr:colOff>
          <xdr:row>11</xdr:row>
          <xdr:rowOff>38100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31352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J286"/>
  <sheetViews>
    <sheetView tabSelected="1" zoomScale="120" zoomScaleNormal="120" workbookViewId="0">
      <pane ySplit="10" topLeftCell="A11" activePane="bottomLeft" state="frozen"/>
      <selection pane="bottomLeft" activeCell="D196" sqref="D196:AH196"/>
    </sheetView>
  </sheetViews>
  <sheetFormatPr defaultRowHeight="13.2"/>
  <cols>
    <col min="1" max="1" width="1.88671875" customWidth="1"/>
    <col min="2" max="2" width="2.6640625" customWidth="1"/>
    <col min="3" max="3" width="15.33203125" customWidth="1"/>
    <col min="4" max="34" width="3.33203125" customWidth="1"/>
  </cols>
  <sheetData>
    <row r="1" spans="1:36" s="2" customFormat="1" ht="12" customHeight="1">
      <c r="A1" s="62"/>
      <c r="J1" s="182" t="str">
        <f>Location &amp;  " -  Roster Sheets"</f>
        <v>Oodlawirra Quarantine Station -  Roster Sheets</v>
      </c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83"/>
      <c r="Z1" s="183"/>
      <c r="AA1" s="183"/>
      <c r="AB1" s="183"/>
      <c r="AC1" s="183"/>
      <c r="AD1" s="183"/>
      <c r="AE1" s="105"/>
      <c r="AF1" s="105"/>
      <c r="AG1" s="105"/>
      <c r="AH1" s="105"/>
    </row>
    <row r="2" spans="1:36" s="2" customFormat="1" ht="12" customHeight="1">
      <c r="J2" s="183"/>
      <c r="K2" s="183"/>
      <c r="L2" s="183"/>
      <c r="M2" s="183"/>
      <c r="N2" s="183"/>
      <c r="O2" s="183"/>
      <c r="P2" s="183"/>
      <c r="Q2" s="183"/>
      <c r="R2" s="183"/>
      <c r="S2" s="183"/>
      <c r="T2" s="183"/>
      <c r="U2" s="183"/>
      <c r="V2" s="183"/>
      <c r="W2" s="183"/>
      <c r="X2" s="183"/>
      <c r="Y2" s="183"/>
      <c r="Z2" s="183"/>
      <c r="AA2" s="183"/>
      <c r="AB2" s="183"/>
      <c r="AC2" s="183"/>
      <c r="AD2" s="183"/>
      <c r="AE2" s="105"/>
      <c r="AF2" s="105"/>
      <c r="AG2" s="105"/>
      <c r="AH2" s="105"/>
    </row>
    <row r="3" spans="1:36" s="2" customFormat="1" ht="17.25" customHeight="1">
      <c r="B3" s="29"/>
      <c r="J3" s="180" t="str">
        <f>"Financial Year Commencing - 1st July, "&amp; CurYear-1</f>
        <v>Financial Year Commencing - 1st July, 2018</v>
      </c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05"/>
      <c r="AF3" s="105"/>
      <c r="AG3" s="105"/>
      <c r="AH3" s="105"/>
    </row>
    <row r="4" spans="1:36" s="30" customFormat="1" ht="12" customHeight="1">
      <c r="B4" s="77" t="s">
        <v>74</v>
      </c>
      <c r="C4" s="179"/>
      <c r="D4" s="179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  <c r="AA4" s="105"/>
      <c r="AB4" s="105"/>
      <c r="AC4" s="105"/>
      <c r="AD4" s="105"/>
      <c r="AE4" s="105"/>
      <c r="AF4" s="105"/>
      <c r="AG4" s="105"/>
      <c r="AH4" s="105"/>
    </row>
    <row r="5" spans="1:36" s="31" customFormat="1" ht="53.25" hidden="1" customHeight="1"/>
    <row r="6" spans="1:36" s="150" customFormat="1" ht="14.25" hidden="1" customHeight="1"/>
    <row r="7" spans="1:36" s="150" customFormat="1" ht="14.25" hidden="1" customHeight="1">
      <c r="C7" s="163" t="s">
        <v>59</v>
      </c>
      <c r="D7" s="165" t="s">
        <v>11</v>
      </c>
      <c r="E7" s="157" t="s">
        <v>60</v>
      </c>
      <c r="F7" s="158" t="s">
        <v>63</v>
      </c>
      <c r="G7" s="159"/>
      <c r="H7" s="159"/>
      <c r="I7" s="159"/>
      <c r="J7" s="161"/>
      <c r="K7" s="162"/>
      <c r="L7" s="156" t="s">
        <v>45</v>
      </c>
      <c r="M7" s="157" t="s">
        <v>60</v>
      </c>
      <c r="N7" s="158" t="s">
        <v>66</v>
      </c>
      <c r="O7" s="159"/>
      <c r="P7" s="159"/>
      <c r="Q7" s="161"/>
      <c r="R7" s="162"/>
      <c r="S7" s="156" t="s">
        <v>58</v>
      </c>
      <c r="T7" s="157" t="s">
        <v>60</v>
      </c>
      <c r="U7" s="158" t="s">
        <v>61</v>
      </c>
      <c r="V7" s="159"/>
      <c r="W7" s="159"/>
      <c r="X7" s="161"/>
      <c r="Y7" s="159"/>
      <c r="Z7" s="156" t="s">
        <v>40</v>
      </c>
      <c r="AA7" s="157" t="s">
        <v>60</v>
      </c>
      <c r="AB7" s="158" t="s">
        <v>70</v>
      </c>
      <c r="AC7" s="159"/>
      <c r="AD7" s="159"/>
      <c r="AE7" s="161"/>
    </row>
    <row r="8" spans="1:36" s="150" customFormat="1" ht="14.25" hidden="1" customHeight="1">
      <c r="C8" s="164"/>
      <c r="D8" s="165" t="s">
        <v>9</v>
      </c>
      <c r="E8" s="157" t="s">
        <v>60</v>
      </c>
      <c r="F8" s="158" t="s">
        <v>64</v>
      </c>
      <c r="G8" s="159"/>
      <c r="H8" s="159"/>
      <c r="I8" s="159"/>
      <c r="J8" s="161"/>
      <c r="K8" s="162"/>
      <c r="L8" s="160" t="s">
        <v>46</v>
      </c>
      <c r="M8" s="157" t="s">
        <v>60</v>
      </c>
      <c r="N8" s="158" t="s">
        <v>67</v>
      </c>
      <c r="O8" s="159"/>
      <c r="P8" s="159"/>
      <c r="Q8" s="161"/>
      <c r="R8" s="162"/>
      <c r="S8" s="156" t="s">
        <v>62</v>
      </c>
      <c r="T8" s="157" t="s">
        <v>60</v>
      </c>
      <c r="U8" s="158" t="s">
        <v>68</v>
      </c>
      <c r="V8" s="159"/>
      <c r="W8" s="159"/>
      <c r="X8" s="161"/>
      <c r="Y8" s="159"/>
      <c r="Z8" s="156" t="s">
        <v>39</v>
      </c>
      <c r="AA8" s="157" t="s">
        <v>60</v>
      </c>
      <c r="AB8" s="158" t="s">
        <v>69</v>
      </c>
      <c r="AC8" s="159"/>
      <c r="AD8" s="159"/>
      <c r="AE8" s="161"/>
    </row>
    <row r="9" spans="1:36" s="150" customFormat="1" ht="14.25" hidden="1" customHeight="1">
      <c r="C9" s="164"/>
      <c r="D9" s="165" t="s">
        <v>10</v>
      </c>
      <c r="E9" s="157" t="s">
        <v>60</v>
      </c>
      <c r="F9" s="158" t="s">
        <v>65</v>
      </c>
      <c r="G9" s="159"/>
      <c r="H9" s="159"/>
      <c r="I9" s="159"/>
      <c r="J9" s="161"/>
      <c r="K9" s="162"/>
      <c r="L9" s="160"/>
      <c r="M9" s="166"/>
      <c r="N9" s="159"/>
      <c r="O9" s="159"/>
      <c r="P9" s="159"/>
      <c r="Q9" s="161"/>
      <c r="R9" s="162"/>
      <c r="S9" s="167"/>
      <c r="T9" s="166"/>
      <c r="U9" s="159"/>
      <c r="V9" s="159"/>
      <c r="W9" s="159"/>
      <c r="X9" s="161"/>
      <c r="Y9" s="159"/>
      <c r="Z9" s="156"/>
      <c r="AA9" s="166"/>
      <c r="AB9" s="159"/>
      <c r="AC9" s="159"/>
      <c r="AD9" s="159"/>
      <c r="AE9" s="161"/>
      <c r="AI9" s="150" t="s">
        <v>62</v>
      </c>
    </row>
    <row r="10" spans="1:36" s="150" customFormat="1" ht="14.25" hidden="1" customHeight="1">
      <c r="D10" s="152"/>
      <c r="E10" s="155"/>
      <c r="K10" s="153"/>
      <c r="L10" s="154"/>
      <c r="M10" s="151"/>
    </row>
    <row r="11" spans="1:36" s="72" customFormat="1" ht="12" customHeight="1"/>
    <row r="12" spans="1:36" s="2" customFormat="1">
      <c r="B12"/>
      <c r="C12" t="str">
        <f>CurYear-1&amp;":"</f>
        <v>2018:</v>
      </c>
      <c r="D12" s="5" t="str">
        <f t="shared" ref="D12:AH12" si="0">LEFT(TEXT(D13&amp;"-"&amp;$C13&amp;"-"&amp; CurYear-1,"ddd"),2)</f>
        <v>Su</v>
      </c>
      <c r="E12" s="5" t="str">
        <f t="shared" si="0"/>
        <v>Mo</v>
      </c>
      <c r="F12" s="5" t="str">
        <f t="shared" si="0"/>
        <v>Tu</v>
      </c>
      <c r="G12" s="5" t="str">
        <f t="shared" si="0"/>
        <v>We</v>
      </c>
      <c r="H12" s="5" t="str">
        <f t="shared" si="0"/>
        <v>Th</v>
      </c>
      <c r="I12" s="5" t="str">
        <f t="shared" si="0"/>
        <v>Fr</v>
      </c>
      <c r="J12" s="5" t="str">
        <f t="shared" si="0"/>
        <v>Sa</v>
      </c>
      <c r="K12" s="5" t="str">
        <f t="shared" si="0"/>
        <v>Su</v>
      </c>
      <c r="L12" s="5" t="str">
        <f t="shared" si="0"/>
        <v>Mo</v>
      </c>
      <c r="M12" s="5" t="str">
        <f t="shared" si="0"/>
        <v>Tu</v>
      </c>
      <c r="N12" s="5" t="str">
        <f t="shared" si="0"/>
        <v>We</v>
      </c>
      <c r="O12" s="5" t="str">
        <f t="shared" si="0"/>
        <v>Th</v>
      </c>
      <c r="P12" s="5" t="str">
        <f t="shared" si="0"/>
        <v>Fr</v>
      </c>
      <c r="Q12" s="5" t="str">
        <f t="shared" si="0"/>
        <v>Sa</v>
      </c>
      <c r="R12" s="5" t="str">
        <f t="shared" si="0"/>
        <v>Su</v>
      </c>
      <c r="S12" s="5" t="str">
        <f t="shared" si="0"/>
        <v>Mo</v>
      </c>
      <c r="T12" s="5" t="str">
        <f t="shared" si="0"/>
        <v>Tu</v>
      </c>
      <c r="U12" s="5" t="str">
        <f t="shared" si="0"/>
        <v>We</v>
      </c>
      <c r="V12" s="5" t="str">
        <f t="shared" si="0"/>
        <v>Th</v>
      </c>
      <c r="W12" s="5" t="str">
        <f t="shared" si="0"/>
        <v>Fr</v>
      </c>
      <c r="X12" s="5" t="str">
        <f t="shared" si="0"/>
        <v>Sa</v>
      </c>
      <c r="Y12" s="5" t="str">
        <f t="shared" si="0"/>
        <v>Su</v>
      </c>
      <c r="Z12" s="5" t="str">
        <f t="shared" si="0"/>
        <v>Mo</v>
      </c>
      <c r="AA12" s="5" t="str">
        <f t="shared" si="0"/>
        <v>Tu</v>
      </c>
      <c r="AB12" s="5" t="str">
        <f t="shared" si="0"/>
        <v>We</v>
      </c>
      <c r="AC12" s="5" t="str">
        <f t="shared" si="0"/>
        <v>Th</v>
      </c>
      <c r="AD12" s="5" t="str">
        <f t="shared" si="0"/>
        <v>Fr</v>
      </c>
      <c r="AE12" s="5" t="str">
        <f t="shared" si="0"/>
        <v>Sa</v>
      </c>
      <c r="AF12" s="5" t="str">
        <f t="shared" si="0"/>
        <v>Su</v>
      </c>
      <c r="AG12" s="5" t="str">
        <f t="shared" si="0"/>
        <v>Mo</v>
      </c>
      <c r="AH12" s="5" t="str">
        <f t="shared" si="0"/>
        <v>Tu</v>
      </c>
      <c r="AJ12" s="2" t="s">
        <v>62</v>
      </c>
    </row>
    <row r="13" spans="1:36">
      <c r="B13" s="88"/>
      <c r="C13" s="84" t="s">
        <v>18</v>
      </c>
      <c r="D13" s="85">
        <v>1</v>
      </c>
      <c r="E13" s="85">
        <v>2</v>
      </c>
      <c r="F13" s="85">
        <v>3</v>
      </c>
      <c r="G13" s="85">
        <v>4</v>
      </c>
      <c r="H13" s="85">
        <v>5</v>
      </c>
      <c r="I13" s="176">
        <v>6</v>
      </c>
      <c r="J13" s="85">
        <v>7</v>
      </c>
      <c r="K13" s="85">
        <v>8</v>
      </c>
      <c r="L13" s="85">
        <v>9</v>
      </c>
      <c r="M13" s="85">
        <v>10</v>
      </c>
      <c r="N13" s="85">
        <v>11</v>
      </c>
      <c r="O13" s="85">
        <v>12</v>
      </c>
      <c r="P13" s="85">
        <v>13</v>
      </c>
      <c r="Q13" s="85">
        <v>14</v>
      </c>
      <c r="R13" s="85">
        <v>15</v>
      </c>
      <c r="S13" s="85">
        <v>16</v>
      </c>
      <c r="T13" s="85">
        <v>17</v>
      </c>
      <c r="U13" s="85">
        <v>18</v>
      </c>
      <c r="V13" s="85">
        <v>19</v>
      </c>
      <c r="W13" s="176">
        <v>20</v>
      </c>
      <c r="X13" s="85">
        <v>21</v>
      </c>
      <c r="Y13" s="85">
        <v>22</v>
      </c>
      <c r="Z13" s="85">
        <v>23</v>
      </c>
      <c r="AA13" s="85">
        <v>24</v>
      </c>
      <c r="AB13" s="85">
        <v>25</v>
      </c>
      <c r="AC13" s="85">
        <v>26</v>
      </c>
      <c r="AD13" s="85">
        <v>27</v>
      </c>
      <c r="AE13" s="85">
        <v>28</v>
      </c>
      <c r="AF13" s="85">
        <v>29</v>
      </c>
      <c r="AG13" s="85">
        <v>30</v>
      </c>
      <c r="AH13" s="85">
        <v>31</v>
      </c>
    </row>
    <row r="14" spans="1:36">
      <c r="B14" s="85">
        <v>1</v>
      </c>
      <c r="C14" s="89" t="str">
        <f>LEFT(EmpGName01)&amp;" " &amp; EmpSName01</f>
        <v>L Marampon</v>
      </c>
      <c r="D14" s="4" t="s">
        <v>62</v>
      </c>
      <c r="E14" s="4" t="s">
        <v>62</v>
      </c>
      <c r="F14" s="4" t="s">
        <v>62</v>
      </c>
      <c r="G14" s="4" t="s">
        <v>62</v>
      </c>
      <c r="H14" s="4" t="s">
        <v>62</v>
      </c>
      <c r="I14" s="4" t="s">
        <v>62</v>
      </c>
      <c r="J14" s="4" t="s">
        <v>62</v>
      </c>
      <c r="K14" s="4" t="s">
        <v>62</v>
      </c>
      <c r="L14" s="4" t="s">
        <v>62</v>
      </c>
      <c r="M14" s="4" t="s">
        <v>62</v>
      </c>
      <c r="N14" s="4" t="s">
        <v>62</v>
      </c>
      <c r="O14" s="4" t="s">
        <v>62</v>
      </c>
      <c r="P14" s="4" t="s">
        <v>62</v>
      </c>
      <c r="Q14" s="4" t="s">
        <v>62</v>
      </c>
      <c r="R14" s="4" t="s">
        <v>62</v>
      </c>
      <c r="S14" s="4" t="s">
        <v>62</v>
      </c>
      <c r="T14" s="4" t="s">
        <v>62</v>
      </c>
      <c r="U14" s="4" t="s">
        <v>62</v>
      </c>
      <c r="V14" s="4" t="s">
        <v>62</v>
      </c>
      <c r="W14" s="4" t="s">
        <v>62</v>
      </c>
      <c r="X14" s="4" t="s">
        <v>62</v>
      </c>
      <c r="Y14" s="4" t="s">
        <v>62</v>
      </c>
      <c r="Z14" s="4" t="s">
        <v>62</v>
      </c>
      <c r="AA14" s="4" t="s">
        <v>62</v>
      </c>
      <c r="AB14" s="4" t="s">
        <v>62</v>
      </c>
      <c r="AC14" s="4" t="s">
        <v>62</v>
      </c>
      <c r="AD14" s="4" t="s">
        <v>62</v>
      </c>
      <c r="AE14" s="4" t="s">
        <v>62</v>
      </c>
      <c r="AF14" s="4" t="s">
        <v>62</v>
      </c>
      <c r="AG14" s="4" t="s">
        <v>62</v>
      </c>
      <c r="AH14" s="4" t="s">
        <v>62</v>
      </c>
    </row>
    <row r="15" spans="1:36">
      <c r="B15" s="85">
        <v>2</v>
      </c>
      <c r="C15" s="90" t="str">
        <f>LEFT(EmpGName02)&amp;" " &amp;EmpSName02</f>
        <v>K Stone</v>
      </c>
      <c r="D15" s="3" t="s">
        <v>62</v>
      </c>
      <c r="E15" s="3" t="s">
        <v>62</v>
      </c>
      <c r="F15" s="3" t="s">
        <v>62</v>
      </c>
      <c r="G15" s="3" t="s">
        <v>62</v>
      </c>
      <c r="H15" s="3" t="s">
        <v>62</v>
      </c>
      <c r="I15" s="3" t="s">
        <v>62</v>
      </c>
      <c r="J15" s="3" t="s">
        <v>62</v>
      </c>
      <c r="K15" s="3" t="s">
        <v>62</v>
      </c>
      <c r="L15" s="3" t="s">
        <v>62</v>
      </c>
      <c r="M15" s="3" t="s">
        <v>62</v>
      </c>
      <c r="N15" s="3" t="s">
        <v>62</v>
      </c>
      <c r="O15" s="3" t="s">
        <v>62</v>
      </c>
      <c r="P15" s="3" t="s">
        <v>62</v>
      </c>
      <c r="Q15" s="3" t="s">
        <v>62</v>
      </c>
      <c r="R15" s="3" t="s">
        <v>62</v>
      </c>
      <c r="S15" s="3" t="s">
        <v>62</v>
      </c>
      <c r="T15" s="3" t="s">
        <v>62</v>
      </c>
      <c r="U15" s="3" t="s">
        <v>62</v>
      </c>
      <c r="V15" s="3" t="s">
        <v>62</v>
      </c>
      <c r="W15" s="3" t="s">
        <v>62</v>
      </c>
      <c r="X15" s="3" t="s">
        <v>62</v>
      </c>
      <c r="Y15" s="3" t="s">
        <v>62</v>
      </c>
      <c r="Z15" s="3" t="s">
        <v>62</v>
      </c>
      <c r="AA15" s="3" t="s">
        <v>62</v>
      </c>
      <c r="AB15" s="3" t="s">
        <v>62</v>
      </c>
      <c r="AC15" s="3" t="s">
        <v>62</v>
      </c>
      <c r="AD15" s="3" t="s">
        <v>62</v>
      </c>
      <c r="AE15" s="3" t="s">
        <v>62</v>
      </c>
      <c r="AF15" s="3" t="s">
        <v>62</v>
      </c>
      <c r="AG15" s="3" t="s">
        <v>62</v>
      </c>
      <c r="AH15" s="3" t="s">
        <v>62</v>
      </c>
    </row>
    <row r="16" spans="1:36">
      <c r="B16" s="85">
        <v>3</v>
      </c>
      <c r="C16" s="89" t="str">
        <f>LEFT(EmpGName03)&amp;" " &amp;EmpSName03</f>
        <v>I Thelning</v>
      </c>
      <c r="D16" s="4" t="s">
        <v>62</v>
      </c>
      <c r="E16" s="4" t="s">
        <v>62</v>
      </c>
      <c r="F16" s="4" t="s">
        <v>62</v>
      </c>
      <c r="G16" s="4" t="s">
        <v>62</v>
      </c>
      <c r="H16" s="4" t="s">
        <v>62</v>
      </c>
      <c r="I16" s="4" t="s">
        <v>62</v>
      </c>
      <c r="J16" s="4" t="s">
        <v>62</v>
      </c>
      <c r="K16" s="4" t="s">
        <v>62</v>
      </c>
      <c r="L16" s="4" t="s">
        <v>62</v>
      </c>
      <c r="M16" s="4" t="s">
        <v>62</v>
      </c>
      <c r="N16" s="4" t="s">
        <v>62</v>
      </c>
      <c r="O16" s="4" t="s">
        <v>62</v>
      </c>
      <c r="P16" s="4" t="s">
        <v>62</v>
      </c>
      <c r="Q16" s="4" t="s">
        <v>62</v>
      </c>
      <c r="R16" s="4" t="s">
        <v>62</v>
      </c>
      <c r="S16" s="4" t="s">
        <v>62</v>
      </c>
      <c r="T16" s="4" t="s">
        <v>62</v>
      </c>
      <c r="U16" s="4" t="s">
        <v>62</v>
      </c>
      <c r="V16" s="4" t="s">
        <v>62</v>
      </c>
      <c r="W16" s="4" t="s">
        <v>62</v>
      </c>
      <c r="X16" s="4" t="s">
        <v>62</v>
      </c>
      <c r="Y16" s="4" t="s">
        <v>62</v>
      </c>
      <c r="Z16" s="4" t="s">
        <v>62</v>
      </c>
      <c r="AA16" s="4" t="s">
        <v>62</v>
      </c>
      <c r="AB16" s="4" t="s">
        <v>62</v>
      </c>
      <c r="AC16" s="4" t="s">
        <v>62</v>
      </c>
      <c r="AD16" s="4" t="s">
        <v>62</v>
      </c>
      <c r="AE16" s="4" t="s">
        <v>62</v>
      </c>
      <c r="AF16" s="4" t="s">
        <v>62</v>
      </c>
      <c r="AG16" s="4" t="s">
        <v>62</v>
      </c>
      <c r="AH16" s="4" t="s">
        <v>62</v>
      </c>
    </row>
    <row r="17" spans="2:34">
      <c r="B17" s="85">
        <v>4</v>
      </c>
      <c r="C17" s="90" t="str">
        <f>LEFT(EmpGName04)&amp;" " &amp;EmpSName04</f>
        <v>L King</v>
      </c>
      <c r="D17" s="3" t="s">
        <v>62</v>
      </c>
      <c r="E17" s="3" t="s">
        <v>62</v>
      </c>
      <c r="F17" s="3" t="s">
        <v>62</v>
      </c>
      <c r="G17" s="3" t="s">
        <v>62</v>
      </c>
      <c r="H17" s="3" t="s">
        <v>62</v>
      </c>
      <c r="I17" s="3" t="s">
        <v>62</v>
      </c>
      <c r="J17" s="3" t="s">
        <v>62</v>
      </c>
      <c r="K17" s="3" t="s">
        <v>62</v>
      </c>
      <c r="L17" s="3" t="s">
        <v>62</v>
      </c>
      <c r="M17" s="3" t="s">
        <v>62</v>
      </c>
      <c r="N17" s="3" t="s">
        <v>62</v>
      </c>
      <c r="O17" s="3" t="s">
        <v>62</v>
      </c>
      <c r="P17" s="3" t="s">
        <v>62</v>
      </c>
      <c r="Q17" s="3" t="s">
        <v>62</v>
      </c>
      <c r="R17" s="3" t="s">
        <v>62</v>
      </c>
      <c r="S17" s="3" t="s">
        <v>62</v>
      </c>
      <c r="T17" s="3" t="s">
        <v>62</v>
      </c>
      <c r="U17" s="3" t="s">
        <v>62</v>
      </c>
      <c r="V17" s="3" t="s">
        <v>62</v>
      </c>
      <c r="W17" s="3" t="s">
        <v>62</v>
      </c>
      <c r="X17" s="3" t="s">
        <v>62</v>
      </c>
      <c r="Y17" s="3" t="s">
        <v>62</v>
      </c>
      <c r="Z17" s="3" t="s">
        <v>62</v>
      </c>
      <c r="AA17" s="3" t="s">
        <v>62</v>
      </c>
      <c r="AB17" s="3" t="s">
        <v>62</v>
      </c>
      <c r="AC17" s="3" t="s">
        <v>62</v>
      </c>
      <c r="AD17" s="3" t="s">
        <v>62</v>
      </c>
      <c r="AE17" s="3" t="s">
        <v>62</v>
      </c>
      <c r="AF17" s="3" t="s">
        <v>62</v>
      </c>
      <c r="AG17" s="3" t="s">
        <v>62</v>
      </c>
      <c r="AH17" s="3" t="s">
        <v>62</v>
      </c>
    </row>
    <row r="18" spans="2:34">
      <c r="B18" s="85">
        <v>5</v>
      </c>
      <c r="C18" s="89" t="str">
        <f>LEFT(EmpGName05)&amp;" " &amp;EmpSName05</f>
        <v>D Castle</v>
      </c>
      <c r="D18" s="4" t="s">
        <v>62</v>
      </c>
      <c r="E18" s="4" t="s">
        <v>62</v>
      </c>
      <c r="F18" s="4" t="s">
        <v>62</v>
      </c>
      <c r="G18" s="4" t="s">
        <v>62</v>
      </c>
      <c r="H18" s="4" t="s">
        <v>62</v>
      </c>
      <c r="I18" s="4" t="s">
        <v>62</v>
      </c>
      <c r="J18" s="4" t="s">
        <v>62</v>
      </c>
      <c r="K18" s="4" t="s">
        <v>62</v>
      </c>
      <c r="L18" s="4" t="s">
        <v>62</v>
      </c>
      <c r="M18" s="4" t="s">
        <v>62</v>
      </c>
      <c r="N18" s="4" t="s">
        <v>62</v>
      </c>
      <c r="O18" s="4" t="s">
        <v>62</v>
      </c>
      <c r="P18" s="4" t="s">
        <v>62</v>
      </c>
      <c r="Q18" s="4" t="s">
        <v>62</v>
      </c>
      <c r="R18" s="4" t="s">
        <v>62</v>
      </c>
      <c r="S18" s="4" t="s">
        <v>62</v>
      </c>
      <c r="T18" s="4" t="s">
        <v>62</v>
      </c>
      <c r="U18" s="4" t="s">
        <v>62</v>
      </c>
      <c r="V18" s="4" t="s">
        <v>62</v>
      </c>
      <c r="W18" s="4" t="s">
        <v>62</v>
      </c>
      <c r="X18" s="4" t="s">
        <v>62</v>
      </c>
      <c r="Y18" s="4" t="s">
        <v>62</v>
      </c>
      <c r="Z18" s="4" t="s">
        <v>62</v>
      </c>
      <c r="AA18" s="4" t="s">
        <v>62</v>
      </c>
      <c r="AB18" s="4" t="s">
        <v>62</v>
      </c>
      <c r="AC18" s="4" t="s">
        <v>62</v>
      </c>
      <c r="AD18" s="4" t="s">
        <v>62</v>
      </c>
      <c r="AE18" s="4" t="s">
        <v>62</v>
      </c>
      <c r="AF18" s="4" t="s">
        <v>62</v>
      </c>
      <c r="AG18" s="4" t="s">
        <v>62</v>
      </c>
      <c r="AH18" s="4" t="s">
        <v>62</v>
      </c>
    </row>
    <row r="19" spans="2:34">
      <c r="B19" s="85">
        <v>6</v>
      </c>
      <c r="C19" s="90" t="str">
        <f>LEFT(EmpGName06)&amp;" " &amp;EmpSName06</f>
        <v>R Fielding</v>
      </c>
      <c r="D19" s="3" t="s">
        <v>62</v>
      </c>
      <c r="E19" s="3" t="s">
        <v>62</v>
      </c>
      <c r="F19" s="3" t="s">
        <v>62</v>
      </c>
      <c r="G19" s="3" t="s">
        <v>62</v>
      </c>
      <c r="H19" s="3" t="s">
        <v>62</v>
      </c>
      <c r="I19" s="3" t="s">
        <v>62</v>
      </c>
      <c r="J19" s="3" t="s">
        <v>62</v>
      </c>
      <c r="K19" s="3" t="s">
        <v>62</v>
      </c>
      <c r="L19" s="3" t="s">
        <v>62</v>
      </c>
      <c r="M19" s="3" t="s">
        <v>62</v>
      </c>
      <c r="N19" s="3" t="s">
        <v>62</v>
      </c>
      <c r="O19" s="3" t="s">
        <v>62</v>
      </c>
      <c r="P19" s="3" t="s">
        <v>62</v>
      </c>
      <c r="Q19" s="3" t="s">
        <v>62</v>
      </c>
      <c r="R19" s="3" t="s">
        <v>62</v>
      </c>
      <c r="S19" s="3" t="s">
        <v>62</v>
      </c>
      <c r="T19" s="3" t="s">
        <v>62</v>
      </c>
      <c r="U19" s="3" t="s">
        <v>62</v>
      </c>
      <c r="V19" s="3" t="s">
        <v>62</v>
      </c>
      <c r="W19" s="3" t="s">
        <v>62</v>
      </c>
      <c r="X19" s="3" t="s">
        <v>62</v>
      </c>
      <c r="Y19" s="3" t="s">
        <v>62</v>
      </c>
      <c r="Z19" s="3" t="s">
        <v>62</v>
      </c>
      <c r="AA19" s="3" t="s">
        <v>62</v>
      </c>
      <c r="AB19" s="3" t="s">
        <v>62</v>
      </c>
      <c r="AC19" s="3" t="s">
        <v>62</v>
      </c>
      <c r="AD19" s="3" t="s">
        <v>62</v>
      </c>
      <c r="AE19" s="3" t="s">
        <v>62</v>
      </c>
      <c r="AF19" s="3" t="s">
        <v>62</v>
      </c>
      <c r="AG19" s="3" t="s">
        <v>62</v>
      </c>
      <c r="AH19" s="3" t="s">
        <v>62</v>
      </c>
    </row>
    <row r="20" spans="2:34">
      <c r="B20" s="85">
        <v>7</v>
      </c>
      <c r="C20" s="89" t="str">
        <f>LEFT(EmpGName07)&amp;" " &amp;EmpSName07</f>
        <v>T Sorensen</v>
      </c>
      <c r="D20" s="4" t="s">
        <v>62</v>
      </c>
      <c r="E20" s="4" t="s">
        <v>62</v>
      </c>
      <c r="F20" s="4" t="s">
        <v>62</v>
      </c>
      <c r="G20" s="4" t="s">
        <v>62</v>
      </c>
      <c r="H20" s="4" t="s">
        <v>62</v>
      </c>
      <c r="I20" s="4" t="s">
        <v>62</v>
      </c>
      <c r="J20" s="4" t="s">
        <v>62</v>
      </c>
      <c r="K20" s="4" t="s">
        <v>62</v>
      </c>
      <c r="L20" s="4" t="s">
        <v>62</v>
      </c>
      <c r="M20" s="4" t="s">
        <v>62</v>
      </c>
      <c r="N20" s="4" t="s">
        <v>62</v>
      </c>
      <c r="O20" s="4" t="s">
        <v>62</v>
      </c>
      <c r="P20" s="4" t="s">
        <v>62</v>
      </c>
      <c r="Q20" s="4" t="s">
        <v>62</v>
      </c>
      <c r="R20" s="4" t="s">
        <v>62</v>
      </c>
      <c r="S20" s="4" t="s">
        <v>62</v>
      </c>
      <c r="T20" s="4" t="s">
        <v>62</v>
      </c>
      <c r="U20" s="4" t="s">
        <v>62</v>
      </c>
      <c r="V20" s="4" t="s">
        <v>62</v>
      </c>
      <c r="W20" s="4" t="s">
        <v>62</v>
      </c>
      <c r="X20" s="4" t="s">
        <v>62</v>
      </c>
      <c r="Y20" s="4" t="s">
        <v>62</v>
      </c>
      <c r="Z20" s="4" t="s">
        <v>62</v>
      </c>
      <c r="AA20" s="4" t="s">
        <v>62</v>
      </c>
      <c r="AB20" s="4" t="s">
        <v>62</v>
      </c>
      <c r="AC20" s="4" t="s">
        <v>62</v>
      </c>
      <c r="AD20" s="4" t="s">
        <v>62</v>
      </c>
      <c r="AE20" s="4" t="s">
        <v>62</v>
      </c>
      <c r="AF20" s="4" t="s">
        <v>62</v>
      </c>
      <c r="AG20" s="4" t="s">
        <v>62</v>
      </c>
      <c r="AH20" s="4" t="s">
        <v>62</v>
      </c>
    </row>
    <row r="21" spans="2:34">
      <c r="B21" s="85">
        <v>8</v>
      </c>
      <c r="C21" s="90" t="str">
        <f>LEFT(EmpGName08)&amp;" " &amp;EmpSName08</f>
        <v xml:space="preserve">B Odd </v>
      </c>
      <c r="D21" s="3" t="s">
        <v>62</v>
      </c>
      <c r="E21" s="3" t="s">
        <v>62</v>
      </c>
      <c r="F21" s="3" t="s">
        <v>62</v>
      </c>
      <c r="G21" s="3" t="s">
        <v>62</v>
      </c>
      <c r="H21" s="3" t="s">
        <v>62</v>
      </c>
      <c r="I21" s="3" t="s">
        <v>62</v>
      </c>
      <c r="J21" s="3" t="s">
        <v>62</v>
      </c>
      <c r="K21" s="3" t="s">
        <v>62</v>
      </c>
      <c r="L21" s="3" t="s">
        <v>62</v>
      </c>
      <c r="M21" s="3" t="s">
        <v>62</v>
      </c>
      <c r="N21" s="3" t="s">
        <v>62</v>
      </c>
      <c r="O21" s="3" t="s">
        <v>62</v>
      </c>
      <c r="P21" s="3" t="s">
        <v>62</v>
      </c>
      <c r="Q21" s="3" t="s">
        <v>62</v>
      </c>
      <c r="R21" s="3" t="s">
        <v>62</v>
      </c>
      <c r="S21" s="3" t="s">
        <v>62</v>
      </c>
      <c r="T21" s="3" t="s">
        <v>62</v>
      </c>
      <c r="U21" s="3" t="s">
        <v>62</v>
      </c>
      <c r="V21" s="3" t="s">
        <v>62</v>
      </c>
      <c r="W21" s="3" t="s">
        <v>62</v>
      </c>
      <c r="X21" s="3" t="s">
        <v>62</v>
      </c>
      <c r="Y21" s="3" t="s">
        <v>62</v>
      </c>
      <c r="Z21" s="3" t="s">
        <v>62</v>
      </c>
      <c r="AA21" s="3" t="s">
        <v>62</v>
      </c>
      <c r="AB21" s="3" t="s">
        <v>62</v>
      </c>
      <c r="AC21" s="3" t="s">
        <v>62</v>
      </c>
      <c r="AD21" s="3" t="s">
        <v>62</v>
      </c>
      <c r="AE21" s="3" t="s">
        <v>62</v>
      </c>
      <c r="AF21" s="3" t="s">
        <v>62</v>
      </c>
      <c r="AG21" s="3" t="s">
        <v>62</v>
      </c>
      <c r="AH21" s="3" t="s">
        <v>62</v>
      </c>
    </row>
    <row r="22" spans="2:34">
      <c r="B22" s="85">
        <v>9</v>
      </c>
      <c r="C22" s="89" t="str">
        <f>LEFT(EmpGName09)&amp;" " &amp;EmpSName09</f>
        <v>1 Odd1</v>
      </c>
      <c r="D22" s="4" t="s">
        <v>62</v>
      </c>
      <c r="E22" s="4" t="s">
        <v>62</v>
      </c>
      <c r="F22" s="4" t="s">
        <v>62</v>
      </c>
      <c r="G22" s="4" t="s">
        <v>62</v>
      </c>
      <c r="H22" s="4" t="s">
        <v>62</v>
      </c>
      <c r="I22" s="4" t="s">
        <v>62</v>
      </c>
      <c r="J22" s="4" t="s">
        <v>62</v>
      </c>
      <c r="K22" s="4" t="s">
        <v>62</v>
      </c>
      <c r="L22" s="4" t="s">
        <v>62</v>
      </c>
      <c r="M22" s="4" t="s">
        <v>62</v>
      </c>
      <c r="N22" s="4" t="s">
        <v>62</v>
      </c>
      <c r="O22" s="4" t="s">
        <v>62</v>
      </c>
      <c r="P22" s="4" t="s">
        <v>62</v>
      </c>
      <c r="Q22" s="4" t="s">
        <v>62</v>
      </c>
      <c r="R22" s="4" t="s">
        <v>62</v>
      </c>
      <c r="S22" s="4" t="s">
        <v>62</v>
      </c>
      <c r="T22" s="4" t="s">
        <v>62</v>
      </c>
      <c r="U22" s="4" t="s">
        <v>62</v>
      </c>
      <c r="V22" s="4" t="s">
        <v>62</v>
      </c>
      <c r="W22" s="4" t="s">
        <v>62</v>
      </c>
      <c r="X22" s="4" t="s">
        <v>62</v>
      </c>
      <c r="Y22" s="4" t="s">
        <v>62</v>
      </c>
      <c r="Z22" s="4" t="s">
        <v>62</v>
      </c>
      <c r="AA22" s="4" t="s">
        <v>62</v>
      </c>
      <c r="AB22" s="4" t="s">
        <v>62</v>
      </c>
      <c r="AC22" s="4" t="s">
        <v>62</v>
      </c>
      <c r="AD22" s="4" t="s">
        <v>62</v>
      </c>
      <c r="AE22" s="4" t="s">
        <v>62</v>
      </c>
      <c r="AF22" s="4" t="s">
        <v>62</v>
      </c>
      <c r="AG22" s="4" t="s">
        <v>62</v>
      </c>
      <c r="AH22" s="4" t="s">
        <v>62</v>
      </c>
    </row>
    <row r="23" spans="2:34">
      <c r="B23" s="148">
        <v>10</v>
      </c>
      <c r="C23" s="90" t="str">
        <f>LEFT(EmpGName10)&amp;" " &amp;EmpSName10</f>
        <v>2 Odd2</v>
      </c>
      <c r="D23" s="3" t="s">
        <v>62</v>
      </c>
      <c r="E23" s="3" t="s">
        <v>62</v>
      </c>
      <c r="F23" s="3" t="s">
        <v>62</v>
      </c>
      <c r="G23" s="3" t="s">
        <v>62</v>
      </c>
      <c r="H23" s="3" t="s">
        <v>62</v>
      </c>
      <c r="I23" s="3" t="s">
        <v>62</v>
      </c>
      <c r="J23" s="3" t="s">
        <v>62</v>
      </c>
      <c r="K23" s="3" t="s">
        <v>62</v>
      </c>
      <c r="L23" s="3" t="s">
        <v>62</v>
      </c>
      <c r="M23" s="3" t="s">
        <v>62</v>
      </c>
      <c r="N23" s="3" t="s">
        <v>62</v>
      </c>
      <c r="O23" s="3" t="s">
        <v>62</v>
      </c>
      <c r="P23" s="3" t="s">
        <v>62</v>
      </c>
      <c r="Q23" s="3" t="s">
        <v>62</v>
      </c>
      <c r="R23" s="3" t="s">
        <v>62</v>
      </c>
      <c r="S23" s="3" t="s">
        <v>62</v>
      </c>
      <c r="T23" s="3" t="s">
        <v>62</v>
      </c>
      <c r="U23" s="3" t="s">
        <v>62</v>
      </c>
      <c r="V23" s="3" t="s">
        <v>62</v>
      </c>
      <c r="W23" s="3" t="s">
        <v>62</v>
      </c>
      <c r="X23" s="3" t="s">
        <v>62</v>
      </c>
      <c r="Y23" s="3" t="s">
        <v>62</v>
      </c>
      <c r="Z23" s="3" t="s">
        <v>62</v>
      </c>
      <c r="AA23" s="3" t="s">
        <v>62</v>
      </c>
      <c r="AB23" s="3" t="s">
        <v>62</v>
      </c>
      <c r="AC23" s="3" t="s">
        <v>62</v>
      </c>
      <c r="AD23" s="3" t="s">
        <v>62</v>
      </c>
      <c r="AE23" s="3" t="s">
        <v>62</v>
      </c>
      <c r="AF23" s="3" t="s">
        <v>62</v>
      </c>
      <c r="AG23" s="3" t="s">
        <v>62</v>
      </c>
      <c r="AH23" s="3" t="s">
        <v>62</v>
      </c>
    </row>
    <row r="24" spans="2:34">
      <c r="B24" s="148">
        <v>11</v>
      </c>
      <c r="C24" s="89" t="str">
        <f>LEFT(EmpGName11)&amp;" " &amp;EmpSName11</f>
        <v>2 Odd3</v>
      </c>
      <c r="D24" s="4" t="s">
        <v>62</v>
      </c>
      <c r="E24" s="4" t="s">
        <v>62</v>
      </c>
      <c r="F24" s="4" t="s">
        <v>62</v>
      </c>
      <c r="G24" s="4" t="s">
        <v>62</v>
      </c>
      <c r="H24" s="4" t="s">
        <v>62</v>
      </c>
      <c r="I24" s="4" t="s">
        <v>62</v>
      </c>
      <c r="J24" s="4" t="s">
        <v>62</v>
      </c>
      <c r="K24" s="4" t="s">
        <v>62</v>
      </c>
      <c r="L24" s="4" t="s">
        <v>62</v>
      </c>
      <c r="M24" s="4" t="s">
        <v>62</v>
      </c>
      <c r="N24" s="4" t="s">
        <v>62</v>
      </c>
      <c r="O24" s="4" t="s">
        <v>62</v>
      </c>
      <c r="P24" s="4" t="s">
        <v>62</v>
      </c>
      <c r="Q24" s="4" t="s">
        <v>62</v>
      </c>
      <c r="R24" s="4" t="s">
        <v>62</v>
      </c>
      <c r="S24" s="4" t="s">
        <v>62</v>
      </c>
      <c r="T24" s="4" t="s">
        <v>62</v>
      </c>
      <c r="U24" s="4" t="s">
        <v>62</v>
      </c>
      <c r="V24" s="4" t="s">
        <v>62</v>
      </c>
      <c r="W24" s="4" t="s">
        <v>62</v>
      </c>
      <c r="X24" s="4" t="s">
        <v>62</v>
      </c>
      <c r="Y24" s="4" t="s">
        <v>62</v>
      </c>
      <c r="Z24" s="4" t="s">
        <v>62</v>
      </c>
      <c r="AA24" s="4" t="s">
        <v>62</v>
      </c>
      <c r="AB24" s="4" t="s">
        <v>62</v>
      </c>
      <c r="AC24" s="4" t="s">
        <v>62</v>
      </c>
      <c r="AD24" s="4" t="s">
        <v>62</v>
      </c>
      <c r="AE24" s="4" t="s">
        <v>62</v>
      </c>
      <c r="AF24" s="4" t="s">
        <v>62</v>
      </c>
      <c r="AG24" s="4" t="s">
        <v>62</v>
      </c>
      <c r="AH24" s="4" t="s">
        <v>62</v>
      </c>
    </row>
    <row r="25" spans="2:34">
      <c r="B25" s="148">
        <v>12</v>
      </c>
      <c r="C25" s="90" t="str">
        <f>LEFT(EmpGName12)&amp;" " &amp;EmpSName12</f>
        <v>4 Odd4</v>
      </c>
      <c r="D25" s="3" t="s">
        <v>62</v>
      </c>
      <c r="E25" s="3" t="s">
        <v>62</v>
      </c>
      <c r="F25" s="3" t="s">
        <v>62</v>
      </c>
      <c r="G25" s="3" t="s">
        <v>62</v>
      </c>
      <c r="H25" s="3" t="s">
        <v>62</v>
      </c>
      <c r="I25" s="3" t="s">
        <v>62</v>
      </c>
      <c r="J25" s="3" t="s">
        <v>62</v>
      </c>
      <c r="K25" s="3" t="s">
        <v>62</v>
      </c>
      <c r="L25" s="3" t="s">
        <v>62</v>
      </c>
      <c r="M25" s="3" t="s">
        <v>62</v>
      </c>
      <c r="N25" s="3" t="s">
        <v>62</v>
      </c>
      <c r="O25" s="3" t="s">
        <v>62</v>
      </c>
      <c r="P25" s="3" t="s">
        <v>62</v>
      </c>
      <c r="Q25" s="3" t="s">
        <v>62</v>
      </c>
      <c r="R25" s="3" t="s">
        <v>62</v>
      </c>
      <c r="S25" s="3" t="s">
        <v>62</v>
      </c>
      <c r="T25" s="3" t="s">
        <v>62</v>
      </c>
      <c r="U25" s="3" t="s">
        <v>62</v>
      </c>
      <c r="V25" s="3" t="s">
        <v>62</v>
      </c>
      <c r="W25" s="3" t="s">
        <v>62</v>
      </c>
      <c r="X25" s="3" t="s">
        <v>62</v>
      </c>
      <c r="Y25" s="3" t="s">
        <v>62</v>
      </c>
      <c r="Z25" s="3" t="s">
        <v>62</v>
      </c>
      <c r="AA25" s="3" t="s">
        <v>62</v>
      </c>
      <c r="AB25" s="3" t="s">
        <v>62</v>
      </c>
      <c r="AC25" s="3" t="s">
        <v>62</v>
      </c>
      <c r="AD25" s="3" t="s">
        <v>62</v>
      </c>
      <c r="AE25" s="3" t="s">
        <v>62</v>
      </c>
      <c r="AF25" s="3" t="s">
        <v>62</v>
      </c>
      <c r="AG25" s="3" t="s">
        <v>62</v>
      </c>
      <c r="AH25" s="3" t="s">
        <v>62</v>
      </c>
    </row>
    <row r="26" spans="2:34">
      <c r="B26" s="148">
        <v>13</v>
      </c>
      <c r="C26" s="89" t="str">
        <f>LEFT(EmpGName13)&amp;" " &amp;EmpSName13</f>
        <v>A Odd5</v>
      </c>
      <c r="D26" s="4" t="s">
        <v>62</v>
      </c>
      <c r="E26" s="4" t="s">
        <v>62</v>
      </c>
      <c r="F26" s="4" t="s">
        <v>62</v>
      </c>
      <c r="G26" s="4" t="s">
        <v>62</v>
      </c>
      <c r="H26" s="4" t="s">
        <v>62</v>
      </c>
      <c r="I26" s="4" t="s">
        <v>62</v>
      </c>
      <c r="J26" s="4" t="s">
        <v>62</v>
      </c>
      <c r="K26" s="4" t="s">
        <v>62</v>
      </c>
      <c r="L26" s="4" t="s">
        <v>62</v>
      </c>
      <c r="M26" s="4" t="s">
        <v>62</v>
      </c>
      <c r="N26" s="4" t="s">
        <v>62</v>
      </c>
      <c r="O26" s="4" t="s">
        <v>62</v>
      </c>
      <c r="P26" s="4" t="s">
        <v>62</v>
      </c>
      <c r="Q26" s="4" t="s">
        <v>62</v>
      </c>
      <c r="R26" s="4" t="s">
        <v>62</v>
      </c>
      <c r="S26" s="4" t="s">
        <v>62</v>
      </c>
      <c r="T26" s="4" t="s">
        <v>62</v>
      </c>
      <c r="U26" s="4" t="s">
        <v>62</v>
      </c>
      <c r="V26" s="4" t="s">
        <v>62</v>
      </c>
      <c r="W26" s="4" t="s">
        <v>62</v>
      </c>
      <c r="X26" s="4" t="s">
        <v>62</v>
      </c>
      <c r="Y26" s="4" t="s">
        <v>62</v>
      </c>
      <c r="Z26" s="4" t="s">
        <v>62</v>
      </c>
      <c r="AA26" s="4" t="s">
        <v>62</v>
      </c>
      <c r="AB26" s="4" t="s">
        <v>62</v>
      </c>
      <c r="AC26" s="4" t="s">
        <v>62</v>
      </c>
      <c r="AD26" s="4" t="s">
        <v>62</v>
      </c>
      <c r="AE26" s="4" t="s">
        <v>62</v>
      </c>
      <c r="AF26" s="4" t="s">
        <v>62</v>
      </c>
      <c r="AG26" s="4" t="s">
        <v>62</v>
      </c>
      <c r="AH26" s="4" t="s">
        <v>62</v>
      </c>
    </row>
    <row r="27" spans="2:34">
      <c r="B27" s="148">
        <v>14</v>
      </c>
      <c r="C27" s="90" t="str">
        <f>LEFT(EmpGName14)&amp;" " &amp;EmpSName14</f>
        <v>B Odd6</v>
      </c>
      <c r="D27" s="3" t="s">
        <v>62</v>
      </c>
      <c r="E27" s="3" t="s">
        <v>62</v>
      </c>
      <c r="F27" s="3" t="s">
        <v>62</v>
      </c>
      <c r="G27" s="3" t="s">
        <v>62</v>
      </c>
      <c r="H27" s="3" t="s">
        <v>62</v>
      </c>
      <c r="I27" s="3" t="s">
        <v>62</v>
      </c>
      <c r="J27" s="3" t="s">
        <v>62</v>
      </c>
      <c r="K27" s="3" t="s">
        <v>62</v>
      </c>
      <c r="L27" s="3" t="s">
        <v>62</v>
      </c>
      <c r="M27" s="3" t="s">
        <v>62</v>
      </c>
      <c r="N27" s="3" t="s">
        <v>62</v>
      </c>
      <c r="O27" s="3" t="s">
        <v>62</v>
      </c>
      <c r="P27" s="3" t="s">
        <v>62</v>
      </c>
      <c r="Q27" s="3" t="s">
        <v>62</v>
      </c>
      <c r="R27" s="3" t="s">
        <v>62</v>
      </c>
      <c r="S27" s="3" t="s">
        <v>62</v>
      </c>
      <c r="T27" s="3" t="s">
        <v>62</v>
      </c>
      <c r="U27" s="3" t="s">
        <v>62</v>
      </c>
      <c r="V27" s="3" t="s">
        <v>62</v>
      </c>
      <c r="W27" s="3" t="s">
        <v>62</v>
      </c>
      <c r="X27" s="3" t="s">
        <v>62</v>
      </c>
      <c r="Y27" s="3" t="s">
        <v>62</v>
      </c>
      <c r="Z27" s="3" t="s">
        <v>62</v>
      </c>
      <c r="AA27" s="3" t="s">
        <v>62</v>
      </c>
      <c r="AB27" s="3" t="s">
        <v>62</v>
      </c>
      <c r="AC27" s="3" t="s">
        <v>62</v>
      </c>
      <c r="AD27" s="3" t="s">
        <v>62</v>
      </c>
      <c r="AE27" s="3" t="s">
        <v>62</v>
      </c>
      <c r="AF27" s="3" t="s">
        <v>62</v>
      </c>
      <c r="AG27" s="3" t="s">
        <v>62</v>
      </c>
      <c r="AH27" s="3" t="s">
        <v>62</v>
      </c>
    </row>
    <row r="28" spans="2:34">
      <c r="B28" s="148">
        <v>15</v>
      </c>
      <c r="C28" s="89" t="str">
        <f>LEFT(EmpGName15)&amp;" " &amp;EmpSName15</f>
        <v>C Odd7</v>
      </c>
      <c r="D28" s="4" t="s">
        <v>62</v>
      </c>
      <c r="E28" s="4" t="s">
        <v>62</v>
      </c>
      <c r="F28" s="4" t="s">
        <v>62</v>
      </c>
      <c r="G28" s="4" t="s">
        <v>62</v>
      </c>
      <c r="H28" s="4" t="s">
        <v>62</v>
      </c>
      <c r="I28" s="4" t="s">
        <v>62</v>
      </c>
      <c r="J28" s="4" t="s">
        <v>62</v>
      </c>
      <c r="K28" s="4" t="s">
        <v>62</v>
      </c>
      <c r="L28" s="4" t="s">
        <v>62</v>
      </c>
      <c r="M28" s="4" t="s">
        <v>62</v>
      </c>
      <c r="N28" s="4" t="s">
        <v>62</v>
      </c>
      <c r="O28" s="4" t="s">
        <v>62</v>
      </c>
      <c r="P28" s="4" t="s">
        <v>62</v>
      </c>
      <c r="Q28" s="4" t="s">
        <v>62</v>
      </c>
      <c r="R28" s="4" t="s">
        <v>62</v>
      </c>
      <c r="S28" s="4" t="s">
        <v>62</v>
      </c>
      <c r="T28" s="4" t="s">
        <v>62</v>
      </c>
      <c r="U28" s="4" t="s">
        <v>62</v>
      </c>
      <c r="V28" s="4" t="s">
        <v>62</v>
      </c>
      <c r="W28" s="4" t="s">
        <v>62</v>
      </c>
      <c r="X28" s="4" t="s">
        <v>62</v>
      </c>
      <c r="Y28" s="4" t="s">
        <v>62</v>
      </c>
      <c r="Z28" s="4" t="s">
        <v>62</v>
      </c>
      <c r="AA28" s="4" t="s">
        <v>62</v>
      </c>
      <c r="AB28" s="4" t="s">
        <v>62</v>
      </c>
      <c r="AC28" s="4" t="s">
        <v>62</v>
      </c>
      <c r="AD28" s="4" t="s">
        <v>62</v>
      </c>
      <c r="AE28" s="4" t="s">
        <v>62</v>
      </c>
      <c r="AF28" s="4" t="s">
        <v>62</v>
      </c>
      <c r="AG28" s="4" t="s">
        <v>62</v>
      </c>
      <c r="AH28" s="4" t="s">
        <v>62</v>
      </c>
    </row>
    <row r="29" spans="2:34">
      <c r="B29" s="148">
        <v>16</v>
      </c>
      <c r="C29" s="90" t="str">
        <f>LEFT(EmpGName16)&amp;" " &amp;EmpSName16</f>
        <v>D Odd8</v>
      </c>
      <c r="D29" s="3" t="s">
        <v>62</v>
      </c>
      <c r="E29" s="3" t="s">
        <v>62</v>
      </c>
      <c r="F29" s="3" t="s">
        <v>62</v>
      </c>
      <c r="G29" s="3" t="s">
        <v>62</v>
      </c>
      <c r="H29" s="3" t="s">
        <v>62</v>
      </c>
      <c r="I29" s="3" t="s">
        <v>62</v>
      </c>
      <c r="J29" s="3" t="s">
        <v>62</v>
      </c>
      <c r="K29" s="3" t="s">
        <v>62</v>
      </c>
      <c r="L29" s="3" t="s">
        <v>62</v>
      </c>
      <c r="M29" s="3" t="s">
        <v>62</v>
      </c>
      <c r="N29" s="3" t="s">
        <v>62</v>
      </c>
      <c r="O29" s="3" t="s">
        <v>62</v>
      </c>
      <c r="P29" s="3" t="s">
        <v>62</v>
      </c>
      <c r="Q29" s="3" t="s">
        <v>62</v>
      </c>
      <c r="R29" s="3" t="s">
        <v>62</v>
      </c>
      <c r="S29" s="3" t="s">
        <v>62</v>
      </c>
      <c r="T29" s="3" t="s">
        <v>62</v>
      </c>
      <c r="U29" s="3" t="s">
        <v>62</v>
      </c>
      <c r="V29" s="3" t="s">
        <v>62</v>
      </c>
      <c r="W29" s="3" t="s">
        <v>62</v>
      </c>
      <c r="X29" s="3" t="s">
        <v>62</v>
      </c>
      <c r="Y29" s="3" t="s">
        <v>62</v>
      </c>
      <c r="Z29" s="3" t="s">
        <v>62</v>
      </c>
      <c r="AA29" s="3" t="s">
        <v>62</v>
      </c>
      <c r="AB29" s="3" t="s">
        <v>62</v>
      </c>
      <c r="AC29" s="3" t="s">
        <v>62</v>
      </c>
      <c r="AD29" s="3" t="s">
        <v>62</v>
      </c>
      <c r="AE29" s="3" t="s">
        <v>62</v>
      </c>
      <c r="AF29" s="3" t="s">
        <v>62</v>
      </c>
      <c r="AG29" s="3" t="s">
        <v>62</v>
      </c>
      <c r="AH29" s="3" t="s">
        <v>62</v>
      </c>
    </row>
    <row r="30" spans="2:34">
      <c r="B30" s="148">
        <v>17</v>
      </c>
      <c r="C30" s="89" t="str">
        <f>LEFT(EmpGName17)&amp;" " &amp;EmpSName17</f>
        <v>E Odd9</v>
      </c>
      <c r="D30" s="4" t="s">
        <v>62</v>
      </c>
      <c r="E30" s="4" t="s">
        <v>62</v>
      </c>
      <c r="F30" s="4" t="s">
        <v>62</v>
      </c>
      <c r="G30" s="4" t="s">
        <v>62</v>
      </c>
      <c r="H30" s="4" t="s">
        <v>62</v>
      </c>
      <c r="I30" s="4" t="s">
        <v>62</v>
      </c>
      <c r="J30" s="4" t="s">
        <v>62</v>
      </c>
      <c r="K30" s="4" t="s">
        <v>62</v>
      </c>
      <c r="L30" s="4" t="s">
        <v>62</v>
      </c>
      <c r="M30" s="4" t="s">
        <v>62</v>
      </c>
      <c r="N30" s="4" t="s">
        <v>62</v>
      </c>
      <c r="O30" s="4" t="s">
        <v>62</v>
      </c>
      <c r="P30" s="4" t="s">
        <v>62</v>
      </c>
      <c r="Q30" s="4" t="s">
        <v>62</v>
      </c>
      <c r="R30" s="4" t="s">
        <v>62</v>
      </c>
      <c r="S30" s="4" t="s">
        <v>62</v>
      </c>
      <c r="T30" s="4" t="s">
        <v>62</v>
      </c>
      <c r="U30" s="4" t="s">
        <v>62</v>
      </c>
      <c r="V30" s="4" t="s">
        <v>62</v>
      </c>
      <c r="W30" s="4" t="s">
        <v>62</v>
      </c>
      <c r="X30" s="4" t="s">
        <v>62</v>
      </c>
      <c r="Y30" s="4" t="s">
        <v>62</v>
      </c>
      <c r="Z30" s="4" t="s">
        <v>62</v>
      </c>
      <c r="AA30" s="4" t="s">
        <v>62</v>
      </c>
      <c r="AB30" s="4" t="s">
        <v>62</v>
      </c>
      <c r="AC30" s="4" t="s">
        <v>62</v>
      </c>
      <c r="AD30" s="4" t="s">
        <v>62</v>
      </c>
      <c r="AE30" s="4" t="s">
        <v>62</v>
      </c>
      <c r="AF30" s="4" t="s">
        <v>62</v>
      </c>
      <c r="AG30" s="4" t="s">
        <v>62</v>
      </c>
      <c r="AH30" s="4" t="s">
        <v>62</v>
      </c>
    </row>
    <row r="31" spans="2:34">
      <c r="B31" s="148">
        <v>18</v>
      </c>
      <c r="C31" s="90" t="str">
        <f>LEFT(EmpGName18)&amp;" " &amp;EmpSName18</f>
        <v>F Odd10</v>
      </c>
      <c r="D31" s="3" t="s">
        <v>62</v>
      </c>
      <c r="E31" s="3" t="s">
        <v>62</v>
      </c>
      <c r="F31" s="3" t="s">
        <v>62</v>
      </c>
      <c r="G31" s="3" t="s">
        <v>62</v>
      </c>
      <c r="H31" s="3" t="s">
        <v>62</v>
      </c>
      <c r="I31" s="3" t="s">
        <v>62</v>
      </c>
      <c r="J31" s="3" t="s">
        <v>62</v>
      </c>
      <c r="K31" s="3" t="s">
        <v>62</v>
      </c>
      <c r="L31" s="3" t="s">
        <v>62</v>
      </c>
      <c r="M31" s="3" t="s">
        <v>62</v>
      </c>
      <c r="N31" s="3" t="s">
        <v>62</v>
      </c>
      <c r="O31" s="3" t="s">
        <v>62</v>
      </c>
      <c r="P31" s="3" t="s">
        <v>62</v>
      </c>
      <c r="Q31" s="3" t="s">
        <v>62</v>
      </c>
      <c r="R31" s="3" t="s">
        <v>62</v>
      </c>
      <c r="S31" s="3" t="s">
        <v>62</v>
      </c>
      <c r="T31" s="3" t="s">
        <v>62</v>
      </c>
      <c r="U31" s="3" t="s">
        <v>62</v>
      </c>
      <c r="V31" s="3" t="s">
        <v>62</v>
      </c>
      <c r="W31" s="3" t="s">
        <v>62</v>
      </c>
      <c r="X31" s="3" t="s">
        <v>62</v>
      </c>
      <c r="Y31" s="3" t="s">
        <v>62</v>
      </c>
      <c r="Z31" s="3" t="s">
        <v>62</v>
      </c>
      <c r="AA31" s="3" t="s">
        <v>62</v>
      </c>
      <c r="AB31" s="3" t="s">
        <v>62</v>
      </c>
      <c r="AC31" s="3" t="s">
        <v>62</v>
      </c>
      <c r="AD31" s="3" t="s">
        <v>62</v>
      </c>
      <c r="AE31" s="3" t="s">
        <v>62</v>
      </c>
      <c r="AF31" s="3" t="s">
        <v>62</v>
      </c>
      <c r="AG31" s="3" t="s">
        <v>62</v>
      </c>
      <c r="AH31" s="3" t="s">
        <v>62</v>
      </c>
    </row>
    <row r="32" spans="2:34">
      <c r="B32" s="148">
        <v>19</v>
      </c>
      <c r="C32" s="89" t="str">
        <f>LEFT(EmpGName19)&amp;" " &amp;EmpSName19</f>
        <v>G Odd11</v>
      </c>
      <c r="D32" s="4" t="s">
        <v>62</v>
      </c>
      <c r="E32" s="4" t="s">
        <v>62</v>
      </c>
      <c r="F32" s="4" t="s">
        <v>62</v>
      </c>
      <c r="G32" s="4" t="s">
        <v>62</v>
      </c>
      <c r="H32" s="4" t="s">
        <v>62</v>
      </c>
      <c r="I32" s="4" t="s">
        <v>62</v>
      </c>
      <c r="J32" s="4" t="s">
        <v>62</v>
      </c>
      <c r="K32" s="4" t="s">
        <v>62</v>
      </c>
      <c r="L32" s="4" t="s">
        <v>62</v>
      </c>
      <c r="M32" s="4" t="s">
        <v>62</v>
      </c>
      <c r="N32" s="4" t="s">
        <v>62</v>
      </c>
      <c r="O32" s="4" t="s">
        <v>62</v>
      </c>
      <c r="P32" s="4" t="s">
        <v>62</v>
      </c>
      <c r="Q32" s="4" t="s">
        <v>62</v>
      </c>
      <c r="R32" s="4" t="s">
        <v>62</v>
      </c>
      <c r="S32" s="4" t="s">
        <v>62</v>
      </c>
      <c r="T32" s="4" t="s">
        <v>62</v>
      </c>
      <c r="U32" s="4" t="s">
        <v>62</v>
      </c>
      <c r="V32" s="4" t="s">
        <v>62</v>
      </c>
      <c r="W32" s="4" t="s">
        <v>62</v>
      </c>
      <c r="X32" s="4" t="s">
        <v>62</v>
      </c>
      <c r="Y32" s="4" t="s">
        <v>62</v>
      </c>
      <c r="Z32" s="4" t="s">
        <v>62</v>
      </c>
      <c r="AA32" s="4" t="s">
        <v>62</v>
      </c>
      <c r="AB32" s="4" t="s">
        <v>62</v>
      </c>
      <c r="AC32" s="4" t="s">
        <v>62</v>
      </c>
      <c r="AD32" s="4" t="s">
        <v>62</v>
      </c>
      <c r="AE32" s="4" t="s">
        <v>62</v>
      </c>
      <c r="AF32" s="4" t="s">
        <v>62</v>
      </c>
      <c r="AG32" s="4" t="s">
        <v>62</v>
      </c>
      <c r="AH32" s="4" t="s">
        <v>62</v>
      </c>
    </row>
    <row r="33" spans="2:34">
      <c r="B33" s="148">
        <v>20</v>
      </c>
      <c r="C33" s="90" t="str">
        <f>LEFT(EmpGName20)&amp;" " &amp;EmpSName20</f>
        <v>H Odd12</v>
      </c>
      <c r="D33" s="3" t="s">
        <v>62</v>
      </c>
      <c r="E33" s="3" t="s">
        <v>62</v>
      </c>
      <c r="F33" s="3" t="s">
        <v>62</v>
      </c>
      <c r="G33" s="3" t="s">
        <v>62</v>
      </c>
      <c r="H33" s="3" t="s">
        <v>62</v>
      </c>
      <c r="I33" s="3" t="s">
        <v>62</v>
      </c>
      <c r="J33" s="3" t="s">
        <v>62</v>
      </c>
      <c r="K33" s="3" t="s">
        <v>62</v>
      </c>
      <c r="L33" s="3" t="s">
        <v>62</v>
      </c>
      <c r="M33" s="3" t="s">
        <v>62</v>
      </c>
      <c r="N33" s="3" t="s">
        <v>62</v>
      </c>
      <c r="O33" s="3" t="s">
        <v>62</v>
      </c>
      <c r="P33" s="3" t="s">
        <v>62</v>
      </c>
      <c r="Q33" s="3" t="s">
        <v>62</v>
      </c>
      <c r="R33" s="3" t="s">
        <v>62</v>
      </c>
      <c r="S33" s="3" t="s">
        <v>62</v>
      </c>
      <c r="T33" s="3" t="s">
        <v>62</v>
      </c>
      <c r="U33" s="3" t="s">
        <v>62</v>
      </c>
      <c r="V33" s="3" t="s">
        <v>62</v>
      </c>
      <c r="W33" s="3" t="s">
        <v>62</v>
      </c>
      <c r="X33" s="3" t="s">
        <v>62</v>
      </c>
      <c r="Y33" s="3" t="s">
        <v>62</v>
      </c>
      <c r="Z33" s="3" t="s">
        <v>62</v>
      </c>
      <c r="AA33" s="3" t="s">
        <v>62</v>
      </c>
      <c r="AB33" s="3" t="s">
        <v>62</v>
      </c>
      <c r="AC33" s="3" t="s">
        <v>62</v>
      </c>
      <c r="AD33" s="3" t="s">
        <v>62</v>
      </c>
      <c r="AE33" s="3" t="s">
        <v>62</v>
      </c>
      <c r="AF33" s="3" t="s">
        <v>62</v>
      </c>
      <c r="AG33" s="3" t="s">
        <v>62</v>
      </c>
      <c r="AH33" s="3" t="s">
        <v>62</v>
      </c>
    </row>
    <row r="34" spans="2:34">
      <c r="B34" s="148">
        <v>21</v>
      </c>
      <c r="C34" s="89" t="str">
        <f>LEFT(EmpGName21)&amp;" " &amp;EmpSName21</f>
        <v>I Odd13</v>
      </c>
      <c r="D34" s="4" t="s">
        <v>62</v>
      </c>
      <c r="E34" s="4" t="s">
        <v>62</v>
      </c>
      <c r="F34" s="4" t="s">
        <v>62</v>
      </c>
      <c r="G34" s="4" t="s">
        <v>62</v>
      </c>
      <c r="H34" s="4" t="s">
        <v>62</v>
      </c>
      <c r="I34" s="4" t="s">
        <v>62</v>
      </c>
      <c r="J34" s="4" t="s">
        <v>62</v>
      </c>
      <c r="K34" s="4" t="s">
        <v>62</v>
      </c>
      <c r="L34" s="4" t="s">
        <v>62</v>
      </c>
      <c r="M34" s="4" t="s">
        <v>62</v>
      </c>
      <c r="N34" s="4" t="s">
        <v>62</v>
      </c>
      <c r="O34" s="4" t="s">
        <v>62</v>
      </c>
      <c r="P34" s="4" t="s">
        <v>62</v>
      </c>
      <c r="Q34" s="4" t="s">
        <v>62</v>
      </c>
      <c r="R34" s="4" t="s">
        <v>62</v>
      </c>
      <c r="S34" s="4" t="s">
        <v>62</v>
      </c>
      <c r="T34" s="4" t="s">
        <v>62</v>
      </c>
      <c r="U34" s="4" t="s">
        <v>62</v>
      </c>
      <c r="V34" s="4" t="s">
        <v>62</v>
      </c>
      <c r="W34" s="4" t="s">
        <v>62</v>
      </c>
      <c r="X34" s="4" t="s">
        <v>62</v>
      </c>
      <c r="Y34" s="4" t="s">
        <v>62</v>
      </c>
      <c r="Z34" s="4" t="s">
        <v>62</v>
      </c>
      <c r="AA34" s="4" t="s">
        <v>62</v>
      </c>
      <c r="AB34" s="4" t="s">
        <v>62</v>
      </c>
      <c r="AC34" s="4" t="s">
        <v>62</v>
      </c>
      <c r="AD34" s="4" t="s">
        <v>62</v>
      </c>
      <c r="AE34" s="4" t="s">
        <v>62</v>
      </c>
      <c r="AF34" s="4" t="s">
        <v>62</v>
      </c>
      <c r="AG34" s="4" t="s">
        <v>62</v>
      </c>
      <c r="AH34" s="4" t="s">
        <v>62</v>
      </c>
    </row>
    <row r="35" spans="2:34">
      <c r="B35" s="148">
        <v>22</v>
      </c>
      <c r="C35" s="90" t="str">
        <f>LEFT(EmpGName22)&amp;" " &amp;EmpSName22</f>
        <v>J Odd14</v>
      </c>
      <c r="D35" s="3" t="s">
        <v>62</v>
      </c>
      <c r="E35" s="3" t="s">
        <v>62</v>
      </c>
      <c r="F35" s="3" t="s">
        <v>62</v>
      </c>
      <c r="G35" s="3" t="s">
        <v>62</v>
      </c>
      <c r="H35" s="3" t="s">
        <v>62</v>
      </c>
      <c r="I35" s="3" t="s">
        <v>62</v>
      </c>
      <c r="J35" s="3" t="s">
        <v>62</v>
      </c>
      <c r="K35" s="3" t="s">
        <v>62</v>
      </c>
      <c r="L35" s="3" t="s">
        <v>62</v>
      </c>
      <c r="M35" s="3" t="s">
        <v>62</v>
      </c>
      <c r="N35" s="3" t="s">
        <v>62</v>
      </c>
      <c r="O35" s="3" t="s">
        <v>62</v>
      </c>
      <c r="P35" s="3" t="s">
        <v>62</v>
      </c>
      <c r="Q35" s="3" t="s">
        <v>62</v>
      </c>
      <c r="R35" s="3" t="s">
        <v>62</v>
      </c>
      <c r="S35" s="3" t="s">
        <v>62</v>
      </c>
      <c r="T35" s="3" t="s">
        <v>62</v>
      </c>
      <c r="U35" s="3" t="s">
        <v>62</v>
      </c>
      <c r="V35" s="3" t="s">
        <v>62</v>
      </c>
      <c r="W35" s="3" t="s">
        <v>62</v>
      </c>
      <c r="X35" s="3" t="s">
        <v>62</v>
      </c>
      <c r="Y35" s="3" t="s">
        <v>62</v>
      </c>
      <c r="Z35" s="3" t="s">
        <v>62</v>
      </c>
      <c r="AA35" s="3" t="s">
        <v>62</v>
      </c>
      <c r="AB35" s="3" t="s">
        <v>62</v>
      </c>
      <c r="AC35" s="3" t="s">
        <v>62</v>
      </c>
      <c r="AD35" s="3" t="s">
        <v>62</v>
      </c>
      <c r="AE35" s="3" t="s">
        <v>62</v>
      </c>
      <c r="AF35" s="3" t="s">
        <v>62</v>
      </c>
      <c r="AG35" s="3" t="s">
        <v>62</v>
      </c>
      <c r="AH35" s="3" t="s">
        <v>62</v>
      </c>
    </row>
    <row r="36" spans="2:34">
      <c r="B36" s="148">
        <v>23</v>
      </c>
      <c r="C36" s="89" t="str">
        <f>LEFT(EmpGName23)&amp;" " &amp;EmpSName23</f>
        <v>K Odd15</v>
      </c>
      <c r="D36" s="4" t="s">
        <v>62</v>
      </c>
      <c r="E36" s="4" t="s">
        <v>62</v>
      </c>
      <c r="F36" s="4" t="s">
        <v>62</v>
      </c>
      <c r="G36" s="4" t="s">
        <v>62</v>
      </c>
      <c r="H36" s="4" t="s">
        <v>62</v>
      </c>
      <c r="I36" s="4" t="s">
        <v>62</v>
      </c>
      <c r="J36" s="4" t="s">
        <v>62</v>
      </c>
      <c r="K36" s="4" t="s">
        <v>62</v>
      </c>
      <c r="L36" s="4" t="s">
        <v>62</v>
      </c>
      <c r="M36" s="4" t="s">
        <v>62</v>
      </c>
      <c r="N36" s="4" t="s">
        <v>62</v>
      </c>
      <c r="O36" s="4" t="s">
        <v>62</v>
      </c>
      <c r="P36" s="4" t="s">
        <v>62</v>
      </c>
      <c r="Q36" s="4" t="s">
        <v>62</v>
      </c>
      <c r="R36" s="4" t="s">
        <v>62</v>
      </c>
      <c r="S36" s="4" t="s">
        <v>62</v>
      </c>
      <c r="T36" s="4" t="s">
        <v>62</v>
      </c>
      <c r="U36" s="4" t="s">
        <v>62</v>
      </c>
      <c r="V36" s="4" t="s">
        <v>62</v>
      </c>
      <c r="W36" s="4" t="s">
        <v>62</v>
      </c>
      <c r="X36" s="4" t="s">
        <v>62</v>
      </c>
      <c r="Y36" s="4" t="s">
        <v>62</v>
      </c>
      <c r="Z36" s="4" t="s">
        <v>62</v>
      </c>
      <c r="AA36" s="4" t="s">
        <v>62</v>
      </c>
      <c r="AB36" s="4" t="s">
        <v>62</v>
      </c>
      <c r="AC36" s="4" t="s">
        <v>62</v>
      </c>
      <c r="AD36" s="4" t="s">
        <v>62</v>
      </c>
      <c r="AE36" s="4" t="s">
        <v>62</v>
      </c>
      <c r="AF36" s="4" t="s">
        <v>62</v>
      </c>
      <c r="AG36" s="4" t="s">
        <v>62</v>
      </c>
      <c r="AH36" s="4" t="s">
        <v>62</v>
      </c>
    </row>
    <row r="37" spans="2:34">
      <c r="B37" s="148">
        <v>24</v>
      </c>
      <c r="C37" s="90" t="str">
        <f>LEFT(EmpGName24)&amp;" " &amp;EmpSName24</f>
        <v>L Odd16</v>
      </c>
      <c r="D37" s="3" t="s">
        <v>62</v>
      </c>
      <c r="E37" s="3" t="s">
        <v>62</v>
      </c>
      <c r="F37" s="3" t="s">
        <v>62</v>
      </c>
      <c r="G37" s="3" t="s">
        <v>62</v>
      </c>
      <c r="H37" s="3" t="s">
        <v>62</v>
      </c>
      <c r="I37" s="3" t="s">
        <v>62</v>
      </c>
      <c r="J37" s="3" t="s">
        <v>62</v>
      </c>
      <c r="K37" s="3" t="s">
        <v>62</v>
      </c>
      <c r="L37" s="3" t="s">
        <v>62</v>
      </c>
      <c r="M37" s="3" t="s">
        <v>62</v>
      </c>
      <c r="N37" s="3" t="s">
        <v>62</v>
      </c>
      <c r="O37" s="3" t="s">
        <v>62</v>
      </c>
      <c r="P37" s="3" t="s">
        <v>62</v>
      </c>
      <c r="Q37" s="3" t="s">
        <v>62</v>
      </c>
      <c r="R37" s="3" t="s">
        <v>62</v>
      </c>
      <c r="S37" s="3" t="s">
        <v>62</v>
      </c>
      <c r="T37" s="3" t="s">
        <v>62</v>
      </c>
      <c r="U37" s="3" t="s">
        <v>62</v>
      </c>
      <c r="V37" s="3" t="s">
        <v>62</v>
      </c>
      <c r="W37" s="3" t="s">
        <v>62</v>
      </c>
      <c r="X37" s="3" t="s">
        <v>62</v>
      </c>
      <c r="Y37" s="3" t="s">
        <v>62</v>
      </c>
      <c r="Z37" s="3" t="s">
        <v>62</v>
      </c>
      <c r="AA37" s="3" t="s">
        <v>62</v>
      </c>
      <c r="AB37" s="3" t="s">
        <v>62</v>
      </c>
      <c r="AC37" s="3" t="s">
        <v>62</v>
      </c>
      <c r="AD37" s="3" t="s">
        <v>62</v>
      </c>
      <c r="AE37" s="3" t="s">
        <v>62</v>
      </c>
      <c r="AF37" s="3" t="s">
        <v>62</v>
      </c>
      <c r="AG37" s="3" t="s">
        <v>62</v>
      </c>
      <c r="AH37" s="3" t="s">
        <v>62</v>
      </c>
    </row>
    <row r="38" spans="2:34">
      <c r="B38" s="148">
        <v>25</v>
      </c>
      <c r="C38" s="89" t="str">
        <f>LEFT(EmpGName25)&amp;" " &amp;EmpSName25</f>
        <v>M Odd17</v>
      </c>
      <c r="D38" s="4" t="s">
        <v>62</v>
      </c>
      <c r="E38" s="4" t="s">
        <v>62</v>
      </c>
      <c r="F38" s="4" t="s">
        <v>62</v>
      </c>
      <c r="G38" s="4" t="s">
        <v>62</v>
      </c>
      <c r="H38" s="4" t="s">
        <v>62</v>
      </c>
      <c r="I38" s="4" t="s">
        <v>62</v>
      </c>
      <c r="J38" s="4" t="s">
        <v>62</v>
      </c>
      <c r="K38" s="4" t="s">
        <v>62</v>
      </c>
      <c r="L38" s="4" t="s">
        <v>62</v>
      </c>
      <c r="M38" s="4" t="s">
        <v>62</v>
      </c>
      <c r="N38" s="4" t="s">
        <v>62</v>
      </c>
      <c r="O38" s="4" t="s">
        <v>62</v>
      </c>
      <c r="P38" s="4" t="s">
        <v>62</v>
      </c>
      <c r="Q38" s="4" t="s">
        <v>62</v>
      </c>
      <c r="R38" s="4" t="s">
        <v>62</v>
      </c>
      <c r="S38" s="4" t="s">
        <v>62</v>
      </c>
      <c r="T38" s="4" t="s">
        <v>62</v>
      </c>
      <c r="U38" s="4" t="s">
        <v>62</v>
      </c>
      <c r="V38" s="4" t="s">
        <v>62</v>
      </c>
      <c r="W38" s="4" t="s">
        <v>62</v>
      </c>
      <c r="X38" s="4" t="s">
        <v>62</v>
      </c>
      <c r="Y38" s="4" t="s">
        <v>62</v>
      </c>
      <c r="Z38" s="4" t="s">
        <v>62</v>
      </c>
      <c r="AA38" s="4" t="s">
        <v>62</v>
      </c>
      <c r="AB38" s="4" t="s">
        <v>62</v>
      </c>
      <c r="AC38" s="4" t="s">
        <v>62</v>
      </c>
      <c r="AD38" s="4" t="s">
        <v>62</v>
      </c>
      <c r="AE38" s="4" t="s">
        <v>62</v>
      </c>
      <c r="AF38" s="4" t="s">
        <v>62</v>
      </c>
      <c r="AG38" s="4" t="s">
        <v>62</v>
      </c>
      <c r="AH38" s="4" t="s">
        <v>62</v>
      </c>
    </row>
    <row r="39" spans="2:34">
      <c r="B39" s="148">
        <v>26</v>
      </c>
      <c r="C39" s="90" t="str">
        <f>LEFT(EmpGName26)&amp;" " &amp;EmpSName26</f>
        <v>N Odd18</v>
      </c>
      <c r="D39" s="3" t="s">
        <v>62</v>
      </c>
      <c r="E39" s="3" t="s">
        <v>62</v>
      </c>
      <c r="F39" s="3" t="s">
        <v>62</v>
      </c>
      <c r="G39" s="3" t="s">
        <v>62</v>
      </c>
      <c r="H39" s="3" t="s">
        <v>62</v>
      </c>
      <c r="I39" s="3" t="s">
        <v>62</v>
      </c>
      <c r="J39" s="3" t="s">
        <v>62</v>
      </c>
      <c r="K39" s="3" t="s">
        <v>62</v>
      </c>
      <c r="L39" s="3" t="s">
        <v>62</v>
      </c>
      <c r="M39" s="3" t="s">
        <v>62</v>
      </c>
      <c r="N39" s="3" t="s">
        <v>62</v>
      </c>
      <c r="O39" s="3" t="s">
        <v>62</v>
      </c>
      <c r="P39" s="3" t="s">
        <v>62</v>
      </c>
      <c r="Q39" s="3" t="s">
        <v>62</v>
      </c>
      <c r="R39" s="3" t="s">
        <v>62</v>
      </c>
      <c r="S39" s="3" t="s">
        <v>62</v>
      </c>
      <c r="T39" s="3" t="s">
        <v>62</v>
      </c>
      <c r="U39" s="3" t="s">
        <v>62</v>
      </c>
      <c r="V39" s="3" t="s">
        <v>62</v>
      </c>
      <c r="W39" s="3" t="s">
        <v>62</v>
      </c>
      <c r="X39" s="3" t="s">
        <v>62</v>
      </c>
      <c r="Y39" s="3" t="s">
        <v>62</v>
      </c>
      <c r="Z39" s="3" t="s">
        <v>62</v>
      </c>
      <c r="AA39" s="3" t="s">
        <v>62</v>
      </c>
      <c r="AB39" s="3" t="s">
        <v>62</v>
      </c>
      <c r="AC39" s="3" t="s">
        <v>62</v>
      </c>
      <c r="AD39" s="3" t="s">
        <v>62</v>
      </c>
      <c r="AE39" s="3" t="s">
        <v>62</v>
      </c>
      <c r="AF39" s="3" t="s">
        <v>62</v>
      </c>
      <c r="AG39" s="3" t="s">
        <v>62</v>
      </c>
      <c r="AH39" s="3" t="s">
        <v>62</v>
      </c>
    </row>
    <row r="40" spans="2:34">
      <c r="B40" s="148">
        <v>27</v>
      </c>
      <c r="C40" s="89" t="str">
        <f>LEFT(EmpGName27)&amp;" " &amp;EmpSName27</f>
        <v>O Odd19</v>
      </c>
      <c r="D40" s="4" t="s">
        <v>62</v>
      </c>
      <c r="E40" s="4" t="s">
        <v>62</v>
      </c>
      <c r="F40" s="4" t="s">
        <v>62</v>
      </c>
      <c r="G40" s="4" t="s">
        <v>62</v>
      </c>
      <c r="H40" s="4" t="s">
        <v>62</v>
      </c>
      <c r="I40" s="4" t="s">
        <v>62</v>
      </c>
      <c r="J40" s="4" t="s">
        <v>62</v>
      </c>
      <c r="K40" s="4" t="s">
        <v>62</v>
      </c>
      <c r="L40" s="4" t="s">
        <v>62</v>
      </c>
      <c r="M40" s="4" t="s">
        <v>62</v>
      </c>
      <c r="N40" s="4" t="s">
        <v>62</v>
      </c>
      <c r="O40" s="4" t="s">
        <v>62</v>
      </c>
      <c r="P40" s="4" t="s">
        <v>62</v>
      </c>
      <c r="Q40" s="4" t="s">
        <v>62</v>
      </c>
      <c r="R40" s="4" t="s">
        <v>62</v>
      </c>
      <c r="S40" s="4" t="s">
        <v>62</v>
      </c>
      <c r="T40" s="4" t="s">
        <v>62</v>
      </c>
      <c r="U40" s="4" t="s">
        <v>62</v>
      </c>
      <c r="V40" s="4" t="s">
        <v>62</v>
      </c>
      <c r="W40" s="4" t="s">
        <v>62</v>
      </c>
      <c r="X40" s="4" t="s">
        <v>62</v>
      </c>
      <c r="Y40" s="4" t="s">
        <v>62</v>
      </c>
      <c r="Z40" s="4" t="s">
        <v>62</v>
      </c>
      <c r="AA40" s="4" t="s">
        <v>62</v>
      </c>
      <c r="AB40" s="4" t="s">
        <v>62</v>
      </c>
      <c r="AC40" s="4" t="s">
        <v>62</v>
      </c>
      <c r="AD40" s="4" t="s">
        <v>62</v>
      </c>
      <c r="AE40" s="4" t="s">
        <v>62</v>
      </c>
      <c r="AF40" s="4" t="s">
        <v>62</v>
      </c>
      <c r="AG40" s="4" t="s">
        <v>62</v>
      </c>
      <c r="AH40" s="4" t="s">
        <v>62</v>
      </c>
    </row>
    <row r="41" spans="2:34">
      <c r="B41" s="148">
        <v>28</v>
      </c>
      <c r="C41" s="90" t="str">
        <f>LEFT(EmpGName28)&amp;" " &amp;EmpSName28</f>
        <v>P Odd20</v>
      </c>
      <c r="D41" s="3" t="s">
        <v>62</v>
      </c>
      <c r="E41" s="3" t="s">
        <v>62</v>
      </c>
      <c r="F41" s="3" t="s">
        <v>62</v>
      </c>
      <c r="G41" s="3" t="s">
        <v>62</v>
      </c>
      <c r="H41" s="3" t="s">
        <v>62</v>
      </c>
      <c r="I41" s="3" t="s">
        <v>62</v>
      </c>
      <c r="J41" s="3" t="s">
        <v>62</v>
      </c>
      <c r="K41" s="3" t="s">
        <v>62</v>
      </c>
      <c r="L41" s="3" t="s">
        <v>62</v>
      </c>
      <c r="M41" s="3" t="s">
        <v>62</v>
      </c>
      <c r="N41" s="3" t="s">
        <v>62</v>
      </c>
      <c r="O41" s="3" t="s">
        <v>62</v>
      </c>
      <c r="P41" s="3" t="s">
        <v>62</v>
      </c>
      <c r="Q41" s="3" t="s">
        <v>62</v>
      </c>
      <c r="R41" s="3" t="s">
        <v>62</v>
      </c>
      <c r="S41" s="3" t="s">
        <v>62</v>
      </c>
      <c r="T41" s="3" t="s">
        <v>62</v>
      </c>
      <c r="U41" s="3" t="s">
        <v>62</v>
      </c>
      <c r="V41" s="3" t="s">
        <v>62</v>
      </c>
      <c r="W41" s="3" t="s">
        <v>62</v>
      </c>
      <c r="X41" s="3" t="s">
        <v>62</v>
      </c>
      <c r="Y41" s="3" t="s">
        <v>62</v>
      </c>
      <c r="Z41" s="3" t="s">
        <v>62</v>
      </c>
      <c r="AA41" s="3" t="s">
        <v>62</v>
      </c>
      <c r="AB41" s="3" t="s">
        <v>62</v>
      </c>
      <c r="AC41" s="3" t="s">
        <v>62</v>
      </c>
      <c r="AD41" s="3" t="s">
        <v>62</v>
      </c>
      <c r="AE41" s="3" t="s">
        <v>62</v>
      </c>
      <c r="AF41" s="3" t="s">
        <v>62</v>
      </c>
      <c r="AG41" s="3" t="s">
        <v>62</v>
      </c>
      <c r="AH41" s="3" t="s">
        <v>62</v>
      </c>
    </row>
    <row r="43" spans="2:34" s="6" customFormat="1">
      <c r="B43"/>
      <c r="C43" t="str">
        <f>CurYear-1&amp;":"</f>
        <v>2018:</v>
      </c>
      <c r="D43" s="5" t="str">
        <f t="shared" ref="D43:AH43" si="1">LEFT(TEXT(D44&amp;"-"&amp;$C44&amp;"-"&amp; CurYear-1,"ddd"),2)</f>
        <v>We</v>
      </c>
      <c r="E43" s="5" t="str">
        <f t="shared" si="1"/>
        <v>Th</v>
      </c>
      <c r="F43" s="5" t="str">
        <f t="shared" si="1"/>
        <v>Fr</v>
      </c>
      <c r="G43" s="5" t="str">
        <f t="shared" si="1"/>
        <v>Sa</v>
      </c>
      <c r="H43" s="5" t="str">
        <f t="shared" si="1"/>
        <v>Su</v>
      </c>
      <c r="I43" s="5" t="str">
        <f t="shared" si="1"/>
        <v>Mo</v>
      </c>
      <c r="J43" s="5" t="str">
        <f t="shared" si="1"/>
        <v>Tu</v>
      </c>
      <c r="K43" s="5" t="str">
        <f t="shared" si="1"/>
        <v>We</v>
      </c>
      <c r="L43" s="5" t="str">
        <f t="shared" si="1"/>
        <v>Th</v>
      </c>
      <c r="M43" s="5" t="str">
        <f t="shared" si="1"/>
        <v>Fr</v>
      </c>
      <c r="N43" s="5" t="str">
        <f t="shared" si="1"/>
        <v>Sa</v>
      </c>
      <c r="O43" s="5" t="str">
        <f t="shared" si="1"/>
        <v>Su</v>
      </c>
      <c r="P43" s="5" t="str">
        <f t="shared" si="1"/>
        <v>Mo</v>
      </c>
      <c r="Q43" s="5" t="str">
        <f t="shared" si="1"/>
        <v>Tu</v>
      </c>
      <c r="R43" s="5" t="str">
        <f t="shared" si="1"/>
        <v>We</v>
      </c>
      <c r="S43" s="5" t="str">
        <f t="shared" si="1"/>
        <v>Th</v>
      </c>
      <c r="T43" s="5" t="str">
        <f t="shared" si="1"/>
        <v>Fr</v>
      </c>
      <c r="U43" s="5" t="str">
        <f t="shared" si="1"/>
        <v>Sa</v>
      </c>
      <c r="V43" s="5" t="str">
        <f t="shared" si="1"/>
        <v>Su</v>
      </c>
      <c r="W43" s="5" t="str">
        <f t="shared" si="1"/>
        <v>Mo</v>
      </c>
      <c r="X43" s="5" t="str">
        <f t="shared" si="1"/>
        <v>Tu</v>
      </c>
      <c r="Y43" s="5" t="str">
        <f t="shared" si="1"/>
        <v>We</v>
      </c>
      <c r="Z43" s="5" t="str">
        <f t="shared" si="1"/>
        <v>Th</v>
      </c>
      <c r="AA43" s="5" t="str">
        <f t="shared" si="1"/>
        <v>Fr</v>
      </c>
      <c r="AB43" s="5" t="str">
        <f t="shared" si="1"/>
        <v>Sa</v>
      </c>
      <c r="AC43" s="5" t="str">
        <f t="shared" si="1"/>
        <v>Su</v>
      </c>
      <c r="AD43" s="5" t="str">
        <f t="shared" si="1"/>
        <v>Mo</v>
      </c>
      <c r="AE43" s="5" t="str">
        <f t="shared" si="1"/>
        <v>Tu</v>
      </c>
      <c r="AF43" s="5" t="str">
        <f t="shared" si="1"/>
        <v>We</v>
      </c>
      <c r="AG43" s="5" t="str">
        <f t="shared" si="1"/>
        <v>Th</v>
      </c>
      <c r="AH43" s="5" t="str">
        <f t="shared" si="1"/>
        <v>Fr</v>
      </c>
    </row>
    <row r="44" spans="2:34">
      <c r="B44" s="88"/>
      <c r="C44" s="84" t="s">
        <v>19</v>
      </c>
      <c r="D44" s="85">
        <v>1</v>
      </c>
      <c r="E44" s="85">
        <v>2</v>
      </c>
      <c r="F44" s="176">
        <v>3</v>
      </c>
      <c r="G44" s="85">
        <v>4</v>
      </c>
      <c r="H44" s="85">
        <v>5</v>
      </c>
      <c r="I44" s="85">
        <v>6</v>
      </c>
      <c r="J44" s="85">
        <v>7</v>
      </c>
      <c r="K44" s="85">
        <v>8</v>
      </c>
      <c r="L44" s="85">
        <v>9</v>
      </c>
      <c r="M44" s="85">
        <v>10</v>
      </c>
      <c r="N44" s="85">
        <v>11</v>
      </c>
      <c r="O44" s="85">
        <v>12</v>
      </c>
      <c r="P44" s="85">
        <v>13</v>
      </c>
      <c r="Q44" s="85">
        <v>14</v>
      </c>
      <c r="R44" s="85">
        <v>15</v>
      </c>
      <c r="S44" s="85">
        <v>16</v>
      </c>
      <c r="T44" s="176">
        <v>17</v>
      </c>
      <c r="U44" s="85">
        <v>18</v>
      </c>
      <c r="V44" s="85">
        <v>19</v>
      </c>
      <c r="W44" s="85">
        <v>20</v>
      </c>
      <c r="X44" s="85">
        <v>21</v>
      </c>
      <c r="Y44" s="85">
        <v>22</v>
      </c>
      <c r="Z44" s="85">
        <v>23</v>
      </c>
      <c r="AA44" s="85">
        <v>24</v>
      </c>
      <c r="AB44" s="85">
        <v>25</v>
      </c>
      <c r="AC44" s="85">
        <v>26</v>
      </c>
      <c r="AD44" s="85">
        <v>27</v>
      </c>
      <c r="AE44" s="85">
        <v>28</v>
      </c>
      <c r="AF44" s="85">
        <v>29</v>
      </c>
      <c r="AG44" s="85">
        <v>30</v>
      </c>
      <c r="AH44" s="176">
        <v>31</v>
      </c>
    </row>
    <row r="45" spans="2:34">
      <c r="B45" s="85">
        <v>1</v>
      </c>
      <c r="C45" s="89" t="str">
        <f>LEFT(EmpGName01)&amp;" " &amp; EmpSName01</f>
        <v>L Marampon</v>
      </c>
      <c r="D45" s="4" t="s">
        <v>62</v>
      </c>
      <c r="E45" s="4" t="s">
        <v>62</v>
      </c>
      <c r="F45" s="4" t="s">
        <v>62</v>
      </c>
      <c r="G45" s="4" t="s">
        <v>62</v>
      </c>
      <c r="H45" s="4" t="s">
        <v>62</v>
      </c>
      <c r="I45" s="4" t="s">
        <v>62</v>
      </c>
      <c r="J45" s="4" t="s">
        <v>62</v>
      </c>
      <c r="K45" s="4" t="s">
        <v>62</v>
      </c>
      <c r="L45" s="4" t="s">
        <v>62</v>
      </c>
      <c r="M45" s="4" t="s">
        <v>62</v>
      </c>
      <c r="N45" s="4" t="s">
        <v>62</v>
      </c>
      <c r="O45" s="4" t="s">
        <v>62</v>
      </c>
      <c r="P45" s="4" t="s">
        <v>62</v>
      </c>
      <c r="Q45" s="4" t="s">
        <v>62</v>
      </c>
      <c r="R45" s="4" t="s">
        <v>62</v>
      </c>
      <c r="S45" s="4" t="s">
        <v>62</v>
      </c>
      <c r="T45" s="4" t="s">
        <v>62</v>
      </c>
      <c r="U45" s="4" t="s">
        <v>62</v>
      </c>
      <c r="V45" s="4" t="s">
        <v>62</v>
      </c>
      <c r="W45" s="4" t="s">
        <v>62</v>
      </c>
      <c r="X45" s="4" t="s">
        <v>62</v>
      </c>
      <c r="Y45" s="4" t="s">
        <v>62</v>
      </c>
      <c r="Z45" s="4" t="s">
        <v>62</v>
      </c>
      <c r="AA45" s="4" t="s">
        <v>62</v>
      </c>
      <c r="AB45" s="4" t="s">
        <v>62</v>
      </c>
      <c r="AC45" s="4" t="s">
        <v>62</v>
      </c>
      <c r="AD45" s="4" t="s">
        <v>62</v>
      </c>
      <c r="AE45" s="4" t="s">
        <v>62</v>
      </c>
      <c r="AF45" s="4" t="s">
        <v>62</v>
      </c>
      <c r="AG45" s="4" t="s">
        <v>62</v>
      </c>
      <c r="AH45" s="4" t="s">
        <v>62</v>
      </c>
    </row>
    <row r="46" spans="2:34">
      <c r="B46" s="85">
        <v>2</v>
      </c>
      <c r="C46" s="90" t="str">
        <f>LEFT(EmpGName02)&amp;" " &amp;EmpSName02</f>
        <v>K Stone</v>
      </c>
      <c r="D46" s="3" t="s">
        <v>62</v>
      </c>
      <c r="E46" s="3" t="s">
        <v>62</v>
      </c>
      <c r="F46" s="3" t="s">
        <v>62</v>
      </c>
      <c r="G46" s="3" t="s">
        <v>62</v>
      </c>
      <c r="H46" s="3" t="s">
        <v>62</v>
      </c>
      <c r="I46" s="3" t="s">
        <v>62</v>
      </c>
      <c r="J46" s="3" t="s">
        <v>62</v>
      </c>
      <c r="K46" s="3" t="s">
        <v>62</v>
      </c>
      <c r="L46" s="3" t="s">
        <v>62</v>
      </c>
      <c r="M46" s="3" t="s">
        <v>62</v>
      </c>
      <c r="N46" s="3" t="s">
        <v>62</v>
      </c>
      <c r="O46" s="3" t="s">
        <v>62</v>
      </c>
      <c r="P46" s="3" t="s">
        <v>62</v>
      </c>
      <c r="Q46" s="3" t="s">
        <v>62</v>
      </c>
      <c r="R46" s="3" t="s">
        <v>62</v>
      </c>
      <c r="S46" s="3" t="s">
        <v>62</v>
      </c>
      <c r="T46" s="3" t="s">
        <v>62</v>
      </c>
      <c r="U46" s="3" t="s">
        <v>62</v>
      </c>
      <c r="V46" s="3" t="s">
        <v>62</v>
      </c>
      <c r="W46" s="3" t="s">
        <v>62</v>
      </c>
      <c r="X46" s="3" t="s">
        <v>62</v>
      </c>
      <c r="Y46" s="3" t="s">
        <v>62</v>
      </c>
      <c r="Z46" s="3" t="s">
        <v>62</v>
      </c>
      <c r="AA46" s="3" t="s">
        <v>62</v>
      </c>
      <c r="AB46" s="3" t="s">
        <v>62</v>
      </c>
      <c r="AC46" s="3" t="s">
        <v>62</v>
      </c>
      <c r="AD46" s="3" t="s">
        <v>62</v>
      </c>
      <c r="AE46" s="3" t="s">
        <v>62</v>
      </c>
      <c r="AF46" s="3" t="s">
        <v>62</v>
      </c>
      <c r="AG46" s="3" t="s">
        <v>62</v>
      </c>
      <c r="AH46" s="3" t="s">
        <v>62</v>
      </c>
    </row>
    <row r="47" spans="2:34">
      <c r="B47" s="85">
        <v>3</v>
      </c>
      <c r="C47" s="89" t="str">
        <f>LEFT(EmpGName03)&amp;" " &amp;EmpSName03</f>
        <v>I Thelning</v>
      </c>
      <c r="D47" s="4" t="s">
        <v>62</v>
      </c>
      <c r="E47" s="4" t="s">
        <v>62</v>
      </c>
      <c r="F47" s="4" t="s">
        <v>62</v>
      </c>
      <c r="G47" s="4" t="s">
        <v>62</v>
      </c>
      <c r="H47" s="4" t="s">
        <v>62</v>
      </c>
      <c r="I47" s="4" t="s">
        <v>62</v>
      </c>
      <c r="J47" s="4" t="s">
        <v>62</v>
      </c>
      <c r="K47" s="4" t="s">
        <v>62</v>
      </c>
      <c r="L47" s="4" t="s">
        <v>62</v>
      </c>
      <c r="M47" s="4" t="s">
        <v>62</v>
      </c>
      <c r="N47" s="4" t="s">
        <v>62</v>
      </c>
      <c r="O47" s="4" t="s">
        <v>62</v>
      </c>
      <c r="P47" s="4" t="s">
        <v>62</v>
      </c>
      <c r="Q47" s="4" t="s">
        <v>62</v>
      </c>
      <c r="R47" s="4" t="s">
        <v>62</v>
      </c>
      <c r="S47" s="4" t="s">
        <v>62</v>
      </c>
      <c r="T47" s="4" t="s">
        <v>62</v>
      </c>
      <c r="U47" s="4" t="s">
        <v>62</v>
      </c>
      <c r="V47" s="4" t="s">
        <v>62</v>
      </c>
      <c r="W47" s="4" t="s">
        <v>62</v>
      </c>
      <c r="X47" s="4" t="s">
        <v>62</v>
      </c>
      <c r="Y47" s="4" t="s">
        <v>62</v>
      </c>
      <c r="Z47" s="4" t="s">
        <v>62</v>
      </c>
      <c r="AA47" s="4" t="s">
        <v>62</v>
      </c>
      <c r="AB47" s="4" t="s">
        <v>62</v>
      </c>
      <c r="AC47" s="4" t="s">
        <v>62</v>
      </c>
      <c r="AD47" s="4" t="s">
        <v>62</v>
      </c>
      <c r="AE47" s="4" t="s">
        <v>62</v>
      </c>
      <c r="AF47" s="4" t="s">
        <v>62</v>
      </c>
      <c r="AG47" s="4" t="s">
        <v>62</v>
      </c>
      <c r="AH47" s="4" t="s">
        <v>62</v>
      </c>
    </row>
    <row r="48" spans="2:34">
      <c r="B48" s="85">
        <v>4</v>
      </c>
      <c r="C48" s="90" t="str">
        <f>LEFT(EmpGName04)&amp;" " &amp;EmpSName04</f>
        <v>L King</v>
      </c>
      <c r="D48" s="3" t="s">
        <v>62</v>
      </c>
      <c r="E48" s="3" t="s">
        <v>62</v>
      </c>
      <c r="F48" s="3" t="s">
        <v>62</v>
      </c>
      <c r="G48" s="3" t="s">
        <v>62</v>
      </c>
      <c r="H48" s="3" t="s">
        <v>62</v>
      </c>
      <c r="I48" s="3" t="s">
        <v>62</v>
      </c>
      <c r="J48" s="3" t="s">
        <v>62</v>
      </c>
      <c r="K48" s="3" t="s">
        <v>62</v>
      </c>
      <c r="L48" s="3" t="s">
        <v>62</v>
      </c>
      <c r="M48" s="3" t="s">
        <v>62</v>
      </c>
      <c r="N48" s="3" t="s">
        <v>62</v>
      </c>
      <c r="O48" s="3" t="s">
        <v>62</v>
      </c>
      <c r="P48" s="3" t="s">
        <v>62</v>
      </c>
      <c r="Q48" s="3" t="s">
        <v>62</v>
      </c>
      <c r="R48" s="3" t="s">
        <v>62</v>
      </c>
      <c r="S48" s="3" t="s">
        <v>62</v>
      </c>
      <c r="T48" s="3" t="s">
        <v>62</v>
      </c>
      <c r="U48" s="3" t="s">
        <v>62</v>
      </c>
      <c r="V48" s="3" t="s">
        <v>62</v>
      </c>
      <c r="W48" s="3" t="s">
        <v>62</v>
      </c>
      <c r="X48" s="3" t="s">
        <v>62</v>
      </c>
      <c r="Y48" s="3" t="s">
        <v>62</v>
      </c>
      <c r="Z48" s="3" t="s">
        <v>62</v>
      </c>
      <c r="AA48" s="3" t="s">
        <v>62</v>
      </c>
      <c r="AB48" s="3" t="s">
        <v>62</v>
      </c>
      <c r="AC48" s="3" t="s">
        <v>62</v>
      </c>
      <c r="AD48" s="3" t="s">
        <v>62</v>
      </c>
      <c r="AE48" s="3" t="s">
        <v>62</v>
      </c>
      <c r="AF48" s="3" t="s">
        <v>62</v>
      </c>
      <c r="AG48" s="3" t="s">
        <v>62</v>
      </c>
      <c r="AH48" s="3" t="s">
        <v>62</v>
      </c>
    </row>
    <row r="49" spans="2:34">
      <c r="B49" s="85">
        <v>5</v>
      </c>
      <c r="C49" s="89" t="str">
        <f>LEFT(EmpGName05)&amp;" " &amp;EmpSName05</f>
        <v>D Castle</v>
      </c>
      <c r="D49" s="4" t="s">
        <v>62</v>
      </c>
      <c r="E49" s="4" t="s">
        <v>62</v>
      </c>
      <c r="F49" s="4" t="s">
        <v>62</v>
      </c>
      <c r="G49" s="4" t="s">
        <v>62</v>
      </c>
      <c r="H49" s="4" t="s">
        <v>62</v>
      </c>
      <c r="I49" s="4" t="s">
        <v>62</v>
      </c>
      <c r="J49" s="4" t="s">
        <v>62</v>
      </c>
      <c r="K49" s="4" t="s">
        <v>62</v>
      </c>
      <c r="L49" s="4" t="s">
        <v>62</v>
      </c>
      <c r="M49" s="4" t="s">
        <v>62</v>
      </c>
      <c r="N49" s="4" t="s">
        <v>62</v>
      </c>
      <c r="O49" s="4" t="s">
        <v>62</v>
      </c>
      <c r="P49" s="4" t="s">
        <v>62</v>
      </c>
      <c r="Q49" s="4" t="s">
        <v>62</v>
      </c>
      <c r="R49" s="4" t="s">
        <v>62</v>
      </c>
      <c r="S49" s="4" t="s">
        <v>62</v>
      </c>
      <c r="T49" s="4" t="s">
        <v>62</v>
      </c>
      <c r="U49" s="4" t="s">
        <v>62</v>
      </c>
      <c r="V49" s="4" t="s">
        <v>62</v>
      </c>
      <c r="W49" s="4" t="s">
        <v>62</v>
      </c>
      <c r="X49" s="4" t="s">
        <v>62</v>
      </c>
      <c r="Y49" s="4" t="s">
        <v>62</v>
      </c>
      <c r="Z49" s="4" t="s">
        <v>62</v>
      </c>
      <c r="AA49" s="4" t="s">
        <v>62</v>
      </c>
      <c r="AB49" s="4" t="s">
        <v>62</v>
      </c>
      <c r="AC49" s="4" t="s">
        <v>62</v>
      </c>
      <c r="AD49" s="4" t="s">
        <v>62</v>
      </c>
      <c r="AE49" s="4" t="s">
        <v>62</v>
      </c>
      <c r="AF49" s="4" t="s">
        <v>62</v>
      </c>
      <c r="AG49" s="4" t="s">
        <v>62</v>
      </c>
      <c r="AH49" s="4" t="s">
        <v>62</v>
      </c>
    </row>
    <row r="50" spans="2:34">
      <c r="B50" s="85">
        <v>6</v>
      </c>
      <c r="C50" s="90" t="str">
        <f>LEFT(EmpGName06)&amp;" " &amp;EmpSName06</f>
        <v>R Fielding</v>
      </c>
      <c r="D50" s="3" t="s">
        <v>62</v>
      </c>
      <c r="E50" s="3" t="s">
        <v>62</v>
      </c>
      <c r="F50" s="3" t="s">
        <v>62</v>
      </c>
      <c r="G50" s="3" t="s">
        <v>62</v>
      </c>
      <c r="H50" s="3" t="s">
        <v>62</v>
      </c>
      <c r="I50" s="3" t="s">
        <v>62</v>
      </c>
      <c r="J50" s="3" t="s">
        <v>62</v>
      </c>
      <c r="K50" s="3" t="s">
        <v>62</v>
      </c>
      <c r="L50" s="3" t="s">
        <v>62</v>
      </c>
      <c r="M50" s="3" t="s">
        <v>62</v>
      </c>
      <c r="N50" s="3" t="s">
        <v>62</v>
      </c>
      <c r="O50" s="3" t="s">
        <v>62</v>
      </c>
      <c r="P50" s="3" t="s">
        <v>62</v>
      </c>
      <c r="Q50" s="3" t="s">
        <v>62</v>
      </c>
      <c r="R50" s="3" t="s">
        <v>62</v>
      </c>
      <c r="S50" s="3" t="s">
        <v>62</v>
      </c>
      <c r="T50" s="3" t="s">
        <v>62</v>
      </c>
      <c r="U50" s="3" t="s">
        <v>62</v>
      </c>
      <c r="V50" s="3" t="s">
        <v>62</v>
      </c>
      <c r="W50" s="3" t="s">
        <v>62</v>
      </c>
      <c r="X50" s="3" t="s">
        <v>62</v>
      </c>
      <c r="Y50" s="3" t="s">
        <v>62</v>
      </c>
      <c r="Z50" s="3" t="s">
        <v>62</v>
      </c>
      <c r="AA50" s="3" t="s">
        <v>62</v>
      </c>
      <c r="AB50" s="3" t="s">
        <v>62</v>
      </c>
      <c r="AC50" s="3" t="s">
        <v>62</v>
      </c>
      <c r="AD50" s="3" t="s">
        <v>62</v>
      </c>
      <c r="AE50" s="3" t="s">
        <v>62</v>
      </c>
      <c r="AF50" s="3" t="s">
        <v>62</v>
      </c>
      <c r="AG50" s="3" t="s">
        <v>62</v>
      </c>
      <c r="AH50" s="3" t="s">
        <v>62</v>
      </c>
    </row>
    <row r="51" spans="2:34">
      <c r="B51" s="85">
        <v>7</v>
      </c>
      <c r="C51" s="89" t="str">
        <f>LEFT(EmpGName07)&amp;" " &amp;EmpSName07</f>
        <v>T Sorensen</v>
      </c>
      <c r="D51" s="4" t="s">
        <v>62</v>
      </c>
      <c r="E51" s="4" t="s">
        <v>62</v>
      </c>
      <c r="F51" s="4" t="s">
        <v>62</v>
      </c>
      <c r="G51" s="4" t="s">
        <v>62</v>
      </c>
      <c r="H51" s="4" t="s">
        <v>62</v>
      </c>
      <c r="I51" s="4" t="s">
        <v>62</v>
      </c>
      <c r="J51" s="4" t="s">
        <v>62</v>
      </c>
      <c r="K51" s="4" t="s">
        <v>62</v>
      </c>
      <c r="L51" s="4" t="s">
        <v>62</v>
      </c>
      <c r="M51" s="4" t="s">
        <v>62</v>
      </c>
      <c r="N51" s="4" t="s">
        <v>62</v>
      </c>
      <c r="O51" s="4" t="s">
        <v>62</v>
      </c>
      <c r="P51" s="4" t="s">
        <v>62</v>
      </c>
      <c r="Q51" s="4" t="s">
        <v>62</v>
      </c>
      <c r="R51" s="4" t="s">
        <v>62</v>
      </c>
      <c r="S51" s="4" t="s">
        <v>62</v>
      </c>
      <c r="T51" s="4" t="s">
        <v>62</v>
      </c>
      <c r="U51" s="4" t="s">
        <v>62</v>
      </c>
      <c r="V51" s="4" t="s">
        <v>62</v>
      </c>
      <c r="W51" s="4" t="s">
        <v>62</v>
      </c>
      <c r="X51" s="4" t="s">
        <v>62</v>
      </c>
      <c r="Y51" s="4" t="s">
        <v>62</v>
      </c>
      <c r="Z51" s="4" t="s">
        <v>62</v>
      </c>
      <c r="AA51" s="4" t="s">
        <v>62</v>
      </c>
      <c r="AB51" s="4" t="s">
        <v>62</v>
      </c>
      <c r="AC51" s="4" t="s">
        <v>62</v>
      </c>
      <c r="AD51" s="4" t="s">
        <v>62</v>
      </c>
      <c r="AE51" s="4" t="s">
        <v>62</v>
      </c>
      <c r="AF51" s="4" t="s">
        <v>62</v>
      </c>
      <c r="AG51" s="4" t="s">
        <v>62</v>
      </c>
      <c r="AH51" s="4" t="s">
        <v>62</v>
      </c>
    </row>
    <row r="52" spans="2:34">
      <c r="B52" s="85">
        <v>8</v>
      </c>
      <c r="C52" s="90" t="str">
        <f>LEFT(EmpGName08)&amp;" " &amp;EmpSName08</f>
        <v xml:space="preserve">B Odd </v>
      </c>
      <c r="D52" s="3" t="s">
        <v>62</v>
      </c>
      <c r="E52" s="3" t="s">
        <v>62</v>
      </c>
      <c r="F52" s="3" t="s">
        <v>62</v>
      </c>
      <c r="G52" s="3" t="s">
        <v>62</v>
      </c>
      <c r="H52" s="3" t="s">
        <v>62</v>
      </c>
      <c r="I52" s="3" t="s">
        <v>62</v>
      </c>
      <c r="J52" s="3" t="s">
        <v>62</v>
      </c>
      <c r="K52" s="3" t="s">
        <v>62</v>
      </c>
      <c r="L52" s="3" t="s">
        <v>62</v>
      </c>
      <c r="M52" s="3" t="s">
        <v>62</v>
      </c>
      <c r="N52" s="3" t="s">
        <v>62</v>
      </c>
      <c r="O52" s="3" t="s">
        <v>62</v>
      </c>
      <c r="P52" s="3" t="s">
        <v>62</v>
      </c>
      <c r="Q52" s="3" t="s">
        <v>62</v>
      </c>
      <c r="R52" s="3" t="s">
        <v>62</v>
      </c>
      <c r="S52" s="3" t="s">
        <v>62</v>
      </c>
      <c r="T52" s="3" t="s">
        <v>62</v>
      </c>
      <c r="U52" s="3" t="s">
        <v>62</v>
      </c>
      <c r="V52" s="3" t="s">
        <v>62</v>
      </c>
      <c r="W52" s="3" t="s">
        <v>62</v>
      </c>
      <c r="X52" s="3" t="s">
        <v>62</v>
      </c>
      <c r="Y52" s="3" t="s">
        <v>62</v>
      </c>
      <c r="Z52" s="3" t="s">
        <v>62</v>
      </c>
      <c r="AA52" s="3" t="s">
        <v>62</v>
      </c>
      <c r="AB52" s="3" t="s">
        <v>62</v>
      </c>
      <c r="AC52" s="3" t="s">
        <v>62</v>
      </c>
      <c r="AD52" s="3" t="s">
        <v>62</v>
      </c>
      <c r="AE52" s="3" t="s">
        <v>62</v>
      </c>
      <c r="AF52" s="3" t="s">
        <v>62</v>
      </c>
      <c r="AG52" s="3" t="s">
        <v>62</v>
      </c>
      <c r="AH52" s="3" t="s">
        <v>62</v>
      </c>
    </row>
    <row r="53" spans="2:34">
      <c r="B53" s="85">
        <v>9</v>
      </c>
      <c r="C53" s="89" t="str">
        <f>LEFT(EmpGName09)&amp;" " &amp;EmpSName09</f>
        <v>1 Odd1</v>
      </c>
      <c r="D53" s="4" t="s">
        <v>62</v>
      </c>
      <c r="E53" s="4" t="s">
        <v>62</v>
      </c>
      <c r="F53" s="4" t="s">
        <v>62</v>
      </c>
      <c r="G53" s="4" t="s">
        <v>62</v>
      </c>
      <c r="H53" s="4" t="s">
        <v>62</v>
      </c>
      <c r="I53" s="4" t="s">
        <v>62</v>
      </c>
      <c r="J53" s="4" t="s">
        <v>62</v>
      </c>
      <c r="K53" s="4" t="s">
        <v>62</v>
      </c>
      <c r="L53" s="4" t="s">
        <v>62</v>
      </c>
      <c r="M53" s="4" t="s">
        <v>62</v>
      </c>
      <c r="N53" s="4" t="s">
        <v>62</v>
      </c>
      <c r="O53" s="4" t="s">
        <v>62</v>
      </c>
      <c r="P53" s="4" t="s">
        <v>62</v>
      </c>
      <c r="Q53" s="4" t="s">
        <v>62</v>
      </c>
      <c r="R53" s="4" t="s">
        <v>62</v>
      </c>
      <c r="S53" s="4" t="s">
        <v>62</v>
      </c>
      <c r="T53" s="4" t="s">
        <v>62</v>
      </c>
      <c r="U53" s="4" t="s">
        <v>62</v>
      </c>
      <c r="V53" s="4" t="s">
        <v>62</v>
      </c>
      <c r="W53" s="4" t="s">
        <v>62</v>
      </c>
      <c r="X53" s="4" t="s">
        <v>62</v>
      </c>
      <c r="Y53" s="4" t="s">
        <v>62</v>
      </c>
      <c r="Z53" s="4" t="s">
        <v>62</v>
      </c>
      <c r="AA53" s="4" t="s">
        <v>62</v>
      </c>
      <c r="AB53" s="4" t="s">
        <v>62</v>
      </c>
      <c r="AC53" s="4" t="s">
        <v>62</v>
      </c>
      <c r="AD53" s="4" t="s">
        <v>62</v>
      </c>
      <c r="AE53" s="4" t="s">
        <v>62</v>
      </c>
      <c r="AF53" s="4" t="s">
        <v>62</v>
      </c>
      <c r="AG53" s="4" t="s">
        <v>62</v>
      </c>
      <c r="AH53" s="4" t="s">
        <v>62</v>
      </c>
    </row>
    <row r="54" spans="2:34">
      <c r="B54" s="148">
        <v>10</v>
      </c>
      <c r="C54" s="90" t="str">
        <f>LEFT(EmpGName10)&amp;" " &amp;EmpSName10</f>
        <v>2 Odd2</v>
      </c>
      <c r="D54" s="3" t="s">
        <v>62</v>
      </c>
      <c r="E54" s="3" t="s">
        <v>62</v>
      </c>
      <c r="F54" s="3" t="s">
        <v>62</v>
      </c>
      <c r="G54" s="3" t="s">
        <v>62</v>
      </c>
      <c r="H54" s="3" t="s">
        <v>62</v>
      </c>
      <c r="I54" s="3" t="s">
        <v>62</v>
      </c>
      <c r="J54" s="3" t="s">
        <v>62</v>
      </c>
      <c r="K54" s="3" t="s">
        <v>62</v>
      </c>
      <c r="L54" s="3" t="s">
        <v>62</v>
      </c>
      <c r="M54" s="3" t="s">
        <v>62</v>
      </c>
      <c r="N54" s="3" t="s">
        <v>62</v>
      </c>
      <c r="O54" s="3" t="s">
        <v>62</v>
      </c>
      <c r="P54" s="3" t="s">
        <v>62</v>
      </c>
      <c r="Q54" s="3" t="s">
        <v>62</v>
      </c>
      <c r="R54" s="3" t="s">
        <v>62</v>
      </c>
      <c r="S54" s="3" t="s">
        <v>62</v>
      </c>
      <c r="T54" s="3" t="s">
        <v>62</v>
      </c>
      <c r="U54" s="3" t="s">
        <v>62</v>
      </c>
      <c r="V54" s="3" t="s">
        <v>62</v>
      </c>
      <c r="W54" s="3" t="s">
        <v>62</v>
      </c>
      <c r="X54" s="3" t="s">
        <v>62</v>
      </c>
      <c r="Y54" s="3" t="s">
        <v>62</v>
      </c>
      <c r="Z54" s="3" t="s">
        <v>62</v>
      </c>
      <c r="AA54" s="3" t="s">
        <v>62</v>
      </c>
      <c r="AB54" s="3" t="s">
        <v>62</v>
      </c>
      <c r="AC54" s="3" t="s">
        <v>62</v>
      </c>
      <c r="AD54" s="3" t="s">
        <v>62</v>
      </c>
      <c r="AE54" s="3" t="s">
        <v>62</v>
      </c>
      <c r="AF54" s="3" t="s">
        <v>62</v>
      </c>
      <c r="AG54" s="3" t="s">
        <v>62</v>
      </c>
      <c r="AH54" s="3" t="s">
        <v>62</v>
      </c>
    </row>
    <row r="55" spans="2:34">
      <c r="B55" s="148">
        <v>11</v>
      </c>
      <c r="C55" s="89" t="str">
        <f>LEFT(EmpGName11)&amp;" " &amp;EmpSName11</f>
        <v>2 Odd3</v>
      </c>
      <c r="D55" s="4" t="s">
        <v>62</v>
      </c>
      <c r="E55" s="4" t="s">
        <v>62</v>
      </c>
      <c r="F55" s="4" t="s">
        <v>62</v>
      </c>
      <c r="G55" s="4" t="s">
        <v>62</v>
      </c>
      <c r="H55" s="4" t="s">
        <v>62</v>
      </c>
      <c r="I55" s="4" t="s">
        <v>62</v>
      </c>
      <c r="J55" s="4" t="s">
        <v>62</v>
      </c>
      <c r="K55" s="4" t="s">
        <v>62</v>
      </c>
      <c r="L55" s="4" t="s">
        <v>62</v>
      </c>
      <c r="M55" s="4" t="s">
        <v>62</v>
      </c>
      <c r="N55" s="4" t="s">
        <v>62</v>
      </c>
      <c r="O55" s="4" t="s">
        <v>62</v>
      </c>
      <c r="P55" s="4" t="s">
        <v>62</v>
      </c>
      <c r="Q55" s="4" t="s">
        <v>62</v>
      </c>
      <c r="R55" s="4" t="s">
        <v>62</v>
      </c>
      <c r="S55" s="4" t="s">
        <v>62</v>
      </c>
      <c r="T55" s="4" t="s">
        <v>62</v>
      </c>
      <c r="U55" s="4" t="s">
        <v>62</v>
      </c>
      <c r="V55" s="4" t="s">
        <v>62</v>
      </c>
      <c r="W55" s="4" t="s">
        <v>62</v>
      </c>
      <c r="X55" s="4" t="s">
        <v>62</v>
      </c>
      <c r="Y55" s="4" t="s">
        <v>62</v>
      </c>
      <c r="Z55" s="4" t="s">
        <v>62</v>
      </c>
      <c r="AA55" s="4" t="s">
        <v>62</v>
      </c>
      <c r="AB55" s="4" t="s">
        <v>62</v>
      </c>
      <c r="AC55" s="4" t="s">
        <v>62</v>
      </c>
      <c r="AD55" s="4" t="s">
        <v>62</v>
      </c>
      <c r="AE55" s="4" t="s">
        <v>62</v>
      </c>
      <c r="AF55" s="4" t="s">
        <v>62</v>
      </c>
      <c r="AG55" s="4" t="s">
        <v>62</v>
      </c>
      <c r="AH55" s="4" t="s">
        <v>62</v>
      </c>
    </row>
    <row r="56" spans="2:34">
      <c r="B56" s="148">
        <v>12</v>
      </c>
      <c r="C56" s="90" t="str">
        <f>LEFT(EmpGName12)&amp;" " &amp;EmpSName12</f>
        <v>4 Odd4</v>
      </c>
      <c r="D56" s="3" t="s">
        <v>62</v>
      </c>
      <c r="E56" s="3" t="s">
        <v>62</v>
      </c>
      <c r="F56" s="3" t="s">
        <v>62</v>
      </c>
      <c r="G56" s="3" t="s">
        <v>62</v>
      </c>
      <c r="H56" s="3" t="s">
        <v>62</v>
      </c>
      <c r="I56" s="3" t="s">
        <v>62</v>
      </c>
      <c r="J56" s="3" t="s">
        <v>62</v>
      </c>
      <c r="K56" s="3" t="s">
        <v>62</v>
      </c>
      <c r="L56" s="3" t="s">
        <v>62</v>
      </c>
      <c r="M56" s="3" t="s">
        <v>62</v>
      </c>
      <c r="N56" s="3" t="s">
        <v>62</v>
      </c>
      <c r="O56" s="3" t="s">
        <v>62</v>
      </c>
      <c r="P56" s="3" t="s">
        <v>62</v>
      </c>
      <c r="Q56" s="3" t="s">
        <v>62</v>
      </c>
      <c r="R56" s="3" t="s">
        <v>62</v>
      </c>
      <c r="S56" s="3" t="s">
        <v>62</v>
      </c>
      <c r="T56" s="3" t="s">
        <v>62</v>
      </c>
      <c r="U56" s="3" t="s">
        <v>62</v>
      </c>
      <c r="V56" s="3" t="s">
        <v>62</v>
      </c>
      <c r="W56" s="3" t="s">
        <v>62</v>
      </c>
      <c r="X56" s="3" t="s">
        <v>62</v>
      </c>
      <c r="Y56" s="3" t="s">
        <v>62</v>
      </c>
      <c r="Z56" s="3" t="s">
        <v>62</v>
      </c>
      <c r="AA56" s="3" t="s">
        <v>62</v>
      </c>
      <c r="AB56" s="3" t="s">
        <v>62</v>
      </c>
      <c r="AC56" s="3" t="s">
        <v>62</v>
      </c>
      <c r="AD56" s="3" t="s">
        <v>62</v>
      </c>
      <c r="AE56" s="3" t="s">
        <v>62</v>
      </c>
      <c r="AF56" s="3" t="s">
        <v>62</v>
      </c>
      <c r="AG56" s="3" t="s">
        <v>62</v>
      </c>
      <c r="AH56" s="3" t="s">
        <v>62</v>
      </c>
    </row>
    <row r="57" spans="2:34">
      <c r="B57" s="148">
        <v>13</v>
      </c>
      <c r="C57" s="89" t="str">
        <f>LEFT(EmpGName13)&amp;" " &amp;EmpSName13</f>
        <v>A Odd5</v>
      </c>
      <c r="D57" s="4" t="s">
        <v>62</v>
      </c>
      <c r="E57" s="4" t="s">
        <v>62</v>
      </c>
      <c r="F57" s="4" t="s">
        <v>62</v>
      </c>
      <c r="G57" s="4" t="s">
        <v>62</v>
      </c>
      <c r="H57" s="4" t="s">
        <v>62</v>
      </c>
      <c r="I57" s="4" t="s">
        <v>62</v>
      </c>
      <c r="J57" s="4" t="s">
        <v>62</v>
      </c>
      <c r="K57" s="4" t="s">
        <v>62</v>
      </c>
      <c r="L57" s="4" t="s">
        <v>62</v>
      </c>
      <c r="M57" s="4" t="s">
        <v>62</v>
      </c>
      <c r="N57" s="4" t="s">
        <v>62</v>
      </c>
      <c r="O57" s="4" t="s">
        <v>62</v>
      </c>
      <c r="P57" s="4" t="s">
        <v>62</v>
      </c>
      <c r="Q57" s="4" t="s">
        <v>62</v>
      </c>
      <c r="R57" s="4" t="s">
        <v>62</v>
      </c>
      <c r="S57" s="4" t="s">
        <v>62</v>
      </c>
      <c r="T57" s="4" t="s">
        <v>62</v>
      </c>
      <c r="U57" s="4" t="s">
        <v>62</v>
      </c>
      <c r="V57" s="4" t="s">
        <v>62</v>
      </c>
      <c r="W57" s="4" t="s">
        <v>62</v>
      </c>
      <c r="X57" s="4" t="s">
        <v>62</v>
      </c>
      <c r="Y57" s="4" t="s">
        <v>62</v>
      </c>
      <c r="Z57" s="4" t="s">
        <v>62</v>
      </c>
      <c r="AA57" s="4" t="s">
        <v>62</v>
      </c>
      <c r="AB57" s="4" t="s">
        <v>62</v>
      </c>
      <c r="AC57" s="4" t="s">
        <v>62</v>
      </c>
      <c r="AD57" s="4" t="s">
        <v>62</v>
      </c>
      <c r="AE57" s="4" t="s">
        <v>62</v>
      </c>
      <c r="AF57" s="4" t="s">
        <v>62</v>
      </c>
      <c r="AG57" s="4" t="s">
        <v>62</v>
      </c>
      <c r="AH57" s="4" t="s">
        <v>62</v>
      </c>
    </row>
    <row r="58" spans="2:34" s="9" customFormat="1">
      <c r="B58" s="148">
        <v>14</v>
      </c>
      <c r="C58" s="90" t="str">
        <f>LEFT(EmpGName14)&amp;" " &amp;EmpSName14</f>
        <v>B Odd6</v>
      </c>
      <c r="D58" s="3" t="s">
        <v>62</v>
      </c>
      <c r="E58" s="3" t="s">
        <v>62</v>
      </c>
      <c r="F58" s="3" t="s">
        <v>62</v>
      </c>
      <c r="G58" s="3" t="s">
        <v>62</v>
      </c>
      <c r="H58" s="3" t="s">
        <v>62</v>
      </c>
      <c r="I58" s="3" t="s">
        <v>62</v>
      </c>
      <c r="J58" s="3" t="s">
        <v>62</v>
      </c>
      <c r="K58" s="3" t="s">
        <v>62</v>
      </c>
      <c r="L58" s="3" t="s">
        <v>62</v>
      </c>
      <c r="M58" s="3" t="s">
        <v>62</v>
      </c>
      <c r="N58" s="3" t="s">
        <v>62</v>
      </c>
      <c r="O58" s="3" t="s">
        <v>62</v>
      </c>
      <c r="P58" s="3" t="s">
        <v>62</v>
      </c>
      <c r="Q58" s="3" t="s">
        <v>62</v>
      </c>
      <c r="R58" s="3" t="s">
        <v>62</v>
      </c>
      <c r="S58" s="3" t="s">
        <v>62</v>
      </c>
      <c r="T58" s="3" t="s">
        <v>62</v>
      </c>
      <c r="U58" s="3" t="s">
        <v>62</v>
      </c>
      <c r="V58" s="3" t="s">
        <v>62</v>
      </c>
      <c r="W58" s="3" t="s">
        <v>62</v>
      </c>
      <c r="X58" s="3" t="s">
        <v>62</v>
      </c>
      <c r="Y58" s="3" t="s">
        <v>62</v>
      </c>
      <c r="Z58" s="3" t="s">
        <v>62</v>
      </c>
      <c r="AA58" s="3" t="s">
        <v>62</v>
      </c>
      <c r="AB58" s="3" t="s">
        <v>62</v>
      </c>
      <c r="AC58" s="3" t="s">
        <v>62</v>
      </c>
      <c r="AD58" s="3" t="s">
        <v>62</v>
      </c>
      <c r="AE58" s="3" t="s">
        <v>62</v>
      </c>
      <c r="AF58" s="3" t="s">
        <v>62</v>
      </c>
      <c r="AG58" s="3" t="s">
        <v>62</v>
      </c>
      <c r="AH58" s="3" t="s">
        <v>62</v>
      </c>
    </row>
    <row r="59" spans="2:34">
      <c r="B59" s="148">
        <v>15</v>
      </c>
      <c r="C59" s="89" t="str">
        <f>LEFT(EmpGName15)&amp;" " &amp;EmpSName15</f>
        <v>C Odd7</v>
      </c>
      <c r="D59" s="4" t="s">
        <v>62</v>
      </c>
      <c r="E59" s="4" t="s">
        <v>62</v>
      </c>
      <c r="F59" s="4" t="s">
        <v>62</v>
      </c>
      <c r="G59" s="4" t="s">
        <v>62</v>
      </c>
      <c r="H59" s="4" t="s">
        <v>62</v>
      </c>
      <c r="I59" s="4" t="s">
        <v>62</v>
      </c>
      <c r="J59" s="4" t="s">
        <v>62</v>
      </c>
      <c r="K59" s="4" t="s">
        <v>62</v>
      </c>
      <c r="L59" s="4" t="s">
        <v>62</v>
      </c>
      <c r="M59" s="4" t="s">
        <v>62</v>
      </c>
      <c r="N59" s="4" t="s">
        <v>62</v>
      </c>
      <c r="O59" s="4" t="s">
        <v>62</v>
      </c>
      <c r="P59" s="4" t="s">
        <v>62</v>
      </c>
      <c r="Q59" s="4" t="s">
        <v>62</v>
      </c>
      <c r="R59" s="4" t="s">
        <v>62</v>
      </c>
      <c r="S59" s="4" t="s">
        <v>62</v>
      </c>
      <c r="T59" s="4" t="s">
        <v>62</v>
      </c>
      <c r="U59" s="4" t="s">
        <v>62</v>
      </c>
      <c r="V59" s="4" t="s">
        <v>62</v>
      </c>
      <c r="W59" s="4" t="s">
        <v>62</v>
      </c>
      <c r="X59" s="4" t="s">
        <v>62</v>
      </c>
      <c r="Y59" s="4" t="s">
        <v>62</v>
      </c>
      <c r="Z59" s="4" t="s">
        <v>62</v>
      </c>
      <c r="AA59" s="4" t="s">
        <v>62</v>
      </c>
      <c r="AB59" s="4" t="s">
        <v>62</v>
      </c>
      <c r="AC59" s="4" t="s">
        <v>62</v>
      </c>
      <c r="AD59" s="4" t="s">
        <v>62</v>
      </c>
      <c r="AE59" s="4" t="s">
        <v>62</v>
      </c>
      <c r="AF59" s="4" t="s">
        <v>62</v>
      </c>
      <c r="AG59" s="4" t="s">
        <v>62</v>
      </c>
      <c r="AH59" s="4" t="s">
        <v>62</v>
      </c>
    </row>
    <row r="60" spans="2:34">
      <c r="B60" s="148">
        <v>16</v>
      </c>
      <c r="C60" s="90" t="str">
        <f>LEFT(EmpGName16)&amp;" " &amp;EmpSName16</f>
        <v>D Odd8</v>
      </c>
      <c r="D60" s="3" t="s">
        <v>62</v>
      </c>
      <c r="E60" s="3" t="s">
        <v>62</v>
      </c>
      <c r="F60" s="3" t="s">
        <v>62</v>
      </c>
      <c r="G60" s="3" t="s">
        <v>62</v>
      </c>
      <c r="H60" s="3" t="s">
        <v>62</v>
      </c>
      <c r="I60" s="3" t="s">
        <v>62</v>
      </c>
      <c r="J60" s="3" t="s">
        <v>62</v>
      </c>
      <c r="K60" s="3" t="s">
        <v>62</v>
      </c>
      <c r="L60" s="3" t="s">
        <v>62</v>
      </c>
      <c r="M60" s="3" t="s">
        <v>62</v>
      </c>
      <c r="N60" s="3" t="s">
        <v>62</v>
      </c>
      <c r="O60" s="3" t="s">
        <v>62</v>
      </c>
      <c r="P60" s="3" t="s">
        <v>62</v>
      </c>
      <c r="Q60" s="3" t="s">
        <v>62</v>
      </c>
      <c r="R60" s="3" t="s">
        <v>62</v>
      </c>
      <c r="S60" s="3" t="s">
        <v>62</v>
      </c>
      <c r="T60" s="3" t="s">
        <v>62</v>
      </c>
      <c r="U60" s="3" t="s">
        <v>62</v>
      </c>
      <c r="V60" s="3" t="s">
        <v>62</v>
      </c>
      <c r="W60" s="3" t="s">
        <v>62</v>
      </c>
      <c r="X60" s="3" t="s">
        <v>62</v>
      </c>
      <c r="Y60" s="3" t="s">
        <v>62</v>
      </c>
      <c r="Z60" s="3" t="s">
        <v>62</v>
      </c>
      <c r="AA60" s="3" t="s">
        <v>62</v>
      </c>
      <c r="AB60" s="3" t="s">
        <v>62</v>
      </c>
      <c r="AC60" s="3" t="s">
        <v>62</v>
      </c>
      <c r="AD60" s="3" t="s">
        <v>62</v>
      </c>
      <c r="AE60" s="3" t="s">
        <v>62</v>
      </c>
      <c r="AF60" s="3" t="s">
        <v>62</v>
      </c>
      <c r="AG60" s="3" t="s">
        <v>62</v>
      </c>
      <c r="AH60" s="3" t="s">
        <v>62</v>
      </c>
    </row>
    <row r="61" spans="2:34">
      <c r="B61" s="148">
        <v>17</v>
      </c>
      <c r="C61" s="89" t="str">
        <f>LEFT(EmpGName17)&amp;" " &amp;EmpSName17</f>
        <v>E Odd9</v>
      </c>
      <c r="D61" s="4" t="s">
        <v>62</v>
      </c>
      <c r="E61" s="4" t="s">
        <v>62</v>
      </c>
      <c r="F61" s="4" t="s">
        <v>62</v>
      </c>
      <c r="G61" s="4" t="s">
        <v>62</v>
      </c>
      <c r="H61" s="4" t="s">
        <v>62</v>
      </c>
      <c r="I61" s="4" t="s">
        <v>62</v>
      </c>
      <c r="J61" s="4" t="s">
        <v>62</v>
      </c>
      <c r="K61" s="4" t="s">
        <v>62</v>
      </c>
      <c r="L61" s="4" t="s">
        <v>62</v>
      </c>
      <c r="M61" s="4" t="s">
        <v>62</v>
      </c>
      <c r="N61" s="4" t="s">
        <v>62</v>
      </c>
      <c r="O61" s="4" t="s">
        <v>62</v>
      </c>
      <c r="P61" s="4" t="s">
        <v>62</v>
      </c>
      <c r="Q61" s="4" t="s">
        <v>62</v>
      </c>
      <c r="R61" s="4" t="s">
        <v>62</v>
      </c>
      <c r="S61" s="4" t="s">
        <v>62</v>
      </c>
      <c r="T61" s="4" t="s">
        <v>62</v>
      </c>
      <c r="U61" s="4" t="s">
        <v>62</v>
      </c>
      <c r="V61" s="4" t="s">
        <v>62</v>
      </c>
      <c r="W61" s="4" t="s">
        <v>62</v>
      </c>
      <c r="X61" s="4" t="s">
        <v>62</v>
      </c>
      <c r="Y61" s="4" t="s">
        <v>62</v>
      </c>
      <c r="Z61" s="4" t="s">
        <v>62</v>
      </c>
      <c r="AA61" s="4" t="s">
        <v>62</v>
      </c>
      <c r="AB61" s="4" t="s">
        <v>62</v>
      </c>
      <c r="AC61" s="4" t="s">
        <v>62</v>
      </c>
      <c r="AD61" s="4" t="s">
        <v>62</v>
      </c>
      <c r="AE61" s="4" t="s">
        <v>62</v>
      </c>
      <c r="AF61" s="4" t="s">
        <v>62</v>
      </c>
      <c r="AG61" s="4" t="s">
        <v>62</v>
      </c>
      <c r="AH61" s="4" t="s">
        <v>62</v>
      </c>
    </row>
    <row r="62" spans="2:34">
      <c r="B62" s="148">
        <v>18</v>
      </c>
      <c r="C62" s="90" t="str">
        <f>LEFT(EmpGName18)&amp;" " &amp;EmpSName18</f>
        <v>F Odd10</v>
      </c>
      <c r="D62" s="3" t="s">
        <v>62</v>
      </c>
      <c r="E62" s="3" t="s">
        <v>62</v>
      </c>
      <c r="F62" s="3" t="s">
        <v>62</v>
      </c>
      <c r="G62" s="3" t="s">
        <v>62</v>
      </c>
      <c r="H62" s="3" t="s">
        <v>62</v>
      </c>
      <c r="I62" s="3" t="s">
        <v>62</v>
      </c>
      <c r="J62" s="3" t="s">
        <v>62</v>
      </c>
      <c r="K62" s="3" t="s">
        <v>62</v>
      </c>
      <c r="L62" s="3" t="s">
        <v>62</v>
      </c>
      <c r="M62" s="3" t="s">
        <v>62</v>
      </c>
      <c r="N62" s="3" t="s">
        <v>62</v>
      </c>
      <c r="O62" s="3" t="s">
        <v>62</v>
      </c>
      <c r="P62" s="3" t="s">
        <v>62</v>
      </c>
      <c r="Q62" s="3" t="s">
        <v>62</v>
      </c>
      <c r="R62" s="3" t="s">
        <v>62</v>
      </c>
      <c r="S62" s="3" t="s">
        <v>62</v>
      </c>
      <c r="T62" s="3" t="s">
        <v>62</v>
      </c>
      <c r="U62" s="3" t="s">
        <v>62</v>
      </c>
      <c r="V62" s="3" t="s">
        <v>62</v>
      </c>
      <c r="W62" s="3" t="s">
        <v>62</v>
      </c>
      <c r="X62" s="3" t="s">
        <v>62</v>
      </c>
      <c r="Y62" s="3" t="s">
        <v>62</v>
      </c>
      <c r="Z62" s="3" t="s">
        <v>62</v>
      </c>
      <c r="AA62" s="3" t="s">
        <v>62</v>
      </c>
      <c r="AB62" s="3" t="s">
        <v>62</v>
      </c>
      <c r="AC62" s="3" t="s">
        <v>62</v>
      </c>
      <c r="AD62" s="3" t="s">
        <v>62</v>
      </c>
      <c r="AE62" s="3" t="s">
        <v>62</v>
      </c>
      <c r="AF62" s="3" t="s">
        <v>62</v>
      </c>
      <c r="AG62" s="3" t="s">
        <v>62</v>
      </c>
      <c r="AH62" s="3" t="s">
        <v>62</v>
      </c>
    </row>
    <row r="63" spans="2:34">
      <c r="B63" s="148">
        <v>19</v>
      </c>
      <c r="C63" s="89" t="str">
        <f>LEFT(EmpGName19)&amp;" " &amp;EmpSName19</f>
        <v>G Odd11</v>
      </c>
      <c r="D63" s="4" t="s">
        <v>62</v>
      </c>
      <c r="E63" s="4" t="s">
        <v>62</v>
      </c>
      <c r="F63" s="4" t="s">
        <v>62</v>
      </c>
      <c r="G63" s="4" t="s">
        <v>62</v>
      </c>
      <c r="H63" s="4" t="s">
        <v>62</v>
      </c>
      <c r="I63" s="4" t="s">
        <v>62</v>
      </c>
      <c r="J63" s="4" t="s">
        <v>62</v>
      </c>
      <c r="K63" s="4" t="s">
        <v>62</v>
      </c>
      <c r="L63" s="4" t="s">
        <v>62</v>
      </c>
      <c r="M63" s="4" t="s">
        <v>62</v>
      </c>
      <c r="N63" s="4" t="s">
        <v>62</v>
      </c>
      <c r="O63" s="4" t="s">
        <v>62</v>
      </c>
      <c r="P63" s="4" t="s">
        <v>62</v>
      </c>
      <c r="Q63" s="4" t="s">
        <v>62</v>
      </c>
      <c r="R63" s="4" t="s">
        <v>62</v>
      </c>
      <c r="S63" s="4" t="s">
        <v>62</v>
      </c>
      <c r="T63" s="4" t="s">
        <v>62</v>
      </c>
      <c r="U63" s="4" t="s">
        <v>62</v>
      </c>
      <c r="V63" s="4" t="s">
        <v>62</v>
      </c>
      <c r="W63" s="4" t="s">
        <v>62</v>
      </c>
      <c r="X63" s="4" t="s">
        <v>62</v>
      </c>
      <c r="Y63" s="4" t="s">
        <v>62</v>
      </c>
      <c r="Z63" s="4" t="s">
        <v>62</v>
      </c>
      <c r="AA63" s="4" t="s">
        <v>62</v>
      </c>
      <c r="AB63" s="4" t="s">
        <v>62</v>
      </c>
      <c r="AC63" s="4" t="s">
        <v>62</v>
      </c>
      <c r="AD63" s="4" t="s">
        <v>62</v>
      </c>
      <c r="AE63" s="4" t="s">
        <v>62</v>
      </c>
      <c r="AF63" s="4" t="s">
        <v>62</v>
      </c>
      <c r="AG63" s="4" t="s">
        <v>62</v>
      </c>
      <c r="AH63" s="4" t="s">
        <v>62</v>
      </c>
    </row>
    <row r="64" spans="2:34">
      <c r="B64" s="148">
        <v>20</v>
      </c>
      <c r="C64" s="90" t="str">
        <f>LEFT(EmpGName20)&amp;" " &amp;EmpSName20</f>
        <v>H Odd12</v>
      </c>
      <c r="D64" s="3" t="s">
        <v>62</v>
      </c>
      <c r="E64" s="3" t="s">
        <v>62</v>
      </c>
      <c r="F64" s="3" t="s">
        <v>62</v>
      </c>
      <c r="G64" s="3" t="s">
        <v>62</v>
      </c>
      <c r="H64" s="3" t="s">
        <v>62</v>
      </c>
      <c r="I64" s="3" t="s">
        <v>62</v>
      </c>
      <c r="J64" s="3" t="s">
        <v>62</v>
      </c>
      <c r="K64" s="3" t="s">
        <v>62</v>
      </c>
      <c r="L64" s="3" t="s">
        <v>62</v>
      </c>
      <c r="M64" s="3" t="s">
        <v>62</v>
      </c>
      <c r="N64" s="3" t="s">
        <v>62</v>
      </c>
      <c r="O64" s="3" t="s">
        <v>62</v>
      </c>
      <c r="P64" s="3" t="s">
        <v>62</v>
      </c>
      <c r="Q64" s="3" t="s">
        <v>62</v>
      </c>
      <c r="R64" s="3" t="s">
        <v>62</v>
      </c>
      <c r="S64" s="3" t="s">
        <v>62</v>
      </c>
      <c r="T64" s="3" t="s">
        <v>62</v>
      </c>
      <c r="U64" s="3" t="s">
        <v>62</v>
      </c>
      <c r="V64" s="3" t="s">
        <v>62</v>
      </c>
      <c r="W64" s="3" t="s">
        <v>62</v>
      </c>
      <c r="X64" s="3" t="s">
        <v>62</v>
      </c>
      <c r="Y64" s="3" t="s">
        <v>62</v>
      </c>
      <c r="Z64" s="3" t="s">
        <v>62</v>
      </c>
      <c r="AA64" s="3" t="s">
        <v>62</v>
      </c>
      <c r="AB64" s="3" t="s">
        <v>62</v>
      </c>
      <c r="AC64" s="3" t="s">
        <v>62</v>
      </c>
      <c r="AD64" s="3" t="s">
        <v>62</v>
      </c>
      <c r="AE64" s="3" t="s">
        <v>62</v>
      </c>
      <c r="AF64" s="3" t="s">
        <v>62</v>
      </c>
      <c r="AG64" s="3" t="s">
        <v>62</v>
      </c>
      <c r="AH64" s="3" t="s">
        <v>62</v>
      </c>
    </row>
    <row r="65" spans="2:34">
      <c r="B65" s="148">
        <v>21</v>
      </c>
      <c r="C65" s="89" t="str">
        <f>LEFT(EmpGName21)&amp;" " &amp;EmpSName21</f>
        <v>I Odd13</v>
      </c>
      <c r="D65" s="4" t="s">
        <v>62</v>
      </c>
      <c r="E65" s="4" t="s">
        <v>62</v>
      </c>
      <c r="F65" s="4" t="s">
        <v>62</v>
      </c>
      <c r="G65" s="4" t="s">
        <v>62</v>
      </c>
      <c r="H65" s="4" t="s">
        <v>62</v>
      </c>
      <c r="I65" s="4" t="s">
        <v>62</v>
      </c>
      <c r="J65" s="4" t="s">
        <v>62</v>
      </c>
      <c r="K65" s="4" t="s">
        <v>62</v>
      </c>
      <c r="L65" s="4" t="s">
        <v>62</v>
      </c>
      <c r="M65" s="4" t="s">
        <v>62</v>
      </c>
      <c r="N65" s="4" t="s">
        <v>62</v>
      </c>
      <c r="O65" s="4" t="s">
        <v>62</v>
      </c>
      <c r="P65" s="4" t="s">
        <v>62</v>
      </c>
      <c r="Q65" s="4" t="s">
        <v>62</v>
      </c>
      <c r="R65" s="4" t="s">
        <v>62</v>
      </c>
      <c r="S65" s="4" t="s">
        <v>62</v>
      </c>
      <c r="T65" s="4" t="s">
        <v>62</v>
      </c>
      <c r="U65" s="4" t="s">
        <v>62</v>
      </c>
      <c r="V65" s="4" t="s">
        <v>62</v>
      </c>
      <c r="W65" s="4" t="s">
        <v>62</v>
      </c>
      <c r="X65" s="4" t="s">
        <v>62</v>
      </c>
      <c r="Y65" s="4" t="s">
        <v>62</v>
      </c>
      <c r="Z65" s="4" t="s">
        <v>62</v>
      </c>
      <c r="AA65" s="4" t="s">
        <v>62</v>
      </c>
      <c r="AB65" s="4" t="s">
        <v>62</v>
      </c>
      <c r="AC65" s="4" t="s">
        <v>62</v>
      </c>
      <c r="AD65" s="4" t="s">
        <v>62</v>
      </c>
      <c r="AE65" s="4" t="s">
        <v>62</v>
      </c>
      <c r="AF65" s="4" t="s">
        <v>62</v>
      </c>
      <c r="AG65" s="4" t="s">
        <v>62</v>
      </c>
      <c r="AH65" s="4" t="s">
        <v>62</v>
      </c>
    </row>
    <row r="66" spans="2:34">
      <c r="B66" s="148">
        <v>22</v>
      </c>
      <c r="C66" s="90" t="str">
        <f>LEFT(EmpGName22)&amp;" " &amp;EmpSName22</f>
        <v>J Odd14</v>
      </c>
      <c r="D66" s="3" t="s">
        <v>62</v>
      </c>
      <c r="E66" s="3" t="s">
        <v>62</v>
      </c>
      <c r="F66" s="3" t="s">
        <v>62</v>
      </c>
      <c r="G66" s="3" t="s">
        <v>62</v>
      </c>
      <c r="H66" s="3" t="s">
        <v>62</v>
      </c>
      <c r="I66" s="3" t="s">
        <v>62</v>
      </c>
      <c r="J66" s="3" t="s">
        <v>62</v>
      </c>
      <c r="K66" s="3" t="s">
        <v>62</v>
      </c>
      <c r="L66" s="3" t="s">
        <v>62</v>
      </c>
      <c r="M66" s="3" t="s">
        <v>62</v>
      </c>
      <c r="N66" s="3" t="s">
        <v>62</v>
      </c>
      <c r="O66" s="3" t="s">
        <v>62</v>
      </c>
      <c r="P66" s="3" t="s">
        <v>62</v>
      </c>
      <c r="Q66" s="3" t="s">
        <v>62</v>
      </c>
      <c r="R66" s="3" t="s">
        <v>62</v>
      </c>
      <c r="S66" s="3" t="s">
        <v>62</v>
      </c>
      <c r="T66" s="3" t="s">
        <v>62</v>
      </c>
      <c r="U66" s="3" t="s">
        <v>62</v>
      </c>
      <c r="V66" s="3" t="s">
        <v>62</v>
      </c>
      <c r="W66" s="3" t="s">
        <v>62</v>
      </c>
      <c r="X66" s="3" t="s">
        <v>62</v>
      </c>
      <c r="Y66" s="3" t="s">
        <v>62</v>
      </c>
      <c r="Z66" s="3" t="s">
        <v>62</v>
      </c>
      <c r="AA66" s="3" t="s">
        <v>62</v>
      </c>
      <c r="AB66" s="3" t="s">
        <v>62</v>
      </c>
      <c r="AC66" s="3" t="s">
        <v>62</v>
      </c>
      <c r="AD66" s="3" t="s">
        <v>62</v>
      </c>
      <c r="AE66" s="3" t="s">
        <v>62</v>
      </c>
      <c r="AF66" s="3" t="s">
        <v>62</v>
      </c>
      <c r="AG66" s="3" t="s">
        <v>62</v>
      </c>
      <c r="AH66" s="3" t="s">
        <v>62</v>
      </c>
    </row>
    <row r="67" spans="2:34">
      <c r="B67" s="148">
        <v>23</v>
      </c>
      <c r="C67" s="89" t="str">
        <f>LEFT(EmpGName23)&amp;" " &amp;EmpSName23</f>
        <v>K Odd15</v>
      </c>
      <c r="D67" s="4" t="s">
        <v>62</v>
      </c>
      <c r="E67" s="4" t="s">
        <v>62</v>
      </c>
      <c r="F67" s="4" t="s">
        <v>62</v>
      </c>
      <c r="G67" s="4" t="s">
        <v>62</v>
      </c>
      <c r="H67" s="4" t="s">
        <v>62</v>
      </c>
      <c r="I67" s="4" t="s">
        <v>62</v>
      </c>
      <c r="J67" s="4" t="s">
        <v>62</v>
      </c>
      <c r="K67" s="4" t="s">
        <v>62</v>
      </c>
      <c r="L67" s="4" t="s">
        <v>62</v>
      </c>
      <c r="M67" s="4" t="s">
        <v>62</v>
      </c>
      <c r="N67" s="4" t="s">
        <v>62</v>
      </c>
      <c r="O67" s="4" t="s">
        <v>62</v>
      </c>
      <c r="P67" s="4" t="s">
        <v>62</v>
      </c>
      <c r="Q67" s="4" t="s">
        <v>62</v>
      </c>
      <c r="R67" s="4" t="s">
        <v>62</v>
      </c>
      <c r="S67" s="4" t="s">
        <v>62</v>
      </c>
      <c r="T67" s="4" t="s">
        <v>62</v>
      </c>
      <c r="U67" s="4" t="s">
        <v>62</v>
      </c>
      <c r="V67" s="4" t="s">
        <v>62</v>
      </c>
      <c r="W67" s="4" t="s">
        <v>62</v>
      </c>
      <c r="X67" s="4" t="s">
        <v>62</v>
      </c>
      <c r="Y67" s="4" t="s">
        <v>62</v>
      </c>
      <c r="Z67" s="4" t="s">
        <v>62</v>
      </c>
      <c r="AA67" s="4" t="s">
        <v>62</v>
      </c>
      <c r="AB67" s="4" t="s">
        <v>62</v>
      </c>
      <c r="AC67" s="4" t="s">
        <v>62</v>
      </c>
      <c r="AD67" s="4" t="s">
        <v>62</v>
      </c>
      <c r="AE67" s="4" t="s">
        <v>62</v>
      </c>
      <c r="AF67" s="4" t="s">
        <v>62</v>
      </c>
      <c r="AG67" s="4" t="s">
        <v>62</v>
      </c>
      <c r="AH67" s="4" t="s">
        <v>62</v>
      </c>
    </row>
    <row r="68" spans="2:34">
      <c r="B68" s="148">
        <v>24</v>
      </c>
      <c r="C68" s="90" t="str">
        <f>LEFT(EmpGName24)&amp;" " &amp;EmpSName24</f>
        <v>L Odd16</v>
      </c>
      <c r="D68" s="3" t="s">
        <v>62</v>
      </c>
      <c r="E68" s="3" t="s">
        <v>62</v>
      </c>
      <c r="F68" s="3" t="s">
        <v>62</v>
      </c>
      <c r="G68" s="3" t="s">
        <v>62</v>
      </c>
      <c r="H68" s="3" t="s">
        <v>62</v>
      </c>
      <c r="I68" s="3" t="s">
        <v>62</v>
      </c>
      <c r="J68" s="3" t="s">
        <v>62</v>
      </c>
      <c r="K68" s="3" t="s">
        <v>62</v>
      </c>
      <c r="L68" s="3" t="s">
        <v>62</v>
      </c>
      <c r="M68" s="3" t="s">
        <v>62</v>
      </c>
      <c r="N68" s="3" t="s">
        <v>62</v>
      </c>
      <c r="O68" s="3" t="s">
        <v>62</v>
      </c>
      <c r="P68" s="3" t="s">
        <v>62</v>
      </c>
      <c r="Q68" s="3" t="s">
        <v>62</v>
      </c>
      <c r="R68" s="3" t="s">
        <v>62</v>
      </c>
      <c r="S68" s="3" t="s">
        <v>62</v>
      </c>
      <c r="T68" s="3" t="s">
        <v>62</v>
      </c>
      <c r="U68" s="3" t="s">
        <v>62</v>
      </c>
      <c r="V68" s="3" t="s">
        <v>62</v>
      </c>
      <c r="W68" s="3" t="s">
        <v>62</v>
      </c>
      <c r="X68" s="3" t="s">
        <v>62</v>
      </c>
      <c r="Y68" s="3" t="s">
        <v>62</v>
      </c>
      <c r="Z68" s="3" t="s">
        <v>62</v>
      </c>
      <c r="AA68" s="3" t="s">
        <v>62</v>
      </c>
      <c r="AB68" s="3" t="s">
        <v>62</v>
      </c>
      <c r="AC68" s="3" t="s">
        <v>62</v>
      </c>
      <c r="AD68" s="3" t="s">
        <v>62</v>
      </c>
      <c r="AE68" s="3" t="s">
        <v>62</v>
      </c>
      <c r="AF68" s="3" t="s">
        <v>62</v>
      </c>
      <c r="AG68" s="3" t="s">
        <v>62</v>
      </c>
      <c r="AH68" s="3" t="s">
        <v>62</v>
      </c>
    </row>
    <row r="69" spans="2:34">
      <c r="B69" s="148">
        <v>25</v>
      </c>
      <c r="C69" s="89" t="str">
        <f>LEFT(EmpGName25)&amp;" " &amp;EmpSName25</f>
        <v>M Odd17</v>
      </c>
      <c r="D69" s="4" t="s">
        <v>62</v>
      </c>
      <c r="E69" s="4" t="s">
        <v>62</v>
      </c>
      <c r="F69" s="4" t="s">
        <v>62</v>
      </c>
      <c r="G69" s="4" t="s">
        <v>62</v>
      </c>
      <c r="H69" s="4" t="s">
        <v>62</v>
      </c>
      <c r="I69" s="4" t="s">
        <v>62</v>
      </c>
      <c r="J69" s="4" t="s">
        <v>62</v>
      </c>
      <c r="K69" s="4" t="s">
        <v>62</v>
      </c>
      <c r="L69" s="4" t="s">
        <v>62</v>
      </c>
      <c r="M69" s="4" t="s">
        <v>62</v>
      </c>
      <c r="N69" s="4" t="s">
        <v>62</v>
      </c>
      <c r="O69" s="4" t="s">
        <v>62</v>
      </c>
      <c r="P69" s="4" t="s">
        <v>62</v>
      </c>
      <c r="Q69" s="4" t="s">
        <v>62</v>
      </c>
      <c r="R69" s="4" t="s">
        <v>62</v>
      </c>
      <c r="S69" s="4" t="s">
        <v>62</v>
      </c>
      <c r="T69" s="4" t="s">
        <v>62</v>
      </c>
      <c r="U69" s="4" t="s">
        <v>62</v>
      </c>
      <c r="V69" s="4" t="s">
        <v>62</v>
      </c>
      <c r="W69" s="4" t="s">
        <v>62</v>
      </c>
      <c r="X69" s="4" t="s">
        <v>62</v>
      </c>
      <c r="Y69" s="4" t="s">
        <v>62</v>
      </c>
      <c r="Z69" s="4" t="s">
        <v>62</v>
      </c>
      <c r="AA69" s="4" t="s">
        <v>62</v>
      </c>
      <c r="AB69" s="4" t="s">
        <v>62</v>
      </c>
      <c r="AC69" s="4" t="s">
        <v>62</v>
      </c>
      <c r="AD69" s="4" t="s">
        <v>62</v>
      </c>
      <c r="AE69" s="4" t="s">
        <v>62</v>
      </c>
      <c r="AF69" s="4" t="s">
        <v>62</v>
      </c>
      <c r="AG69" s="4" t="s">
        <v>62</v>
      </c>
      <c r="AH69" s="4" t="s">
        <v>62</v>
      </c>
    </row>
    <row r="70" spans="2:34" s="70" customFormat="1">
      <c r="B70" s="148">
        <v>26</v>
      </c>
      <c r="C70" s="90" t="str">
        <f>LEFT(EmpGName26)&amp;" " &amp;EmpSName26</f>
        <v>N Odd18</v>
      </c>
      <c r="D70" s="3" t="s">
        <v>62</v>
      </c>
      <c r="E70" s="3" t="s">
        <v>62</v>
      </c>
      <c r="F70" s="3" t="s">
        <v>62</v>
      </c>
      <c r="G70" s="3" t="s">
        <v>62</v>
      </c>
      <c r="H70" s="3" t="s">
        <v>62</v>
      </c>
      <c r="I70" s="3" t="s">
        <v>62</v>
      </c>
      <c r="J70" s="3" t="s">
        <v>62</v>
      </c>
      <c r="K70" s="3" t="s">
        <v>62</v>
      </c>
      <c r="L70" s="3" t="s">
        <v>62</v>
      </c>
      <c r="M70" s="3" t="s">
        <v>62</v>
      </c>
      <c r="N70" s="3" t="s">
        <v>62</v>
      </c>
      <c r="O70" s="3" t="s">
        <v>62</v>
      </c>
      <c r="P70" s="3" t="s">
        <v>62</v>
      </c>
      <c r="Q70" s="3" t="s">
        <v>62</v>
      </c>
      <c r="R70" s="3" t="s">
        <v>62</v>
      </c>
      <c r="S70" s="3" t="s">
        <v>62</v>
      </c>
      <c r="T70" s="3" t="s">
        <v>62</v>
      </c>
      <c r="U70" s="3" t="s">
        <v>62</v>
      </c>
      <c r="V70" s="3" t="s">
        <v>62</v>
      </c>
      <c r="W70" s="3" t="s">
        <v>62</v>
      </c>
      <c r="X70" s="3" t="s">
        <v>62</v>
      </c>
      <c r="Y70" s="3" t="s">
        <v>62</v>
      </c>
      <c r="Z70" s="3" t="s">
        <v>62</v>
      </c>
      <c r="AA70" s="3" t="s">
        <v>62</v>
      </c>
      <c r="AB70" s="3" t="s">
        <v>62</v>
      </c>
      <c r="AC70" s="3" t="s">
        <v>62</v>
      </c>
      <c r="AD70" s="3" t="s">
        <v>62</v>
      </c>
      <c r="AE70" s="3" t="s">
        <v>62</v>
      </c>
      <c r="AF70" s="3" t="s">
        <v>62</v>
      </c>
      <c r="AG70" s="3" t="s">
        <v>62</v>
      </c>
      <c r="AH70" s="3" t="s">
        <v>62</v>
      </c>
    </row>
    <row r="71" spans="2:34">
      <c r="B71" s="148">
        <v>27</v>
      </c>
      <c r="C71" s="89" t="str">
        <f>LEFT(EmpGName27)&amp;" " &amp;EmpSName27</f>
        <v>O Odd19</v>
      </c>
      <c r="D71" s="4" t="s">
        <v>62</v>
      </c>
      <c r="E71" s="4" t="s">
        <v>62</v>
      </c>
      <c r="F71" s="4" t="s">
        <v>62</v>
      </c>
      <c r="G71" s="4" t="s">
        <v>62</v>
      </c>
      <c r="H71" s="4" t="s">
        <v>62</v>
      </c>
      <c r="I71" s="4" t="s">
        <v>62</v>
      </c>
      <c r="J71" s="4" t="s">
        <v>62</v>
      </c>
      <c r="K71" s="4" t="s">
        <v>62</v>
      </c>
      <c r="L71" s="4" t="s">
        <v>62</v>
      </c>
      <c r="M71" s="4" t="s">
        <v>62</v>
      </c>
      <c r="N71" s="4" t="s">
        <v>62</v>
      </c>
      <c r="O71" s="4" t="s">
        <v>62</v>
      </c>
      <c r="P71" s="4" t="s">
        <v>62</v>
      </c>
      <c r="Q71" s="4" t="s">
        <v>62</v>
      </c>
      <c r="R71" s="4" t="s">
        <v>62</v>
      </c>
      <c r="S71" s="4" t="s">
        <v>62</v>
      </c>
      <c r="T71" s="4" t="s">
        <v>62</v>
      </c>
      <c r="U71" s="4" t="s">
        <v>62</v>
      </c>
      <c r="V71" s="4" t="s">
        <v>62</v>
      </c>
      <c r="W71" s="4" t="s">
        <v>62</v>
      </c>
      <c r="X71" s="4" t="s">
        <v>62</v>
      </c>
      <c r="Y71" s="4" t="s">
        <v>62</v>
      </c>
      <c r="Z71" s="4" t="s">
        <v>62</v>
      </c>
      <c r="AA71" s="4" t="s">
        <v>62</v>
      </c>
      <c r="AB71" s="4" t="s">
        <v>62</v>
      </c>
      <c r="AC71" s="4" t="s">
        <v>62</v>
      </c>
      <c r="AD71" s="4" t="s">
        <v>62</v>
      </c>
      <c r="AE71" s="4" t="s">
        <v>62</v>
      </c>
      <c r="AF71" s="4" t="s">
        <v>62</v>
      </c>
      <c r="AG71" s="4" t="s">
        <v>62</v>
      </c>
      <c r="AH71" s="4" t="s">
        <v>62</v>
      </c>
    </row>
    <row r="72" spans="2:34">
      <c r="B72" s="148">
        <v>28</v>
      </c>
      <c r="C72" s="90" t="str">
        <f>LEFT(EmpGName28)&amp;" " &amp;EmpSName28</f>
        <v>P Odd20</v>
      </c>
      <c r="D72" s="3" t="s">
        <v>62</v>
      </c>
      <c r="E72" s="3" t="s">
        <v>62</v>
      </c>
      <c r="F72" s="3" t="s">
        <v>62</v>
      </c>
      <c r="G72" s="3" t="s">
        <v>62</v>
      </c>
      <c r="H72" s="3" t="s">
        <v>62</v>
      </c>
      <c r="I72" s="3" t="s">
        <v>62</v>
      </c>
      <c r="J72" s="3" t="s">
        <v>62</v>
      </c>
      <c r="K72" s="3" t="s">
        <v>62</v>
      </c>
      <c r="L72" s="3" t="s">
        <v>62</v>
      </c>
      <c r="M72" s="3" t="s">
        <v>62</v>
      </c>
      <c r="N72" s="3" t="s">
        <v>62</v>
      </c>
      <c r="O72" s="3" t="s">
        <v>62</v>
      </c>
      <c r="P72" s="3" t="s">
        <v>62</v>
      </c>
      <c r="Q72" s="3" t="s">
        <v>62</v>
      </c>
      <c r="R72" s="3" t="s">
        <v>62</v>
      </c>
      <c r="S72" s="3" t="s">
        <v>62</v>
      </c>
      <c r="T72" s="3" t="s">
        <v>62</v>
      </c>
      <c r="U72" s="3" t="s">
        <v>62</v>
      </c>
      <c r="V72" s="3" t="s">
        <v>62</v>
      </c>
      <c r="W72" s="3" t="s">
        <v>62</v>
      </c>
      <c r="X72" s="3" t="s">
        <v>62</v>
      </c>
      <c r="Y72" s="3" t="s">
        <v>62</v>
      </c>
      <c r="Z72" s="3" t="s">
        <v>62</v>
      </c>
      <c r="AA72" s="3" t="s">
        <v>62</v>
      </c>
      <c r="AB72" s="3" t="s">
        <v>62</v>
      </c>
      <c r="AC72" s="3" t="s">
        <v>62</v>
      </c>
      <c r="AD72" s="3" t="s">
        <v>62</v>
      </c>
      <c r="AE72" s="3" t="s">
        <v>62</v>
      </c>
      <c r="AF72" s="3" t="s">
        <v>62</v>
      </c>
      <c r="AG72" s="3" t="s">
        <v>62</v>
      </c>
      <c r="AH72" s="3" t="s">
        <v>62</v>
      </c>
    </row>
    <row r="74" spans="2:34">
      <c r="C74" t="str">
        <f>CurYear-1&amp;":"</f>
        <v>2018:</v>
      </c>
      <c r="D74" s="5" t="str">
        <f t="shared" ref="D74:AG74" si="2">LEFT(TEXT(D75&amp;"-"&amp;$C75&amp;"-"&amp; CurYear-1,"ddd"),2)</f>
        <v>Sa</v>
      </c>
      <c r="E74" s="5" t="str">
        <f t="shared" si="2"/>
        <v>Su</v>
      </c>
      <c r="F74" s="5" t="str">
        <f t="shared" si="2"/>
        <v>Mo</v>
      </c>
      <c r="G74" s="5" t="str">
        <f t="shared" si="2"/>
        <v>Tu</v>
      </c>
      <c r="H74" s="5" t="str">
        <f t="shared" si="2"/>
        <v>We</v>
      </c>
      <c r="I74" s="5" t="str">
        <f t="shared" si="2"/>
        <v>Th</v>
      </c>
      <c r="J74" s="5" t="str">
        <f t="shared" si="2"/>
        <v>Fr</v>
      </c>
      <c r="K74" s="5" t="str">
        <f t="shared" si="2"/>
        <v>Sa</v>
      </c>
      <c r="L74" s="5" t="str">
        <f t="shared" si="2"/>
        <v>Su</v>
      </c>
      <c r="M74" s="5" t="str">
        <f t="shared" si="2"/>
        <v>Mo</v>
      </c>
      <c r="N74" s="5" t="str">
        <f t="shared" si="2"/>
        <v>Tu</v>
      </c>
      <c r="O74" s="5" t="str">
        <f t="shared" si="2"/>
        <v>We</v>
      </c>
      <c r="P74" s="5" t="str">
        <f t="shared" si="2"/>
        <v>Th</v>
      </c>
      <c r="Q74" s="5" t="str">
        <f t="shared" si="2"/>
        <v>Fr</v>
      </c>
      <c r="R74" s="5" t="str">
        <f t="shared" si="2"/>
        <v>Sa</v>
      </c>
      <c r="S74" s="5" t="str">
        <f t="shared" si="2"/>
        <v>Su</v>
      </c>
      <c r="T74" s="5" t="str">
        <f t="shared" si="2"/>
        <v>Mo</v>
      </c>
      <c r="U74" s="5" t="str">
        <f t="shared" si="2"/>
        <v>Tu</v>
      </c>
      <c r="V74" s="5" t="str">
        <f t="shared" si="2"/>
        <v>We</v>
      </c>
      <c r="W74" s="5" t="str">
        <f t="shared" si="2"/>
        <v>Th</v>
      </c>
      <c r="X74" s="5" t="str">
        <f t="shared" si="2"/>
        <v>Fr</v>
      </c>
      <c r="Y74" s="5" t="str">
        <f t="shared" si="2"/>
        <v>Sa</v>
      </c>
      <c r="Z74" s="5" t="str">
        <f t="shared" si="2"/>
        <v>Su</v>
      </c>
      <c r="AA74" s="5" t="str">
        <f t="shared" si="2"/>
        <v>Mo</v>
      </c>
      <c r="AB74" s="5" t="str">
        <f t="shared" si="2"/>
        <v>Tu</v>
      </c>
      <c r="AC74" s="5" t="str">
        <f t="shared" si="2"/>
        <v>We</v>
      </c>
      <c r="AD74" s="5" t="str">
        <f t="shared" si="2"/>
        <v>Th</v>
      </c>
      <c r="AE74" s="5" t="str">
        <f t="shared" si="2"/>
        <v>Fr</v>
      </c>
      <c r="AF74" s="5" t="str">
        <f t="shared" si="2"/>
        <v>Sa</v>
      </c>
      <c r="AG74" s="5" t="str">
        <f t="shared" si="2"/>
        <v>Su</v>
      </c>
      <c r="AH74" s="5"/>
    </row>
    <row r="75" spans="2:34">
      <c r="B75" s="88"/>
      <c r="C75" s="84" t="s">
        <v>20</v>
      </c>
      <c r="D75" s="85">
        <v>1</v>
      </c>
      <c r="E75" s="85">
        <v>2</v>
      </c>
      <c r="F75" s="85">
        <v>3</v>
      </c>
      <c r="G75" s="85">
        <v>4</v>
      </c>
      <c r="H75" s="85">
        <v>5</v>
      </c>
      <c r="I75" s="85">
        <v>6</v>
      </c>
      <c r="J75" s="85">
        <v>7</v>
      </c>
      <c r="K75" s="85">
        <v>8</v>
      </c>
      <c r="L75" s="85">
        <v>9</v>
      </c>
      <c r="M75" s="85">
        <v>10</v>
      </c>
      <c r="N75" s="85">
        <v>11</v>
      </c>
      <c r="O75" s="85">
        <v>12</v>
      </c>
      <c r="P75" s="85">
        <v>13</v>
      </c>
      <c r="Q75" s="176">
        <v>14</v>
      </c>
      <c r="R75" s="85">
        <v>15</v>
      </c>
      <c r="S75" s="85">
        <v>16</v>
      </c>
      <c r="T75" s="85">
        <v>17</v>
      </c>
      <c r="U75" s="85">
        <v>18</v>
      </c>
      <c r="V75" s="85">
        <v>19</v>
      </c>
      <c r="W75" s="85">
        <v>20</v>
      </c>
      <c r="X75" s="85">
        <v>21</v>
      </c>
      <c r="Y75" s="85">
        <v>22</v>
      </c>
      <c r="Z75" s="85">
        <v>23</v>
      </c>
      <c r="AA75" s="85">
        <v>24</v>
      </c>
      <c r="AB75" s="85">
        <v>25</v>
      </c>
      <c r="AC75" s="85">
        <v>26</v>
      </c>
      <c r="AD75" s="85">
        <v>27</v>
      </c>
      <c r="AE75" s="176">
        <v>28</v>
      </c>
      <c r="AF75" s="85">
        <v>29</v>
      </c>
      <c r="AG75" s="85">
        <v>30</v>
      </c>
    </row>
    <row r="76" spans="2:34">
      <c r="B76" s="85">
        <v>1</v>
      </c>
      <c r="C76" s="89" t="str">
        <f>LEFT(EmpGName01)&amp;" " &amp; EmpSName01</f>
        <v>L Marampon</v>
      </c>
      <c r="D76" s="4" t="s">
        <v>62</v>
      </c>
      <c r="E76" s="4" t="s">
        <v>62</v>
      </c>
      <c r="F76" s="4" t="s">
        <v>62</v>
      </c>
      <c r="G76" s="4" t="s">
        <v>62</v>
      </c>
      <c r="H76" s="4" t="s">
        <v>62</v>
      </c>
      <c r="I76" s="4" t="s">
        <v>62</v>
      </c>
      <c r="J76" s="4" t="s">
        <v>62</v>
      </c>
      <c r="K76" s="4" t="s">
        <v>62</v>
      </c>
      <c r="L76" s="4" t="s">
        <v>62</v>
      </c>
      <c r="M76" s="4" t="s">
        <v>62</v>
      </c>
      <c r="N76" s="4" t="s">
        <v>62</v>
      </c>
      <c r="O76" s="4" t="s">
        <v>62</v>
      </c>
      <c r="P76" s="4" t="s">
        <v>62</v>
      </c>
      <c r="Q76" s="4" t="s">
        <v>62</v>
      </c>
      <c r="R76" s="4" t="s">
        <v>62</v>
      </c>
      <c r="S76" s="4" t="s">
        <v>62</v>
      </c>
      <c r="T76" s="4" t="s">
        <v>62</v>
      </c>
      <c r="U76" s="4" t="s">
        <v>62</v>
      </c>
      <c r="V76" s="4" t="s">
        <v>62</v>
      </c>
      <c r="W76" s="4" t="s">
        <v>62</v>
      </c>
      <c r="X76" s="4" t="s">
        <v>62</v>
      </c>
      <c r="Y76" s="4" t="s">
        <v>62</v>
      </c>
      <c r="Z76" s="4" t="s">
        <v>62</v>
      </c>
      <c r="AA76" s="4" t="s">
        <v>62</v>
      </c>
      <c r="AB76" s="4" t="s">
        <v>62</v>
      </c>
      <c r="AC76" s="4" t="s">
        <v>62</v>
      </c>
      <c r="AD76" s="4" t="s">
        <v>62</v>
      </c>
      <c r="AE76" s="4" t="s">
        <v>62</v>
      </c>
      <c r="AF76" s="4" t="s">
        <v>62</v>
      </c>
      <c r="AG76" s="4" t="s">
        <v>62</v>
      </c>
    </row>
    <row r="77" spans="2:34">
      <c r="B77" s="85">
        <v>2</v>
      </c>
      <c r="C77" s="90" t="str">
        <f>LEFT(EmpGName02)&amp;" " &amp;EmpSName02</f>
        <v>K Stone</v>
      </c>
      <c r="D77" s="3" t="s">
        <v>62</v>
      </c>
      <c r="E77" s="3" t="s">
        <v>62</v>
      </c>
      <c r="F77" s="3" t="s">
        <v>62</v>
      </c>
      <c r="G77" s="3" t="s">
        <v>62</v>
      </c>
      <c r="H77" s="3" t="s">
        <v>62</v>
      </c>
      <c r="I77" s="3" t="s">
        <v>62</v>
      </c>
      <c r="J77" s="3" t="s">
        <v>62</v>
      </c>
      <c r="K77" s="3" t="s">
        <v>62</v>
      </c>
      <c r="L77" s="3" t="s">
        <v>62</v>
      </c>
      <c r="M77" s="3" t="s">
        <v>62</v>
      </c>
      <c r="N77" s="3" t="s">
        <v>62</v>
      </c>
      <c r="O77" s="3" t="s">
        <v>62</v>
      </c>
      <c r="P77" s="3" t="s">
        <v>62</v>
      </c>
      <c r="Q77" s="3" t="s">
        <v>62</v>
      </c>
      <c r="R77" s="3" t="s">
        <v>62</v>
      </c>
      <c r="S77" s="3" t="s">
        <v>62</v>
      </c>
      <c r="T77" s="3" t="s">
        <v>62</v>
      </c>
      <c r="U77" s="3" t="s">
        <v>62</v>
      </c>
      <c r="V77" s="3" t="s">
        <v>62</v>
      </c>
      <c r="W77" s="3" t="s">
        <v>62</v>
      </c>
      <c r="X77" s="3" t="s">
        <v>62</v>
      </c>
      <c r="Y77" s="3" t="s">
        <v>62</v>
      </c>
      <c r="Z77" s="3" t="s">
        <v>62</v>
      </c>
      <c r="AA77" s="3" t="s">
        <v>62</v>
      </c>
      <c r="AB77" s="3" t="s">
        <v>62</v>
      </c>
      <c r="AC77" s="3" t="s">
        <v>62</v>
      </c>
      <c r="AD77" s="3" t="s">
        <v>62</v>
      </c>
      <c r="AE77" s="3" t="s">
        <v>62</v>
      </c>
      <c r="AF77" s="3" t="s">
        <v>62</v>
      </c>
      <c r="AG77" s="3" t="s">
        <v>62</v>
      </c>
    </row>
    <row r="78" spans="2:34">
      <c r="B78" s="85">
        <v>3</v>
      </c>
      <c r="C78" s="89" t="str">
        <f>LEFT(EmpGName03)&amp;" " &amp;EmpSName03</f>
        <v>I Thelning</v>
      </c>
      <c r="D78" s="4" t="s">
        <v>62</v>
      </c>
      <c r="E78" s="4" t="s">
        <v>62</v>
      </c>
      <c r="F78" s="4" t="s">
        <v>62</v>
      </c>
      <c r="G78" s="4" t="s">
        <v>62</v>
      </c>
      <c r="H78" s="4" t="s">
        <v>62</v>
      </c>
      <c r="I78" s="4" t="s">
        <v>62</v>
      </c>
      <c r="J78" s="4" t="s">
        <v>62</v>
      </c>
      <c r="K78" s="4" t="s">
        <v>62</v>
      </c>
      <c r="L78" s="4" t="s">
        <v>62</v>
      </c>
      <c r="M78" s="4" t="s">
        <v>62</v>
      </c>
      <c r="N78" s="4" t="s">
        <v>62</v>
      </c>
      <c r="O78" s="4" t="s">
        <v>62</v>
      </c>
      <c r="P78" s="4" t="s">
        <v>62</v>
      </c>
      <c r="Q78" s="4" t="s">
        <v>62</v>
      </c>
      <c r="R78" s="4" t="s">
        <v>62</v>
      </c>
      <c r="S78" s="4" t="s">
        <v>62</v>
      </c>
      <c r="T78" s="4" t="s">
        <v>62</v>
      </c>
      <c r="U78" s="4" t="s">
        <v>62</v>
      </c>
      <c r="V78" s="4" t="s">
        <v>62</v>
      </c>
      <c r="W78" s="4" t="s">
        <v>62</v>
      </c>
      <c r="X78" s="4" t="s">
        <v>62</v>
      </c>
      <c r="Y78" s="4" t="s">
        <v>62</v>
      </c>
      <c r="Z78" s="4" t="s">
        <v>62</v>
      </c>
      <c r="AA78" s="4" t="s">
        <v>62</v>
      </c>
      <c r="AB78" s="4" t="s">
        <v>62</v>
      </c>
      <c r="AC78" s="4" t="s">
        <v>62</v>
      </c>
      <c r="AD78" s="4" t="s">
        <v>62</v>
      </c>
      <c r="AE78" s="4" t="s">
        <v>62</v>
      </c>
      <c r="AF78" s="4" t="s">
        <v>62</v>
      </c>
      <c r="AG78" s="4" t="s">
        <v>62</v>
      </c>
    </row>
    <row r="79" spans="2:34">
      <c r="B79" s="85">
        <v>4</v>
      </c>
      <c r="C79" s="90" t="str">
        <f>LEFT(EmpGName04)&amp;" " &amp;EmpSName04</f>
        <v>L King</v>
      </c>
      <c r="D79" s="3" t="s">
        <v>62</v>
      </c>
      <c r="E79" s="3" t="s">
        <v>62</v>
      </c>
      <c r="F79" s="3" t="s">
        <v>62</v>
      </c>
      <c r="G79" s="3" t="s">
        <v>62</v>
      </c>
      <c r="H79" s="3" t="s">
        <v>62</v>
      </c>
      <c r="I79" s="3" t="s">
        <v>62</v>
      </c>
      <c r="J79" s="3" t="s">
        <v>62</v>
      </c>
      <c r="K79" s="3" t="s">
        <v>62</v>
      </c>
      <c r="L79" s="3" t="s">
        <v>62</v>
      </c>
      <c r="M79" s="3" t="s">
        <v>62</v>
      </c>
      <c r="N79" s="3" t="s">
        <v>62</v>
      </c>
      <c r="O79" s="3" t="s">
        <v>62</v>
      </c>
      <c r="P79" s="3" t="s">
        <v>62</v>
      </c>
      <c r="Q79" s="3" t="s">
        <v>62</v>
      </c>
      <c r="R79" s="3" t="s">
        <v>62</v>
      </c>
      <c r="S79" s="3" t="s">
        <v>62</v>
      </c>
      <c r="T79" s="3" t="s">
        <v>62</v>
      </c>
      <c r="U79" s="3" t="s">
        <v>62</v>
      </c>
      <c r="V79" s="3" t="s">
        <v>62</v>
      </c>
      <c r="W79" s="3" t="s">
        <v>62</v>
      </c>
      <c r="X79" s="3" t="s">
        <v>62</v>
      </c>
      <c r="Y79" s="3" t="s">
        <v>62</v>
      </c>
      <c r="Z79" s="3" t="s">
        <v>62</v>
      </c>
      <c r="AA79" s="3" t="s">
        <v>62</v>
      </c>
      <c r="AB79" s="3" t="s">
        <v>62</v>
      </c>
      <c r="AC79" s="3" t="s">
        <v>62</v>
      </c>
      <c r="AD79" s="3" t="s">
        <v>62</v>
      </c>
      <c r="AE79" s="3" t="s">
        <v>62</v>
      </c>
      <c r="AF79" s="3" t="s">
        <v>62</v>
      </c>
      <c r="AG79" s="3" t="s">
        <v>62</v>
      </c>
    </row>
    <row r="80" spans="2:34">
      <c r="B80" s="85">
        <v>5</v>
      </c>
      <c r="C80" s="89" t="str">
        <f>LEFT(EmpGName05)&amp;" " &amp;EmpSName05</f>
        <v>D Castle</v>
      </c>
      <c r="D80" s="4" t="s">
        <v>62</v>
      </c>
      <c r="E80" s="4" t="s">
        <v>62</v>
      </c>
      <c r="F80" s="4" t="s">
        <v>62</v>
      </c>
      <c r="G80" s="4" t="s">
        <v>62</v>
      </c>
      <c r="H80" s="4" t="s">
        <v>62</v>
      </c>
      <c r="I80" s="4" t="s">
        <v>62</v>
      </c>
      <c r="J80" s="4" t="s">
        <v>62</v>
      </c>
      <c r="K80" s="4" t="s">
        <v>62</v>
      </c>
      <c r="L80" s="4" t="s">
        <v>62</v>
      </c>
      <c r="M80" s="4" t="s">
        <v>62</v>
      </c>
      <c r="N80" s="4" t="s">
        <v>62</v>
      </c>
      <c r="O80" s="4" t="s">
        <v>62</v>
      </c>
      <c r="P80" s="4" t="s">
        <v>62</v>
      </c>
      <c r="Q80" s="4" t="s">
        <v>62</v>
      </c>
      <c r="R80" s="4" t="s">
        <v>62</v>
      </c>
      <c r="S80" s="4" t="s">
        <v>62</v>
      </c>
      <c r="T80" s="4" t="s">
        <v>62</v>
      </c>
      <c r="U80" s="4" t="s">
        <v>62</v>
      </c>
      <c r="V80" s="4" t="s">
        <v>62</v>
      </c>
      <c r="W80" s="4" t="s">
        <v>62</v>
      </c>
      <c r="X80" s="4" t="s">
        <v>62</v>
      </c>
      <c r="Y80" s="4" t="s">
        <v>62</v>
      </c>
      <c r="Z80" s="4" t="s">
        <v>62</v>
      </c>
      <c r="AA80" s="4" t="s">
        <v>62</v>
      </c>
      <c r="AB80" s="4" t="s">
        <v>62</v>
      </c>
      <c r="AC80" s="4" t="s">
        <v>62</v>
      </c>
      <c r="AD80" s="4" t="s">
        <v>62</v>
      </c>
      <c r="AE80" s="4" t="s">
        <v>62</v>
      </c>
      <c r="AF80" s="4" t="s">
        <v>62</v>
      </c>
      <c r="AG80" s="4" t="s">
        <v>62</v>
      </c>
    </row>
    <row r="81" spans="2:34">
      <c r="B81" s="85">
        <v>6</v>
      </c>
      <c r="C81" s="90" t="str">
        <f>LEFT(EmpGName06)&amp;" " &amp;EmpSName06</f>
        <v>R Fielding</v>
      </c>
      <c r="D81" s="3" t="s">
        <v>62</v>
      </c>
      <c r="E81" s="3" t="s">
        <v>62</v>
      </c>
      <c r="F81" s="3" t="s">
        <v>62</v>
      </c>
      <c r="G81" s="3" t="s">
        <v>62</v>
      </c>
      <c r="H81" s="3" t="s">
        <v>62</v>
      </c>
      <c r="I81" s="3" t="s">
        <v>62</v>
      </c>
      <c r="J81" s="3" t="s">
        <v>62</v>
      </c>
      <c r="K81" s="3" t="s">
        <v>62</v>
      </c>
      <c r="L81" s="3" t="s">
        <v>62</v>
      </c>
      <c r="M81" s="3" t="s">
        <v>62</v>
      </c>
      <c r="N81" s="3" t="s">
        <v>62</v>
      </c>
      <c r="O81" s="3" t="s">
        <v>62</v>
      </c>
      <c r="P81" s="3" t="s">
        <v>62</v>
      </c>
      <c r="Q81" s="3" t="s">
        <v>62</v>
      </c>
      <c r="R81" s="3" t="s">
        <v>62</v>
      </c>
      <c r="S81" s="3" t="s">
        <v>62</v>
      </c>
      <c r="T81" s="3" t="s">
        <v>62</v>
      </c>
      <c r="U81" s="3" t="s">
        <v>62</v>
      </c>
      <c r="V81" s="3" t="s">
        <v>62</v>
      </c>
      <c r="W81" s="3" t="s">
        <v>62</v>
      </c>
      <c r="X81" s="3" t="s">
        <v>62</v>
      </c>
      <c r="Y81" s="3" t="s">
        <v>62</v>
      </c>
      <c r="Z81" s="3" t="s">
        <v>62</v>
      </c>
      <c r="AA81" s="3" t="s">
        <v>62</v>
      </c>
      <c r="AB81" s="3" t="s">
        <v>62</v>
      </c>
      <c r="AC81" s="3" t="s">
        <v>62</v>
      </c>
      <c r="AD81" s="3" t="s">
        <v>62</v>
      </c>
      <c r="AE81" s="3" t="s">
        <v>62</v>
      </c>
      <c r="AF81" s="3" t="s">
        <v>62</v>
      </c>
      <c r="AG81" s="3" t="s">
        <v>62</v>
      </c>
    </row>
    <row r="82" spans="2:34">
      <c r="B82" s="85">
        <v>7</v>
      </c>
      <c r="C82" s="89" t="str">
        <f>LEFT(EmpGName07)&amp;" " &amp;EmpSName07</f>
        <v>T Sorensen</v>
      </c>
      <c r="D82" s="4" t="s">
        <v>62</v>
      </c>
      <c r="E82" s="4" t="s">
        <v>62</v>
      </c>
      <c r="F82" s="4" t="s">
        <v>62</v>
      </c>
      <c r="G82" s="4" t="s">
        <v>62</v>
      </c>
      <c r="H82" s="4" t="s">
        <v>62</v>
      </c>
      <c r="I82" s="4" t="s">
        <v>62</v>
      </c>
      <c r="J82" s="4" t="s">
        <v>62</v>
      </c>
      <c r="K82" s="4" t="s">
        <v>62</v>
      </c>
      <c r="L82" s="4" t="s">
        <v>62</v>
      </c>
      <c r="M82" s="4" t="s">
        <v>62</v>
      </c>
      <c r="N82" s="4" t="s">
        <v>62</v>
      </c>
      <c r="O82" s="4" t="s">
        <v>62</v>
      </c>
      <c r="P82" s="4" t="s">
        <v>62</v>
      </c>
      <c r="Q82" s="4" t="s">
        <v>62</v>
      </c>
      <c r="R82" s="4" t="s">
        <v>62</v>
      </c>
      <c r="S82" s="4" t="s">
        <v>62</v>
      </c>
      <c r="T82" s="4" t="s">
        <v>62</v>
      </c>
      <c r="U82" s="4" t="s">
        <v>62</v>
      </c>
      <c r="V82" s="4" t="s">
        <v>62</v>
      </c>
      <c r="W82" s="4" t="s">
        <v>62</v>
      </c>
      <c r="X82" s="4" t="s">
        <v>62</v>
      </c>
      <c r="Y82" s="4" t="s">
        <v>62</v>
      </c>
      <c r="Z82" s="4" t="s">
        <v>62</v>
      </c>
      <c r="AA82" s="4" t="s">
        <v>62</v>
      </c>
      <c r="AB82" s="4" t="s">
        <v>62</v>
      </c>
      <c r="AC82" s="4" t="s">
        <v>62</v>
      </c>
      <c r="AD82" s="4" t="s">
        <v>62</v>
      </c>
      <c r="AE82" s="4" t="s">
        <v>62</v>
      </c>
      <c r="AF82" s="4" t="s">
        <v>62</v>
      </c>
      <c r="AG82" s="4" t="s">
        <v>62</v>
      </c>
    </row>
    <row r="83" spans="2:34">
      <c r="B83" s="85">
        <v>8</v>
      </c>
      <c r="C83" s="90" t="str">
        <f>LEFT(EmpGName08)&amp;" " &amp;EmpSName08</f>
        <v xml:space="preserve">B Odd </v>
      </c>
      <c r="D83" s="3" t="s">
        <v>62</v>
      </c>
      <c r="E83" s="3" t="s">
        <v>62</v>
      </c>
      <c r="F83" s="3" t="s">
        <v>62</v>
      </c>
      <c r="G83" s="3" t="s">
        <v>62</v>
      </c>
      <c r="H83" s="3" t="s">
        <v>62</v>
      </c>
      <c r="I83" s="3" t="s">
        <v>62</v>
      </c>
      <c r="J83" s="3" t="s">
        <v>62</v>
      </c>
      <c r="K83" s="3" t="s">
        <v>62</v>
      </c>
      <c r="L83" s="3" t="s">
        <v>62</v>
      </c>
      <c r="M83" s="3" t="s">
        <v>62</v>
      </c>
      <c r="N83" s="3" t="s">
        <v>62</v>
      </c>
      <c r="O83" s="3" t="s">
        <v>62</v>
      </c>
      <c r="P83" s="3" t="s">
        <v>62</v>
      </c>
      <c r="Q83" s="3" t="s">
        <v>62</v>
      </c>
      <c r="R83" s="3" t="s">
        <v>62</v>
      </c>
      <c r="S83" s="3" t="s">
        <v>62</v>
      </c>
      <c r="T83" s="3" t="s">
        <v>62</v>
      </c>
      <c r="U83" s="3" t="s">
        <v>62</v>
      </c>
      <c r="V83" s="3" t="s">
        <v>62</v>
      </c>
      <c r="W83" s="3" t="s">
        <v>62</v>
      </c>
      <c r="X83" s="3" t="s">
        <v>62</v>
      </c>
      <c r="Y83" s="3" t="s">
        <v>62</v>
      </c>
      <c r="Z83" s="3" t="s">
        <v>62</v>
      </c>
      <c r="AA83" s="3" t="s">
        <v>62</v>
      </c>
      <c r="AB83" s="3" t="s">
        <v>62</v>
      </c>
      <c r="AC83" s="3" t="s">
        <v>62</v>
      </c>
      <c r="AD83" s="3" t="s">
        <v>62</v>
      </c>
      <c r="AE83" s="3" t="s">
        <v>62</v>
      </c>
      <c r="AF83" s="3" t="s">
        <v>62</v>
      </c>
      <c r="AG83" s="3" t="s">
        <v>62</v>
      </c>
    </row>
    <row r="84" spans="2:34">
      <c r="B84" s="85">
        <v>9</v>
      </c>
      <c r="C84" s="89" t="str">
        <f>LEFT(EmpGName09)&amp;" " &amp;EmpSName09</f>
        <v>1 Odd1</v>
      </c>
      <c r="D84" s="4" t="s">
        <v>62</v>
      </c>
      <c r="E84" s="4" t="s">
        <v>62</v>
      </c>
      <c r="F84" s="4" t="s">
        <v>62</v>
      </c>
      <c r="G84" s="4" t="s">
        <v>62</v>
      </c>
      <c r="H84" s="4" t="s">
        <v>62</v>
      </c>
      <c r="I84" s="4" t="s">
        <v>62</v>
      </c>
      <c r="J84" s="4" t="s">
        <v>62</v>
      </c>
      <c r="K84" s="4" t="s">
        <v>62</v>
      </c>
      <c r="L84" s="4" t="s">
        <v>62</v>
      </c>
      <c r="M84" s="4" t="s">
        <v>62</v>
      </c>
      <c r="N84" s="4" t="s">
        <v>62</v>
      </c>
      <c r="O84" s="4" t="s">
        <v>62</v>
      </c>
      <c r="P84" s="4" t="s">
        <v>62</v>
      </c>
      <c r="Q84" s="4" t="s">
        <v>62</v>
      </c>
      <c r="R84" s="4" t="s">
        <v>62</v>
      </c>
      <c r="S84" s="4" t="s">
        <v>62</v>
      </c>
      <c r="T84" s="4" t="s">
        <v>62</v>
      </c>
      <c r="U84" s="4" t="s">
        <v>62</v>
      </c>
      <c r="V84" s="4" t="s">
        <v>62</v>
      </c>
      <c r="W84" s="4" t="s">
        <v>62</v>
      </c>
      <c r="X84" s="4" t="s">
        <v>62</v>
      </c>
      <c r="Y84" s="4" t="s">
        <v>62</v>
      </c>
      <c r="Z84" s="4" t="s">
        <v>62</v>
      </c>
      <c r="AA84" s="4" t="s">
        <v>62</v>
      </c>
      <c r="AB84" s="4" t="s">
        <v>62</v>
      </c>
      <c r="AC84" s="4" t="s">
        <v>62</v>
      </c>
      <c r="AD84" s="4" t="s">
        <v>62</v>
      </c>
      <c r="AE84" s="4" t="s">
        <v>62</v>
      </c>
      <c r="AF84" s="4" t="s">
        <v>62</v>
      </c>
      <c r="AG84" s="4" t="s">
        <v>62</v>
      </c>
    </row>
    <row r="85" spans="2:34" s="70" customFormat="1">
      <c r="B85" s="148">
        <v>10</v>
      </c>
      <c r="C85" s="90" t="str">
        <f>LEFT(EmpGName10)&amp;" " &amp;EmpSName10</f>
        <v>2 Odd2</v>
      </c>
      <c r="D85" s="3" t="s">
        <v>62</v>
      </c>
      <c r="E85" s="3" t="s">
        <v>62</v>
      </c>
      <c r="F85" s="3" t="s">
        <v>62</v>
      </c>
      <c r="G85" s="3" t="s">
        <v>62</v>
      </c>
      <c r="H85" s="3" t="s">
        <v>62</v>
      </c>
      <c r="I85" s="3" t="s">
        <v>62</v>
      </c>
      <c r="J85" s="3" t="s">
        <v>62</v>
      </c>
      <c r="K85" s="3" t="s">
        <v>62</v>
      </c>
      <c r="L85" s="3" t="s">
        <v>62</v>
      </c>
      <c r="M85" s="3" t="s">
        <v>62</v>
      </c>
      <c r="N85" s="3" t="s">
        <v>62</v>
      </c>
      <c r="O85" s="3" t="s">
        <v>62</v>
      </c>
      <c r="P85" s="3" t="s">
        <v>62</v>
      </c>
      <c r="Q85" s="3" t="s">
        <v>62</v>
      </c>
      <c r="R85" s="3" t="s">
        <v>62</v>
      </c>
      <c r="S85" s="3" t="s">
        <v>62</v>
      </c>
      <c r="T85" s="3" t="s">
        <v>62</v>
      </c>
      <c r="U85" s="3" t="s">
        <v>62</v>
      </c>
      <c r="V85" s="3" t="s">
        <v>62</v>
      </c>
      <c r="W85" s="3" t="s">
        <v>62</v>
      </c>
      <c r="X85" s="3" t="s">
        <v>62</v>
      </c>
      <c r="Y85" s="3" t="s">
        <v>62</v>
      </c>
      <c r="Z85" s="3" t="s">
        <v>62</v>
      </c>
      <c r="AA85" s="3" t="s">
        <v>62</v>
      </c>
      <c r="AB85" s="3" t="s">
        <v>62</v>
      </c>
      <c r="AC85" s="3" t="s">
        <v>62</v>
      </c>
      <c r="AD85" s="3" t="s">
        <v>62</v>
      </c>
      <c r="AE85" s="3" t="s">
        <v>62</v>
      </c>
      <c r="AF85" s="3" t="s">
        <v>62</v>
      </c>
      <c r="AG85" s="3" t="s">
        <v>62</v>
      </c>
      <c r="AH85"/>
    </row>
    <row r="86" spans="2:34" s="70" customFormat="1">
      <c r="B86" s="148">
        <v>11</v>
      </c>
      <c r="C86" s="89" t="str">
        <f>LEFT(EmpGName11)&amp;" " &amp;EmpSName11</f>
        <v>2 Odd3</v>
      </c>
      <c r="D86" s="4" t="s">
        <v>62</v>
      </c>
      <c r="E86" s="4" t="s">
        <v>62</v>
      </c>
      <c r="F86" s="4" t="s">
        <v>62</v>
      </c>
      <c r="G86" s="4" t="s">
        <v>62</v>
      </c>
      <c r="H86" s="4" t="s">
        <v>62</v>
      </c>
      <c r="I86" s="4" t="s">
        <v>62</v>
      </c>
      <c r="J86" s="4" t="s">
        <v>62</v>
      </c>
      <c r="K86" s="4" t="s">
        <v>62</v>
      </c>
      <c r="L86" s="4" t="s">
        <v>62</v>
      </c>
      <c r="M86" s="4" t="s">
        <v>62</v>
      </c>
      <c r="N86" s="4" t="s">
        <v>62</v>
      </c>
      <c r="O86" s="4" t="s">
        <v>62</v>
      </c>
      <c r="P86" s="4" t="s">
        <v>62</v>
      </c>
      <c r="Q86" s="4" t="s">
        <v>62</v>
      </c>
      <c r="R86" s="4" t="s">
        <v>62</v>
      </c>
      <c r="S86" s="4" t="s">
        <v>62</v>
      </c>
      <c r="T86" s="4" t="s">
        <v>62</v>
      </c>
      <c r="U86" s="4" t="s">
        <v>62</v>
      </c>
      <c r="V86" s="4" t="s">
        <v>62</v>
      </c>
      <c r="W86" s="4" t="s">
        <v>62</v>
      </c>
      <c r="X86" s="4" t="s">
        <v>62</v>
      </c>
      <c r="Y86" s="4" t="s">
        <v>62</v>
      </c>
      <c r="Z86" s="4" t="s">
        <v>62</v>
      </c>
      <c r="AA86" s="4" t="s">
        <v>62</v>
      </c>
      <c r="AB86" s="4" t="s">
        <v>62</v>
      </c>
      <c r="AC86" s="4" t="s">
        <v>62</v>
      </c>
      <c r="AD86" s="4" t="s">
        <v>62</v>
      </c>
      <c r="AE86" s="4" t="s">
        <v>62</v>
      </c>
      <c r="AF86" s="4" t="s">
        <v>62</v>
      </c>
      <c r="AG86" s="4" t="s">
        <v>62</v>
      </c>
      <c r="AH86"/>
    </row>
    <row r="87" spans="2:34" s="70" customFormat="1">
      <c r="B87" s="148">
        <v>12</v>
      </c>
      <c r="C87" s="90" t="str">
        <f>LEFT(EmpGName12)&amp;" " &amp;EmpSName12</f>
        <v>4 Odd4</v>
      </c>
      <c r="D87" s="3" t="s">
        <v>62</v>
      </c>
      <c r="E87" s="3" t="s">
        <v>62</v>
      </c>
      <c r="F87" s="3" t="s">
        <v>62</v>
      </c>
      <c r="G87" s="3" t="s">
        <v>62</v>
      </c>
      <c r="H87" s="3" t="s">
        <v>62</v>
      </c>
      <c r="I87" s="3" t="s">
        <v>62</v>
      </c>
      <c r="J87" s="3" t="s">
        <v>62</v>
      </c>
      <c r="K87" s="3" t="s">
        <v>62</v>
      </c>
      <c r="L87" s="3" t="s">
        <v>62</v>
      </c>
      <c r="M87" s="3" t="s">
        <v>62</v>
      </c>
      <c r="N87" s="3" t="s">
        <v>62</v>
      </c>
      <c r="O87" s="3" t="s">
        <v>62</v>
      </c>
      <c r="P87" s="3" t="s">
        <v>62</v>
      </c>
      <c r="Q87" s="3" t="s">
        <v>62</v>
      </c>
      <c r="R87" s="3" t="s">
        <v>62</v>
      </c>
      <c r="S87" s="3" t="s">
        <v>62</v>
      </c>
      <c r="T87" s="3" t="s">
        <v>62</v>
      </c>
      <c r="U87" s="3" t="s">
        <v>62</v>
      </c>
      <c r="V87" s="3" t="s">
        <v>62</v>
      </c>
      <c r="W87" s="3" t="s">
        <v>62</v>
      </c>
      <c r="X87" s="3" t="s">
        <v>62</v>
      </c>
      <c r="Y87" s="3" t="s">
        <v>62</v>
      </c>
      <c r="Z87" s="3" t="s">
        <v>62</v>
      </c>
      <c r="AA87" s="3" t="s">
        <v>62</v>
      </c>
      <c r="AB87" s="3" t="s">
        <v>62</v>
      </c>
      <c r="AC87" s="3" t="s">
        <v>62</v>
      </c>
      <c r="AD87" s="3" t="s">
        <v>62</v>
      </c>
      <c r="AE87" s="3" t="s">
        <v>62</v>
      </c>
      <c r="AF87" s="3" t="s">
        <v>62</v>
      </c>
      <c r="AG87" s="3" t="s">
        <v>62</v>
      </c>
      <c r="AH87"/>
    </row>
    <row r="88" spans="2:34" s="70" customFormat="1">
      <c r="B88" s="148">
        <v>13</v>
      </c>
      <c r="C88" s="89" t="str">
        <f>LEFT(EmpGName13)&amp;" " &amp;EmpSName13</f>
        <v>A Odd5</v>
      </c>
      <c r="D88" s="4" t="s">
        <v>62</v>
      </c>
      <c r="E88" s="4" t="s">
        <v>62</v>
      </c>
      <c r="F88" s="4" t="s">
        <v>62</v>
      </c>
      <c r="G88" s="4" t="s">
        <v>62</v>
      </c>
      <c r="H88" s="4" t="s">
        <v>62</v>
      </c>
      <c r="I88" s="4" t="s">
        <v>62</v>
      </c>
      <c r="J88" s="4" t="s">
        <v>62</v>
      </c>
      <c r="K88" s="4" t="s">
        <v>62</v>
      </c>
      <c r="L88" s="4" t="s">
        <v>62</v>
      </c>
      <c r="M88" s="4" t="s">
        <v>62</v>
      </c>
      <c r="N88" s="4" t="s">
        <v>62</v>
      </c>
      <c r="O88" s="4" t="s">
        <v>62</v>
      </c>
      <c r="P88" s="4" t="s">
        <v>62</v>
      </c>
      <c r="Q88" s="4" t="s">
        <v>62</v>
      </c>
      <c r="R88" s="4" t="s">
        <v>62</v>
      </c>
      <c r="S88" s="4" t="s">
        <v>62</v>
      </c>
      <c r="T88" s="4" t="s">
        <v>62</v>
      </c>
      <c r="U88" s="4" t="s">
        <v>62</v>
      </c>
      <c r="V88" s="4" t="s">
        <v>62</v>
      </c>
      <c r="W88" s="4" t="s">
        <v>62</v>
      </c>
      <c r="X88" s="4" t="s">
        <v>62</v>
      </c>
      <c r="Y88" s="4" t="s">
        <v>62</v>
      </c>
      <c r="Z88" s="4" t="s">
        <v>62</v>
      </c>
      <c r="AA88" s="4" t="s">
        <v>62</v>
      </c>
      <c r="AB88" s="4" t="s">
        <v>62</v>
      </c>
      <c r="AC88" s="4" t="s">
        <v>62</v>
      </c>
      <c r="AD88" s="4" t="s">
        <v>62</v>
      </c>
      <c r="AE88" s="4" t="s">
        <v>62</v>
      </c>
      <c r="AF88" s="4" t="s">
        <v>62</v>
      </c>
      <c r="AG88" s="4" t="s">
        <v>62</v>
      </c>
      <c r="AH88"/>
    </row>
    <row r="89" spans="2:34" s="70" customFormat="1">
      <c r="B89" s="148">
        <v>14</v>
      </c>
      <c r="C89" s="90" t="str">
        <f>LEFT(EmpGName14)&amp;" " &amp;EmpSName14</f>
        <v>B Odd6</v>
      </c>
      <c r="D89" s="3" t="s">
        <v>62</v>
      </c>
      <c r="E89" s="3" t="s">
        <v>62</v>
      </c>
      <c r="F89" s="3" t="s">
        <v>62</v>
      </c>
      <c r="G89" s="3" t="s">
        <v>62</v>
      </c>
      <c r="H89" s="3" t="s">
        <v>62</v>
      </c>
      <c r="I89" s="3" t="s">
        <v>62</v>
      </c>
      <c r="J89" s="3" t="s">
        <v>62</v>
      </c>
      <c r="K89" s="3" t="s">
        <v>62</v>
      </c>
      <c r="L89" s="3" t="s">
        <v>62</v>
      </c>
      <c r="M89" s="3" t="s">
        <v>62</v>
      </c>
      <c r="N89" s="3" t="s">
        <v>62</v>
      </c>
      <c r="O89" s="3" t="s">
        <v>62</v>
      </c>
      <c r="P89" s="3" t="s">
        <v>62</v>
      </c>
      <c r="Q89" s="3" t="s">
        <v>62</v>
      </c>
      <c r="R89" s="3" t="s">
        <v>62</v>
      </c>
      <c r="S89" s="3" t="s">
        <v>62</v>
      </c>
      <c r="T89" s="3" t="s">
        <v>62</v>
      </c>
      <c r="U89" s="3" t="s">
        <v>62</v>
      </c>
      <c r="V89" s="3" t="s">
        <v>62</v>
      </c>
      <c r="W89" s="3" t="s">
        <v>62</v>
      </c>
      <c r="X89" s="3" t="s">
        <v>62</v>
      </c>
      <c r="Y89" s="3" t="s">
        <v>62</v>
      </c>
      <c r="Z89" s="3" t="s">
        <v>62</v>
      </c>
      <c r="AA89" s="3" t="s">
        <v>62</v>
      </c>
      <c r="AB89" s="3" t="s">
        <v>62</v>
      </c>
      <c r="AC89" s="3" t="s">
        <v>62</v>
      </c>
      <c r="AD89" s="3" t="s">
        <v>62</v>
      </c>
      <c r="AE89" s="3" t="s">
        <v>62</v>
      </c>
      <c r="AF89" s="3" t="s">
        <v>62</v>
      </c>
      <c r="AG89" s="3" t="s">
        <v>62</v>
      </c>
      <c r="AH89"/>
    </row>
    <row r="90" spans="2:34" s="70" customFormat="1">
      <c r="B90" s="148">
        <v>15</v>
      </c>
      <c r="C90" s="89" t="str">
        <f>LEFT(EmpGName15)&amp;" " &amp;EmpSName15</f>
        <v>C Odd7</v>
      </c>
      <c r="D90" s="4" t="s">
        <v>62</v>
      </c>
      <c r="E90" s="4" t="s">
        <v>62</v>
      </c>
      <c r="F90" s="4" t="s">
        <v>62</v>
      </c>
      <c r="G90" s="4" t="s">
        <v>62</v>
      </c>
      <c r="H90" s="4" t="s">
        <v>62</v>
      </c>
      <c r="I90" s="4" t="s">
        <v>62</v>
      </c>
      <c r="J90" s="4" t="s">
        <v>62</v>
      </c>
      <c r="K90" s="4" t="s">
        <v>62</v>
      </c>
      <c r="L90" s="4" t="s">
        <v>62</v>
      </c>
      <c r="M90" s="4" t="s">
        <v>62</v>
      </c>
      <c r="N90" s="4" t="s">
        <v>62</v>
      </c>
      <c r="O90" s="4" t="s">
        <v>62</v>
      </c>
      <c r="P90" s="4" t="s">
        <v>62</v>
      </c>
      <c r="Q90" s="4" t="s">
        <v>62</v>
      </c>
      <c r="R90" s="4" t="s">
        <v>62</v>
      </c>
      <c r="S90" s="4" t="s">
        <v>62</v>
      </c>
      <c r="T90" s="4" t="s">
        <v>62</v>
      </c>
      <c r="U90" s="4" t="s">
        <v>62</v>
      </c>
      <c r="V90" s="4" t="s">
        <v>62</v>
      </c>
      <c r="W90" s="4" t="s">
        <v>62</v>
      </c>
      <c r="X90" s="4" t="s">
        <v>62</v>
      </c>
      <c r="Y90" s="4" t="s">
        <v>62</v>
      </c>
      <c r="Z90" s="4" t="s">
        <v>62</v>
      </c>
      <c r="AA90" s="4" t="s">
        <v>62</v>
      </c>
      <c r="AB90" s="4" t="s">
        <v>62</v>
      </c>
      <c r="AC90" s="4" t="s">
        <v>62</v>
      </c>
      <c r="AD90" s="4" t="s">
        <v>62</v>
      </c>
      <c r="AE90" s="4" t="s">
        <v>62</v>
      </c>
      <c r="AF90" s="4" t="s">
        <v>62</v>
      </c>
      <c r="AG90" s="4" t="s">
        <v>62</v>
      </c>
      <c r="AH90"/>
    </row>
    <row r="91" spans="2:34" s="70" customFormat="1">
      <c r="B91" s="148">
        <v>16</v>
      </c>
      <c r="C91" s="90" t="str">
        <f>LEFT(EmpGName16)&amp;" " &amp;EmpSName16</f>
        <v>D Odd8</v>
      </c>
      <c r="D91" s="3" t="s">
        <v>62</v>
      </c>
      <c r="E91" s="3" t="s">
        <v>62</v>
      </c>
      <c r="F91" s="3" t="s">
        <v>62</v>
      </c>
      <c r="G91" s="3" t="s">
        <v>62</v>
      </c>
      <c r="H91" s="3" t="s">
        <v>62</v>
      </c>
      <c r="I91" s="3" t="s">
        <v>62</v>
      </c>
      <c r="J91" s="3" t="s">
        <v>62</v>
      </c>
      <c r="K91" s="3" t="s">
        <v>62</v>
      </c>
      <c r="L91" s="3" t="s">
        <v>62</v>
      </c>
      <c r="M91" s="3" t="s">
        <v>62</v>
      </c>
      <c r="N91" s="3" t="s">
        <v>62</v>
      </c>
      <c r="O91" s="3" t="s">
        <v>62</v>
      </c>
      <c r="P91" s="3" t="s">
        <v>62</v>
      </c>
      <c r="Q91" s="3" t="s">
        <v>62</v>
      </c>
      <c r="R91" s="3" t="s">
        <v>62</v>
      </c>
      <c r="S91" s="3" t="s">
        <v>62</v>
      </c>
      <c r="T91" s="3" t="s">
        <v>62</v>
      </c>
      <c r="U91" s="3" t="s">
        <v>62</v>
      </c>
      <c r="V91" s="3" t="s">
        <v>62</v>
      </c>
      <c r="W91" s="3" t="s">
        <v>62</v>
      </c>
      <c r="X91" s="3" t="s">
        <v>62</v>
      </c>
      <c r="Y91" s="3" t="s">
        <v>62</v>
      </c>
      <c r="Z91" s="3" t="s">
        <v>62</v>
      </c>
      <c r="AA91" s="3" t="s">
        <v>62</v>
      </c>
      <c r="AB91" s="3" t="s">
        <v>62</v>
      </c>
      <c r="AC91" s="3" t="s">
        <v>62</v>
      </c>
      <c r="AD91" s="3" t="s">
        <v>62</v>
      </c>
      <c r="AE91" s="3" t="s">
        <v>62</v>
      </c>
      <c r="AF91" s="3" t="s">
        <v>62</v>
      </c>
      <c r="AG91" s="3" t="s">
        <v>62</v>
      </c>
      <c r="AH91"/>
    </row>
    <row r="92" spans="2:34" s="70" customFormat="1">
      <c r="B92" s="148">
        <v>17</v>
      </c>
      <c r="C92" s="89" t="str">
        <f>LEFT(EmpGName17)&amp;" " &amp;EmpSName17</f>
        <v>E Odd9</v>
      </c>
      <c r="D92" s="4" t="s">
        <v>62</v>
      </c>
      <c r="E92" s="4" t="s">
        <v>62</v>
      </c>
      <c r="F92" s="4" t="s">
        <v>62</v>
      </c>
      <c r="G92" s="4" t="s">
        <v>62</v>
      </c>
      <c r="H92" s="4" t="s">
        <v>62</v>
      </c>
      <c r="I92" s="4" t="s">
        <v>62</v>
      </c>
      <c r="J92" s="4" t="s">
        <v>62</v>
      </c>
      <c r="K92" s="4" t="s">
        <v>62</v>
      </c>
      <c r="L92" s="4" t="s">
        <v>62</v>
      </c>
      <c r="M92" s="4" t="s">
        <v>62</v>
      </c>
      <c r="N92" s="4" t="s">
        <v>62</v>
      </c>
      <c r="O92" s="4" t="s">
        <v>62</v>
      </c>
      <c r="P92" s="4" t="s">
        <v>62</v>
      </c>
      <c r="Q92" s="4" t="s">
        <v>62</v>
      </c>
      <c r="R92" s="4" t="s">
        <v>62</v>
      </c>
      <c r="S92" s="4" t="s">
        <v>62</v>
      </c>
      <c r="T92" s="4" t="s">
        <v>62</v>
      </c>
      <c r="U92" s="4" t="s">
        <v>62</v>
      </c>
      <c r="V92" s="4" t="s">
        <v>62</v>
      </c>
      <c r="W92" s="4" t="s">
        <v>62</v>
      </c>
      <c r="X92" s="4" t="s">
        <v>62</v>
      </c>
      <c r="Y92" s="4" t="s">
        <v>62</v>
      </c>
      <c r="Z92" s="4" t="s">
        <v>62</v>
      </c>
      <c r="AA92" s="4" t="s">
        <v>62</v>
      </c>
      <c r="AB92" s="4" t="s">
        <v>62</v>
      </c>
      <c r="AC92" s="4" t="s">
        <v>62</v>
      </c>
      <c r="AD92" s="4" t="s">
        <v>62</v>
      </c>
      <c r="AE92" s="4" t="s">
        <v>62</v>
      </c>
      <c r="AF92" s="4" t="s">
        <v>62</v>
      </c>
      <c r="AG92" s="4" t="s">
        <v>62</v>
      </c>
      <c r="AH92"/>
    </row>
    <row r="93" spans="2:34" s="70" customFormat="1">
      <c r="B93" s="148">
        <v>18</v>
      </c>
      <c r="C93" s="90" t="str">
        <f>LEFT(EmpGName18)&amp;" " &amp;EmpSName18</f>
        <v>F Odd10</v>
      </c>
      <c r="D93" s="3" t="s">
        <v>62</v>
      </c>
      <c r="E93" s="3" t="s">
        <v>62</v>
      </c>
      <c r="F93" s="3" t="s">
        <v>62</v>
      </c>
      <c r="G93" s="3" t="s">
        <v>62</v>
      </c>
      <c r="H93" s="3" t="s">
        <v>62</v>
      </c>
      <c r="I93" s="3" t="s">
        <v>62</v>
      </c>
      <c r="J93" s="3" t="s">
        <v>62</v>
      </c>
      <c r="K93" s="3" t="s">
        <v>62</v>
      </c>
      <c r="L93" s="3" t="s">
        <v>62</v>
      </c>
      <c r="M93" s="3" t="s">
        <v>62</v>
      </c>
      <c r="N93" s="3" t="s">
        <v>62</v>
      </c>
      <c r="O93" s="3" t="s">
        <v>62</v>
      </c>
      <c r="P93" s="3" t="s">
        <v>62</v>
      </c>
      <c r="Q93" s="3" t="s">
        <v>62</v>
      </c>
      <c r="R93" s="3" t="s">
        <v>62</v>
      </c>
      <c r="S93" s="3" t="s">
        <v>62</v>
      </c>
      <c r="T93" s="3" t="s">
        <v>62</v>
      </c>
      <c r="U93" s="3" t="s">
        <v>62</v>
      </c>
      <c r="V93" s="3" t="s">
        <v>62</v>
      </c>
      <c r="W93" s="3" t="s">
        <v>62</v>
      </c>
      <c r="X93" s="3" t="s">
        <v>62</v>
      </c>
      <c r="Y93" s="3" t="s">
        <v>62</v>
      </c>
      <c r="Z93" s="3" t="s">
        <v>62</v>
      </c>
      <c r="AA93" s="3" t="s">
        <v>62</v>
      </c>
      <c r="AB93" s="3" t="s">
        <v>62</v>
      </c>
      <c r="AC93" s="3" t="s">
        <v>62</v>
      </c>
      <c r="AD93" s="3" t="s">
        <v>62</v>
      </c>
      <c r="AE93" s="3" t="s">
        <v>62</v>
      </c>
      <c r="AF93" s="3" t="s">
        <v>62</v>
      </c>
      <c r="AG93" s="3" t="s">
        <v>62</v>
      </c>
      <c r="AH93"/>
    </row>
    <row r="94" spans="2:34" s="70" customFormat="1">
      <c r="B94" s="148">
        <v>19</v>
      </c>
      <c r="C94" s="89" t="str">
        <f>LEFT(EmpGName19)&amp;" " &amp;EmpSName19</f>
        <v>G Odd11</v>
      </c>
      <c r="D94" s="4" t="s">
        <v>62</v>
      </c>
      <c r="E94" s="4" t="s">
        <v>62</v>
      </c>
      <c r="F94" s="4" t="s">
        <v>62</v>
      </c>
      <c r="G94" s="4" t="s">
        <v>62</v>
      </c>
      <c r="H94" s="4" t="s">
        <v>62</v>
      </c>
      <c r="I94" s="4" t="s">
        <v>62</v>
      </c>
      <c r="J94" s="4" t="s">
        <v>62</v>
      </c>
      <c r="K94" s="4" t="s">
        <v>62</v>
      </c>
      <c r="L94" s="4" t="s">
        <v>62</v>
      </c>
      <c r="M94" s="4" t="s">
        <v>62</v>
      </c>
      <c r="N94" s="4" t="s">
        <v>62</v>
      </c>
      <c r="O94" s="4" t="s">
        <v>62</v>
      </c>
      <c r="P94" s="4" t="s">
        <v>62</v>
      </c>
      <c r="Q94" s="4" t="s">
        <v>62</v>
      </c>
      <c r="R94" s="4" t="s">
        <v>62</v>
      </c>
      <c r="S94" s="4" t="s">
        <v>62</v>
      </c>
      <c r="T94" s="4" t="s">
        <v>62</v>
      </c>
      <c r="U94" s="4" t="s">
        <v>62</v>
      </c>
      <c r="V94" s="4" t="s">
        <v>62</v>
      </c>
      <c r="W94" s="4" t="s">
        <v>62</v>
      </c>
      <c r="X94" s="4" t="s">
        <v>62</v>
      </c>
      <c r="Y94" s="4" t="s">
        <v>62</v>
      </c>
      <c r="Z94" s="4" t="s">
        <v>62</v>
      </c>
      <c r="AA94" s="4" t="s">
        <v>62</v>
      </c>
      <c r="AB94" s="4" t="s">
        <v>62</v>
      </c>
      <c r="AC94" s="4" t="s">
        <v>62</v>
      </c>
      <c r="AD94" s="4" t="s">
        <v>62</v>
      </c>
      <c r="AE94" s="4" t="s">
        <v>62</v>
      </c>
      <c r="AF94" s="4" t="s">
        <v>62</v>
      </c>
      <c r="AG94" s="4" t="s">
        <v>62</v>
      </c>
      <c r="AH94"/>
    </row>
    <row r="95" spans="2:34" s="70" customFormat="1">
      <c r="B95" s="148">
        <v>20</v>
      </c>
      <c r="C95" s="90" t="str">
        <f>LEFT(EmpGName20)&amp;" " &amp;EmpSName20</f>
        <v>H Odd12</v>
      </c>
      <c r="D95" s="3" t="s">
        <v>62</v>
      </c>
      <c r="E95" s="3" t="s">
        <v>62</v>
      </c>
      <c r="F95" s="3" t="s">
        <v>62</v>
      </c>
      <c r="G95" s="3" t="s">
        <v>62</v>
      </c>
      <c r="H95" s="3" t="s">
        <v>62</v>
      </c>
      <c r="I95" s="3" t="s">
        <v>62</v>
      </c>
      <c r="J95" s="3" t="s">
        <v>62</v>
      </c>
      <c r="K95" s="3" t="s">
        <v>62</v>
      </c>
      <c r="L95" s="3" t="s">
        <v>62</v>
      </c>
      <c r="M95" s="3" t="s">
        <v>62</v>
      </c>
      <c r="N95" s="3" t="s">
        <v>62</v>
      </c>
      <c r="O95" s="3" t="s">
        <v>62</v>
      </c>
      <c r="P95" s="3" t="s">
        <v>62</v>
      </c>
      <c r="Q95" s="3" t="s">
        <v>62</v>
      </c>
      <c r="R95" s="3" t="s">
        <v>62</v>
      </c>
      <c r="S95" s="3" t="s">
        <v>62</v>
      </c>
      <c r="T95" s="3" t="s">
        <v>62</v>
      </c>
      <c r="U95" s="3" t="s">
        <v>62</v>
      </c>
      <c r="V95" s="3" t="s">
        <v>62</v>
      </c>
      <c r="W95" s="3" t="s">
        <v>62</v>
      </c>
      <c r="X95" s="3" t="s">
        <v>62</v>
      </c>
      <c r="Y95" s="3" t="s">
        <v>62</v>
      </c>
      <c r="Z95" s="3" t="s">
        <v>62</v>
      </c>
      <c r="AA95" s="3" t="s">
        <v>62</v>
      </c>
      <c r="AB95" s="3" t="s">
        <v>62</v>
      </c>
      <c r="AC95" s="3" t="s">
        <v>62</v>
      </c>
      <c r="AD95" s="3" t="s">
        <v>62</v>
      </c>
      <c r="AE95" s="3" t="s">
        <v>62</v>
      </c>
      <c r="AF95" s="3" t="s">
        <v>62</v>
      </c>
      <c r="AG95" s="3" t="s">
        <v>62</v>
      </c>
      <c r="AH95"/>
    </row>
    <row r="96" spans="2:34" s="70" customFormat="1">
      <c r="B96" s="148">
        <v>21</v>
      </c>
      <c r="C96" s="89" t="str">
        <f>LEFT(EmpGName21)&amp;" " &amp;EmpSName21</f>
        <v>I Odd13</v>
      </c>
      <c r="D96" s="4" t="s">
        <v>62</v>
      </c>
      <c r="E96" s="4" t="s">
        <v>62</v>
      </c>
      <c r="F96" s="4" t="s">
        <v>62</v>
      </c>
      <c r="G96" s="4" t="s">
        <v>62</v>
      </c>
      <c r="H96" s="4" t="s">
        <v>62</v>
      </c>
      <c r="I96" s="4" t="s">
        <v>62</v>
      </c>
      <c r="J96" s="4" t="s">
        <v>62</v>
      </c>
      <c r="K96" s="4" t="s">
        <v>62</v>
      </c>
      <c r="L96" s="4" t="s">
        <v>62</v>
      </c>
      <c r="M96" s="4" t="s">
        <v>62</v>
      </c>
      <c r="N96" s="4" t="s">
        <v>62</v>
      </c>
      <c r="O96" s="4" t="s">
        <v>62</v>
      </c>
      <c r="P96" s="4" t="s">
        <v>62</v>
      </c>
      <c r="Q96" s="4" t="s">
        <v>62</v>
      </c>
      <c r="R96" s="4" t="s">
        <v>62</v>
      </c>
      <c r="S96" s="4" t="s">
        <v>62</v>
      </c>
      <c r="T96" s="4" t="s">
        <v>62</v>
      </c>
      <c r="U96" s="4" t="s">
        <v>62</v>
      </c>
      <c r="V96" s="4" t="s">
        <v>62</v>
      </c>
      <c r="W96" s="4" t="s">
        <v>62</v>
      </c>
      <c r="X96" s="4" t="s">
        <v>62</v>
      </c>
      <c r="Y96" s="4" t="s">
        <v>62</v>
      </c>
      <c r="Z96" s="4" t="s">
        <v>62</v>
      </c>
      <c r="AA96" s="4" t="s">
        <v>62</v>
      </c>
      <c r="AB96" s="4" t="s">
        <v>62</v>
      </c>
      <c r="AC96" s="4" t="s">
        <v>62</v>
      </c>
      <c r="AD96" s="4" t="s">
        <v>62</v>
      </c>
      <c r="AE96" s="4" t="s">
        <v>62</v>
      </c>
      <c r="AF96" s="4" t="s">
        <v>62</v>
      </c>
      <c r="AG96" s="4" t="s">
        <v>62</v>
      </c>
      <c r="AH96"/>
    </row>
    <row r="97" spans="2:34" s="70" customFormat="1">
      <c r="B97" s="148">
        <v>22</v>
      </c>
      <c r="C97" s="90" t="str">
        <f>LEFT(EmpGName22)&amp;" " &amp;EmpSName22</f>
        <v>J Odd14</v>
      </c>
      <c r="D97" s="3" t="s">
        <v>62</v>
      </c>
      <c r="E97" s="3" t="s">
        <v>62</v>
      </c>
      <c r="F97" s="3" t="s">
        <v>62</v>
      </c>
      <c r="G97" s="3" t="s">
        <v>62</v>
      </c>
      <c r="H97" s="3" t="s">
        <v>62</v>
      </c>
      <c r="I97" s="3" t="s">
        <v>62</v>
      </c>
      <c r="J97" s="3" t="s">
        <v>62</v>
      </c>
      <c r="K97" s="3" t="s">
        <v>62</v>
      </c>
      <c r="L97" s="3" t="s">
        <v>62</v>
      </c>
      <c r="M97" s="3" t="s">
        <v>62</v>
      </c>
      <c r="N97" s="3" t="s">
        <v>62</v>
      </c>
      <c r="O97" s="3" t="s">
        <v>62</v>
      </c>
      <c r="P97" s="3" t="s">
        <v>62</v>
      </c>
      <c r="Q97" s="3" t="s">
        <v>62</v>
      </c>
      <c r="R97" s="3" t="s">
        <v>62</v>
      </c>
      <c r="S97" s="3" t="s">
        <v>62</v>
      </c>
      <c r="T97" s="3" t="s">
        <v>62</v>
      </c>
      <c r="U97" s="3" t="s">
        <v>62</v>
      </c>
      <c r="V97" s="3" t="s">
        <v>62</v>
      </c>
      <c r="W97" s="3" t="s">
        <v>62</v>
      </c>
      <c r="X97" s="3" t="s">
        <v>62</v>
      </c>
      <c r="Y97" s="3" t="s">
        <v>62</v>
      </c>
      <c r="Z97" s="3" t="s">
        <v>62</v>
      </c>
      <c r="AA97" s="3" t="s">
        <v>62</v>
      </c>
      <c r="AB97" s="3" t="s">
        <v>62</v>
      </c>
      <c r="AC97" s="3" t="s">
        <v>62</v>
      </c>
      <c r="AD97" s="3" t="s">
        <v>62</v>
      </c>
      <c r="AE97" s="3" t="s">
        <v>62</v>
      </c>
      <c r="AF97" s="3" t="s">
        <v>62</v>
      </c>
      <c r="AG97" s="3" t="s">
        <v>62</v>
      </c>
      <c r="AH97"/>
    </row>
    <row r="98" spans="2:34" s="70" customFormat="1">
      <c r="B98" s="148">
        <v>23</v>
      </c>
      <c r="C98" s="89" t="str">
        <f>LEFT(EmpGName23)&amp;" " &amp;EmpSName23</f>
        <v>K Odd15</v>
      </c>
      <c r="D98" s="4" t="s">
        <v>62</v>
      </c>
      <c r="E98" s="4" t="s">
        <v>62</v>
      </c>
      <c r="F98" s="4" t="s">
        <v>62</v>
      </c>
      <c r="G98" s="4" t="s">
        <v>62</v>
      </c>
      <c r="H98" s="4" t="s">
        <v>62</v>
      </c>
      <c r="I98" s="4" t="s">
        <v>62</v>
      </c>
      <c r="J98" s="4" t="s">
        <v>62</v>
      </c>
      <c r="K98" s="4" t="s">
        <v>62</v>
      </c>
      <c r="L98" s="4" t="s">
        <v>62</v>
      </c>
      <c r="M98" s="4" t="s">
        <v>62</v>
      </c>
      <c r="N98" s="4" t="s">
        <v>62</v>
      </c>
      <c r="O98" s="4" t="s">
        <v>62</v>
      </c>
      <c r="P98" s="4" t="s">
        <v>62</v>
      </c>
      <c r="Q98" s="4" t="s">
        <v>62</v>
      </c>
      <c r="R98" s="4" t="s">
        <v>62</v>
      </c>
      <c r="S98" s="4" t="s">
        <v>62</v>
      </c>
      <c r="T98" s="4" t="s">
        <v>62</v>
      </c>
      <c r="U98" s="4" t="s">
        <v>62</v>
      </c>
      <c r="V98" s="4" t="s">
        <v>62</v>
      </c>
      <c r="W98" s="4" t="s">
        <v>62</v>
      </c>
      <c r="X98" s="4" t="s">
        <v>62</v>
      </c>
      <c r="Y98" s="4" t="s">
        <v>62</v>
      </c>
      <c r="Z98" s="4" t="s">
        <v>62</v>
      </c>
      <c r="AA98" s="4" t="s">
        <v>62</v>
      </c>
      <c r="AB98" s="4" t="s">
        <v>62</v>
      </c>
      <c r="AC98" s="4" t="s">
        <v>62</v>
      </c>
      <c r="AD98" s="4" t="s">
        <v>62</v>
      </c>
      <c r="AE98" s="4" t="s">
        <v>62</v>
      </c>
      <c r="AF98" s="4" t="s">
        <v>62</v>
      </c>
      <c r="AG98" s="4" t="s">
        <v>62</v>
      </c>
      <c r="AH98"/>
    </row>
    <row r="99" spans="2:34" s="70" customFormat="1">
      <c r="B99" s="148">
        <v>24</v>
      </c>
      <c r="C99" s="90" t="str">
        <f>LEFT(EmpGName24)&amp;" " &amp;EmpSName24</f>
        <v>L Odd16</v>
      </c>
      <c r="D99" s="3" t="s">
        <v>62</v>
      </c>
      <c r="E99" s="3" t="s">
        <v>62</v>
      </c>
      <c r="F99" s="3" t="s">
        <v>62</v>
      </c>
      <c r="G99" s="3" t="s">
        <v>62</v>
      </c>
      <c r="H99" s="3" t="s">
        <v>62</v>
      </c>
      <c r="I99" s="3" t="s">
        <v>62</v>
      </c>
      <c r="J99" s="3" t="s">
        <v>62</v>
      </c>
      <c r="K99" s="3" t="s">
        <v>62</v>
      </c>
      <c r="L99" s="3" t="s">
        <v>62</v>
      </c>
      <c r="M99" s="3" t="s">
        <v>62</v>
      </c>
      <c r="N99" s="3" t="s">
        <v>62</v>
      </c>
      <c r="O99" s="3" t="s">
        <v>62</v>
      </c>
      <c r="P99" s="3" t="s">
        <v>62</v>
      </c>
      <c r="Q99" s="3" t="s">
        <v>62</v>
      </c>
      <c r="R99" s="3" t="s">
        <v>62</v>
      </c>
      <c r="S99" s="3" t="s">
        <v>62</v>
      </c>
      <c r="T99" s="3" t="s">
        <v>62</v>
      </c>
      <c r="U99" s="3" t="s">
        <v>62</v>
      </c>
      <c r="V99" s="3" t="s">
        <v>62</v>
      </c>
      <c r="W99" s="3" t="s">
        <v>62</v>
      </c>
      <c r="X99" s="3" t="s">
        <v>62</v>
      </c>
      <c r="Y99" s="3" t="s">
        <v>62</v>
      </c>
      <c r="Z99" s="3" t="s">
        <v>62</v>
      </c>
      <c r="AA99" s="3" t="s">
        <v>62</v>
      </c>
      <c r="AB99" s="3" t="s">
        <v>62</v>
      </c>
      <c r="AC99" s="3" t="s">
        <v>62</v>
      </c>
      <c r="AD99" s="3" t="s">
        <v>62</v>
      </c>
      <c r="AE99" s="3" t="s">
        <v>62</v>
      </c>
      <c r="AF99" s="3" t="s">
        <v>62</v>
      </c>
      <c r="AG99" s="3" t="s">
        <v>62</v>
      </c>
      <c r="AH99"/>
    </row>
    <row r="100" spans="2:34" s="70" customFormat="1">
      <c r="B100" s="148">
        <v>25</v>
      </c>
      <c r="C100" s="89" t="str">
        <f>LEFT(EmpGName25)&amp;" " &amp;EmpSName25</f>
        <v>M Odd17</v>
      </c>
      <c r="D100" s="4" t="s">
        <v>62</v>
      </c>
      <c r="E100" s="4" t="s">
        <v>62</v>
      </c>
      <c r="F100" s="4" t="s">
        <v>62</v>
      </c>
      <c r="G100" s="4" t="s">
        <v>62</v>
      </c>
      <c r="H100" s="4" t="s">
        <v>62</v>
      </c>
      <c r="I100" s="4" t="s">
        <v>62</v>
      </c>
      <c r="J100" s="4" t="s">
        <v>62</v>
      </c>
      <c r="K100" s="4" t="s">
        <v>62</v>
      </c>
      <c r="L100" s="4" t="s">
        <v>62</v>
      </c>
      <c r="M100" s="4" t="s">
        <v>62</v>
      </c>
      <c r="N100" s="4" t="s">
        <v>62</v>
      </c>
      <c r="O100" s="4" t="s">
        <v>62</v>
      </c>
      <c r="P100" s="4" t="s">
        <v>62</v>
      </c>
      <c r="Q100" s="4" t="s">
        <v>62</v>
      </c>
      <c r="R100" s="4" t="s">
        <v>62</v>
      </c>
      <c r="S100" s="4" t="s">
        <v>62</v>
      </c>
      <c r="T100" s="4" t="s">
        <v>62</v>
      </c>
      <c r="U100" s="4" t="s">
        <v>62</v>
      </c>
      <c r="V100" s="4" t="s">
        <v>62</v>
      </c>
      <c r="W100" s="4" t="s">
        <v>62</v>
      </c>
      <c r="X100" s="4" t="s">
        <v>62</v>
      </c>
      <c r="Y100" s="4" t="s">
        <v>62</v>
      </c>
      <c r="Z100" s="4" t="s">
        <v>62</v>
      </c>
      <c r="AA100" s="4" t="s">
        <v>62</v>
      </c>
      <c r="AB100" s="4" t="s">
        <v>62</v>
      </c>
      <c r="AC100" s="4" t="s">
        <v>62</v>
      </c>
      <c r="AD100" s="4" t="s">
        <v>62</v>
      </c>
      <c r="AE100" s="4" t="s">
        <v>62</v>
      </c>
      <c r="AF100" s="4" t="s">
        <v>62</v>
      </c>
      <c r="AG100" s="4" t="s">
        <v>62</v>
      </c>
      <c r="AH100"/>
    </row>
    <row r="101" spans="2:34" s="70" customFormat="1">
      <c r="B101" s="148">
        <v>26</v>
      </c>
      <c r="C101" s="90" t="str">
        <f>LEFT(EmpGName26)&amp;" " &amp;EmpSName26</f>
        <v>N Odd18</v>
      </c>
      <c r="D101" s="3" t="s">
        <v>62</v>
      </c>
      <c r="E101" s="3" t="s">
        <v>62</v>
      </c>
      <c r="F101" s="3" t="s">
        <v>62</v>
      </c>
      <c r="G101" s="3" t="s">
        <v>62</v>
      </c>
      <c r="H101" s="3" t="s">
        <v>62</v>
      </c>
      <c r="I101" s="3" t="s">
        <v>62</v>
      </c>
      <c r="J101" s="3" t="s">
        <v>62</v>
      </c>
      <c r="K101" s="3" t="s">
        <v>62</v>
      </c>
      <c r="L101" s="3" t="s">
        <v>62</v>
      </c>
      <c r="M101" s="3" t="s">
        <v>62</v>
      </c>
      <c r="N101" s="3" t="s">
        <v>62</v>
      </c>
      <c r="O101" s="3" t="s">
        <v>62</v>
      </c>
      <c r="P101" s="3" t="s">
        <v>62</v>
      </c>
      <c r="Q101" s="3" t="s">
        <v>62</v>
      </c>
      <c r="R101" s="3" t="s">
        <v>62</v>
      </c>
      <c r="S101" s="3" t="s">
        <v>62</v>
      </c>
      <c r="T101" s="3" t="s">
        <v>62</v>
      </c>
      <c r="U101" s="3" t="s">
        <v>62</v>
      </c>
      <c r="V101" s="3" t="s">
        <v>62</v>
      </c>
      <c r="W101" s="3" t="s">
        <v>62</v>
      </c>
      <c r="X101" s="3" t="s">
        <v>62</v>
      </c>
      <c r="Y101" s="3" t="s">
        <v>62</v>
      </c>
      <c r="Z101" s="3" t="s">
        <v>62</v>
      </c>
      <c r="AA101" s="3" t="s">
        <v>62</v>
      </c>
      <c r="AB101" s="3" t="s">
        <v>62</v>
      </c>
      <c r="AC101" s="3" t="s">
        <v>62</v>
      </c>
      <c r="AD101" s="3" t="s">
        <v>62</v>
      </c>
      <c r="AE101" s="3" t="s">
        <v>62</v>
      </c>
      <c r="AF101" s="3" t="s">
        <v>62</v>
      </c>
      <c r="AG101" s="3" t="s">
        <v>62</v>
      </c>
      <c r="AH101"/>
    </row>
    <row r="102" spans="2:34" s="70" customFormat="1">
      <c r="B102" s="148">
        <v>27</v>
      </c>
      <c r="C102" s="89" t="str">
        <f>LEFT(EmpGName27)&amp;" " &amp;EmpSName27</f>
        <v>O Odd19</v>
      </c>
      <c r="D102" s="4" t="s">
        <v>62</v>
      </c>
      <c r="E102" s="4" t="s">
        <v>62</v>
      </c>
      <c r="F102" s="4" t="s">
        <v>62</v>
      </c>
      <c r="G102" s="4" t="s">
        <v>62</v>
      </c>
      <c r="H102" s="4" t="s">
        <v>62</v>
      </c>
      <c r="I102" s="4" t="s">
        <v>62</v>
      </c>
      <c r="J102" s="4" t="s">
        <v>62</v>
      </c>
      <c r="K102" s="4" t="s">
        <v>62</v>
      </c>
      <c r="L102" s="4" t="s">
        <v>62</v>
      </c>
      <c r="M102" s="4" t="s">
        <v>62</v>
      </c>
      <c r="N102" s="4" t="s">
        <v>62</v>
      </c>
      <c r="O102" s="4" t="s">
        <v>62</v>
      </c>
      <c r="P102" s="4" t="s">
        <v>62</v>
      </c>
      <c r="Q102" s="4" t="s">
        <v>62</v>
      </c>
      <c r="R102" s="4" t="s">
        <v>62</v>
      </c>
      <c r="S102" s="4" t="s">
        <v>62</v>
      </c>
      <c r="T102" s="4" t="s">
        <v>62</v>
      </c>
      <c r="U102" s="4" t="s">
        <v>62</v>
      </c>
      <c r="V102" s="4" t="s">
        <v>62</v>
      </c>
      <c r="W102" s="4" t="s">
        <v>62</v>
      </c>
      <c r="X102" s="4" t="s">
        <v>62</v>
      </c>
      <c r="Y102" s="4" t="s">
        <v>62</v>
      </c>
      <c r="Z102" s="4" t="s">
        <v>62</v>
      </c>
      <c r="AA102" s="4" t="s">
        <v>62</v>
      </c>
      <c r="AB102" s="4" t="s">
        <v>62</v>
      </c>
      <c r="AC102" s="4" t="s">
        <v>62</v>
      </c>
      <c r="AD102" s="4" t="s">
        <v>62</v>
      </c>
      <c r="AE102" s="4" t="s">
        <v>62</v>
      </c>
      <c r="AF102" s="4" t="s">
        <v>62</v>
      </c>
      <c r="AG102" s="4" t="s">
        <v>62</v>
      </c>
      <c r="AH102"/>
    </row>
    <row r="103" spans="2:34">
      <c r="B103" s="193">
        <v>28</v>
      </c>
      <c r="C103" s="194" t="str">
        <f>LEFT(EmpGName28)&amp;" " &amp;EmpSName28</f>
        <v>P Odd20</v>
      </c>
      <c r="D103" s="195" t="s">
        <v>62</v>
      </c>
      <c r="E103" s="195" t="s">
        <v>62</v>
      </c>
      <c r="F103" s="195" t="s">
        <v>62</v>
      </c>
      <c r="G103" s="195" t="s">
        <v>62</v>
      </c>
      <c r="H103" s="195" t="s">
        <v>62</v>
      </c>
      <c r="I103" s="195" t="s">
        <v>62</v>
      </c>
      <c r="J103" s="195" t="s">
        <v>62</v>
      </c>
      <c r="K103" s="195" t="s">
        <v>62</v>
      </c>
      <c r="L103" s="195" t="s">
        <v>62</v>
      </c>
      <c r="M103" s="195" t="s">
        <v>62</v>
      </c>
      <c r="N103" s="195" t="s">
        <v>62</v>
      </c>
      <c r="O103" s="195" t="s">
        <v>62</v>
      </c>
      <c r="P103" s="195" t="s">
        <v>62</v>
      </c>
      <c r="Q103" s="195" t="s">
        <v>62</v>
      </c>
      <c r="R103" s="195" t="s">
        <v>62</v>
      </c>
      <c r="S103" s="195" t="s">
        <v>62</v>
      </c>
      <c r="T103" s="195" t="s">
        <v>62</v>
      </c>
      <c r="U103" s="195" t="s">
        <v>62</v>
      </c>
      <c r="V103" s="195" t="s">
        <v>62</v>
      </c>
      <c r="W103" s="195" t="s">
        <v>62</v>
      </c>
      <c r="X103" s="195" t="s">
        <v>62</v>
      </c>
      <c r="Y103" s="195" t="s">
        <v>62</v>
      </c>
      <c r="Z103" s="195" t="s">
        <v>62</v>
      </c>
      <c r="AA103" s="195" t="s">
        <v>62</v>
      </c>
      <c r="AB103" s="195" t="s">
        <v>62</v>
      </c>
      <c r="AC103" s="195" t="s">
        <v>62</v>
      </c>
      <c r="AD103" s="195" t="s">
        <v>62</v>
      </c>
      <c r="AE103" s="195" t="s">
        <v>62</v>
      </c>
      <c r="AF103" s="195" t="s">
        <v>62</v>
      </c>
      <c r="AG103" s="195" t="s">
        <v>62</v>
      </c>
    </row>
    <row r="104" spans="2:34" s="2" customFormat="1">
      <c r="B104" s="191"/>
      <c r="C104" s="192"/>
      <c r="D104" s="69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69"/>
      <c r="Q104" s="69"/>
      <c r="R104" s="69"/>
      <c r="S104" s="69"/>
      <c r="T104" s="69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</row>
    <row r="105" spans="2:34">
      <c r="C105" t="str">
        <f>CurYear-1&amp;":"</f>
        <v>2018:</v>
      </c>
      <c r="D105" s="5" t="str">
        <f t="shared" ref="D105:AG105" si="3">LEFT(TEXT(D106&amp;"-"&amp;$C106&amp;"-"&amp; CurYear-1,"ddd"),2)</f>
        <v>Mo</v>
      </c>
      <c r="E105" s="5" t="str">
        <f t="shared" si="3"/>
        <v>Tu</v>
      </c>
      <c r="F105" s="5" t="str">
        <f t="shared" si="3"/>
        <v>We</v>
      </c>
      <c r="G105" s="5" t="str">
        <f t="shared" si="3"/>
        <v>Th</v>
      </c>
      <c r="H105" s="5" t="str">
        <f t="shared" si="3"/>
        <v>Fr</v>
      </c>
      <c r="I105" s="5" t="str">
        <f t="shared" si="3"/>
        <v>Sa</v>
      </c>
      <c r="J105" s="5" t="str">
        <f t="shared" si="3"/>
        <v>Su</v>
      </c>
      <c r="K105" s="5" t="str">
        <f t="shared" si="3"/>
        <v>Mo</v>
      </c>
      <c r="L105" s="5" t="str">
        <f t="shared" si="3"/>
        <v>Tu</v>
      </c>
      <c r="M105" s="5" t="str">
        <f t="shared" si="3"/>
        <v>We</v>
      </c>
      <c r="N105" s="5" t="str">
        <f t="shared" si="3"/>
        <v>Th</v>
      </c>
      <c r="O105" s="5" t="str">
        <f t="shared" si="3"/>
        <v>Fr</v>
      </c>
      <c r="P105" s="5" t="str">
        <f t="shared" si="3"/>
        <v>Sa</v>
      </c>
      <c r="Q105" s="5" t="str">
        <f t="shared" si="3"/>
        <v>Su</v>
      </c>
      <c r="R105" s="5" t="str">
        <f t="shared" si="3"/>
        <v>Mo</v>
      </c>
      <c r="S105" s="5" t="str">
        <f t="shared" si="3"/>
        <v>Tu</v>
      </c>
      <c r="T105" s="5" t="str">
        <f t="shared" si="3"/>
        <v>We</v>
      </c>
      <c r="U105" s="5" t="str">
        <f t="shared" si="3"/>
        <v>Th</v>
      </c>
      <c r="V105" s="5" t="str">
        <f t="shared" si="3"/>
        <v>Fr</v>
      </c>
      <c r="W105" s="5" t="str">
        <f t="shared" si="3"/>
        <v>Sa</v>
      </c>
      <c r="X105" s="5" t="str">
        <f t="shared" si="3"/>
        <v>Su</v>
      </c>
      <c r="Y105" s="5" t="str">
        <f t="shared" si="3"/>
        <v>Mo</v>
      </c>
      <c r="Z105" s="5" t="str">
        <f t="shared" si="3"/>
        <v>Tu</v>
      </c>
      <c r="AA105" s="5" t="str">
        <f t="shared" si="3"/>
        <v>We</v>
      </c>
      <c r="AB105" s="5" t="str">
        <f t="shared" si="3"/>
        <v>Th</v>
      </c>
      <c r="AC105" s="5" t="str">
        <f t="shared" si="3"/>
        <v>Fr</v>
      </c>
      <c r="AD105" s="5" t="str">
        <f t="shared" si="3"/>
        <v>Sa</v>
      </c>
      <c r="AE105" s="5" t="str">
        <f t="shared" si="3"/>
        <v>Su</v>
      </c>
      <c r="AF105" s="5" t="str">
        <f t="shared" si="3"/>
        <v>Mo</v>
      </c>
      <c r="AG105" s="5" t="str">
        <f t="shared" si="3"/>
        <v>Tu</v>
      </c>
      <c r="AH105" s="5" t="str">
        <f>LEFT(TEXT(AH106&amp;"-"&amp;$C106&amp;"-"&amp; CurYear-1,"ddd"),2)</f>
        <v>We</v>
      </c>
    </row>
    <row r="106" spans="2:34">
      <c r="B106" s="88"/>
      <c r="C106" s="84" t="s">
        <v>21</v>
      </c>
      <c r="D106" s="85">
        <v>1</v>
      </c>
      <c r="E106" s="85">
        <v>2</v>
      </c>
      <c r="F106" s="85">
        <v>3</v>
      </c>
      <c r="G106" s="85">
        <v>4</v>
      </c>
      <c r="H106" s="85">
        <v>5</v>
      </c>
      <c r="I106" s="85">
        <v>6</v>
      </c>
      <c r="J106" s="85">
        <v>7</v>
      </c>
      <c r="K106" s="85">
        <v>8</v>
      </c>
      <c r="L106" s="85">
        <v>9</v>
      </c>
      <c r="M106" s="85">
        <v>10</v>
      </c>
      <c r="N106" s="85">
        <v>11</v>
      </c>
      <c r="O106" s="176">
        <v>12</v>
      </c>
      <c r="P106" s="85">
        <v>13</v>
      </c>
      <c r="Q106" s="85">
        <v>14</v>
      </c>
      <c r="R106" s="85">
        <v>15</v>
      </c>
      <c r="S106" s="85">
        <v>16</v>
      </c>
      <c r="T106" s="85">
        <v>17</v>
      </c>
      <c r="U106" s="85">
        <v>18</v>
      </c>
      <c r="V106" s="85">
        <v>19</v>
      </c>
      <c r="W106" s="85">
        <v>20</v>
      </c>
      <c r="X106" s="85">
        <v>21</v>
      </c>
      <c r="Y106" s="85">
        <v>22</v>
      </c>
      <c r="Z106" s="85">
        <v>23</v>
      </c>
      <c r="AA106" s="85">
        <v>24</v>
      </c>
      <c r="AB106" s="85">
        <v>25</v>
      </c>
      <c r="AC106" s="176">
        <v>26</v>
      </c>
      <c r="AD106" s="85">
        <v>27</v>
      </c>
      <c r="AE106" s="85">
        <v>28</v>
      </c>
      <c r="AF106" s="85">
        <v>29</v>
      </c>
      <c r="AG106" s="85">
        <v>30</v>
      </c>
      <c r="AH106" s="85">
        <v>31</v>
      </c>
    </row>
    <row r="107" spans="2:34">
      <c r="B107" s="85">
        <v>1</v>
      </c>
      <c r="C107" s="89" t="str">
        <f>LEFT(EmpGName01)&amp;" " &amp; EmpSName01</f>
        <v>L Marampon</v>
      </c>
      <c r="D107" s="4" t="s">
        <v>62</v>
      </c>
      <c r="E107" s="4" t="s">
        <v>62</v>
      </c>
      <c r="F107" s="4" t="s">
        <v>62</v>
      </c>
      <c r="G107" s="4" t="s">
        <v>62</v>
      </c>
      <c r="H107" s="4" t="s">
        <v>62</v>
      </c>
      <c r="I107" s="4" t="s">
        <v>62</v>
      </c>
      <c r="J107" s="4" t="s">
        <v>62</v>
      </c>
      <c r="K107" s="4" t="s">
        <v>62</v>
      </c>
      <c r="L107" s="4" t="s">
        <v>62</v>
      </c>
      <c r="M107" s="4" t="s">
        <v>62</v>
      </c>
      <c r="N107" s="4" t="s">
        <v>62</v>
      </c>
      <c r="O107" s="4" t="s">
        <v>62</v>
      </c>
      <c r="P107" s="4" t="s">
        <v>62</v>
      </c>
      <c r="Q107" s="4" t="s">
        <v>62</v>
      </c>
      <c r="R107" s="4" t="s">
        <v>62</v>
      </c>
      <c r="S107" s="4" t="s">
        <v>62</v>
      </c>
      <c r="T107" s="4" t="s">
        <v>62</v>
      </c>
      <c r="U107" s="4" t="s">
        <v>62</v>
      </c>
      <c r="V107" s="4" t="s">
        <v>62</v>
      </c>
      <c r="W107" s="4" t="s">
        <v>62</v>
      </c>
      <c r="X107" s="4" t="s">
        <v>62</v>
      </c>
      <c r="Y107" s="4" t="s">
        <v>62</v>
      </c>
      <c r="Z107" s="4" t="s">
        <v>62</v>
      </c>
      <c r="AA107" s="4" t="s">
        <v>62</v>
      </c>
      <c r="AB107" s="4" t="s">
        <v>62</v>
      </c>
      <c r="AC107" s="4" t="s">
        <v>62</v>
      </c>
      <c r="AD107" s="4" t="s">
        <v>62</v>
      </c>
      <c r="AE107" s="4" t="s">
        <v>62</v>
      </c>
      <c r="AF107" s="4" t="s">
        <v>62</v>
      </c>
      <c r="AG107" s="4" t="s">
        <v>62</v>
      </c>
      <c r="AH107" s="4" t="s">
        <v>62</v>
      </c>
    </row>
    <row r="108" spans="2:34">
      <c r="B108" s="85">
        <v>2</v>
      </c>
      <c r="C108" s="90" t="str">
        <f>LEFT(EmpGName02)&amp;" " &amp;EmpSName02</f>
        <v>K Stone</v>
      </c>
      <c r="D108" s="3" t="s">
        <v>62</v>
      </c>
      <c r="E108" s="3" t="s">
        <v>62</v>
      </c>
      <c r="F108" s="3" t="s">
        <v>62</v>
      </c>
      <c r="G108" s="3" t="s">
        <v>62</v>
      </c>
      <c r="H108" s="3" t="s">
        <v>62</v>
      </c>
      <c r="I108" s="3" t="s">
        <v>62</v>
      </c>
      <c r="J108" s="3" t="s">
        <v>62</v>
      </c>
      <c r="K108" s="3" t="s">
        <v>62</v>
      </c>
      <c r="L108" s="3" t="s">
        <v>62</v>
      </c>
      <c r="M108" s="3" t="s">
        <v>62</v>
      </c>
      <c r="N108" s="3" t="s">
        <v>62</v>
      </c>
      <c r="O108" s="3" t="s">
        <v>62</v>
      </c>
      <c r="P108" s="3" t="s">
        <v>62</v>
      </c>
      <c r="Q108" s="3" t="s">
        <v>62</v>
      </c>
      <c r="R108" s="3" t="s">
        <v>62</v>
      </c>
      <c r="S108" s="3" t="s">
        <v>62</v>
      </c>
      <c r="T108" s="3" t="s">
        <v>62</v>
      </c>
      <c r="U108" s="3" t="s">
        <v>62</v>
      </c>
      <c r="V108" s="3" t="s">
        <v>62</v>
      </c>
      <c r="W108" s="3" t="s">
        <v>62</v>
      </c>
      <c r="X108" s="3" t="s">
        <v>62</v>
      </c>
      <c r="Y108" s="3" t="s">
        <v>62</v>
      </c>
      <c r="Z108" s="3" t="s">
        <v>62</v>
      </c>
      <c r="AA108" s="3" t="s">
        <v>62</v>
      </c>
      <c r="AB108" s="3" t="s">
        <v>62</v>
      </c>
      <c r="AC108" s="3" t="s">
        <v>62</v>
      </c>
      <c r="AD108" s="3" t="s">
        <v>62</v>
      </c>
      <c r="AE108" s="3" t="s">
        <v>62</v>
      </c>
      <c r="AF108" s="3" t="s">
        <v>62</v>
      </c>
      <c r="AG108" s="3" t="s">
        <v>62</v>
      </c>
      <c r="AH108" s="3" t="s">
        <v>62</v>
      </c>
    </row>
    <row r="109" spans="2:34">
      <c r="B109" s="85">
        <v>3</v>
      </c>
      <c r="C109" s="89" t="str">
        <f>LEFT(EmpGName03)&amp;" " &amp;EmpSName03</f>
        <v>I Thelning</v>
      </c>
      <c r="D109" s="4" t="s">
        <v>62</v>
      </c>
      <c r="E109" s="4" t="s">
        <v>62</v>
      </c>
      <c r="F109" s="4" t="s">
        <v>62</v>
      </c>
      <c r="G109" s="4" t="s">
        <v>62</v>
      </c>
      <c r="H109" s="4" t="s">
        <v>62</v>
      </c>
      <c r="I109" s="4" t="s">
        <v>62</v>
      </c>
      <c r="J109" s="4" t="s">
        <v>62</v>
      </c>
      <c r="K109" s="4" t="s">
        <v>62</v>
      </c>
      <c r="L109" s="4" t="s">
        <v>62</v>
      </c>
      <c r="M109" s="4" t="s">
        <v>62</v>
      </c>
      <c r="N109" s="4" t="s">
        <v>62</v>
      </c>
      <c r="O109" s="4" t="s">
        <v>62</v>
      </c>
      <c r="P109" s="4" t="s">
        <v>62</v>
      </c>
      <c r="Q109" s="4" t="s">
        <v>62</v>
      </c>
      <c r="R109" s="4" t="s">
        <v>62</v>
      </c>
      <c r="S109" s="4" t="s">
        <v>62</v>
      </c>
      <c r="T109" s="4" t="s">
        <v>62</v>
      </c>
      <c r="U109" s="4" t="s">
        <v>62</v>
      </c>
      <c r="V109" s="4" t="s">
        <v>62</v>
      </c>
      <c r="W109" s="4" t="s">
        <v>62</v>
      </c>
      <c r="X109" s="4" t="s">
        <v>62</v>
      </c>
      <c r="Y109" s="4" t="s">
        <v>62</v>
      </c>
      <c r="Z109" s="4" t="s">
        <v>62</v>
      </c>
      <c r="AA109" s="4" t="s">
        <v>62</v>
      </c>
      <c r="AB109" s="4" t="s">
        <v>62</v>
      </c>
      <c r="AC109" s="4" t="s">
        <v>62</v>
      </c>
      <c r="AD109" s="4" t="s">
        <v>62</v>
      </c>
      <c r="AE109" s="4" t="s">
        <v>62</v>
      </c>
      <c r="AF109" s="4" t="s">
        <v>62</v>
      </c>
      <c r="AG109" s="4" t="s">
        <v>62</v>
      </c>
      <c r="AH109" s="4" t="s">
        <v>62</v>
      </c>
    </row>
    <row r="110" spans="2:34">
      <c r="B110" s="85">
        <v>4</v>
      </c>
      <c r="C110" s="90" t="str">
        <f>LEFT(EmpGName04)&amp;" " &amp;EmpSName04</f>
        <v>L King</v>
      </c>
      <c r="D110" s="3" t="s">
        <v>62</v>
      </c>
      <c r="E110" s="3" t="s">
        <v>62</v>
      </c>
      <c r="F110" s="3" t="s">
        <v>62</v>
      </c>
      <c r="G110" s="3" t="s">
        <v>62</v>
      </c>
      <c r="H110" s="3" t="s">
        <v>62</v>
      </c>
      <c r="I110" s="3" t="s">
        <v>62</v>
      </c>
      <c r="J110" s="3" t="s">
        <v>62</v>
      </c>
      <c r="K110" s="3" t="s">
        <v>62</v>
      </c>
      <c r="L110" s="3" t="s">
        <v>62</v>
      </c>
      <c r="M110" s="3" t="s">
        <v>62</v>
      </c>
      <c r="N110" s="3" t="s">
        <v>62</v>
      </c>
      <c r="O110" s="3" t="s">
        <v>62</v>
      </c>
      <c r="P110" s="3" t="s">
        <v>62</v>
      </c>
      <c r="Q110" s="3" t="s">
        <v>62</v>
      </c>
      <c r="R110" s="3" t="s">
        <v>62</v>
      </c>
      <c r="S110" s="3" t="s">
        <v>62</v>
      </c>
      <c r="T110" s="3" t="s">
        <v>62</v>
      </c>
      <c r="U110" s="3" t="s">
        <v>62</v>
      </c>
      <c r="V110" s="3" t="s">
        <v>62</v>
      </c>
      <c r="W110" s="3" t="s">
        <v>62</v>
      </c>
      <c r="X110" s="3" t="s">
        <v>62</v>
      </c>
      <c r="Y110" s="3" t="s">
        <v>62</v>
      </c>
      <c r="Z110" s="3" t="s">
        <v>62</v>
      </c>
      <c r="AA110" s="3" t="s">
        <v>62</v>
      </c>
      <c r="AB110" s="3" t="s">
        <v>62</v>
      </c>
      <c r="AC110" s="3" t="s">
        <v>62</v>
      </c>
      <c r="AD110" s="3" t="s">
        <v>62</v>
      </c>
      <c r="AE110" s="3" t="s">
        <v>62</v>
      </c>
      <c r="AF110" s="3" t="s">
        <v>62</v>
      </c>
      <c r="AG110" s="3" t="s">
        <v>62</v>
      </c>
      <c r="AH110" s="3" t="s">
        <v>62</v>
      </c>
    </row>
    <row r="111" spans="2:34">
      <c r="B111" s="85">
        <v>5</v>
      </c>
      <c r="C111" s="89" t="str">
        <f>LEFT(EmpGName05)&amp;" " &amp;EmpSName05</f>
        <v>D Castle</v>
      </c>
      <c r="D111" s="4" t="s">
        <v>62</v>
      </c>
      <c r="E111" s="4" t="s">
        <v>62</v>
      </c>
      <c r="F111" s="4" t="s">
        <v>62</v>
      </c>
      <c r="G111" s="4" t="s">
        <v>62</v>
      </c>
      <c r="H111" s="4" t="s">
        <v>62</v>
      </c>
      <c r="I111" s="4" t="s">
        <v>62</v>
      </c>
      <c r="J111" s="4" t="s">
        <v>62</v>
      </c>
      <c r="K111" s="4" t="s">
        <v>62</v>
      </c>
      <c r="L111" s="4" t="s">
        <v>62</v>
      </c>
      <c r="M111" s="4" t="s">
        <v>62</v>
      </c>
      <c r="N111" s="4" t="s">
        <v>62</v>
      </c>
      <c r="O111" s="4" t="s">
        <v>62</v>
      </c>
      <c r="P111" s="4" t="s">
        <v>62</v>
      </c>
      <c r="Q111" s="4" t="s">
        <v>62</v>
      </c>
      <c r="R111" s="4" t="s">
        <v>62</v>
      </c>
      <c r="S111" s="4" t="s">
        <v>62</v>
      </c>
      <c r="T111" s="4" t="s">
        <v>62</v>
      </c>
      <c r="U111" s="4" t="s">
        <v>62</v>
      </c>
      <c r="V111" s="4" t="s">
        <v>62</v>
      </c>
      <c r="W111" s="4" t="s">
        <v>62</v>
      </c>
      <c r="X111" s="4" t="s">
        <v>62</v>
      </c>
      <c r="Y111" s="4" t="s">
        <v>62</v>
      </c>
      <c r="Z111" s="4" t="s">
        <v>62</v>
      </c>
      <c r="AA111" s="4" t="s">
        <v>62</v>
      </c>
      <c r="AB111" s="4" t="s">
        <v>62</v>
      </c>
      <c r="AC111" s="4" t="s">
        <v>62</v>
      </c>
      <c r="AD111" s="4" t="s">
        <v>62</v>
      </c>
      <c r="AE111" s="4" t="s">
        <v>62</v>
      </c>
      <c r="AF111" s="4" t="s">
        <v>62</v>
      </c>
      <c r="AG111" s="4" t="s">
        <v>62</v>
      </c>
      <c r="AH111" s="4" t="s">
        <v>62</v>
      </c>
    </row>
    <row r="112" spans="2:34">
      <c r="B112" s="85">
        <v>6</v>
      </c>
      <c r="C112" s="90" t="str">
        <f>LEFT(EmpGName06)&amp;" " &amp;EmpSName06</f>
        <v>R Fielding</v>
      </c>
      <c r="D112" s="3" t="s">
        <v>62</v>
      </c>
      <c r="E112" s="3" t="s">
        <v>62</v>
      </c>
      <c r="F112" s="3" t="s">
        <v>62</v>
      </c>
      <c r="G112" s="3" t="s">
        <v>62</v>
      </c>
      <c r="H112" s="3" t="s">
        <v>62</v>
      </c>
      <c r="I112" s="3" t="s">
        <v>62</v>
      </c>
      <c r="J112" s="3" t="s">
        <v>62</v>
      </c>
      <c r="K112" s="3" t="s">
        <v>62</v>
      </c>
      <c r="L112" s="3" t="s">
        <v>62</v>
      </c>
      <c r="M112" s="3" t="s">
        <v>62</v>
      </c>
      <c r="N112" s="3" t="s">
        <v>62</v>
      </c>
      <c r="O112" s="3" t="s">
        <v>62</v>
      </c>
      <c r="P112" s="3" t="s">
        <v>62</v>
      </c>
      <c r="Q112" s="3" t="s">
        <v>62</v>
      </c>
      <c r="R112" s="3" t="s">
        <v>62</v>
      </c>
      <c r="S112" s="3" t="s">
        <v>62</v>
      </c>
      <c r="T112" s="3" t="s">
        <v>62</v>
      </c>
      <c r="U112" s="3" t="s">
        <v>62</v>
      </c>
      <c r="V112" s="3" t="s">
        <v>62</v>
      </c>
      <c r="W112" s="3" t="s">
        <v>62</v>
      </c>
      <c r="X112" s="3" t="s">
        <v>62</v>
      </c>
      <c r="Y112" s="3" t="s">
        <v>62</v>
      </c>
      <c r="Z112" s="3" t="s">
        <v>62</v>
      </c>
      <c r="AA112" s="3" t="s">
        <v>62</v>
      </c>
      <c r="AB112" s="3" t="s">
        <v>62</v>
      </c>
      <c r="AC112" s="3" t="s">
        <v>62</v>
      </c>
      <c r="AD112" s="3" t="s">
        <v>62</v>
      </c>
      <c r="AE112" s="3" t="s">
        <v>62</v>
      </c>
      <c r="AF112" s="3" t="s">
        <v>62</v>
      </c>
      <c r="AG112" s="3" t="s">
        <v>62</v>
      </c>
      <c r="AH112" s="3" t="s">
        <v>62</v>
      </c>
    </row>
    <row r="113" spans="2:34">
      <c r="B113" s="85">
        <v>7</v>
      </c>
      <c r="C113" s="89" t="str">
        <f>LEFT(EmpGName07)&amp;" " &amp;EmpSName07</f>
        <v>T Sorensen</v>
      </c>
      <c r="D113" s="4" t="s">
        <v>62</v>
      </c>
      <c r="E113" s="4" t="s">
        <v>62</v>
      </c>
      <c r="F113" s="4" t="s">
        <v>62</v>
      </c>
      <c r="G113" s="4" t="s">
        <v>62</v>
      </c>
      <c r="H113" s="4" t="s">
        <v>62</v>
      </c>
      <c r="I113" s="4" t="s">
        <v>62</v>
      </c>
      <c r="J113" s="4" t="s">
        <v>62</v>
      </c>
      <c r="K113" s="4" t="s">
        <v>62</v>
      </c>
      <c r="L113" s="4" t="s">
        <v>62</v>
      </c>
      <c r="M113" s="4" t="s">
        <v>62</v>
      </c>
      <c r="N113" s="4" t="s">
        <v>62</v>
      </c>
      <c r="O113" s="4" t="s">
        <v>62</v>
      </c>
      <c r="P113" s="4" t="s">
        <v>62</v>
      </c>
      <c r="Q113" s="4" t="s">
        <v>62</v>
      </c>
      <c r="R113" s="4" t="s">
        <v>62</v>
      </c>
      <c r="S113" s="4" t="s">
        <v>62</v>
      </c>
      <c r="T113" s="4" t="s">
        <v>62</v>
      </c>
      <c r="U113" s="4" t="s">
        <v>62</v>
      </c>
      <c r="V113" s="4" t="s">
        <v>62</v>
      </c>
      <c r="W113" s="4" t="s">
        <v>62</v>
      </c>
      <c r="X113" s="4" t="s">
        <v>62</v>
      </c>
      <c r="Y113" s="4" t="s">
        <v>62</v>
      </c>
      <c r="Z113" s="4" t="s">
        <v>62</v>
      </c>
      <c r="AA113" s="4" t="s">
        <v>62</v>
      </c>
      <c r="AB113" s="4" t="s">
        <v>62</v>
      </c>
      <c r="AC113" s="4" t="s">
        <v>62</v>
      </c>
      <c r="AD113" s="4" t="s">
        <v>62</v>
      </c>
      <c r="AE113" s="4" t="s">
        <v>62</v>
      </c>
      <c r="AF113" s="4" t="s">
        <v>62</v>
      </c>
      <c r="AG113" s="4" t="s">
        <v>62</v>
      </c>
      <c r="AH113" s="4" t="s">
        <v>62</v>
      </c>
    </row>
    <row r="114" spans="2:34">
      <c r="B114" s="85">
        <v>8</v>
      </c>
      <c r="C114" s="90" t="str">
        <f>LEFT(EmpGName08)&amp;" " &amp;EmpSName08</f>
        <v xml:space="preserve">B Odd </v>
      </c>
      <c r="D114" s="3" t="s">
        <v>62</v>
      </c>
      <c r="E114" s="3" t="s">
        <v>62</v>
      </c>
      <c r="F114" s="3" t="s">
        <v>62</v>
      </c>
      <c r="G114" s="3" t="s">
        <v>62</v>
      </c>
      <c r="H114" s="3" t="s">
        <v>62</v>
      </c>
      <c r="I114" s="3" t="s">
        <v>62</v>
      </c>
      <c r="J114" s="3" t="s">
        <v>62</v>
      </c>
      <c r="K114" s="3" t="s">
        <v>62</v>
      </c>
      <c r="L114" s="3" t="s">
        <v>62</v>
      </c>
      <c r="M114" s="3" t="s">
        <v>62</v>
      </c>
      <c r="N114" s="3" t="s">
        <v>62</v>
      </c>
      <c r="O114" s="3" t="s">
        <v>62</v>
      </c>
      <c r="P114" s="3" t="s">
        <v>62</v>
      </c>
      <c r="Q114" s="3" t="s">
        <v>62</v>
      </c>
      <c r="R114" s="3" t="s">
        <v>62</v>
      </c>
      <c r="S114" s="3" t="s">
        <v>62</v>
      </c>
      <c r="T114" s="3" t="s">
        <v>62</v>
      </c>
      <c r="U114" s="3" t="s">
        <v>62</v>
      </c>
      <c r="V114" s="3" t="s">
        <v>62</v>
      </c>
      <c r="W114" s="3" t="s">
        <v>62</v>
      </c>
      <c r="X114" s="3" t="s">
        <v>62</v>
      </c>
      <c r="Y114" s="3" t="s">
        <v>62</v>
      </c>
      <c r="Z114" s="3" t="s">
        <v>62</v>
      </c>
      <c r="AA114" s="3" t="s">
        <v>62</v>
      </c>
      <c r="AB114" s="3" t="s">
        <v>62</v>
      </c>
      <c r="AC114" s="3" t="s">
        <v>62</v>
      </c>
      <c r="AD114" s="3" t="s">
        <v>62</v>
      </c>
      <c r="AE114" s="3" t="s">
        <v>62</v>
      </c>
      <c r="AF114" s="3" t="s">
        <v>62</v>
      </c>
      <c r="AG114" s="3" t="s">
        <v>62</v>
      </c>
      <c r="AH114" s="3" t="s">
        <v>62</v>
      </c>
    </row>
    <row r="115" spans="2:34">
      <c r="B115" s="85">
        <v>9</v>
      </c>
      <c r="C115" s="89" t="str">
        <f>LEFT(EmpGName09)&amp;" " &amp;EmpSName09</f>
        <v>1 Odd1</v>
      </c>
      <c r="D115" s="4" t="s">
        <v>62</v>
      </c>
      <c r="E115" s="4" t="s">
        <v>62</v>
      </c>
      <c r="F115" s="4" t="s">
        <v>62</v>
      </c>
      <c r="G115" s="4" t="s">
        <v>62</v>
      </c>
      <c r="H115" s="4" t="s">
        <v>62</v>
      </c>
      <c r="I115" s="4" t="s">
        <v>62</v>
      </c>
      <c r="J115" s="4" t="s">
        <v>62</v>
      </c>
      <c r="K115" s="4" t="s">
        <v>62</v>
      </c>
      <c r="L115" s="4" t="s">
        <v>62</v>
      </c>
      <c r="M115" s="4" t="s">
        <v>62</v>
      </c>
      <c r="N115" s="4" t="s">
        <v>62</v>
      </c>
      <c r="O115" s="4" t="s">
        <v>62</v>
      </c>
      <c r="P115" s="4" t="s">
        <v>62</v>
      </c>
      <c r="Q115" s="4" t="s">
        <v>62</v>
      </c>
      <c r="R115" s="4" t="s">
        <v>62</v>
      </c>
      <c r="S115" s="4" t="s">
        <v>62</v>
      </c>
      <c r="T115" s="4" t="s">
        <v>62</v>
      </c>
      <c r="U115" s="4" t="s">
        <v>62</v>
      </c>
      <c r="V115" s="4" t="s">
        <v>62</v>
      </c>
      <c r="W115" s="4" t="s">
        <v>62</v>
      </c>
      <c r="X115" s="4" t="s">
        <v>62</v>
      </c>
      <c r="Y115" s="4" t="s">
        <v>62</v>
      </c>
      <c r="Z115" s="4" t="s">
        <v>62</v>
      </c>
      <c r="AA115" s="4" t="s">
        <v>62</v>
      </c>
      <c r="AB115" s="4" t="s">
        <v>62</v>
      </c>
      <c r="AC115" s="4" t="s">
        <v>62</v>
      </c>
      <c r="AD115" s="4" t="s">
        <v>62</v>
      </c>
      <c r="AE115" s="4" t="s">
        <v>62</v>
      </c>
      <c r="AF115" s="4" t="s">
        <v>62</v>
      </c>
      <c r="AG115" s="4" t="s">
        <v>62</v>
      </c>
      <c r="AH115" s="4" t="s">
        <v>62</v>
      </c>
    </row>
    <row r="116" spans="2:34" s="70" customFormat="1">
      <c r="B116" s="148">
        <v>10</v>
      </c>
      <c r="C116" s="90" t="str">
        <f>LEFT(EmpGName10)&amp;" " &amp;EmpSName10</f>
        <v>2 Odd2</v>
      </c>
      <c r="D116" s="3" t="s">
        <v>62</v>
      </c>
      <c r="E116" s="3" t="s">
        <v>62</v>
      </c>
      <c r="F116" s="3" t="s">
        <v>62</v>
      </c>
      <c r="G116" s="3" t="s">
        <v>62</v>
      </c>
      <c r="H116" s="3" t="s">
        <v>62</v>
      </c>
      <c r="I116" s="3" t="s">
        <v>62</v>
      </c>
      <c r="J116" s="3" t="s">
        <v>62</v>
      </c>
      <c r="K116" s="3" t="s">
        <v>62</v>
      </c>
      <c r="L116" s="3" t="s">
        <v>62</v>
      </c>
      <c r="M116" s="3" t="s">
        <v>62</v>
      </c>
      <c r="N116" s="3" t="s">
        <v>62</v>
      </c>
      <c r="O116" s="3" t="s">
        <v>62</v>
      </c>
      <c r="P116" s="3" t="s">
        <v>62</v>
      </c>
      <c r="Q116" s="3" t="s">
        <v>62</v>
      </c>
      <c r="R116" s="3" t="s">
        <v>62</v>
      </c>
      <c r="S116" s="3" t="s">
        <v>62</v>
      </c>
      <c r="T116" s="3" t="s">
        <v>62</v>
      </c>
      <c r="U116" s="3" t="s">
        <v>62</v>
      </c>
      <c r="V116" s="3" t="s">
        <v>62</v>
      </c>
      <c r="W116" s="3" t="s">
        <v>62</v>
      </c>
      <c r="X116" s="3" t="s">
        <v>62</v>
      </c>
      <c r="Y116" s="3" t="s">
        <v>62</v>
      </c>
      <c r="Z116" s="3" t="s">
        <v>62</v>
      </c>
      <c r="AA116" s="3" t="s">
        <v>62</v>
      </c>
      <c r="AB116" s="3" t="s">
        <v>62</v>
      </c>
      <c r="AC116" s="3" t="s">
        <v>62</v>
      </c>
      <c r="AD116" s="3" t="s">
        <v>62</v>
      </c>
      <c r="AE116" s="3" t="s">
        <v>62</v>
      </c>
      <c r="AF116" s="3" t="s">
        <v>62</v>
      </c>
      <c r="AG116" s="3" t="s">
        <v>62</v>
      </c>
      <c r="AH116" s="3" t="s">
        <v>62</v>
      </c>
    </row>
    <row r="117" spans="2:34" s="70" customFormat="1">
      <c r="B117" s="148">
        <v>11</v>
      </c>
      <c r="C117" s="89" t="str">
        <f>LEFT(EmpGName11)&amp;" " &amp;EmpSName11</f>
        <v>2 Odd3</v>
      </c>
      <c r="D117" s="4" t="s">
        <v>62</v>
      </c>
      <c r="E117" s="4" t="s">
        <v>62</v>
      </c>
      <c r="F117" s="4" t="s">
        <v>62</v>
      </c>
      <c r="G117" s="4" t="s">
        <v>62</v>
      </c>
      <c r="H117" s="4" t="s">
        <v>62</v>
      </c>
      <c r="I117" s="4" t="s">
        <v>62</v>
      </c>
      <c r="J117" s="4" t="s">
        <v>62</v>
      </c>
      <c r="K117" s="4" t="s">
        <v>62</v>
      </c>
      <c r="L117" s="4" t="s">
        <v>62</v>
      </c>
      <c r="M117" s="4" t="s">
        <v>62</v>
      </c>
      <c r="N117" s="4" t="s">
        <v>62</v>
      </c>
      <c r="O117" s="4" t="s">
        <v>62</v>
      </c>
      <c r="P117" s="4" t="s">
        <v>62</v>
      </c>
      <c r="Q117" s="4" t="s">
        <v>62</v>
      </c>
      <c r="R117" s="4" t="s">
        <v>62</v>
      </c>
      <c r="S117" s="4" t="s">
        <v>62</v>
      </c>
      <c r="T117" s="4" t="s">
        <v>62</v>
      </c>
      <c r="U117" s="4" t="s">
        <v>62</v>
      </c>
      <c r="V117" s="4" t="s">
        <v>62</v>
      </c>
      <c r="W117" s="4" t="s">
        <v>62</v>
      </c>
      <c r="X117" s="4" t="s">
        <v>62</v>
      </c>
      <c r="Y117" s="4" t="s">
        <v>62</v>
      </c>
      <c r="Z117" s="4" t="s">
        <v>62</v>
      </c>
      <c r="AA117" s="4" t="s">
        <v>62</v>
      </c>
      <c r="AB117" s="4" t="s">
        <v>62</v>
      </c>
      <c r="AC117" s="4" t="s">
        <v>62</v>
      </c>
      <c r="AD117" s="4" t="s">
        <v>62</v>
      </c>
      <c r="AE117" s="4" t="s">
        <v>62</v>
      </c>
      <c r="AF117" s="4" t="s">
        <v>62</v>
      </c>
      <c r="AG117" s="4" t="s">
        <v>62</v>
      </c>
      <c r="AH117" s="4" t="s">
        <v>62</v>
      </c>
    </row>
    <row r="118" spans="2:34" s="70" customFormat="1">
      <c r="B118" s="148">
        <v>12</v>
      </c>
      <c r="C118" s="90" t="str">
        <f>LEFT(EmpGName12)&amp;" " &amp;EmpSName12</f>
        <v>4 Odd4</v>
      </c>
      <c r="D118" s="3" t="s">
        <v>62</v>
      </c>
      <c r="E118" s="3" t="s">
        <v>62</v>
      </c>
      <c r="F118" s="3" t="s">
        <v>62</v>
      </c>
      <c r="G118" s="3" t="s">
        <v>62</v>
      </c>
      <c r="H118" s="3" t="s">
        <v>62</v>
      </c>
      <c r="I118" s="3" t="s">
        <v>62</v>
      </c>
      <c r="J118" s="3" t="s">
        <v>62</v>
      </c>
      <c r="K118" s="3" t="s">
        <v>62</v>
      </c>
      <c r="L118" s="3" t="s">
        <v>62</v>
      </c>
      <c r="M118" s="3" t="s">
        <v>62</v>
      </c>
      <c r="N118" s="3" t="s">
        <v>62</v>
      </c>
      <c r="O118" s="3" t="s">
        <v>62</v>
      </c>
      <c r="P118" s="3" t="s">
        <v>62</v>
      </c>
      <c r="Q118" s="3" t="s">
        <v>62</v>
      </c>
      <c r="R118" s="3" t="s">
        <v>62</v>
      </c>
      <c r="S118" s="3" t="s">
        <v>62</v>
      </c>
      <c r="T118" s="3" t="s">
        <v>62</v>
      </c>
      <c r="U118" s="3" t="s">
        <v>62</v>
      </c>
      <c r="V118" s="3" t="s">
        <v>62</v>
      </c>
      <c r="W118" s="3" t="s">
        <v>62</v>
      </c>
      <c r="X118" s="3" t="s">
        <v>62</v>
      </c>
      <c r="Y118" s="3" t="s">
        <v>62</v>
      </c>
      <c r="Z118" s="3" t="s">
        <v>62</v>
      </c>
      <c r="AA118" s="3" t="s">
        <v>62</v>
      </c>
      <c r="AB118" s="3" t="s">
        <v>62</v>
      </c>
      <c r="AC118" s="3" t="s">
        <v>62</v>
      </c>
      <c r="AD118" s="3" t="s">
        <v>62</v>
      </c>
      <c r="AE118" s="3" t="s">
        <v>62</v>
      </c>
      <c r="AF118" s="3" t="s">
        <v>62</v>
      </c>
      <c r="AG118" s="3" t="s">
        <v>62</v>
      </c>
      <c r="AH118" s="3" t="s">
        <v>62</v>
      </c>
    </row>
    <row r="119" spans="2:34">
      <c r="B119" s="148">
        <v>13</v>
      </c>
      <c r="C119" s="89" t="str">
        <f>LEFT(EmpGName13)&amp;" " &amp;EmpSName13</f>
        <v>A Odd5</v>
      </c>
      <c r="D119" s="4" t="s">
        <v>62</v>
      </c>
      <c r="E119" s="4" t="s">
        <v>62</v>
      </c>
      <c r="F119" s="4" t="s">
        <v>62</v>
      </c>
      <c r="G119" s="4" t="s">
        <v>62</v>
      </c>
      <c r="H119" s="4" t="s">
        <v>62</v>
      </c>
      <c r="I119" s="4" t="s">
        <v>62</v>
      </c>
      <c r="J119" s="4" t="s">
        <v>62</v>
      </c>
      <c r="K119" s="4" t="s">
        <v>62</v>
      </c>
      <c r="L119" s="4" t="s">
        <v>62</v>
      </c>
      <c r="M119" s="4" t="s">
        <v>62</v>
      </c>
      <c r="N119" s="4" t="s">
        <v>62</v>
      </c>
      <c r="O119" s="4" t="s">
        <v>62</v>
      </c>
      <c r="P119" s="4" t="s">
        <v>62</v>
      </c>
      <c r="Q119" s="4" t="s">
        <v>62</v>
      </c>
      <c r="R119" s="4" t="s">
        <v>62</v>
      </c>
      <c r="S119" s="4" t="s">
        <v>62</v>
      </c>
      <c r="T119" s="4" t="s">
        <v>62</v>
      </c>
      <c r="U119" s="4" t="s">
        <v>62</v>
      </c>
      <c r="V119" s="4" t="s">
        <v>62</v>
      </c>
      <c r="W119" s="4" t="s">
        <v>62</v>
      </c>
      <c r="X119" s="4" t="s">
        <v>62</v>
      </c>
      <c r="Y119" s="4" t="s">
        <v>62</v>
      </c>
      <c r="Z119" s="4" t="s">
        <v>62</v>
      </c>
      <c r="AA119" s="4" t="s">
        <v>62</v>
      </c>
      <c r="AB119" s="4" t="s">
        <v>62</v>
      </c>
      <c r="AC119" s="4" t="s">
        <v>62</v>
      </c>
      <c r="AD119" s="4" t="s">
        <v>62</v>
      </c>
      <c r="AE119" s="4" t="s">
        <v>62</v>
      </c>
      <c r="AF119" s="4" t="s">
        <v>62</v>
      </c>
      <c r="AG119" s="4" t="s">
        <v>62</v>
      </c>
      <c r="AH119" s="4" t="s">
        <v>62</v>
      </c>
    </row>
    <row r="120" spans="2:34">
      <c r="B120" s="148">
        <v>14</v>
      </c>
      <c r="C120" s="90" t="str">
        <f>LEFT(EmpGName14)&amp;" " &amp;EmpSName14</f>
        <v>B Odd6</v>
      </c>
      <c r="D120" s="3" t="s">
        <v>62</v>
      </c>
      <c r="E120" s="3" t="s">
        <v>62</v>
      </c>
      <c r="F120" s="3" t="s">
        <v>62</v>
      </c>
      <c r="G120" s="3" t="s">
        <v>62</v>
      </c>
      <c r="H120" s="3" t="s">
        <v>62</v>
      </c>
      <c r="I120" s="3" t="s">
        <v>62</v>
      </c>
      <c r="J120" s="3" t="s">
        <v>62</v>
      </c>
      <c r="K120" s="3" t="s">
        <v>62</v>
      </c>
      <c r="L120" s="3" t="s">
        <v>62</v>
      </c>
      <c r="M120" s="3" t="s">
        <v>62</v>
      </c>
      <c r="N120" s="3" t="s">
        <v>62</v>
      </c>
      <c r="O120" s="3" t="s">
        <v>62</v>
      </c>
      <c r="P120" s="3" t="s">
        <v>62</v>
      </c>
      <c r="Q120" s="3" t="s">
        <v>62</v>
      </c>
      <c r="R120" s="3" t="s">
        <v>62</v>
      </c>
      <c r="S120" s="3" t="s">
        <v>62</v>
      </c>
      <c r="T120" s="3" t="s">
        <v>62</v>
      </c>
      <c r="U120" s="3" t="s">
        <v>62</v>
      </c>
      <c r="V120" s="3" t="s">
        <v>62</v>
      </c>
      <c r="W120" s="3" t="s">
        <v>62</v>
      </c>
      <c r="X120" s="3" t="s">
        <v>62</v>
      </c>
      <c r="Y120" s="3" t="s">
        <v>62</v>
      </c>
      <c r="Z120" s="3" t="s">
        <v>62</v>
      </c>
      <c r="AA120" s="3" t="s">
        <v>62</v>
      </c>
      <c r="AB120" s="3" t="s">
        <v>62</v>
      </c>
      <c r="AC120" s="3" t="s">
        <v>62</v>
      </c>
      <c r="AD120" s="3" t="s">
        <v>62</v>
      </c>
      <c r="AE120" s="3" t="s">
        <v>62</v>
      </c>
      <c r="AF120" s="3" t="s">
        <v>62</v>
      </c>
      <c r="AG120" s="3" t="s">
        <v>62</v>
      </c>
      <c r="AH120" s="3" t="s">
        <v>62</v>
      </c>
    </row>
    <row r="121" spans="2:34">
      <c r="B121" s="148">
        <v>15</v>
      </c>
      <c r="C121" s="89" t="str">
        <f>LEFT(EmpGName15)&amp;" " &amp;EmpSName15</f>
        <v>C Odd7</v>
      </c>
      <c r="D121" s="4" t="s">
        <v>62</v>
      </c>
      <c r="E121" s="4" t="s">
        <v>62</v>
      </c>
      <c r="F121" s="4" t="s">
        <v>62</v>
      </c>
      <c r="G121" s="4" t="s">
        <v>62</v>
      </c>
      <c r="H121" s="4" t="s">
        <v>62</v>
      </c>
      <c r="I121" s="4" t="s">
        <v>62</v>
      </c>
      <c r="J121" s="4" t="s">
        <v>62</v>
      </c>
      <c r="K121" s="4" t="s">
        <v>62</v>
      </c>
      <c r="L121" s="4" t="s">
        <v>62</v>
      </c>
      <c r="M121" s="4" t="s">
        <v>62</v>
      </c>
      <c r="N121" s="4" t="s">
        <v>62</v>
      </c>
      <c r="O121" s="4" t="s">
        <v>62</v>
      </c>
      <c r="P121" s="4" t="s">
        <v>62</v>
      </c>
      <c r="Q121" s="4" t="s">
        <v>62</v>
      </c>
      <c r="R121" s="4" t="s">
        <v>62</v>
      </c>
      <c r="S121" s="4" t="s">
        <v>62</v>
      </c>
      <c r="T121" s="4" t="s">
        <v>62</v>
      </c>
      <c r="U121" s="4" t="s">
        <v>62</v>
      </c>
      <c r="V121" s="4" t="s">
        <v>62</v>
      </c>
      <c r="W121" s="4" t="s">
        <v>62</v>
      </c>
      <c r="X121" s="4" t="s">
        <v>62</v>
      </c>
      <c r="Y121" s="4" t="s">
        <v>62</v>
      </c>
      <c r="Z121" s="4" t="s">
        <v>62</v>
      </c>
      <c r="AA121" s="4" t="s">
        <v>62</v>
      </c>
      <c r="AB121" s="4" t="s">
        <v>62</v>
      </c>
      <c r="AC121" s="4" t="s">
        <v>62</v>
      </c>
      <c r="AD121" s="4" t="s">
        <v>62</v>
      </c>
      <c r="AE121" s="4" t="s">
        <v>62</v>
      </c>
      <c r="AF121" s="4" t="s">
        <v>62</v>
      </c>
      <c r="AG121" s="4" t="s">
        <v>62</v>
      </c>
      <c r="AH121" s="4" t="s">
        <v>62</v>
      </c>
    </row>
    <row r="122" spans="2:34">
      <c r="B122" s="148">
        <v>16</v>
      </c>
      <c r="C122" s="90" t="str">
        <f>LEFT(EmpGName16)&amp;" " &amp;EmpSName16</f>
        <v>D Odd8</v>
      </c>
      <c r="D122" s="3" t="s">
        <v>62</v>
      </c>
      <c r="E122" s="3" t="s">
        <v>62</v>
      </c>
      <c r="F122" s="3" t="s">
        <v>62</v>
      </c>
      <c r="G122" s="3" t="s">
        <v>62</v>
      </c>
      <c r="H122" s="3" t="s">
        <v>62</v>
      </c>
      <c r="I122" s="3" t="s">
        <v>62</v>
      </c>
      <c r="J122" s="3" t="s">
        <v>62</v>
      </c>
      <c r="K122" s="3" t="s">
        <v>62</v>
      </c>
      <c r="L122" s="3" t="s">
        <v>62</v>
      </c>
      <c r="M122" s="3" t="s">
        <v>62</v>
      </c>
      <c r="N122" s="3" t="s">
        <v>62</v>
      </c>
      <c r="O122" s="3" t="s">
        <v>62</v>
      </c>
      <c r="P122" s="3" t="s">
        <v>62</v>
      </c>
      <c r="Q122" s="3" t="s">
        <v>62</v>
      </c>
      <c r="R122" s="3" t="s">
        <v>62</v>
      </c>
      <c r="S122" s="3" t="s">
        <v>62</v>
      </c>
      <c r="T122" s="3" t="s">
        <v>62</v>
      </c>
      <c r="U122" s="3" t="s">
        <v>62</v>
      </c>
      <c r="V122" s="3" t="s">
        <v>62</v>
      </c>
      <c r="W122" s="3" t="s">
        <v>62</v>
      </c>
      <c r="X122" s="3" t="s">
        <v>62</v>
      </c>
      <c r="Y122" s="3" t="s">
        <v>62</v>
      </c>
      <c r="Z122" s="3" t="s">
        <v>62</v>
      </c>
      <c r="AA122" s="3" t="s">
        <v>62</v>
      </c>
      <c r="AB122" s="3" t="s">
        <v>62</v>
      </c>
      <c r="AC122" s="3" t="s">
        <v>62</v>
      </c>
      <c r="AD122" s="3" t="s">
        <v>62</v>
      </c>
      <c r="AE122" s="3" t="s">
        <v>62</v>
      </c>
      <c r="AF122" s="3" t="s">
        <v>62</v>
      </c>
      <c r="AG122" s="3" t="s">
        <v>62</v>
      </c>
      <c r="AH122" s="3" t="s">
        <v>62</v>
      </c>
    </row>
    <row r="123" spans="2:34">
      <c r="B123" s="148">
        <v>17</v>
      </c>
      <c r="C123" s="89" t="str">
        <f>LEFT(EmpGName17)&amp;" " &amp;EmpSName17</f>
        <v>E Odd9</v>
      </c>
      <c r="D123" s="4" t="s">
        <v>62</v>
      </c>
      <c r="E123" s="4" t="s">
        <v>62</v>
      </c>
      <c r="F123" s="4" t="s">
        <v>62</v>
      </c>
      <c r="G123" s="4" t="s">
        <v>62</v>
      </c>
      <c r="H123" s="4" t="s">
        <v>62</v>
      </c>
      <c r="I123" s="4" t="s">
        <v>62</v>
      </c>
      <c r="J123" s="4" t="s">
        <v>62</v>
      </c>
      <c r="K123" s="4" t="s">
        <v>62</v>
      </c>
      <c r="L123" s="4" t="s">
        <v>62</v>
      </c>
      <c r="M123" s="4" t="s">
        <v>62</v>
      </c>
      <c r="N123" s="4" t="s">
        <v>62</v>
      </c>
      <c r="O123" s="4" t="s">
        <v>62</v>
      </c>
      <c r="P123" s="4" t="s">
        <v>62</v>
      </c>
      <c r="Q123" s="4" t="s">
        <v>62</v>
      </c>
      <c r="R123" s="4" t="s">
        <v>62</v>
      </c>
      <c r="S123" s="4" t="s">
        <v>62</v>
      </c>
      <c r="T123" s="4" t="s">
        <v>62</v>
      </c>
      <c r="U123" s="4" t="s">
        <v>62</v>
      </c>
      <c r="V123" s="4" t="s">
        <v>62</v>
      </c>
      <c r="W123" s="4" t="s">
        <v>62</v>
      </c>
      <c r="X123" s="4" t="s">
        <v>62</v>
      </c>
      <c r="Y123" s="4" t="s">
        <v>62</v>
      </c>
      <c r="Z123" s="4" t="s">
        <v>62</v>
      </c>
      <c r="AA123" s="4" t="s">
        <v>62</v>
      </c>
      <c r="AB123" s="4" t="s">
        <v>62</v>
      </c>
      <c r="AC123" s="4" t="s">
        <v>62</v>
      </c>
      <c r="AD123" s="4" t="s">
        <v>62</v>
      </c>
      <c r="AE123" s="4" t="s">
        <v>62</v>
      </c>
      <c r="AF123" s="4" t="s">
        <v>62</v>
      </c>
      <c r="AG123" s="4" t="s">
        <v>62</v>
      </c>
      <c r="AH123" s="4" t="s">
        <v>62</v>
      </c>
    </row>
    <row r="124" spans="2:34">
      <c r="B124" s="148">
        <v>18</v>
      </c>
      <c r="C124" s="90" t="str">
        <f>LEFT(EmpGName18)&amp;" " &amp;EmpSName18</f>
        <v>F Odd10</v>
      </c>
      <c r="D124" s="3" t="s">
        <v>62</v>
      </c>
      <c r="E124" s="3" t="s">
        <v>62</v>
      </c>
      <c r="F124" s="3" t="s">
        <v>62</v>
      </c>
      <c r="G124" s="3" t="s">
        <v>62</v>
      </c>
      <c r="H124" s="3" t="s">
        <v>62</v>
      </c>
      <c r="I124" s="3" t="s">
        <v>62</v>
      </c>
      <c r="J124" s="3" t="s">
        <v>62</v>
      </c>
      <c r="K124" s="3" t="s">
        <v>62</v>
      </c>
      <c r="L124" s="3" t="s">
        <v>62</v>
      </c>
      <c r="M124" s="3" t="s">
        <v>62</v>
      </c>
      <c r="N124" s="3" t="s">
        <v>62</v>
      </c>
      <c r="O124" s="3" t="s">
        <v>62</v>
      </c>
      <c r="P124" s="3" t="s">
        <v>62</v>
      </c>
      <c r="Q124" s="3" t="s">
        <v>62</v>
      </c>
      <c r="R124" s="3" t="s">
        <v>62</v>
      </c>
      <c r="S124" s="3" t="s">
        <v>62</v>
      </c>
      <c r="T124" s="3" t="s">
        <v>62</v>
      </c>
      <c r="U124" s="3" t="s">
        <v>62</v>
      </c>
      <c r="V124" s="3" t="s">
        <v>62</v>
      </c>
      <c r="W124" s="3" t="s">
        <v>62</v>
      </c>
      <c r="X124" s="3" t="s">
        <v>62</v>
      </c>
      <c r="Y124" s="3" t="s">
        <v>62</v>
      </c>
      <c r="Z124" s="3" t="s">
        <v>62</v>
      </c>
      <c r="AA124" s="3" t="s">
        <v>62</v>
      </c>
      <c r="AB124" s="3" t="s">
        <v>62</v>
      </c>
      <c r="AC124" s="3" t="s">
        <v>62</v>
      </c>
      <c r="AD124" s="3" t="s">
        <v>62</v>
      </c>
      <c r="AE124" s="3" t="s">
        <v>62</v>
      </c>
      <c r="AF124" s="3" t="s">
        <v>62</v>
      </c>
      <c r="AG124" s="3" t="s">
        <v>62</v>
      </c>
      <c r="AH124" s="3" t="s">
        <v>62</v>
      </c>
    </row>
    <row r="125" spans="2:34">
      <c r="B125" s="148">
        <v>19</v>
      </c>
      <c r="C125" s="89" t="str">
        <f>LEFT(EmpGName19)&amp;" " &amp;EmpSName19</f>
        <v>G Odd11</v>
      </c>
      <c r="D125" s="4" t="s">
        <v>62</v>
      </c>
      <c r="E125" s="4" t="s">
        <v>62</v>
      </c>
      <c r="F125" s="4" t="s">
        <v>62</v>
      </c>
      <c r="G125" s="4" t="s">
        <v>62</v>
      </c>
      <c r="H125" s="4" t="s">
        <v>62</v>
      </c>
      <c r="I125" s="4" t="s">
        <v>62</v>
      </c>
      <c r="J125" s="4" t="s">
        <v>62</v>
      </c>
      <c r="K125" s="4" t="s">
        <v>62</v>
      </c>
      <c r="L125" s="4" t="s">
        <v>62</v>
      </c>
      <c r="M125" s="4" t="s">
        <v>62</v>
      </c>
      <c r="N125" s="4" t="s">
        <v>62</v>
      </c>
      <c r="O125" s="4" t="s">
        <v>62</v>
      </c>
      <c r="P125" s="4" t="s">
        <v>62</v>
      </c>
      <c r="Q125" s="4" t="s">
        <v>62</v>
      </c>
      <c r="R125" s="4" t="s">
        <v>62</v>
      </c>
      <c r="S125" s="4" t="s">
        <v>62</v>
      </c>
      <c r="T125" s="4" t="s">
        <v>62</v>
      </c>
      <c r="U125" s="4" t="s">
        <v>62</v>
      </c>
      <c r="V125" s="4" t="s">
        <v>62</v>
      </c>
      <c r="W125" s="4" t="s">
        <v>62</v>
      </c>
      <c r="X125" s="4" t="s">
        <v>62</v>
      </c>
      <c r="Y125" s="4" t="s">
        <v>62</v>
      </c>
      <c r="Z125" s="4" t="s">
        <v>62</v>
      </c>
      <c r="AA125" s="4" t="s">
        <v>62</v>
      </c>
      <c r="AB125" s="4" t="s">
        <v>62</v>
      </c>
      <c r="AC125" s="4" t="s">
        <v>62</v>
      </c>
      <c r="AD125" s="4" t="s">
        <v>62</v>
      </c>
      <c r="AE125" s="4" t="s">
        <v>62</v>
      </c>
      <c r="AF125" s="4" t="s">
        <v>62</v>
      </c>
      <c r="AG125" s="4" t="s">
        <v>62</v>
      </c>
      <c r="AH125" s="4" t="s">
        <v>62</v>
      </c>
    </row>
    <row r="126" spans="2:34">
      <c r="B126" s="148">
        <v>20</v>
      </c>
      <c r="C126" s="90" t="str">
        <f>LEFT(EmpGName20)&amp;" " &amp;EmpSName20</f>
        <v>H Odd12</v>
      </c>
      <c r="D126" s="3" t="s">
        <v>62</v>
      </c>
      <c r="E126" s="3" t="s">
        <v>62</v>
      </c>
      <c r="F126" s="3" t="s">
        <v>62</v>
      </c>
      <c r="G126" s="3" t="s">
        <v>62</v>
      </c>
      <c r="H126" s="3" t="s">
        <v>62</v>
      </c>
      <c r="I126" s="3" t="s">
        <v>62</v>
      </c>
      <c r="J126" s="3" t="s">
        <v>62</v>
      </c>
      <c r="K126" s="3" t="s">
        <v>62</v>
      </c>
      <c r="L126" s="3" t="s">
        <v>62</v>
      </c>
      <c r="M126" s="3" t="s">
        <v>62</v>
      </c>
      <c r="N126" s="3" t="s">
        <v>62</v>
      </c>
      <c r="O126" s="3" t="s">
        <v>62</v>
      </c>
      <c r="P126" s="3" t="s">
        <v>62</v>
      </c>
      <c r="Q126" s="3" t="s">
        <v>62</v>
      </c>
      <c r="R126" s="3" t="s">
        <v>62</v>
      </c>
      <c r="S126" s="3" t="s">
        <v>62</v>
      </c>
      <c r="T126" s="3" t="s">
        <v>62</v>
      </c>
      <c r="U126" s="3" t="s">
        <v>62</v>
      </c>
      <c r="V126" s="3" t="s">
        <v>62</v>
      </c>
      <c r="W126" s="3" t="s">
        <v>62</v>
      </c>
      <c r="X126" s="3" t="s">
        <v>62</v>
      </c>
      <c r="Y126" s="3" t="s">
        <v>62</v>
      </c>
      <c r="Z126" s="3" t="s">
        <v>62</v>
      </c>
      <c r="AA126" s="3" t="s">
        <v>62</v>
      </c>
      <c r="AB126" s="3" t="s">
        <v>62</v>
      </c>
      <c r="AC126" s="3" t="s">
        <v>62</v>
      </c>
      <c r="AD126" s="3" t="s">
        <v>62</v>
      </c>
      <c r="AE126" s="3" t="s">
        <v>62</v>
      </c>
      <c r="AF126" s="3" t="s">
        <v>62</v>
      </c>
      <c r="AG126" s="3" t="s">
        <v>62</v>
      </c>
      <c r="AH126" s="3" t="s">
        <v>62</v>
      </c>
    </row>
    <row r="127" spans="2:34">
      <c r="B127" s="148">
        <v>21</v>
      </c>
      <c r="C127" s="89" t="str">
        <f>LEFT(EmpGName21)&amp;" " &amp;EmpSName21</f>
        <v>I Odd13</v>
      </c>
      <c r="D127" s="4" t="s">
        <v>62</v>
      </c>
      <c r="E127" s="4" t="s">
        <v>62</v>
      </c>
      <c r="F127" s="4" t="s">
        <v>62</v>
      </c>
      <c r="G127" s="4" t="s">
        <v>62</v>
      </c>
      <c r="H127" s="4" t="s">
        <v>62</v>
      </c>
      <c r="I127" s="4" t="s">
        <v>62</v>
      </c>
      <c r="J127" s="4" t="s">
        <v>62</v>
      </c>
      <c r="K127" s="4" t="s">
        <v>62</v>
      </c>
      <c r="L127" s="4" t="s">
        <v>62</v>
      </c>
      <c r="M127" s="4" t="s">
        <v>62</v>
      </c>
      <c r="N127" s="4" t="s">
        <v>62</v>
      </c>
      <c r="O127" s="4" t="s">
        <v>62</v>
      </c>
      <c r="P127" s="4" t="s">
        <v>62</v>
      </c>
      <c r="Q127" s="4" t="s">
        <v>62</v>
      </c>
      <c r="R127" s="4" t="s">
        <v>62</v>
      </c>
      <c r="S127" s="4" t="s">
        <v>62</v>
      </c>
      <c r="T127" s="4" t="s">
        <v>62</v>
      </c>
      <c r="U127" s="4" t="s">
        <v>62</v>
      </c>
      <c r="V127" s="4" t="s">
        <v>62</v>
      </c>
      <c r="W127" s="4" t="s">
        <v>62</v>
      </c>
      <c r="X127" s="4" t="s">
        <v>62</v>
      </c>
      <c r="Y127" s="4" t="s">
        <v>62</v>
      </c>
      <c r="Z127" s="4" t="s">
        <v>62</v>
      </c>
      <c r="AA127" s="4" t="s">
        <v>62</v>
      </c>
      <c r="AB127" s="4" t="s">
        <v>62</v>
      </c>
      <c r="AC127" s="4" t="s">
        <v>62</v>
      </c>
      <c r="AD127" s="4" t="s">
        <v>62</v>
      </c>
      <c r="AE127" s="4" t="s">
        <v>62</v>
      </c>
      <c r="AF127" s="4" t="s">
        <v>62</v>
      </c>
      <c r="AG127" s="4" t="s">
        <v>62</v>
      </c>
      <c r="AH127" s="4" t="s">
        <v>62</v>
      </c>
    </row>
    <row r="128" spans="2:34">
      <c r="B128" s="148">
        <v>22</v>
      </c>
      <c r="C128" s="90" t="str">
        <f>LEFT(EmpGName22)&amp;" " &amp;EmpSName22</f>
        <v>J Odd14</v>
      </c>
      <c r="D128" s="3" t="s">
        <v>62</v>
      </c>
      <c r="E128" s="3" t="s">
        <v>62</v>
      </c>
      <c r="F128" s="3" t="s">
        <v>62</v>
      </c>
      <c r="G128" s="3" t="s">
        <v>62</v>
      </c>
      <c r="H128" s="3" t="s">
        <v>62</v>
      </c>
      <c r="I128" s="3" t="s">
        <v>62</v>
      </c>
      <c r="J128" s="3" t="s">
        <v>62</v>
      </c>
      <c r="K128" s="3" t="s">
        <v>62</v>
      </c>
      <c r="L128" s="3" t="s">
        <v>62</v>
      </c>
      <c r="M128" s="3" t="s">
        <v>62</v>
      </c>
      <c r="N128" s="3" t="s">
        <v>62</v>
      </c>
      <c r="O128" s="3" t="s">
        <v>62</v>
      </c>
      <c r="P128" s="3" t="s">
        <v>62</v>
      </c>
      <c r="Q128" s="3" t="s">
        <v>62</v>
      </c>
      <c r="R128" s="3" t="s">
        <v>62</v>
      </c>
      <c r="S128" s="3" t="s">
        <v>62</v>
      </c>
      <c r="T128" s="3" t="s">
        <v>62</v>
      </c>
      <c r="U128" s="3" t="s">
        <v>62</v>
      </c>
      <c r="V128" s="3" t="s">
        <v>62</v>
      </c>
      <c r="W128" s="3" t="s">
        <v>62</v>
      </c>
      <c r="X128" s="3" t="s">
        <v>62</v>
      </c>
      <c r="Y128" s="3" t="s">
        <v>62</v>
      </c>
      <c r="Z128" s="3" t="s">
        <v>62</v>
      </c>
      <c r="AA128" s="3" t="s">
        <v>62</v>
      </c>
      <c r="AB128" s="3" t="s">
        <v>62</v>
      </c>
      <c r="AC128" s="3" t="s">
        <v>62</v>
      </c>
      <c r="AD128" s="3" t="s">
        <v>62</v>
      </c>
      <c r="AE128" s="3" t="s">
        <v>62</v>
      </c>
      <c r="AF128" s="3" t="s">
        <v>62</v>
      </c>
      <c r="AG128" s="3" t="s">
        <v>62</v>
      </c>
      <c r="AH128" s="3" t="s">
        <v>62</v>
      </c>
    </row>
    <row r="129" spans="2:34">
      <c r="B129" s="148">
        <v>23</v>
      </c>
      <c r="C129" s="89" t="str">
        <f>LEFT(EmpGName23)&amp;" " &amp;EmpSName23</f>
        <v>K Odd15</v>
      </c>
      <c r="D129" s="4" t="s">
        <v>62</v>
      </c>
      <c r="E129" s="4" t="s">
        <v>62</v>
      </c>
      <c r="F129" s="4" t="s">
        <v>62</v>
      </c>
      <c r="G129" s="4" t="s">
        <v>62</v>
      </c>
      <c r="H129" s="4" t="s">
        <v>62</v>
      </c>
      <c r="I129" s="4" t="s">
        <v>62</v>
      </c>
      <c r="J129" s="4" t="s">
        <v>62</v>
      </c>
      <c r="K129" s="4" t="s">
        <v>62</v>
      </c>
      <c r="L129" s="4" t="s">
        <v>62</v>
      </c>
      <c r="M129" s="4" t="s">
        <v>62</v>
      </c>
      <c r="N129" s="4" t="s">
        <v>62</v>
      </c>
      <c r="O129" s="4" t="s">
        <v>62</v>
      </c>
      <c r="P129" s="4" t="s">
        <v>62</v>
      </c>
      <c r="Q129" s="4" t="s">
        <v>62</v>
      </c>
      <c r="R129" s="4" t="s">
        <v>62</v>
      </c>
      <c r="S129" s="4" t="s">
        <v>62</v>
      </c>
      <c r="T129" s="4" t="s">
        <v>62</v>
      </c>
      <c r="U129" s="4" t="s">
        <v>62</v>
      </c>
      <c r="V129" s="4" t="s">
        <v>62</v>
      </c>
      <c r="W129" s="4" t="s">
        <v>62</v>
      </c>
      <c r="X129" s="4" t="s">
        <v>62</v>
      </c>
      <c r="Y129" s="4" t="s">
        <v>62</v>
      </c>
      <c r="Z129" s="4" t="s">
        <v>62</v>
      </c>
      <c r="AA129" s="4" t="s">
        <v>62</v>
      </c>
      <c r="AB129" s="4" t="s">
        <v>62</v>
      </c>
      <c r="AC129" s="4" t="s">
        <v>62</v>
      </c>
      <c r="AD129" s="4" t="s">
        <v>62</v>
      </c>
      <c r="AE129" s="4" t="s">
        <v>62</v>
      </c>
      <c r="AF129" s="4" t="s">
        <v>62</v>
      </c>
      <c r="AG129" s="4" t="s">
        <v>62</v>
      </c>
      <c r="AH129" s="4" t="s">
        <v>62</v>
      </c>
    </row>
    <row r="130" spans="2:34">
      <c r="B130" s="148">
        <v>24</v>
      </c>
      <c r="C130" s="90" t="str">
        <f>LEFT(EmpGName24)&amp;" " &amp;EmpSName24</f>
        <v>L Odd16</v>
      </c>
      <c r="D130" s="3" t="s">
        <v>62</v>
      </c>
      <c r="E130" s="3" t="s">
        <v>62</v>
      </c>
      <c r="F130" s="3" t="s">
        <v>62</v>
      </c>
      <c r="G130" s="3" t="s">
        <v>62</v>
      </c>
      <c r="H130" s="3" t="s">
        <v>62</v>
      </c>
      <c r="I130" s="3" t="s">
        <v>62</v>
      </c>
      <c r="J130" s="3" t="s">
        <v>62</v>
      </c>
      <c r="K130" s="3" t="s">
        <v>62</v>
      </c>
      <c r="L130" s="3" t="s">
        <v>62</v>
      </c>
      <c r="M130" s="3" t="s">
        <v>62</v>
      </c>
      <c r="N130" s="3" t="s">
        <v>62</v>
      </c>
      <c r="O130" s="3" t="s">
        <v>62</v>
      </c>
      <c r="P130" s="3" t="s">
        <v>62</v>
      </c>
      <c r="Q130" s="3" t="s">
        <v>62</v>
      </c>
      <c r="R130" s="3" t="s">
        <v>62</v>
      </c>
      <c r="S130" s="3" t="s">
        <v>62</v>
      </c>
      <c r="T130" s="3" t="s">
        <v>62</v>
      </c>
      <c r="U130" s="3" t="s">
        <v>62</v>
      </c>
      <c r="V130" s="3" t="s">
        <v>62</v>
      </c>
      <c r="W130" s="3" t="s">
        <v>62</v>
      </c>
      <c r="X130" s="3" t="s">
        <v>62</v>
      </c>
      <c r="Y130" s="3" t="s">
        <v>62</v>
      </c>
      <c r="Z130" s="3" t="s">
        <v>62</v>
      </c>
      <c r="AA130" s="3" t="s">
        <v>62</v>
      </c>
      <c r="AB130" s="3" t="s">
        <v>62</v>
      </c>
      <c r="AC130" s="3" t="s">
        <v>62</v>
      </c>
      <c r="AD130" s="3" t="s">
        <v>62</v>
      </c>
      <c r="AE130" s="3" t="s">
        <v>62</v>
      </c>
      <c r="AF130" s="3" t="s">
        <v>62</v>
      </c>
      <c r="AG130" s="3" t="s">
        <v>62</v>
      </c>
      <c r="AH130" s="3" t="s">
        <v>62</v>
      </c>
    </row>
    <row r="131" spans="2:34" s="70" customFormat="1">
      <c r="B131" s="148">
        <v>25</v>
      </c>
      <c r="C131" s="89" t="str">
        <f>LEFT(EmpGName25)&amp;" " &amp;EmpSName25</f>
        <v>M Odd17</v>
      </c>
      <c r="D131" s="4" t="s">
        <v>62</v>
      </c>
      <c r="E131" s="4" t="s">
        <v>62</v>
      </c>
      <c r="F131" s="4" t="s">
        <v>62</v>
      </c>
      <c r="G131" s="4" t="s">
        <v>62</v>
      </c>
      <c r="H131" s="4" t="s">
        <v>62</v>
      </c>
      <c r="I131" s="4" t="s">
        <v>62</v>
      </c>
      <c r="J131" s="4" t="s">
        <v>62</v>
      </c>
      <c r="K131" s="4" t="s">
        <v>62</v>
      </c>
      <c r="L131" s="4" t="s">
        <v>62</v>
      </c>
      <c r="M131" s="4" t="s">
        <v>62</v>
      </c>
      <c r="N131" s="4" t="s">
        <v>62</v>
      </c>
      <c r="O131" s="4" t="s">
        <v>62</v>
      </c>
      <c r="P131" s="4" t="s">
        <v>62</v>
      </c>
      <c r="Q131" s="4" t="s">
        <v>62</v>
      </c>
      <c r="R131" s="4" t="s">
        <v>62</v>
      </c>
      <c r="S131" s="4" t="s">
        <v>62</v>
      </c>
      <c r="T131" s="4" t="s">
        <v>62</v>
      </c>
      <c r="U131" s="4" t="s">
        <v>62</v>
      </c>
      <c r="V131" s="4" t="s">
        <v>62</v>
      </c>
      <c r="W131" s="4" t="s">
        <v>62</v>
      </c>
      <c r="X131" s="4" t="s">
        <v>62</v>
      </c>
      <c r="Y131" s="4" t="s">
        <v>62</v>
      </c>
      <c r="Z131" s="4" t="s">
        <v>62</v>
      </c>
      <c r="AA131" s="4" t="s">
        <v>62</v>
      </c>
      <c r="AB131" s="4" t="s">
        <v>62</v>
      </c>
      <c r="AC131" s="4" t="s">
        <v>62</v>
      </c>
      <c r="AD131" s="4" t="s">
        <v>62</v>
      </c>
      <c r="AE131" s="4" t="s">
        <v>62</v>
      </c>
      <c r="AF131" s="4" t="s">
        <v>62</v>
      </c>
      <c r="AG131" s="4" t="s">
        <v>62</v>
      </c>
      <c r="AH131" s="4" t="s">
        <v>62</v>
      </c>
    </row>
    <row r="132" spans="2:34" s="70" customFormat="1">
      <c r="B132" s="148">
        <v>26</v>
      </c>
      <c r="C132" s="90" t="str">
        <f>LEFT(EmpGName26)&amp;" " &amp;EmpSName26</f>
        <v>N Odd18</v>
      </c>
      <c r="D132" s="3" t="s">
        <v>62</v>
      </c>
      <c r="E132" s="3" t="s">
        <v>62</v>
      </c>
      <c r="F132" s="3" t="s">
        <v>62</v>
      </c>
      <c r="G132" s="3" t="s">
        <v>62</v>
      </c>
      <c r="H132" s="3" t="s">
        <v>62</v>
      </c>
      <c r="I132" s="3" t="s">
        <v>62</v>
      </c>
      <c r="J132" s="3" t="s">
        <v>62</v>
      </c>
      <c r="K132" s="3" t="s">
        <v>62</v>
      </c>
      <c r="L132" s="3" t="s">
        <v>62</v>
      </c>
      <c r="M132" s="3" t="s">
        <v>62</v>
      </c>
      <c r="N132" s="3" t="s">
        <v>62</v>
      </c>
      <c r="O132" s="3" t="s">
        <v>62</v>
      </c>
      <c r="P132" s="3" t="s">
        <v>62</v>
      </c>
      <c r="Q132" s="3" t="s">
        <v>62</v>
      </c>
      <c r="R132" s="3" t="s">
        <v>62</v>
      </c>
      <c r="S132" s="3" t="s">
        <v>62</v>
      </c>
      <c r="T132" s="3" t="s">
        <v>62</v>
      </c>
      <c r="U132" s="3" t="s">
        <v>62</v>
      </c>
      <c r="V132" s="3" t="s">
        <v>62</v>
      </c>
      <c r="W132" s="3" t="s">
        <v>62</v>
      </c>
      <c r="X132" s="3" t="s">
        <v>62</v>
      </c>
      <c r="Y132" s="3" t="s">
        <v>62</v>
      </c>
      <c r="Z132" s="3" t="s">
        <v>62</v>
      </c>
      <c r="AA132" s="3" t="s">
        <v>62</v>
      </c>
      <c r="AB132" s="3" t="s">
        <v>62</v>
      </c>
      <c r="AC132" s="3" t="s">
        <v>62</v>
      </c>
      <c r="AD132" s="3" t="s">
        <v>62</v>
      </c>
      <c r="AE132" s="3" t="s">
        <v>62</v>
      </c>
      <c r="AF132" s="3" t="s">
        <v>62</v>
      </c>
      <c r="AG132" s="3" t="s">
        <v>62</v>
      </c>
      <c r="AH132" s="3" t="s">
        <v>62</v>
      </c>
    </row>
    <row r="133" spans="2:34" s="70" customFormat="1">
      <c r="B133" s="148">
        <v>27</v>
      </c>
      <c r="C133" s="89" t="str">
        <f>LEFT(EmpGName27)&amp;" " &amp;EmpSName27</f>
        <v>O Odd19</v>
      </c>
      <c r="D133" s="4" t="s">
        <v>62</v>
      </c>
      <c r="E133" s="4" t="s">
        <v>62</v>
      </c>
      <c r="F133" s="4" t="s">
        <v>62</v>
      </c>
      <c r="G133" s="4" t="s">
        <v>62</v>
      </c>
      <c r="H133" s="4" t="s">
        <v>62</v>
      </c>
      <c r="I133" s="4" t="s">
        <v>62</v>
      </c>
      <c r="J133" s="4" t="s">
        <v>62</v>
      </c>
      <c r="K133" s="4" t="s">
        <v>62</v>
      </c>
      <c r="L133" s="4" t="s">
        <v>62</v>
      </c>
      <c r="M133" s="4" t="s">
        <v>62</v>
      </c>
      <c r="N133" s="4" t="s">
        <v>62</v>
      </c>
      <c r="O133" s="4" t="s">
        <v>62</v>
      </c>
      <c r="P133" s="4" t="s">
        <v>62</v>
      </c>
      <c r="Q133" s="4" t="s">
        <v>62</v>
      </c>
      <c r="R133" s="4" t="s">
        <v>62</v>
      </c>
      <c r="S133" s="4" t="s">
        <v>62</v>
      </c>
      <c r="T133" s="4" t="s">
        <v>62</v>
      </c>
      <c r="U133" s="4" t="s">
        <v>62</v>
      </c>
      <c r="V133" s="4" t="s">
        <v>62</v>
      </c>
      <c r="W133" s="4" t="s">
        <v>62</v>
      </c>
      <c r="X133" s="4" t="s">
        <v>62</v>
      </c>
      <c r="Y133" s="4" t="s">
        <v>62</v>
      </c>
      <c r="Z133" s="4" t="s">
        <v>62</v>
      </c>
      <c r="AA133" s="4" t="s">
        <v>62</v>
      </c>
      <c r="AB133" s="4" t="s">
        <v>62</v>
      </c>
      <c r="AC133" s="4" t="s">
        <v>62</v>
      </c>
      <c r="AD133" s="4" t="s">
        <v>62</v>
      </c>
      <c r="AE133" s="4" t="s">
        <v>62</v>
      </c>
      <c r="AF133" s="4" t="s">
        <v>62</v>
      </c>
      <c r="AG133" s="4" t="s">
        <v>62</v>
      </c>
      <c r="AH133" s="4" t="s">
        <v>62</v>
      </c>
    </row>
    <row r="134" spans="2:34">
      <c r="B134" s="148">
        <v>28</v>
      </c>
      <c r="C134" s="90" t="str">
        <f>LEFT(EmpGName28)&amp;" " &amp;EmpSName28</f>
        <v>P Odd20</v>
      </c>
      <c r="D134" s="3" t="s">
        <v>62</v>
      </c>
      <c r="E134" s="3" t="s">
        <v>62</v>
      </c>
      <c r="F134" s="3" t="s">
        <v>62</v>
      </c>
      <c r="G134" s="3" t="s">
        <v>62</v>
      </c>
      <c r="H134" s="3" t="s">
        <v>62</v>
      </c>
      <c r="I134" s="3" t="s">
        <v>62</v>
      </c>
      <c r="J134" s="3" t="s">
        <v>62</v>
      </c>
      <c r="K134" s="3" t="s">
        <v>62</v>
      </c>
      <c r="L134" s="3" t="s">
        <v>62</v>
      </c>
      <c r="M134" s="3" t="s">
        <v>62</v>
      </c>
      <c r="N134" s="3" t="s">
        <v>62</v>
      </c>
      <c r="O134" s="3" t="s">
        <v>62</v>
      </c>
      <c r="P134" s="3" t="s">
        <v>62</v>
      </c>
      <c r="Q134" s="3" t="s">
        <v>62</v>
      </c>
      <c r="R134" s="3" t="s">
        <v>62</v>
      </c>
      <c r="S134" s="3" t="s">
        <v>62</v>
      </c>
      <c r="T134" s="3" t="s">
        <v>62</v>
      </c>
      <c r="U134" s="3" t="s">
        <v>62</v>
      </c>
      <c r="V134" s="3" t="s">
        <v>62</v>
      </c>
      <c r="W134" s="3" t="s">
        <v>62</v>
      </c>
      <c r="X134" s="3" t="s">
        <v>62</v>
      </c>
      <c r="Y134" s="3" t="s">
        <v>62</v>
      </c>
      <c r="Z134" s="3" t="s">
        <v>62</v>
      </c>
      <c r="AA134" s="3" t="s">
        <v>62</v>
      </c>
      <c r="AB134" s="3" t="s">
        <v>62</v>
      </c>
      <c r="AC134" s="3" t="s">
        <v>62</v>
      </c>
      <c r="AD134" s="3" t="s">
        <v>62</v>
      </c>
      <c r="AE134" s="3" t="s">
        <v>62</v>
      </c>
      <c r="AF134" s="3" t="s">
        <v>62</v>
      </c>
      <c r="AG134" s="3" t="s">
        <v>62</v>
      </c>
      <c r="AH134" s="3" t="s">
        <v>62</v>
      </c>
    </row>
    <row r="136" spans="2:34">
      <c r="C136" t="str">
        <f>CurYear-1&amp;":"</f>
        <v>2018:</v>
      </c>
      <c r="D136" s="5" t="str">
        <f t="shared" ref="D136:AG136" si="4">LEFT(TEXT(D137&amp;"-"&amp;$C137&amp;"-"&amp; CurYear-1,"ddd"),2)</f>
        <v>Th</v>
      </c>
      <c r="E136" s="5" t="str">
        <f t="shared" si="4"/>
        <v>Fr</v>
      </c>
      <c r="F136" s="5" t="str">
        <f t="shared" si="4"/>
        <v>Sa</v>
      </c>
      <c r="G136" s="5" t="str">
        <f t="shared" si="4"/>
        <v>Su</v>
      </c>
      <c r="H136" s="5" t="str">
        <f t="shared" si="4"/>
        <v>Mo</v>
      </c>
      <c r="I136" s="5" t="str">
        <f t="shared" si="4"/>
        <v>Tu</v>
      </c>
      <c r="J136" s="5" t="str">
        <f t="shared" si="4"/>
        <v>We</v>
      </c>
      <c r="K136" s="5" t="str">
        <f t="shared" si="4"/>
        <v>Th</v>
      </c>
      <c r="L136" s="5" t="str">
        <f t="shared" si="4"/>
        <v>Fr</v>
      </c>
      <c r="M136" s="5" t="str">
        <f t="shared" si="4"/>
        <v>Sa</v>
      </c>
      <c r="N136" s="5" t="str">
        <f t="shared" si="4"/>
        <v>Su</v>
      </c>
      <c r="O136" s="5" t="str">
        <f t="shared" si="4"/>
        <v>Mo</v>
      </c>
      <c r="P136" s="5" t="str">
        <f t="shared" si="4"/>
        <v>Tu</v>
      </c>
      <c r="Q136" s="5" t="str">
        <f t="shared" si="4"/>
        <v>We</v>
      </c>
      <c r="R136" s="5" t="str">
        <f t="shared" si="4"/>
        <v>Th</v>
      </c>
      <c r="S136" s="5" t="str">
        <f t="shared" si="4"/>
        <v>Fr</v>
      </c>
      <c r="T136" s="5" t="str">
        <f t="shared" si="4"/>
        <v>Sa</v>
      </c>
      <c r="U136" s="5" t="str">
        <f t="shared" si="4"/>
        <v>Su</v>
      </c>
      <c r="V136" s="5" t="str">
        <f t="shared" si="4"/>
        <v>Mo</v>
      </c>
      <c r="W136" s="5" t="str">
        <f t="shared" si="4"/>
        <v>Tu</v>
      </c>
      <c r="X136" s="5" t="str">
        <f t="shared" si="4"/>
        <v>We</v>
      </c>
      <c r="Y136" s="5" t="str">
        <f t="shared" si="4"/>
        <v>Th</v>
      </c>
      <c r="Z136" s="5" t="str">
        <f t="shared" si="4"/>
        <v>Fr</v>
      </c>
      <c r="AA136" s="5" t="str">
        <f t="shared" si="4"/>
        <v>Sa</v>
      </c>
      <c r="AB136" s="5" t="str">
        <f t="shared" si="4"/>
        <v>Su</v>
      </c>
      <c r="AC136" s="5" t="str">
        <f t="shared" si="4"/>
        <v>Mo</v>
      </c>
      <c r="AD136" s="5" t="str">
        <f t="shared" si="4"/>
        <v>Tu</v>
      </c>
      <c r="AE136" s="5" t="str">
        <f t="shared" si="4"/>
        <v>We</v>
      </c>
      <c r="AF136" s="5" t="str">
        <f t="shared" si="4"/>
        <v>Th</v>
      </c>
      <c r="AG136" s="5" t="str">
        <f t="shared" si="4"/>
        <v>Fr</v>
      </c>
      <c r="AH136" s="5"/>
    </row>
    <row r="137" spans="2:34">
      <c r="B137" s="88"/>
      <c r="C137" s="84" t="s">
        <v>22</v>
      </c>
      <c r="D137" s="85">
        <v>1</v>
      </c>
      <c r="E137" s="85">
        <v>2</v>
      </c>
      <c r="F137" s="85">
        <v>3</v>
      </c>
      <c r="G137" s="85">
        <v>4</v>
      </c>
      <c r="H137" s="85">
        <v>5</v>
      </c>
      <c r="I137" s="85">
        <v>6</v>
      </c>
      <c r="J137" s="85">
        <v>7</v>
      </c>
      <c r="K137" s="85">
        <v>8</v>
      </c>
      <c r="L137" s="176">
        <v>9</v>
      </c>
      <c r="M137" s="85">
        <v>10</v>
      </c>
      <c r="N137" s="85">
        <v>11</v>
      </c>
      <c r="O137" s="85">
        <v>12</v>
      </c>
      <c r="P137" s="85">
        <v>13</v>
      </c>
      <c r="Q137" s="85">
        <v>14</v>
      </c>
      <c r="R137" s="85">
        <v>15</v>
      </c>
      <c r="S137" s="85">
        <v>16</v>
      </c>
      <c r="T137" s="85">
        <v>17</v>
      </c>
      <c r="U137" s="85">
        <v>18</v>
      </c>
      <c r="V137" s="85">
        <v>19</v>
      </c>
      <c r="W137" s="85">
        <v>20</v>
      </c>
      <c r="X137" s="85">
        <v>21</v>
      </c>
      <c r="Y137" s="85">
        <v>22</v>
      </c>
      <c r="Z137" s="176">
        <v>23</v>
      </c>
      <c r="AA137" s="85">
        <v>24</v>
      </c>
      <c r="AB137" s="85">
        <v>25</v>
      </c>
      <c r="AC137" s="85">
        <v>26</v>
      </c>
      <c r="AD137" s="85">
        <v>27</v>
      </c>
      <c r="AE137" s="85">
        <v>28</v>
      </c>
      <c r="AF137" s="85">
        <v>29</v>
      </c>
      <c r="AG137" s="85">
        <v>30</v>
      </c>
    </row>
    <row r="138" spans="2:34">
      <c r="B138" s="85">
        <v>1</v>
      </c>
      <c r="C138" s="89" t="str">
        <f>LEFT(EmpGName01)&amp;" " &amp; EmpSName01</f>
        <v>L Marampon</v>
      </c>
      <c r="D138" s="4" t="s">
        <v>62</v>
      </c>
      <c r="E138" s="4" t="s">
        <v>62</v>
      </c>
      <c r="F138" s="4" t="s">
        <v>62</v>
      </c>
      <c r="G138" s="4" t="s">
        <v>62</v>
      </c>
      <c r="H138" s="4" t="s">
        <v>62</v>
      </c>
      <c r="I138" s="4" t="s">
        <v>62</v>
      </c>
      <c r="J138" s="4" t="s">
        <v>62</v>
      </c>
      <c r="K138" s="4" t="s">
        <v>62</v>
      </c>
      <c r="L138" s="4" t="s">
        <v>62</v>
      </c>
      <c r="M138" s="4" t="s">
        <v>62</v>
      </c>
      <c r="N138" s="4" t="s">
        <v>62</v>
      </c>
      <c r="O138" s="4" t="s">
        <v>62</v>
      </c>
      <c r="P138" s="4" t="s">
        <v>62</v>
      </c>
      <c r="Q138" s="4" t="s">
        <v>62</v>
      </c>
      <c r="R138" s="4" t="s">
        <v>62</v>
      </c>
      <c r="S138" s="4" t="s">
        <v>62</v>
      </c>
      <c r="T138" s="4" t="s">
        <v>62</v>
      </c>
      <c r="U138" s="4" t="s">
        <v>62</v>
      </c>
      <c r="V138" s="4" t="s">
        <v>62</v>
      </c>
      <c r="W138" s="4" t="s">
        <v>62</v>
      </c>
      <c r="X138" s="4" t="s">
        <v>62</v>
      </c>
      <c r="Y138" s="4" t="s">
        <v>62</v>
      </c>
      <c r="Z138" s="4" t="s">
        <v>62</v>
      </c>
      <c r="AA138" s="4" t="s">
        <v>62</v>
      </c>
      <c r="AB138" s="4" t="s">
        <v>62</v>
      </c>
      <c r="AC138" s="4" t="s">
        <v>62</v>
      </c>
      <c r="AD138" s="4" t="s">
        <v>62</v>
      </c>
      <c r="AE138" s="4" t="s">
        <v>62</v>
      </c>
      <c r="AF138" s="4" t="s">
        <v>62</v>
      </c>
      <c r="AG138" s="4" t="s">
        <v>62</v>
      </c>
    </row>
    <row r="139" spans="2:34">
      <c r="B139" s="85">
        <v>2</v>
      </c>
      <c r="C139" s="90" t="str">
        <f>LEFT(EmpGName02)&amp;" " &amp;EmpSName02</f>
        <v>K Stone</v>
      </c>
      <c r="D139" s="3" t="s">
        <v>62</v>
      </c>
      <c r="E139" s="3" t="s">
        <v>62</v>
      </c>
      <c r="F139" s="3" t="s">
        <v>62</v>
      </c>
      <c r="G139" s="3" t="s">
        <v>62</v>
      </c>
      <c r="H139" s="3" t="s">
        <v>62</v>
      </c>
      <c r="I139" s="3" t="s">
        <v>62</v>
      </c>
      <c r="J139" s="3" t="s">
        <v>62</v>
      </c>
      <c r="K139" s="3" t="s">
        <v>62</v>
      </c>
      <c r="L139" s="3" t="s">
        <v>62</v>
      </c>
      <c r="M139" s="3" t="s">
        <v>62</v>
      </c>
      <c r="N139" s="3" t="s">
        <v>62</v>
      </c>
      <c r="O139" s="3" t="s">
        <v>62</v>
      </c>
      <c r="P139" s="3" t="s">
        <v>62</v>
      </c>
      <c r="Q139" s="3" t="s">
        <v>62</v>
      </c>
      <c r="R139" s="3" t="s">
        <v>62</v>
      </c>
      <c r="S139" s="3" t="s">
        <v>62</v>
      </c>
      <c r="T139" s="3" t="s">
        <v>62</v>
      </c>
      <c r="U139" s="3" t="s">
        <v>62</v>
      </c>
      <c r="V139" s="3" t="s">
        <v>62</v>
      </c>
      <c r="W139" s="3" t="s">
        <v>62</v>
      </c>
      <c r="X139" s="3" t="s">
        <v>62</v>
      </c>
      <c r="Y139" s="3" t="s">
        <v>62</v>
      </c>
      <c r="Z139" s="3" t="s">
        <v>62</v>
      </c>
      <c r="AA139" s="3" t="s">
        <v>62</v>
      </c>
      <c r="AB139" s="3" t="s">
        <v>62</v>
      </c>
      <c r="AC139" s="3" t="s">
        <v>62</v>
      </c>
      <c r="AD139" s="3" t="s">
        <v>62</v>
      </c>
      <c r="AE139" s="3" t="s">
        <v>62</v>
      </c>
      <c r="AF139" s="3" t="s">
        <v>62</v>
      </c>
      <c r="AG139" s="3" t="s">
        <v>62</v>
      </c>
    </row>
    <row r="140" spans="2:34">
      <c r="B140" s="85">
        <v>3</v>
      </c>
      <c r="C140" s="89" t="str">
        <f>LEFT(EmpGName03)&amp;" " &amp;EmpSName03</f>
        <v>I Thelning</v>
      </c>
      <c r="D140" s="4" t="s">
        <v>62</v>
      </c>
      <c r="E140" s="4" t="s">
        <v>62</v>
      </c>
      <c r="F140" s="4" t="s">
        <v>62</v>
      </c>
      <c r="G140" s="4" t="s">
        <v>62</v>
      </c>
      <c r="H140" s="4" t="s">
        <v>62</v>
      </c>
      <c r="I140" s="4" t="s">
        <v>62</v>
      </c>
      <c r="J140" s="4" t="s">
        <v>62</v>
      </c>
      <c r="K140" s="4" t="s">
        <v>62</v>
      </c>
      <c r="L140" s="4" t="s">
        <v>62</v>
      </c>
      <c r="M140" s="4" t="s">
        <v>62</v>
      </c>
      <c r="N140" s="4" t="s">
        <v>62</v>
      </c>
      <c r="O140" s="4" t="s">
        <v>62</v>
      </c>
      <c r="P140" s="4" t="s">
        <v>62</v>
      </c>
      <c r="Q140" s="4" t="s">
        <v>62</v>
      </c>
      <c r="R140" s="4" t="s">
        <v>62</v>
      </c>
      <c r="S140" s="4" t="s">
        <v>62</v>
      </c>
      <c r="T140" s="4" t="s">
        <v>62</v>
      </c>
      <c r="U140" s="4" t="s">
        <v>62</v>
      </c>
      <c r="V140" s="4" t="s">
        <v>62</v>
      </c>
      <c r="W140" s="4" t="s">
        <v>62</v>
      </c>
      <c r="X140" s="4" t="s">
        <v>62</v>
      </c>
      <c r="Y140" s="4" t="s">
        <v>62</v>
      </c>
      <c r="Z140" s="4" t="s">
        <v>62</v>
      </c>
      <c r="AA140" s="4" t="s">
        <v>62</v>
      </c>
      <c r="AB140" s="4" t="s">
        <v>62</v>
      </c>
      <c r="AC140" s="4" t="s">
        <v>62</v>
      </c>
      <c r="AD140" s="4" t="s">
        <v>62</v>
      </c>
      <c r="AE140" s="4" t="s">
        <v>62</v>
      </c>
      <c r="AF140" s="4" t="s">
        <v>62</v>
      </c>
      <c r="AG140" s="4" t="s">
        <v>62</v>
      </c>
    </row>
    <row r="141" spans="2:34">
      <c r="B141" s="85">
        <v>4</v>
      </c>
      <c r="C141" s="90" t="str">
        <f>LEFT(EmpGName04)&amp;" " &amp;EmpSName04</f>
        <v>L King</v>
      </c>
      <c r="D141" s="3" t="s">
        <v>62</v>
      </c>
      <c r="E141" s="3" t="s">
        <v>62</v>
      </c>
      <c r="F141" s="3" t="s">
        <v>62</v>
      </c>
      <c r="G141" s="3" t="s">
        <v>62</v>
      </c>
      <c r="H141" s="3" t="s">
        <v>62</v>
      </c>
      <c r="I141" s="3" t="s">
        <v>62</v>
      </c>
      <c r="J141" s="3" t="s">
        <v>62</v>
      </c>
      <c r="K141" s="3" t="s">
        <v>62</v>
      </c>
      <c r="L141" s="3" t="s">
        <v>62</v>
      </c>
      <c r="M141" s="3" t="s">
        <v>62</v>
      </c>
      <c r="N141" s="3" t="s">
        <v>62</v>
      </c>
      <c r="O141" s="3" t="s">
        <v>62</v>
      </c>
      <c r="P141" s="3" t="s">
        <v>62</v>
      </c>
      <c r="Q141" s="3" t="s">
        <v>62</v>
      </c>
      <c r="R141" s="3" t="s">
        <v>62</v>
      </c>
      <c r="S141" s="3" t="s">
        <v>62</v>
      </c>
      <c r="T141" s="3" t="s">
        <v>62</v>
      </c>
      <c r="U141" s="3" t="s">
        <v>62</v>
      </c>
      <c r="V141" s="3" t="s">
        <v>62</v>
      </c>
      <c r="W141" s="3" t="s">
        <v>62</v>
      </c>
      <c r="X141" s="3" t="s">
        <v>62</v>
      </c>
      <c r="Y141" s="3" t="s">
        <v>62</v>
      </c>
      <c r="Z141" s="3" t="s">
        <v>62</v>
      </c>
      <c r="AA141" s="3" t="s">
        <v>62</v>
      </c>
      <c r="AB141" s="3" t="s">
        <v>62</v>
      </c>
      <c r="AC141" s="3" t="s">
        <v>62</v>
      </c>
      <c r="AD141" s="3" t="s">
        <v>62</v>
      </c>
      <c r="AE141" s="3" t="s">
        <v>62</v>
      </c>
      <c r="AF141" s="3" t="s">
        <v>62</v>
      </c>
      <c r="AG141" s="3" t="s">
        <v>62</v>
      </c>
    </row>
    <row r="142" spans="2:34">
      <c r="B142" s="85">
        <v>5</v>
      </c>
      <c r="C142" s="89" t="str">
        <f>LEFT(EmpGName05)&amp;" " &amp;EmpSName05</f>
        <v>D Castle</v>
      </c>
      <c r="D142" s="4" t="s">
        <v>62</v>
      </c>
      <c r="E142" s="4" t="s">
        <v>62</v>
      </c>
      <c r="F142" s="4" t="s">
        <v>62</v>
      </c>
      <c r="G142" s="4" t="s">
        <v>62</v>
      </c>
      <c r="H142" s="4" t="s">
        <v>62</v>
      </c>
      <c r="I142" s="4" t="s">
        <v>62</v>
      </c>
      <c r="J142" s="4" t="s">
        <v>62</v>
      </c>
      <c r="K142" s="4" t="s">
        <v>62</v>
      </c>
      <c r="L142" s="4" t="s">
        <v>62</v>
      </c>
      <c r="M142" s="4" t="s">
        <v>62</v>
      </c>
      <c r="N142" s="4" t="s">
        <v>62</v>
      </c>
      <c r="O142" s="4" t="s">
        <v>62</v>
      </c>
      <c r="P142" s="4" t="s">
        <v>62</v>
      </c>
      <c r="Q142" s="4" t="s">
        <v>62</v>
      </c>
      <c r="R142" s="4" t="s">
        <v>62</v>
      </c>
      <c r="S142" s="4" t="s">
        <v>62</v>
      </c>
      <c r="T142" s="4" t="s">
        <v>62</v>
      </c>
      <c r="U142" s="4" t="s">
        <v>62</v>
      </c>
      <c r="V142" s="4" t="s">
        <v>62</v>
      </c>
      <c r="W142" s="4" t="s">
        <v>62</v>
      </c>
      <c r="X142" s="4" t="s">
        <v>62</v>
      </c>
      <c r="Y142" s="4" t="s">
        <v>62</v>
      </c>
      <c r="Z142" s="4" t="s">
        <v>62</v>
      </c>
      <c r="AA142" s="4" t="s">
        <v>62</v>
      </c>
      <c r="AB142" s="4" t="s">
        <v>62</v>
      </c>
      <c r="AC142" s="4" t="s">
        <v>62</v>
      </c>
      <c r="AD142" s="4" t="s">
        <v>62</v>
      </c>
      <c r="AE142" s="4" t="s">
        <v>62</v>
      </c>
      <c r="AF142" s="4" t="s">
        <v>62</v>
      </c>
      <c r="AG142" s="4" t="s">
        <v>62</v>
      </c>
    </row>
    <row r="143" spans="2:34">
      <c r="B143" s="85">
        <v>6</v>
      </c>
      <c r="C143" s="90" t="str">
        <f>LEFT(EmpGName06)&amp;" " &amp;EmpSName06</f>
        <v>R Fielding</v>
      </c>
      <c r="D143" s="3" t="s">
        <v>62</v>
      </c>
      <c r="E143" s="3" t="s">
        <v>62</v>
      </c>
      <c r="F143" s="3" t="s">
        <v>62</v>
      </c>
      <c r="G143" s="3" t="s">
        <v>62</v>
      </c>
      <c r="H143" s="3" t="s">
        <v>62</v>
      </c>
      <c r="I143" s="3" t="s">
        <v>62</v>
      </c>
      <c r="J143" s="3" t="s">
        <v>62</v>
      </c>
      <c r="K143" s="3" t="s">
        <v>62</v>
      </c>
      <c r="L143" s="3" t="s">
        <v>62</v>
      </c>
      <c r="M143" s="3" t="s">
        <v>62</v>
      </c>
      <c r="N143" s="3" t="s">
        <v>62</v>
      </c>
      <c r="O143" s="3" t="s">
        <v>62</v>
      </c>
      <c r="P143" s="3" t="s">
        <v>62</v>
      </c>
      <c r="Q143" s="3" t="s">
        <v>62</v>
      </c>
      <c r="R143" s="3" t="s">
        <v>62</v>
      </c>
      <c r="S143" s="3" t="s">
        <v>62</v>
      </c>
      <c r="T143" s="3" t="s">
        <v>62</v>
      </c>
      <c r="U143" s="3" t="s">
        <v>62</v>
      </c>
      <c r="V143" s="3" t="s">
        <v>62</v>
      </c>
      <c r="W143" s="3" t="s">
        <v>62</v>
      </c>
      <c r="X143" s="3" t="s">
        <v>62</v>
      </c>
      <c r="Y143" s="3" t="s">
        <v>62</v>
      </c>
      <c r="Z143" s="3" t="s">
        <v>62</v>
      </c>
      <c r="AA143" s="3" t="s">
        <v>62</v>
      </c>
      <c r="AB143" s="3" t="s">
        <v>62</v>
      </c>
      <c r="AC143" s="3" t="s">
        <v>62</v>
      </c>
      <c r="AD143" s="3" t="s">
        <v>62</v>
      </c>
      <c r="AE143" s="3" t="s">
        <v>62</v>
      </c>
      <c r="AF143" s="3" t="s">
        <v>62</v>
      </c>
      <c r="AG143" s="3" t="s">
        <v>62</v>
      </c>
    </row>
    <row r="144" spans="2:34">
      <c r="B144" s="85">
        <v>7</v>
      </c>
      <c r="C144" s="89" t="str">
        <f>LEFT(EmpGName07)&amp;" " &amp;EmpSName07</f>
        <v>T Sorensen</v>
      </c>
      <c r="D144" s="4" t="s">
        <v>62</v>
      </c>
      <c r="E144" s="4" t="s">
        <v>62</v>
      </c>
      <c r="F144" s="4" t="s">
        <v>62</v>
      </c>
      <c r="G144" s="4" t="s">
        <v>62</v>
      </c>
      <c r="H144" s="4" t="s">
        <v>62</v>
      </c>
      <c r="I144" s="4" t="s">
        <v>62</v>
      </c>
      <c r="J144" s="4" t="s">
        <v>62</v>
      </c>
      <c r="K144" s="4" t="s">
        <v>62</v>
      </c>
      <c r="L144" s="4" t="s">
        <v>62</v>
      </c>
      <c r="M144" s="4" t="s">
        <v>62</v>
      </c>
      <c r="N144" s="4" t="s">
        <v>62</v>
      </c>
      <c r="O144" s="4" t="s">
        <v>62</v>
      </c>
      <c r="P144" s="4" t="s">
        <v>62</v>
      </c>
      <c r="Q144" s="4" t="s">
        <v>62</v>
      </c>
      <c r="R144" s="4" t="s">
        <v>62</v>
      </c>
      <c r="S144" s="4" t="s">
        <v>62</v>
      </c>
      <c r="T144" s="4" t="s">
        <v>62</v>
      </c>
      <c r="U144" s="4" t="s">
        <v>62</v>
      </c>
      <c r="V144" s="4" t="s">
        <v>62</v>
      </c>
      <c r="W144" s="4" t="s">
        <v>62</v>
      </c>
      <c r="X144" s="4" t="s">
        <v>62</v>
      </c>
      <c r="Y144" s="4" t="s">
        <v>62</v>
      </c>
      <c r="Z144" s="4" t="s">
        <v>62</v>
      </c>
      <c r="AA144" s="4" t="s">
        <v>62</v>
      </c>
      <c r="AB144" s="4" t="s">
        <v>62</v>
      </c>
      <c r="AC144" s="4" t="s">
        <v>62</v>
      </c>
      <c r="AD144" s="4" t="s">
        <v>62</v>
      </c>
      <c r="AE144" s="4" t="s">
        <v>62</v>
      </c>
      <c r="AF144" s="4" t="s">
        <v>62</v>
      </c>
      <c r="AG144" s="4" t="s">
        <v>62</v>
      </c>
    </row>
    <row r="145" spans="2:33">
      <c r="B145" s="85">
        <v>8</v>
      </c>
      <c r="C145" s="90" t="str">
        <f>LEFT(EmpGName08)&amp;" " &amp;EmpSName08</f>
        <v xml:space="preserve">B Odd </v>
      </c>
      <c r="D145" s="3" t="s">
        <v>62</v>
      </c>
      <c r="E145" s="3" t="s">
        <v>62</v>
      </c>
      <c r="F145" s="3" t="s">
        <v>62</v>
      </c>
      <c r="G145" s="3" t="s">
        <v>62</v>
      </c>
      <c r="H145" s="3" t="s">
        <v>62</v>
      </c>
      <c r="I145" s="3" t="s">
        <v>62</v>
      </c>
      <c r="J145" s="3" t="s">
        <v>62</v>
      </c>
      <c r="K145" s="3" t="s">
        <v>62</v>
      </c>
      <c r="L145" s="3" t="s">
        <v>62</v>
      </c>
      <c r="M145" s="3" t="s">
        <v>62</v>
      </c>
      <c r="N145" s="3" t="s">
        <v>62</v>
      </c>
      <c r="O145" s="3" t="s">
        <v>62</v>
      </c>
      <c r="P145" s="3" t="s">
        <v>62</v>
      </c>
      <c r="Q145" s="3" t="s">
        <v>62</v>
      </c>
      <c r="R145" s="3" t="s">
        <v>62</v>
      </c>
      <c r="S145" s="3" t="s">
        <v>62</v>
      </c>
      <c r="T145" s="3" t="s">
        <v>62</v>
      </c>
      <c r="U145" s="3" t="s">
        <v>62</v>
      </c>
      <c r="V145" s="3" t="s">
        <v>62</v>
      </c>
      <c r="W145" s="3" t="s">
        <v>62</v>
      </c>
      <c r="X145" s="3" t="s">
        <v>62</v>
      </c>
      <c r="Y145" s="3" t="s">
        <v>62</v>
      </c>
      <c r="Z145" s="3" t="s">
        <v>62</v>
      </c>
      <c r="AA145" s="3" t="s">
        <v>62</v>
      </c>
      <c r="AB145" s="3" t="s">
        <v>62</v>
      </c>
      <c r="AC145" s="3" t="s">
        <v>62</v>
      </c>
      <c r="AD145" s="3" t="s">
        <v>62</v>
      </c>
      <c r="AE145" s="3" t="s">
        <v>62</v>
      </c>
      <c r="AF145" s="3" t="s">
        <v>62</v>
      </c>
      <c r="AG145" s="3" t="s">
        <v>62</v>
      </c>
    </row>
    <row r="146" spans="2:33">
      <c r="B146" s="85">
        <v>9</v>
      </c>
      <c r="C146" s="89" t="str">
        <f>LEFT(EmpGName09)&amp;" " &amp;EmpSName09</f>
        <v>1 Odd1</v>
      </c>
      <c r="D146" s="4" t="s">
        <v>62</v>
      </c>
      <c r="E146" s="4" t="s">
        <v>62</v>
      </c>
      <c r="F146" s="4" t="s">
        <v>62</v>
      </c>
      <c r="G146" s="4" t="s">
        <v>62</v>
      </c>
      <c r="H146" s="4" t="s">
        <v>62</v>
      </c>
      <c r="I146" s="4" t="s">
        <v>62</v>
      </c>
      <c r="J146" s="4" t="s">
        <v>62</v>
      </c>
      <c r="K146" s="4" t="s">
        <v>62</v>
      </c>
      <c r="L146" s="4" t="s">
        <v>62</v>
      </c>
      <c r="M146" s="4" t="s">
        <v>62</v>
      </c>
      <c r="N146" s="4" t="s">
        <v>62</v>
      </c>
      <c r="O146" s="4" t="s">
        <v>62</v>
      </c>
      <c r="P146" s="4" t="s">
        <v>62</v>
      </c>
      <c r="Q146" s="4" t="s">
        <v>62</v>
      </c>
      <c r="R146" s="4" t="s">
        <v>62</v>
      </c>
      <c r="S146" s="4" t="s">
        <v>62</v>
      </c>
      <c r="T146" s="4" t="s">
        <v>62</v>
      </c>
      <c r="U146" s="4" t="s">
        <v>62</v>
      </c>
      <c r="V146" s="4" t="s">
        <v>62</v>
      </c>
      <c r="W146" s="4" t="s">
        <v>62</v>
      </c>
      <c r="X146" s="4" t="s">
        <v>62</v>
      </c>
      <c r="Y146" s="4" t="s">
        <v>62</v>
      </c>
      <c r="Z146" s="4" t="s">
        <v>62</v>
      </c>
      <c r="AA146" s="4" t="s">
        <v>62</v>
      </c>
      <c r="AB146" s="4" t="s">
        <v>62</v>
      </c>
      <c r="AC146" s="4" t="s">
        <v>62</v>
      </c>
      <c r="AD146" s="4" t="s">
        <v>62</v>
      </c>
      <c r="AE146" s="4" t="s">
        <v>62</v>
      </c>
      <c r="AF146" s="4" t="s">
        <v>62</v>
      </c>
      <c r="AG146" s="4" t="s">
        <v>62</v>
      </c>
    </row>
    <row r="147" spans="2:33">
      <c r="B147" s="148">
        <v>10</v>
      </c>
      <c r="C147" s="90" t="str">
        <f>LEFT(EmpGName10)&amp;" " &amp;EmpSName10</f>
        <v>2 Odd2</v>
      </c>
      <c r="D147" s="3" t="s">
        <v>62</v>
      </c>
      <c r="E147" s="3" t="s">
        <v>62</v>
      </c>
      <c r="F147" s="3" t="s">
        <v>62</v>
      </c>
      <c r="G147" s="3" t="s">
        <v>62</v>
      </c>
      <c r="H147" s="3" t="s">
        <v>62</v>
      </c>
      <c r="I147" s="3" t="s">
        <v>62</v>
      </c>
      <c r="J147" s="3" t="s">
        <v>62</v>
      </c>
      <c r="K147" s="3" t="s">
        <v>62</v>
      </c>
      <c r="L147" s="3" t="s">
        <v>62</v>
      </c>
      <c r="M147" s="3" t="s">
        <v>62</v>
      </c>
      <c r="N147" s="3" t="s">
        <v>62</v>
      </c>
      <c r="O147" s="3" t="s">
        <v>62</v>
      </c>
      <c r="P147" s="3" t="s">
        <v>62</v>
      </c>
      <c r="Q147" s="3" t="s">
        <v>62</v>
      </c>
      <c r="R147" s="3" t="s">
        <v>62</v>
      </c>
      <c r="S147" s="3" t="s">
        <v>62</v>
      </c>
      <c r="T147" s="3" t="s">
        <v>62</v>
      </c>
      <c r="U147" s="3" t="s">
        <v>62</v>
      </c>
      <c r="V147" s="3" t="s">
        <v>62</v>
      </c>
      <c r="W147" s="3" t="s">
        <v>62</v>
      </c>
      <c r="X147" s="3" t="s">
        <v>62</v>
      </c>
      <c r="Y147" s="3" t="s">
        <v>62</v>
      </c>
      <c r="Z147" s="3" t="s">
        <v>62</v>
      </c>
      <c r="AA147" s="3" t="s">
        <v>62</v>
      </c>
      <c r="AB147" s="3" t="s">
        <v>62</v>
      </c>
      <c r="AC147" s="3" t="s">
        <v>62</v>
      </c>
      <c r="AD147" s="3" t="s">
        <v>62</v>
      </c>
      <c r="AE147" s="3" t="s">
        <v>62</v>
      </c>
      <c r="AF147" s="3" t="s">
        <v>62</v>
      </c>
      <c r="AG147" s="3" t="s">
        <v>62</v>
      </c>
    </row>
    <row r="148" spans="2:33">
      <c r="B148" s="148">
        <v>11</v>
      </c>
      <c r="C148" s="89" t="str">
        <f>LEFT(EmpGName11)&amp;" " &amp;EmpSName11</f>
        <v>2 Odd3</v>
      </c>
      <c r="D148" s="4" t="s">
        <v>62</v>
      </c>
      <c r="E148" s="4" t="s">
        <v>62</v>
      </c>
      <c r="F148" s="4" t="s">
        <v>62</v>
      </c>
      <c r="G148" s="4" t="s">
        <v>62</v>
      </c>
      <c r="H148" s="4" t="s">
        <v>62</v>
      </c>
      <c r="I148" s="4" t="s">
        <v>62</v>
      </c>
      <c r="J148" s="4" t="s">
        <v>62</v>
      </c>
      <c r="K148" s="4" t="s">
        <v>62</v>
      </c>
      <c r="L148" s="4" t="s">
        <v>62</v>
      </c>
      <c r="M148" s="4" t="s">
        <v>62</v>
      </c>
      <c r="N148" s="4" t="s">
        <v>62</v>
      </c>
      <c r="O148" s="4" t="s">
        <v>62</v>
      </c>
      <c r="P148" s="4" t="s">
        <v>62</v>
      </c>
      <c r="Q148" s="4" t="s">
        <v>62</v>
      </c>
      <c r="R148" s="4" t="s">
        <v>62</v>
      </c>
      <c r="S148" s="4" t="s">
        <v>62</v>
      </c>
      <c r="T148" s="4" t="s">
        <v>62</v>
      </c>
      <c r="U148" s="4" t="s">
        <v>62</v>
      </c>
      <c r="V148" s="4" t="s">
        <v>62</v>
      </c>
      <c r="W148" s="4" t="s">
        <v>62</v>
      </c>
      <c r="X148" s="4" t="s">
        <v>62</v>
      </c>
      <c r="Y148" s="4" t="s">
        <v>62</v>
      </c>
      <c r="Z148" s="4" t="s">
        <v>62</v>
      </c>
      <c r="AA148" s="4" t="s">
        <v>62</v>
      </c>
      <c r="AB148" s="4" t="s">
        <v>62</v>
      </c>
      <c r="AC148" s="4" t="s">
        <v>62</v>
      </c>
      <c r="AD148" s="4" t="s">
        <v>62</v>
      </c>
      <c r="AE148" s="4" t="s">
        <v>62</v>
      </c>
      <c r="AF148" s="4" t="s">
        <v>62</v>
      </c>
      <c r="AG148" s="4" t="s">
        <v>62</v>
      </c>
    </row>
    <row r="149" spans="2:33">
      <c r="B149" s="148">
        <v>12</v>
      </c>
      <c r="C149" s="90" t="str">
        <f>LEFT(EmpGName12)&amp;" " &amp;EmpSName12</f>
        <v>4 Odd4</v>
      </c>
      <c r="D149" s="3" t="s">
        <v>62</v>
      </c>
      <c r="E149" s="3" t="s">
        <v>62</v>
      </c>
      <c r="F149" s="3" t="s">
        <v>62</v>
      </c>
      <c r="G149" s="3" t="s">
        <v>62</v>
      </c>
      <c r="H149" s="3" t="s">
        <v>62</v>
      </c>
      <c r="I149" s="3" t="s">
        <v>62</v>
      </c>
      <c r="J149" s="3" t="s">
        <v>62</v>
      </c>
      <c r="K149" s="3" t="s">
        <v>62</v>
      </c>
      <c r="L149" s="3" t="s">
        <v>62</v>
      </c>
      <c r="M149" s="3" t="s">
        <v>62</v>
      </c>
      <c r="N149" s="3" t="s">
        <v>62</v>
      </c>
      <c r="O149" s="3" t="s">
        <v>62</v>
      </c>
      <c r="P149" s="3" t="s">
        <v>62</v>
      </c>
      <c r="Q149" s="3" t="s">
        <v>62</v>
      </c>
      <c r="R149" s="3" t="s">
        <v>62</v>
      </c>
      <c r="S149" s="3" t="s">
        <v>62</v>
      </c>
      <c r="T149" s="3" t="s">
        <v>62</v>
      </c>
      <c r="U149" s="3" t="s">
        <v>62</v>
      </c>
      <c r="V149" s="3" t="s">
        <v>62</v>
      </c>
      <c r="W149" s="3" t="s">
        <v>62</v>
      </c>
      <c r="X149" s="3" t="s">
        <v>62</v>
      </c>
      <c r="Y149" s="3" t="s">
        <v>62</v>
      </c>
      <c r="Z149" s="3" t="s">
        <v>62</v>
      </c>
      <c r="AA149" s="3" t="s">
        <v>62</v>
      </c>
      <c r="AB149" s="3" t="s">
        <v>62</v>
      </c>
      <c r="AC149" s="3" t="s">
        <v>62</v>
      </c>
      <c r="AD149" s="3" t="s">
        <v>62</v>
      </c>
      <c r="AE149" s="3" t="s">
        <v>62</v>
      </c>
      <c r="AF149" s="3" t="s">
        <v>62</v>
      </c>
      <c r="AG149" s="3" t="s">
        <v>62</v>
      </c>
    </row>
    <row r="150" spans="2:33">
      <c r="B150" s="148">
        <v>13</v>
      </c>
      <c r="C150" s="89" t="str">
        <f>LEFT(EmpGName13)&amp;" " &amp;EmpSName13</f>
        <v>A Odd5</v>
      </c>
      <c r="D150" s="4" t="s">
        <v>62</v>
      </c>
      <c r="E150" s="4" t="s">
        <v>62</v>
      </c>
      <c r="F150" s="4" t="s">
        <v>62</v>
      </c>
      <c r="G150" s="4" t="s">
        <v>62</v>
      </c>
      <c r="H150" s="4" t="s">
        <v>62</v>
      </c>
      <c r="I150" s="4" t="s">
        <v>62</v>
      </c>
      <c r="J150" s="4" t="s">
        <v>62</v>
      </c>
      <c r="K150" s="4" t="s">
        <v>62</v>
      </c>
      <c r="L150" s="4" t="s">
        <v>62</v>
      </c>
      <c r="M150" s="4" t="s">
        <v>62</v>
      </c>
      <c r="N150" s="4" t="s">
        <v>62</v>
      </c>
      <c r="O150" s="4" t="s">
        <v>62</v>
      </c>
      <c r="P150" s="4" t="s">
        <v>62</v>
      </c>
      <c r="Q150" s="4" t="s">
        <v>62</v>
      </c>
      <c r="R150" s="4" t="s">
        <v>62</v>
      </c>
      <c r="S150" s="4" t="s">
        <v>62</v>
      </c>
      <c r="T150" s="4" t="s">
        <v>62</v>
      </c>
      <c r="U150" s="4" t="s">
        <v>62</v>
      </c>
      <c r="V150" s="4" t="s">
        <v>62</v>
      </c>
      <c r="W150" s="4" t="s">
        <v>62</v>
      </c>
      <c r="X150" s="4" t="s">
        <v>62</v>
      </c>
      <c r="Y150" s="4" t="s">
        <v>62</v>
      </c>
      <c r="Z150" s="4" t="s">
        <v>62</v>
      </c>
      <c r="AA150" s="4" t="s">
        <v>62</v>
      </c>
      <c r="AB150" s="4" t="s">
        <v>62</v>
      </c>
      <c r="AC150" s="4" t="s">
        <v>62</v>
      </c>
      <c r="AD150" s="4" t="s">
        <v>62</v>
      </c>
      <c r="AE150" s="4" t="s">
        <v>62</v>
      </c>
      <c r="AF150" s="4" t="s">
        <v>62</v>
      </c>
      <c r="AG150" s="4" t="s">
        <v>62</v>
      </c>
    </row>
    <row r="151" spans="2:33">
      <c r="B151" s="148">
        <v>14</v>
      </c>
      <c r="C151" s="90" t="str">
        <f>LEFT(EmpGName14)&amp;" " &amp;EmpSName14</f>
        <v>B Odd6</v>
      </c>
      <c r="D151" s="3" t="s">
        <v>62</v>
      </c>
      <c r="E151" s="3" t="s">
        <v>62</v>
      </c>
      <c r="F151" s="3" t="s">
        <v>62</v>
      </c>
      <c r="G151" s="3" t="s">
        <v>62</v>
      </c>
      <c r="H151" s="3" t="s">
        <v>62</v>
      </c>
      <c r="I151" s="3" t="s">
        <v>62</v>
      </c>
      <c r="J151" s="3" t="s">
        <v>62</v>
      </c>
      <c r="K151" s="3" t="s">
        <v>62</v>
      </c>
      <c r="L151" s="3" t="s">
        <v>62</v>
      </c>
      <c r="M151" s="3" t="s">
        <v>62</v>
      </c>
      <c r="N151" s="3" t="s">
        <v>62</v>
      </c>
      <c r="O151" s="3" t="s">
        <v>62</v>
      </c>
      <c r="P151" s="3" t="s">
        <v>62</v>
      </c>
      <c r="Q151" s="3" t="s">
        <v>62</v>
      </c>
      <c r="R151" s="3" t="s">
        <v>62</v>
      </c>
      <c r="S151" s="3" t="s">
        <v>62</v>
      </c>
      <c r="T151" s="3" t="s">
        <v>62</v>
      </c>
      <c r="U151" s="3" t="s">
        <v>62</v>
      </c>
      <c r="V151" s="3" t="s">
        <v>62</v>
      </c>
      <c r="W151" s="3" t="s">
        <v>62</v>
      </c>
      <c r="X151" s="3" t="s">
        <v>62</v>
      </c>
      <c r="Y151" s="3" t="s">
        <v>62</v>
      </c>
      <c r="Z151" s="3" t="s">
        <v>62</v>
      </c>
      <c r="AA151" s="3" t="s">
        <v>62</v>
      </c>
      <c r="AB151" s="3" t="s">
        <v>62</v>
      </c>
      <c r="AC151" s="3" t="s">
        <v>62</v>
      </c>
      <c r="AD151" s="3" t="s">
        <v>62</v>
      </c>
      <c r="AE151" s="3" t="s">
        <v>62</v>
      </c>
      <c r="AF151" s="3" t="s">
        <v>62</v>
      </c>
      <c r="AG151" s="3" t="s">
        <v>62</v>
      </c>
    </row>
    <row r="152" spans="2:33">
      <c r="B152" s="148">
        <v>15</v>
      </c>
      <c r="C152" s="89" t="str">
        <f>LEFT(EmpGName15)&amp;" " &amp;EmpSName15</f>
        <v>C Odd7</v>
      </c>
      <c r="D152" s="4" t="s">
        <v>62</v>
      </c>
      <c r="E152" s="4" t="s">
        <v>62</v>
      </c>
      <c r="F152" s="4" t="s">
        <v>62</v>
      </c>
      <c r="G152" s="4" t="s">
        <v>62</v>
      </c>
      <c r="H152" s="4" t="s">
        <v>62</v>
      </c>
      <c r="I152" s="4" t="s">
        <v>62</v>
      </c>
      <c r="J152" s="4" t="s">
        <v>62</v>
      </c>
      <c r="K152" s="4" t="s">
        <v>62</v>
      </c>
      <c r="L152" s="4" t="s">
        <v>62</v>
      </c>
      <c r="M152" s="4" t="s">
        <v>62</v>
      </c>
      <c r="N152" s="4" t="s">
        <v>62</v>
      </c>
      <c r="O152" s="4" t="s">
        <v>62</v>
      </c>
      <c r="P152" s="4" t="s">
        <v>62</v>
      </c>
      <c r="Q152" s="4" t="s">
        <v>62</v>
      </c>
      <c r="R152" s="4" t="s">
        <v>62</v>
      </c>
      <c r="S152" s="4" t="s">
        <v>62</v>
      </c>
      <c r="T152" s="4" t="s">
        <v>62</v>
      </c>
      <c r="U152" s="4" t="s">
        <v>62</v>
      </c>
      <c r="V152" s="4" t="s">
        <v>62</v>
      </c>
      <c r="W152" s="4" t="s">
        <v>62</v>
      </c>
      <c r="X152" s="4" t="s">
        <v>62</v>
      </c>
      <c r="Y152" s="4" t="s">
        <v>62</v>
      </c>
      <c r="Z152" s="4" t="s">
        <v>62</v>
      </c>
      <c r="AA152" s="4" t="s">
        <v>62</v>
      </c>
      <c r="AB152" s="4" t="s">
        <v>62</v>
      </c>
      <c r="AC152" s="4" t="s">
        <v>62</v>
      </c>
      <c r="AD152" s="4" t="s">
        <v>62</v>
      </c>
      <c r="AE152" s="4" t="s">
        <v>62</v>
      </c>
      <c r="AF152" s="4" t="s">
        <v>62</v>
      </c>
      <c r="AG152" s="4" t="s">
        <v>62</v>
      </c>
    </row>
    <row r="153" spans="2:33">
      <c r="B153" s="148">
        <v>16</v>
      </c>
      <c r="C153" s="90" t="str">
        <f>LEFT(EmpGName16)&amp;" " &amp;EmpSName16</f>
        <v>D Odd8</v>
      </c>
      <c r="D153" s="3" t="s">
        <v>62</v>
      </c>
      <c r="E153" s="3" t="s">
        <v>62</v>
      </c>
      <c r="F153" s="3" t="s">
        <v>62</v>
      </c>
      <c r="G153" s="3" t="s">
        <v>62</v>
      </c>
      <c r="H153" s="3" t="s">
        <v>62</v>
      </c>
      <c r="I153" s="3" t="s">
        <v>62</v>
      </c>
      <c r="J153" s="3" t="s">
        <v>62</v>
      </c>
      <c r="K153" s="3" t="s">
        <v>62</v>
      </c>
      <c r="L153" s="3" t="s">
        <v>62</v>
      </c>
      <c r="M153" s="3" t="s">
        <v>62</v>
      </c>
      <c r="N153" s="3" t="s">
        <v>62</v>
      </c>
      <c r="O153" s="3" t="s">
        <v>62</v>
      </c>
      <c r="P153" s="3" t="s">
        <v>62</v>
      </c>
      <c r="Q153" s="3" t="s">
        <v>62</v>
      </c>
      <c r="R153" s="3" t="s">
        <v>62</v>
      </c>
      <c r="S153" s="3" t="s">
        <v>62</v>
      </c>
      <c r="T153" s="3" t="s">
        <v>62</v>
      </c>
      <c r="U153" s="3" t="s">
        <v>62</v>
      </c>
      <c r="V153" s="3" t="s">
        <v>62</v>
      </c>
      <c r="W153" s="3" t="s">
        <v>62</v>
      </c>
      <c r="X153" s="3" t="s">
        <v>62</v>
      </c>
      <c r="Y153" s="3" t="s">
        <v>62</v>
      </c>
      <c r="Z153" s="3" t="s">
        <v>62</v>
      </c>
      <c r="AA153" s="3" t="s">
        <v>62</v>
      </c>
      <c r="AB153" s="3" t="s">
        <v>62</v>
      </c>
      <c r="AC153" s="3" t="s">
        <v>62</v>
      </c>
      <c r="AD153" s="3" t="s">
        <v>62</v>
      </c>
      <c r="AE153" s="3" t="s">
        <v>62</v>
      </c>
      <c r="AF153" s="3" t="s">
        <v>62</v>
      </c>
      <c r="AG153" s="3" t="s">
        <v>62</v>
      </c>
    </row>
    <row r="154" spans="2:33">
      <c r="B154" s="148">
        <v>17</v>
      </c>
      <c r="C154" s="89" t="str">
        <f>LEFT(EmpGName17)&amp;" " &amp;EmpSName17</f>
        <v>E Odd9</v>
      </c>
      <c r="D154" s="4" t="s">
        <v>62</v>
      </c>
      <c r="E154" s="4" t="s">
        <v>62</v>
      </c>
      <c r="F154" s="4" t="s">
        <v>62</v>
      </c>
      <c r="G154" s="4" t="s">
        <v>62</v>
      </c>
      <c r="H154" s="4" t="s">
        <v>62</v>
      </c>
      <c r="I154" s="4" t="s">
        <v>62</v>
      </c>
      <c r="J154" s="4" t="s">
        <v>62</v>
      </c>
      <c r="K154" s="4" t="s">
        <v>62</v>
      </c>
      <c r="L154" s="4" t="s">
        <v>62</v>
      </c>
      <c r="M154" s="4" t="s">
        <v>62</v>
      </c>
      <c r="N154" s="4" t="s">
        <v>62</v>
      </c>
      <c r="O154" s="4" t="s">
        <v>62</v>
      </c>
      <c r="P154" s="4" t="s">
        <v>62</v>
      </c>
      <c r="Q154" s="4" t="s">
        <v>62</v>
      </c>
      <c r="R154" s="4" t="s">
        <v>62</v>
      </c>
      <c r="S154" s="4" t="s">
        <v>62</v>
      </c>
      <c r="T154" s="4" t="s">
        <v>62</v>
      </c>
      <c r="U154" s="4" t="s">
        <v>62</v>
      </c>
      <c r="V154" s="4" t="s">
        <v>62</v>
      </c>
      <c r="W154" s="4" t="s">
        <v>62</v>
      </c>
      <c r="X154" s="4" t="s">
        <v>62</v>
      </c>
      <c r="Y154" s="4" t="s">
        <v>62</v>
      </c>
      <c r="Z154" s="4" t="s">
        <v>62</v>
      </c>
      <c r="AA154" s="4" t="s">
        <v>62</v>
      </c>
      <c r="AB154" s="4" t="s">
        <v>62</v>
      </c>
      <c r="AC154" s="4" t="s">
        <v>62</v>
      </c>
      <c r="AD154" s="4" t="s">
        <v>62</v>
      </c>
      <c r="AE154" s="4" t="s">
        <v>62</v>
      </c>
      <c r="AF154" s="4" t="s">
        <v>62</v>
      </c>
      <c r="AG154" s="4" t="s">
        <v>62</v>
      </c>
    </row>
    <row r="155" spans="2:33">
      <c r="B155" s="148">
        <v>18</v>
      </c>
      <c r="C155" s="90" t="str">
        <f>LEFT(EmpGName18)&amp;" " &amp;EmpSName18</f>
        <v>F Odd10</v>
      </c>
      <c r="D155" s="3" t="s">
        <v>62</v>
      </c>
      <c r="E155" s="3" t="s">
        <v>62</v>
      </c>
      <c r="F155" s="3" t="s">
        <v>62</v>
      </c>
      <c r="G155" s="3" t="s">
        <v>62</v>
      </c>
      <c r="H155" s="3" t="s">
        <v>62</v>
      </c>
      <c r="I155" s="3" t="s">
        <v>62</v>
      </c>
      <c r="J155" s="3" t="s">
        <v>62</v>
      </c>
      <c r="K155" s="3" t="s">
        <v>62</v>
      </c>
      <c r="L155" s="3" t="s">
        <v>62</v>
      </c>
      <c r="M155" s="3" t="s">
        <v>62</v>
      </c>
      <c r="N155" s="3" t="s">
        <v>62</v>
      </c>
      <c r="O155" s="3" t="s">
        <v>62</v>
      </c>
      <c r="P155" s="3" t="s">
        <v>62</v>
      </c>
      <c r="Q155" s="3" t="s">
        <v>62</v>
      </c>
      <c r="R155" s="3" t="s">
        <v>62</v>
      </c>
      <c r="S155" s="3" t="s">
        <v>62</v>
      </c>
      <c r="T155" s="3" t="s">
        <v>62</v>
      </c>
      <c r="U155" s="3" t="s">
        <v>62</v>
      </c>
      <c r="V155" s="3" t="s">
        <v>62</v>
      </c>
      <c r="W155" s="3" t="s">
        <v>62</v>
      </c>
      <c r="X155" s="3" t="s">
        <v>62</v>
      </c>
      <c r="Y155" s="3" t="s">
        <v>62</v>
      </c>
      <c r="Z155" s="3" t="s">
        <v>62</v>
      </c>
      <c r="AA155" s="3" t="s">
        <v>62</v>
      </c>
      <c r="AB155" s="3" t="s">
        <v>62</v>
      </c>
      <c r="AC155" s="3" t="s">
        <v>62</v>
      </c>
      <c r="AD155" s="3" t="s">
        <v>62</v>
      </c>
      <c r="AE155" s="3" t="s">
        <v>62</v>
      </c>
      <c r="AF155" s="3" t="s">
        <v>62</v>
      </c>
      <c r="AG155" s="3" t="s">
        <v>62</v>
      </c>
    </row>
    <row r="156" spans="2:33">
      <c r="B156" s="148">
        <v>19</v>
      </c>
      <c r="C156" s="89" t="str">
        <f>LEFT(EmpGName19)&amp;" " &amp;EmpSName19</f>
        <v>G Odd11</v>
      </c>
      <c r="D156" s="4" t="s">
        <v>62</v>
      </c>
      <c r="E156" s="4" t="s">
        <v>62</v>
      </c>
      <c r="F156" s="4" t="s">
        <v>62</v>
      </c>
      <c r="G156" s="4" t="s">
        <v>62</v>
      </c>
      <c r="H156" s="4" t="s">
        <v>62</v>
      </c>
      <c r="I156" s="4" t="s">
        <v>62</v>
      </c>
      <c r="J156" s="4" t="s">
        <v>62</v>
      </c>
      <c r="K156" s="4" t="s">
        <v>62</v>
      </c>
      <c r="L156" s="4" t="s">
        <v>62</v>
      </c>
      <c r="M156" s="4" t="s">
        <v>62</v>
      </c>
      <c r="N156" s="4" t="s">
        <v>62</v>
      </c>
      <c r="O156" s="4" t="s">
        <v>62</v>
      </c>
      <c r="P156" s="4" t="s">
        <v>62</v>
      </c>
      <c r="Q156" s="4" t="s">
        <v>62</v>
      </c>
      <c r="R156" s="4" t="s">
        <v>62</v>
      </c>
      <c r="S156" s="4" t="s">
        <v>62</v>
      </c>
      <c r="T156" s="4" t="s">
        <v>62</v>
      </c>
      <c r="U156" s="4" t="s">
        <v>62</v>
      </c>
      <c r="V156" s="4" t="s">
        <v>62</v>
      </c>
      <c r="W156" s="4" t="s">
        <v>62</v>
      </c>
      <c r="X156" s="4" t="s">
        <v>62</v>
      </c>
      <c r="Y156" s="4" t="s">
        <v>62</v>
      </c>
      <c r="Z156" s="4" t="s">
        <v>62</v>
      </c>
      <c r="AA156" s="4" t="s">
        <v>62</v>
      </c>
      <c r="AB156" s="4" t="s">
        <v>62</v>
      </c>
      <c r="AC156" s="4" t="s">
        <v>62</v>
      </c>
      <c r="AD156" s="4" t="s">
        <v>62</v>
      </c>
      <c r="AE156" s="4" t="s">
        <v>62</v>
      </c>
      <c r="AF156" s="4" t="s">
        <v>62</v>
      </c>
      <c r="AG156" s="4" t="s">
        <v>62</v>
      </c>
    </row>
    <row r="157" spans="2:33">
      <c r="B157" s="148">
        <v>20</v>
      </c>
      <c r="C157" s="90" t="str">
        <f>LEFT(EmpGName20)&amp;" " &amp;EmpSName20</f>
        <v>H Odd12</v>
      </c>
      <c r="D157" s="3" t="s">
        <v>62</v>
      </c>
      <c r="E157" s="3" t="s">
        <v>62</v>
      </c>
      <c r="F157" s="3" t="s">
        <v>62</v>
      </c>
      <c r="G157" s="3" t="s">
        <v>62</v>
      </c>
      <c r="H157" s="3" t="s">
        <v>62</v>
      </c>
      <c r="I157" s="3" t="s">
        <v>62</v>
      </c>
      <c r="J157" s="3" t="s">
        <v>62</v>
      </c>
      <c r="K157" s="3" t="s">
        <v>62</v>
      </c>
      <c r="L157" s="3" t="s">
        <v>62</v>
      </c>
      <c r="M157" s="3" t="s">
        <v>62</v>
      </c>
      <c r="N157" s="3" t="s">
        <v>62</v>
      </c>
      <c r="O157" s="3" t="s">
        <v>62</v>
      </c>
      <c r="P157" s="3" t="s">
        <v>62</v>
      </c>
      <c r="Q157" s="3" t="s">
        <v>62</v>
      </c>
      <c r="R157" s="3" t="s">
        <v>62</v>
      </c>
      <c r="S157" s="3" t="s">
        <v>62</v>
      </c>
      <c r="T157" s="3" t="s">
        <v>62</v>
      </c>
      <c r="U157" s="3" t="s">
        <v>62</v>
      </c>
      <c r="V157" s="3" t="s">
        <v>62</v>
      </c>
      <c r="W157" s="3" t="s">
        <v>62</v>
      </c>
      <c r="X157" s="3" t="s">
        <v>62</v>
      </c>
      <c r="Y157" s="3" t="s">
        <v>62</v>
      </c>
      <c r="Z157" s="3" t="s">
        <v>62</v>
      </c>
      <c r="AA157" s="3" t="s">
        <v>62</v>
      </c>
      <c r="AB157" s="3" t="s">
        <v>62</v>
      </c>
      <c r="AC157" s="3" t="s">
        <v>62</v>
      </c>
      <c r="AD157" s="3" t="s">
        <v>62</v>
      </c>
      <c r="AE157" s="3" t="s">
        <v>62</v>
      </c>
      <c r="AF157" s="3" t="s">
        <v>62</v>
      </c>
      <c r="AG157" s="3" t="s">
        <v>62</v>
      </c>
    </row>
    <row r="158" spans="2:33">
      <c r="B158" s="148">
        <v>21</v>
      </c>
      <c r="C158" s="89" t="str">
        <f>LEFT(EmpGName21)&amp;" " &amp;EmpSName21</f>
        <v>I Odd13</v>
      </c>
      <c r="D158" s="4" t="s">
        <v>62</v>
      </c>
      <c r="E158" s="4" t="s">
        <v>62</v>
      </c>
      <c r="F158" s="4" t="s">
        <v>62</v>
      </c>
      <c r="G158" s="4" t="s">
        <v>62</v>
      </c>
      <c r="H158" s="4" t="s">
        <v>62</v>
      </c>
      <c r="I158" s="4" t="s">
        <v>62</v>
      </c>
      <c r="J158" s="4" t="s">
        <v>62</v>
      </c>
      <c r="K158" s="4" t="s">
        <v>62</v>
      </c>
      <c r="L158" s="4" t="s">
        <v>62</v>
      </c>
      <c r="M158" s="4" t="s">
        <v>62</v>
      </c>
      <c r="N158" s="4" t="s">
        <v>62</v>
      </c>
      <c r="O158" s="4" t="s">
        <v>62</v>
      </c>
      <c r="P158" s="4" t="s">
        <v>62</v>
      </c>
      <c r="Q158" s="4" t="s">
        <v>62</v>
      </c>
      <c r="R158" s="4" t="s">
        <v>62</v>
      </c>
      <c r="S158" s="4" t="s">
        <v>62</v>
      </c>
      <c r="T158" s="4" t="s">
        <v>62</v>
      </c>
      <c r="U158" s="4" t="s">
        <v>62</v>
      </c>
      <c r="V158" s="4" t="s">
        <v>62</v>
      </c>
      <c r="W158" s="4" t="s">
        <v>62</v>
      </c>
      <c r="X158" s="4" t="s">
        <v>62</v>
      </c>
      <c r="Y158" s="4" t="s">
        <v>62</v>
      </c>
      <c r="Z158" s="4" t="s">
        <v>62</v>
      </c>
      <c r="AA158" s="4" t="s">
        <v>62</v>
      </c>
      <c r="AB158" s="4" t="s">
        <v>62</v>
      </c>
      <c r="AC158" s="4" t="s">
        <v>62</v>
      </c>
      <c r="AD158" s="4" t="s">
        <v>62</v>
      </c>
      <c r="AE158" s="4" t="s">
        <v>62</v>
      </c>
      <c r="AF158" s="4" t="s">
        <v>62</v>
      </c>
      <c r="AG158" s="4" t="s">
        <v>62</v>
      </c>
    </row>
    <row r="159" spans="2:33">
      <c r="B159" s="148">
        <v>22</v>
      </c>
      <c r="C159" s="90" t="str">
        <f>LEFT(EmpGName22)&amp;" " &amp;EmpSName22</f>
        <v>J Odd14</v>
      </c>
      <c r="D159" s="3" t="s">
        <v>62</v>
      </c>
      <c r="E159" s="3" t="s">
        <v>62</v>
      </c>
      <c r="F159" s="3" t="s">
        <v>62</v>
      </c>
      <c r="G159" s="3" t="s">
        <v>62</v>
      </c>
      <c r="H159" s="3" t="s">
        <v>62</v>
      </c>
      <c r="I159" s="3" t="s">
        <v>62</v>
      </c>
      <c r="J159" s="3" t="s">
        <v>62</v>
      </c>
      <c r="K159" s="3" t="s">
        <v>62</v>
      </c>
      <c r="L159" s="3" t="s">
        <v>62</v>
      </c>
      <c r="M159" s="3" t="s">
        <v>62</v>
      </c>
      <c r="N159" s="3" t="s">
        <v>62</v>
      </c>
      <c r="O159" s="3" t="s">
        <v>62</v>
      </c>
      <c r="P159" s="3" t="s">
        <v>62</v>
      </c>
      <c r="Q159" s="3" t="s">
        <v>62</v>
      </c>
      <c r="R159" s="3" t="s">
        <v>62</v>
      </c>
      <c r="S159" s="3" t="s">
        <v>62</v>
      </c>
      <c r="T159" s="3" t="s">
        <v>62</v>
      </c>
      <c r="U159" s="3" t="s">
        <v>62</v>
      </c>
      <c r="V159" s="3" t="s">
        <v>62</v>
      </c>
      <c r="W159" s="3" t="s">
        <v>62</v>
      </c>
      <c r="X159" s="3" t="s">
        <v>62</v>
      </c>
      <c r="Y159" s="3" t="s">
        <v>62</v>
      </c>
      <c r="Z159" s="3" t="s">
        <v>62</v>
      </c>
      <c r="AA159" s="3" t="s">
        <v>62</v>
      </c>
      <c r="AB159" s="3" t="s">
        <v>62</v>
      </c>
      <c r="AC159" s="3" t="s">
        <v>62</v>
      </c>
      <c r="AD159" s="3" t="s">
        <v>62</v>
      </c>
      <c r="AE159" s="3" t="s">
        <v>62</v>
      </c>
      <c r="AF159" s="3" t="s">
        <v>62</v>
      </c>
      <c r="AG159" s="3" t="s">
        <v>62</v>
      </c>
    </row>
    <row r="160" spans="2:33">
      <c r="B160" s="148">
        <v>23</v>
      </c>
      <c r="C160" s="89" t="str">
        <f>LEFT(EmpGName23)&amp;" " &amp;EmpSName23</f>
        <v>K Odd15</v>
      </c>
      <c r="D160" s="4" t="s">
        <v>62</v>
      </c>
      <c r="E160" s="4" t="s">
        <v>62</v>
      </c>
      <c r="F160" s="4" t="s">
        <v>62</v>
      </c>
      <c r="G160" s="4" t="s">
        <v>62</v>
      </c>
      <c r="H160" s="4" t="s">
        <v>62</v>
      </c>
      <c r="I160" s="4" t="s">
        <v>62</v>
      </c>
      <c r="J160" s="4" t="s">
        <v>62</v>
      </c>
      <c r="K160" s="4" t="s">
        <v>62</v>
      </c>
      <c r="L160" s="4" t="s">
        <v>62</v>
      </c>
      <c r="M160" s="4" t="s">
        <v>62</v>
      </c>
      <c r="N160" s="4" t="s">
        <v>62</v>
      </c>
      <c r="O160" s="4" t="s">
        <v>62</v>
      </c>
      <c r="P160" s="4" t="s">
        <v>62</v>
      </c>
      <c r="Q160" s="4" t="s">
        <v>62</v>
      </c>
      <c r="R160" s="4" t="s">
        <v>62</v>
      </c>
      <c r="S160" s="4" t="s">
        <v>62</v>
      </c>
      <c r="T160" s="4" t="s">
        <v>62</v>
      </c>
      <c r="U160" s="4" t="s">
        <v>62</v>
      </c>
      <c r="V160" s="4" t="s">
        <v>62</v>
      </c>
      <c r="W160" s="4" t="s">
        <v>62</v>
      </c>
      <c r="X160" s="4" t="s">
        <v>62</v>
      </c>
      <c r="Y160" s="4" t="s">
        <v>62</v>
      </c>
      <c r="Z160" s="4" t="s">
        <v>62</v>
      </c>
      <c r="AA160" s="4" t="s">
        <v>62</v>
      </c>
      <c r="AB160" s="4" t="s">
        <v>62</v>
      </c>
      <c r="AC160" s="4" t="s">
        <v>62</v>
      </c>
      <c r="AD160" s="4" t="s">
        <v>62</v>
      </c>
      <c r="AE160" s="4" t="s">
        <v>62</v>
      </c>
      <c r="AF160" s="4" t="s">
        <v>62</v>
      </c>
      <c r="AG160" s="4" t="s">
        <v>62</v>
      </c>
    </row>
    <row r="161" spans="2:34">
      <c r="B161" s="148">
        <v>24</v>
      </c>
      <c r="C161" s="90" t="str">
        <f>LEFT(EmpGName24)&amp;" " &amp;EmpSName24</f>
        <v>L Odd16</v>
      </c>
      <c r="D161" s="3" t="s">
        <v>62</v>
      </c>
      <c r="E161" s="3" t="s">
        <v>62</v>
      </c>
      <c r="F161" s="3" t="s">
        <v>62</v>
      </c>
      <c r="G161" s="3" t="s">
        <v>62</v>
      </c>
      <c r="H161" s="3" t="s">
        <v>62</v>
      </c>
      <c r="I161" s="3" t="s">
        <v>62</v>
      </c>
      <c r="J161" s="3" t="s">
        <v>62</v>
      </c>
      <c r="K161" s="3" t="s">
        <v>62</v>
      </c>
      <c r="L161" s="3" t="s">
        <v>62</v>
      </c>
      <c r="M161" s="3" t="s">
        <v>62</v>
      </c>
      <c r="N161" s="3" t="s">
        <v>62</v>
      </c>
      <c r="O161" s="3" t="s">
        <v>62</v>
      </c>
      <c r="P161" s="3" t="s">
        <v>62</v>
      </c>
      <c r="Q161" s="3" t="s">
        <v>62</v>
      </c>
      <c r="R161" s="3" t="s">
        <v>62</v>
      </c>
      <c r="S161" s="3" t="s">
        <v>62</v>
      </c>
      <c r="T161" s="3" t="s">
        <v>62</v>
      </c>
      <c r="U161" s="3" t="s">
        <v>62</v>
      </c>
      <c r="V161" s="3" t="s">
        <v>62</v>
      </c>
      <c r="W161" s="3" t="s">
        <v>62</v>
      </c>
      <c r="X161" s="3" t="s">
        <v>62</v>
      </c>
      <c r="Y161" s="3" t="s">
        <v>62</v>
      </c>
      <c r="Z161" s="3" t="s">
        <v>62</v>
      </c>
      <c r="AA161" s="3" t="s">
        <v>62</v>
      </c>
      <c r="AB161" s="3" t="s">
        <v>62</v>
      </c>
      <c r="AC161" s="3" t="s">
        <v>62</v>
      </c>
      <c r="AD161" s="3" t="s">
        <v>62</v>
      </c>
      <c r="AE161" s="3" t="s">
        <v>62</v>
      </c>
      <c r="AF161" s="3" t="s">
        <v>62</v>
      </c>
      <c r="AG161" s="3" t="s">
        <v>62</v>
      </c>
    </row>
    <row r="162" spans="2:34">
      <c r="B162" s="148">
        <v>25</v>
      </c>
      <c r="C162" s="89" t="str">
        <f>LEFT(EmpGName25)&amp;" " &amp;EmpSName25</f>
        <v>M Odd17</v>
      </c>
      <c r="D162" s="4" t="s">
        <v>62</v>
      </c>
      <c r="E162" s="4" t="s">
        <v>62</v>
      </c>
      <c r="F162" s="4" t="s">
        <v>62</v>
      </c>
      <c r="G162" s="4" t="s">
        <v>62</v>
      </c>
      <c r="H162" s="4" t="s">
        <v>62</v>
      </c>
      <c r="I162" s="4" t="s">
        <v>62</v>
      </c>
      <c r="J162" s="4" t="s">
        <v>62</v>
      </c>
      <c r="K162" s="4" t="s">
        <v>62</v>
      </c>
      <c r="L162" s="4" t="s">
        <v>62</v>
      </c>
      <c r="M162" s="4" t="s">
        <v>62</v>
      </c>
      <c r="N162" s="4" t="s">
        <v>62</v>
      </c>
      <c r="O162" s="4" t="s">
        <v>62</v>
      </c>
      <c r="P162" s="4" t="s">
        <v>62</v>
      </c>
      <c r="Q162" s="4" t="s">
        <v>62</v>
      </c>
      <c r="R162" s="4" t="s">
        <v>62</v>
      </c>
      <c r="S162" s="4" t="s">
        <v>62</v>
      </c>
      <c r="T162" s="4" t="s">
        <v>62</v>
      </c>
      <c r="U162" s="4" t="s">
        <v>62</v>
      </c>
      <c r="V162" s="4" t="s">
        <v>62</v>
      </c>
      <c r="W162" s="4" t="s">
        <v>62</v>
      </c>
      <c r="X162" s="4" t="s">
        <v>62</v>
      </c>
      <c r="Y162" s="4" t="s">
        <v>62</v>
      </c>
      <c r="Z162" s="4" t="s">
        <v>62</v>
      </c>
      <c r="AA162" s="4" t="s">
        <v>62</v>
      </c>
      <c r="AB162" s="4" t="s">
        <v>62</v>
      </c>
      <c r="AC162" s="4" t="s">
        <v>62</v>
      </c>
      <c r="AD162" s="4" t="s">
        <v>62</v>
      </c>
      <c r="AE162" s="4" t="s">
        <v>62</v>
      </c>
      <c r="AF162" s="4" t="s">
        <v>62</v>
      </c>
      <c r="AG162" s="4" t="s">
        <v>62</v>
      </c>
    </row>
    <row r="163" spans="2:34">
      <c r="B163" s="148">
        <v>26</v>
      </c>
      <c r="C163" s="90" t="str">
        <f>LEFT(EmpGName26)&amp;" " &amp;EmpSName26</f>
        <v>N Odd18</v>
      </c>
      <c r="D163" s="3" t="s">
        <v>62</v>
      </c>
      <c r="E163" s="3" t="s">
        <v>62</v>
      </c>
      <c r="F163" s="3" t="s">
        <v>62</v>
      </c>
      <c r="G163" s="3" t="s">
        <v>62</v>
      </c>
      <c r="H163" s="3" t="s">
        <v>62</v>
      </c>
      <c r="I163" s="3" t="s">
        <v>62</v>
      </c>
      <c r="J163" s="3" t="s">
        <v>62</v>
      </c>
      <c r="K163" s="3" t="s">
        <v>62</v>
      </c>
      <c r="L163" s="3" t="s">
        <v>62</v>
      </c>
      <c r="M163" s="3" t="s">
        <v>62</v>
      </c>
      <c r="N163" s="3" t="s">
        <v>62</v>
      </c>
      <c r="O163" s="3" t="s">
        <v>62</v>
      </c>
      <c r="P163" s="3" t="s">
        <v>62</v>
      </c>
      <c r="Q163" s="3" t="s">
        <v>62</v>
      </c>
      <c r="R163" s="3" t="s">
        <v>62</v>
      </c>
      <c r="S163" s="3" t="s">
        <v>62</v>
      </c>
      <c r="T163" s="3" t="s">
        <v>62</v>
      </c>
      <c r="U163" s="3" t="s">
        <v>62</v>
      </c>
      <c r="V163" s="3" t="s">
        <v>62</v>
      </c>
      <c r="W163" s="3" t="s">
        <v>62</v>
      </c>
      <c r="X163" s="3" t="s">
        <v>62</v>
      </c>
      <c r="Y163" s="3" t="s">
        <v>62</v>
      </c>
      <c r="Z163" s="3" t="s">
        <v>62</v>
      </c>
      <c r="AA163" s="3" t="s">
        <v>62</v>
      </c>
      <c r="AB163" s="3" t="s">
        <v>62</v>
      </c>
      <c r="AC163" s="3" t="s">
        <v>62</v>
      </c>
      <c r="AD163" s="3" t="s">
        <v>62</v>
      </c>
      <c r="AE163" s="3" t="s">
        <v>62</v>
      </c>
      <c r="AF163" s="3" t="s">
        <v>62</v>
      </c>
      <c r="AG163" s="3" t="s">
        <v>62</v>
      </c>
    </row>
    <row r="164" spans="2:34">
      <c r="B164" s="148">
        <v>27</v>
      </c>
      <c r="C164" s="89" t="str">
        <f>LEFT(EmpGName27)&amp;" " &amp;EmpSName27</f>
        <v>O Odd19</v>
      </c>
      <c r="D164" s="4" t="s">
        <v>62</v>
      </c>
      <c r="E164" s="4" t="s">
        <v>62</v>
      </c>
      <c r="F164" s="4" t="s">
        <v>62</v>
      </c>
      <c r="G164" s="4" t="s">
        <v>62</v>
      </c>
      <c r="H164" s="4" t="s">
        <v>62</v>
      </c>
      <c r="I164" s="4" t="s">
        <v>62</v>
      </c>
      <c r="J164" s="4" t="s">
        <v>62</v>
      </c>
      <c r="K164" s="4" t="s">
        <v>62</v>
      </c>
      <c r="L164" s="4" t="s">
        <v>62</v>
      </c>
      <c r="M164" s="4" t="s">
        <v>62</v>
      </c>
      <c r="N164" s="4" t="s">
        <v>62</v>
      </c>
      <c r="O164" s="4" t="s">
        <v>62</v>
      </c>
      <c r="P164" s="4" t="s">
        <v>62</v>
      </c>
      <c r="Q164" s="4" t="s">
        <v>62</v>
      </c>
      <c r="R164" s="4" t="s">
        <v>62</v>
      </c>
      <c r="S164" s="4" t="s">
        <v>62</v>
      </c>
      <c r="T164" s="4" t="s">
        <v>62</v>
      </c>
      <c r="U164" s="4" t="s">
        <v>62</v>
      </c>
      <c r="V164" s="4" t="s">
        <v>62</v>
      </c>
      <c r="W164" s="4" t="s">
        <v>62</v>
      </c>
      <c r="X164" s="4" t="s">
        <v>62</v>
      </c>
      <c r="Y164" s="4" t="s">
        <v>62</v>
      </c>
      <c r="Z164" s="4" t="s">
        <v>62</v>
      </c>
      <c r="AA164" s="4" t="s">
        <v>62</v>
      </c>
      <c r="AB164" s="4" t="s">
        <v>62</v>
      </c>
      <c r="AC164" s="4" t="s">
        <v>62</v>
      </c>
      <c r="AD164" s="4" t="s">
        <v>62</v>
      </c>
      <c r="AE164" s="4" t="s">
        <v>62</v>
      </c>
      <c r="AF164" s="4" t="s">
        <v>62</v>
      </c>
      <c r="AG164" s="4" t="s">
        <v>62</v>
      </c>
    </row>
    <row r="165" spans="2:34">
      <c r="B165" s="196">
        <v>28</v>
      </c>
      <c r="C165" s="197" t="str">
        <f>LEFT(EmpGName28)&amp;" " &amp;EmpSName28</f>
        <v>P Odd20</v>
      </c>
      <c r="D165" s="198" t="s">
        <v>62</v>
      </c>
      <c r="E165" s="198" t="s">
        <v>62</v>
      </c>
      <c r="F165" s="198" t="s">
        <v>62</v>
      </c>
      <c r="G165" s="198" t="s">
        <v>62</v>
      </c>
      <c r="H165" s="198" t="s">
        <v>62</v>
      </c>
      <c r="I165" s="198" t="s">
        <v>62</v>
      </c>
      <c r="J165" s="198" t="s">
        <v>62</v>
      </c>
      <c r="K165" s="198" t="s">
        <v>62</v>
      </c>
      <c r="L165" s="198" t="s">
        <v>62</v>
      </c>
      <c r="M165" s="198" t="s">
        <v>62</v>
      </c>
      <c r="N165" s="198" t="s">
        <v>62</v>
      </c>
      <c r="O165" s="198" t="s">
        <v>62</v>
      </c>
      <c r="P165" s="198" t="s">
        <v>62</v>
      </c>
      <c r="Q165" s="198" t="s">
        <v>62</v>
      </c>
      <c r="R165" s="198" t="s">
        <v>62</v>
      </c>
      <c r="S165" s="198" t="s">
        <v>62</v>
      </c>
      <c r="T165" s="198" t="s">
        <v>62</v>
      </c>
      <c r="U165" s="198" t="s">
        <v>62</v>
      </c>
      <c r="V165" s="198" t="s">
        <v>62</v>
      </c>
      <c r="W165" s="198" t="s">
        <v>62</v>
      </c>
      <c r="X165" s="198" t="s">
        <v>62</v>
      </c>
      <c r="Y165" s="198" t="s">
        <v>62</v>
      </c>
      <c r="Z165" s="198" t="s">
        <v>62</v>
      </c>
      <c r="AA165" s="198" t="s">
        <v>62</v>
      </c>
      <c r="AB165" s="198" t="s">
        <v>62</v>
      </c>
      <c r="AC165" s="198" t="s">
        <v>62</v>
      </c>
      <c r="AD165" s="198" t="s">
        <v>62</v>
      </c>
      <c r="AE165" s="198" t="s">
        <v>62</v>
      </c>
      <c r="AF165" s="198" t="s">
        <v>62</v>
      </c>
      <c r="AG165" s="198" t="s">
        <v>62</v>
      </c>
    </row>
    <row r="166" spans="2:34" s="2" customFormat="1">
      <c r="B166" s="199"/>
      <c r="C166" s="200"/>
      <c r="D166" s="201"/>
      <c r="E166" s="201"/>
      <c r="F166" s="201"/>
      <c r="G166" s="201"/>
      <c r="H166" s="201"/>
      <c r="I166" s="201"/>
      <c r="J166" s="201"/>
      <c r="K166" s="201"/>
      <c r="L166" s="201"/>
      <c r="M166" s="201"/>
      <c r="N166" s="201"/>
      <c r="O166" s="201"/>
      <c r="P166" s="201"/>
      <c r="Q166" s="201"/>
      <c r="R166" s="201"/>
      <c r="S166" s="201"/>
      <c r="T166" s="201"/>
      <c r="U166" s="201"/>
      <c r="V166" s="201"/>
      <c r="W166" s="201"/>
      <c r="X166" s="201"/>
      <c r="Y166" s="201"/>
      <c r="Z166" s="201"/>
      <c r="AA166" s="201"/>
      <c r="AB166" s="201"/>
      <c r="AC166" s="201"/>
      <c r="AD166" s="201"/>
      <c r="AE166" s="201"/>
      <c r="AF166" s="201"/>
      <c r="AG166" s="201"/>
    </row>
    <row r="167" spans="2:34">
      <c r="C167" t="str">
        <f>CurYear-1&amp;":"</f>
        <v>2018:</v>
      </c>
      <c r="D167" s="5" t="str">
        <f t="shared" ref="D167:AG167" si="5">LEFT(TEXT(D168&amp;"-"&amp;$C168&amp;"-"&amp; CurYear-1,"ddd"),2)</f>
        <v>Sa</v>
      </c>
      <c r="E167" s="5" t="str">
        <f t="shared" si="5"/>
        <v>Su</v>
      </c>
      <c r="F167" s="5" t="str">
        <f t="shared" si="5"/>
        <v>Mo</v>
      </c>
      <c r="G167" s="5" t="str">
        <f t="shared" si="5"/>
        <v>Tu</v>
      </c>
      <c r="H167" s="5" t="str">
        <f t="shared" si="5"/>
        <v>We</v>
      </c>
      <c r="I167" s="5" t="str">
        <f t="shared" si="5"/>
        <v>Th</v>
      </c>
      <c r="J167" s="5" t="str">
        <f t="shared" si="5"/>
        <v>Fr</v>
      </c>
      <c r="K167" s="5" t="str">
        <f t="shared" si="5"/>
        <v>Sa</v>
      </c>
      <c r="L167" s="5" t="str">
        <f t="shared" si="5"/>
        <v>Su</v>
      </c>
      <c r="M167" s="5" t="str">
        <f t="shared" si="5"/>
        <v>Mo</v>
      </c>
      <c r="N167" s="5" t="str">
        <f t="shared" si="5"/>
        <v>Tu</v>
      </c>
      <c r="O167" s="5" t="str">
        <f t="shared" si="5"/>
        <v>We</v>
      </c>
      <c r="P167" s="5" t="str">
        <f t="shared" si="5"/>
        <v>Th</v>
      </c>
      <c r="Q167" s="5" t="str">
        <f t="shared" si="5"/>
        <v>Fr</v>
      </c>
      <c r="R167" s="5" t="str">
        <f t="shared" si="5"/>
        <v>Sa</v>
      </c>
      <c r="S167" s="5" t="str">
        <f t="shared" si="5"/>
        <v>Su</v>
      </c>
      <c r="T167" s="5" t="str">
        <f t="shared" si="5"/>
        <v>Mo</v>
      </c>
      <c r="U167" s="5" t="str">
        <f t="shared" si="5"/>
        <v>Tu</v>
      </c>
      <c r="V167" s="5" t="str">
        <f t="shared" si="5"/>
        <v>We</v>
      </c>
      <c r="W167" s="5" t="str">
        <f t="shared" si="5"/>
        <v>Th</v>
      </c>
      <c r="X167" s="5" t="str">
        <f t="shared" si="5"/>
        <v>Fr</v>
      </c>
      <c r="Y167" s="5" t="str">
        <f t="shared" si="5"/>
        <v>Sa</v>
      </c>
      <c r="Z167" s="5" t="str">
        <f t="shared" si="5"/>
        <v>Su</v>
      </c>
      <c r="AA167" s="5" t="str">
        <f t="shared" si="5"/>
        <v>Mo</v>
      </c>
      <c r="AB167" s="5" t="str">
        <f t="shared" si="5"/>
        <v>Tu</v>
      </c>
      <c r="AC167" s="5" t="str">
        <f t="shared" si="5"/>
        <v>We</v>
      </c>
      <c r="AD167" s="5" t="str">
        <f t="shared" si="5"/>
        <v>Th</v>
      </c>
      <c r="AE167" s="5" t="str">
        <f t="shared" si="5"/>
        <v>Fr</v>
      </c>
      <c r="AF167" s="5" t="str">
        <f t="shared" si="5"/>
        <v>Sa</v>
      </c>
      <c r="AG167" s="5" t="str">
        <f t="shared" si="5"/>
        <v>Su</v>
      </c>
      <c r="AH167" s="5" t="str">
        <f>LEFT(TEXT(AH168&amp;"-"&amp;$C168&amp;"-"&amp; CurYear-1,"ddd"),2)</f>
        <v>Mo</v>
      </c>
    </row>
    <row r="168" spans="2:34">
      <c r="B168" s="88"/>
      <c r="C168" s="84" t="s">
        <v>23</v>
      </c>
      <c r="D168" s="85">
        <v>1</v>
      </c>
      <c r="E168" s="85">
        <v>2</v>
      </c>
      <c r="F168" s="85">
        <v>3</v>
      </c>
      <c r="G168" s="85">
        <v>4</v>
      </c>
      <c r="H168" s="85">
        <v>5</v>
      </c>
      <c r="I168" s="85">
        <v>6</v>
      </c>
      <c r="J168" s="176">
        <v>7</v>
      </c>
      <c r="K168" s="85">
        <v>8</v>
      </c>
      <c r="L168" s="85">
        <v>9</v>
      </c>
      <c r="M168" s="85">
        <v>10</v>
      </c>
      <c r="N168" s="85">
        <v>11</v>
      </c>
      <c r="O168" s="85">
        <v>12</v>
      </c>
      <c r="P168" s="85">
        <v>13</v>
      </c>
      <c r="Q168" s="85">
        <v>14</v>
      </c>
      <c r="R168" s="85">
        <v>15</v>
      </c>
      <c r="S168" s="85">
        <v>16</v>
      </c>
      <c r="T168" s="85">
        <v>17</v>
      </c>
      <c r="U168" s="85">
        <v>18</v>
      </c>
      <c r="V168" s="85">
        <v>19</v>
      </c>
      <c r="W168" s="85">
        <v>20</v>
      </c>
      <c r="X168" s="176">
        <v>21</v>
      </c>
      <c r="Y168" s="85">
        <v>22</v>
      </c>
      <c r="Z168" s="85">
        <v>23</v>
      </c>
      <c r="AA168" s="85">
        <v>24</v>
      </c>
      <c r="AB168" s="85">
        <v>25</v>
      </c>
      <c r="AC168" s="85">
        <v>26</v>
      </c>
      <c r="AD168" s="85">
        <v>27</v>
      </c>
      <c r="AE168" s="85">
        <v>28</v>
      </c>
      <c r="AF168" s="85">
        <v>29</v>
      </c>
      <c r="AG168" s="85">
        <v>30</v>
      </c>
      <c r="AH168" s="85">
        <v>31</v>
      </c>
    </row>
    <row r="169" spans="2:34">
      <c r="B169" s="85">
        <v>1</v>
      </c>
      <c r="C169" s="89" t="str">
        <f>LEFT(EmpGName01)&amp;" " &amp; EmpSName01</f>
        <v>L Marampon</v>
      </c>
      <c r="D169" s="4" t="s">
        <v>62</v>
      </c>
      <c r="E169" s="4" t="s">
        <v>62</v>
      </c>
      <c r="F169" s="4" t="s">
        <v>62</v>
      </c>
      <c r="G169" s="4" t="s">
        <v>62</v>
      </c>
      <c r="H169" s="4" t="s">
        <v>62</v>
      </c>
      <c r="I169" s="4" t="s">
        <v>62</v>
      </c>
      <c r="J169" s="4" t="s">
        <v>62</v>
      </c>
      <c r="K169" s="4" t="s">
        <v>62</v>
      </c>
      <c r="L169" s="4" t="s">
        <v>62</v>
      </c>
      <c r="M169" s="4" t="s">
        <v>62</v>
      </c>
      <c r="N169" s="4" t="s">
        <v>62</v>
      </c>
      <c r="O169" s="4" t="s">
        <v>62</v>
      </c>
      <c r="P169" s="4" t="s">
        <v>62</v>
      </c>
      <c r="Q169" s="4" t="s">
        <v>62</v>
      </c>
      <c r="R169" s="4" t="s">
        <v>62</v>
      </c>
      <c r="S169" s="4" t="s">
        <v>62</v>
      </c>
      <c r="T169" s="4" t="s">
        <v>62</v>
      </c>
      <c r="U169" s="4" t="s">
        <v>62</v>
      </c>
      <c r="V169" s="4" t="s">
        <v>62</v>
      </c>
      <c r="W169" s="4" t="s">
        <v>62</v>
      </c>
      <c r="X169" s="4" t="s">
        <v>62</v>
      </c>
      <c r="Y169" s="4" t="s">
        <v>62</v>
      </c>
      <c r="Z169" s="4" t="s">
        <v>62</v>
      </c>
      <c r="AA169" s="4" t="s">
        <v>62</v>
      </c>
      <c r="AB169" s="4" t="s">
        <v>62</v>
      </c>
      <c r="AC169" s="4" t="s">
        <v>62</v>
      </c>
      <c r="AD169" s="4" t="s">
        <v>62</v>
      </c>
      <c r="AE169" s="4" t="s">
        <v>62</v>
      </c>
      <c r="AF169" s="4" t="s">
        <v>62</v>
      </c>
      <c r="AG169" s="4" t="s">
        <v>62</v>
      </c>
      <c r="AH169" s="4" t="s">
        <v>62</v>
      </c>
    </row>
    <row r="170" spans="2:34">
      <c r="B170" s="85">
        <v>2</v>
      </c>
      <c r="C170" s="90" t="str">
        <f>LEFT(EmpGName02)&amp;" " &amp;EmpSName02</f>
        <v>K Stone</v>
      </c>
      <c r="D170" s="3" t="s">
        <v>62</v>
      </c>
      <c r="E170" s="3" t="s">
        <v>62</v>
      </c>
      <c r="F170" s="3" t="s">
        <v>62</v>
      </c>
      <c r="G170" s="3" t="s">
        <v>62</v>
      </c>
      <c r="H170" s="3" t="s">
        <v>62</v>
      </c>
      <c r="I170" s="3" t="s">
        <v>62</v>
      </c>
      <c r="J170" s="3" t="s">
        <v>62</v>
      </c>
      <c r="K170" s="3" t="s">
        <v>62</v>
      </c>
      <c r="L170" s="3" t="s">
        <v>62</v>
      </c>
      <c r="M170" s="3" t="s">
        <v>62</v>
      </c>
      <c r="N170" s="3" t="s">
        <v>62</v>
      </c>
      <c r="O170" s="3" t="s">
        <v>62</v>
      </c>
      <c r="P170" s="3" t="s">
        <v>62</v>
      </c>
      <c r="Q170" s="3" t="s">
        <v>62</v>
      </c>
      <c r="R170" s="3" t="s">
        <v>62</v>
      </c>
      <c r="S170" s="3" t="s">
        <v>62</v>
      </c>
      <c r="T170" s="3" t="s">
        <v>62</v>
      </c>
      <c r="U170" s="3" t="s">
        <v>62</v>
      </c>
      <c r="V170" s="3" t="s">
        <v>62</v>
      </c>
      <c r="W170" s="3" t="s">
        <v>62</v>
      </c>
      <c r="X170" s="3" t="s">
        <v>62</v>
      </c>
      <c r="Y170" s="3" t="s">
        <v>62</v>
      </c>
      <c r="Z170" s="3" t="s">
        <v>62</v>
      </c>
      <c r="AA170" s="3" t="s">
        <v>62</v>
      </c>
      <c r="AB170" s="3" t="s">
        <v>62</v>
      </c>
      <c r="AC170" s="3" t="s">
        <v>62</v>
      </c>
      <c r="AD170" s="3" t="s">
        <v>62</v>
      </c>
      <c r="AE170" s="3" t="s">
        <v>62</v>
      </c>
      <c r="AF170" s="3" t="s">
        <v>62</v>
      </c>
      <c r="AG170" s="3" t="s">
        <v>62</v>
      </c>
      <c r="AH170" s="3" t="s">
        <v>62</v>
      </c>
    </row>
    <row r="171" spans="2:34">
      <c r="B171" s="85">
        <v>3</v>
      </c>
      <c r="C171" s="89" t="str">
        <f>LEFT(EmpGName03)&amp;" " &amp;EmpSName03</f>
        <v>I Thelning</v>
      </c>
      <c r="D171" s="4" t="s">
        <v>62</v>
      </c>
      <c r="E171" s="4" t="s">
        <v>62</v>
      </c>
      <c r="F171" s="4" t="s">
        <v>62</v>
      </c>
      <c r="G171" s="4" t="s">
        <v>62</v>
      </c>
      <c r="H171" s="4" t="s">
        <v>62</v>
      </c>
      <c r="I171" s="4" t="s">
        <v>62</v>
      </c>
      <c r="J171" s="4" t="s">
        <v>62</v>
      </c>
      <c r="K171" s="4" t="s">
        <v>62</v>
      </c>
      <c r="L171" s="4" t="s">
        <v>62</v>
      </c>
      <c r="M171" s="4" t="s">
        <v>62</v>
      </c>
      <c r="N171" s="4" t="s">
        <v>62</v>
      </c>
      <c r="O171" s="4" t="s">
        <v>62</v>
      </c>
      <c r="P171" s="4" t="s">
        <v>62</v>
      </c>
      <c r="Q171" s="4" t="s">
        <v>62</v>
      </c>
      <c r="R171" s="4" t="s">
        <v>62</v>
      </c>
      <c r="S171" s="4" t="s">
        <v>62</v>
      </c>
      <c r="T171" s="4" t="s">
        <v>62</v>
      </c>
      <c r="U171" s="4" t="s">
        <v>62</v>
      </c>
      <c r="V171" s="4" t="s">
        <v>62</v>
      </c>
      <c r="W171" s="4" t="s">
        <v>62</v>
      </c>
      <c r="X171" s="4" t="s">
        <v>62</v>
      </c>
      <c r="Y171" s="4" t="s">
        <v>62</v>
      </c>
      <c r="Z171" s="4" t="s">
        <v>62</v>
      </c>
      <c r="AA171" s="4" t="s">
        <v>62</v>
      </c>
      <c r="AB171" s="4" t="s">
        <v>62</v>
      </c>
      <c r="AC171" s="4" t="s">
        <v>62</v>
      </c>
      <c r="AD171" s="4" t="s">
        <v>62</v>
      </c>
      <c r="AE171" s="4" t="s">
        <v>62</v>
      </c>
      <c r="AF171" s="4" t="s">
        <v>62</v>
      </c>
      <c r="AG171" s="4" t="s">
        <v>62</v>
      </c>
      <c r="AH171" s="4" t="s">
        <v>62</v>
      </c>
    </row>
    <row r="172" spans="2:34">
      <c r="B172" s="85">
        <v>4</v>
      </c>
      <c r="C172" s="90" t="str">
        <f>LEFT(EmpGName04)&amp;" " &amp;EmpSName04</f>
        <v>L King</v>
      </c>
      <c r="D172" s="3" t="s">
        <v>62</v>
      </c>
      <c r="E172" s="3" t="s">
        <v>62</v>
      </c>
      <c r="F172" s="3" t="s">
        <v>62</v>
      </c>
      <c r="G172" s="3" t="s">
        <v>62</v>
      </c>
      <c r="H172" s="3" t="s">
        <v>62</v>
      </c>
      <c r="I172" s="3" t="s">
        <v>62</v>
      </c>
      <c r="J172" s="3" t="s">
        <v>62</v>
      </c>
      <c r="K172" s="3" t="s">
        <v>62</v>
      </c>
      <c r="L172" s="3" t="s">
        <v>62</v>
      </c>
      <c r="M172" s="3" t="s">
        <v>62</v>
      </c>
      <c r="N172" s="3" t="s">
        <v>62</v>
      </c>
      <c r="O172" s="3" t="s">
        <v>62</v>
      </c>
      <c r="P172" s="3" t="s">
        <v>62</v>
      </c>
      <c r="Q172" s="3" t="s">
        <v>62</v>
      </c>
      <c r="R172" s="3" t="s">
        <v>62</v>
      </c>
      <c r="S172" s="3" t="s">
        <v>62</v>
      </c>
      <c r="T172" s="3" t="s">
        <v>62</v>
      </c>
      <c r="U172" s="3" t="s">
        <v>62</v>
      </c>
      <c r="V172" s="3" t="s">
        <v>62</v>
      </c>
      <c r="W172" s="3" t="s">
        <v>62</v>
      </c>
      <c r="X172" s="3" t="s">
        <v>62</v>
      </c>
      <c r="Y172" s="3" t="s">
        <v>62</v>
      </c>
      <c r="Z172" s="3" t="s">
        <v>62</v>
      </c>
      <c r="AA172" s="3" t="s">
        <v>62</v>
      </c>
      <c r="AB172" s="3" t="s">
        <v>62</v>
      </c>
      <c r="AC172" s="3" t="s">
        <v>62</v>
      </c>
      <c r="AD172" s="3" t="s">
        <v>62</v>
      </c>
      <c r="AE172" s="3" t="s">
        <v>62</v>
      </c>
      <c r="AF172" s="3" t="s">
        <v>62</v>
      </c>
      <c r="AG172" s="3" t="s">
        <v>62</v>
      </c>
      <c r="AH172" s="3" t="s">
        <v>62</v>
      </c>
    </row>
    <row r="173" spans="2:34">
      <c r="B173" s="85">
        <v>5</v>
      </c>
      <c r="C173" s="89" t="str">
        <f>LEFT(EmpGName05)&amp;" " &amp;EmpSName05</f>
        <v>D Castle</v>
      </c>
      <c r="D173" s="4" t="s">
        <v>62</v>
      </c>
      <c r="E173" s="4" t="s">
        <v>62</v>
      </c>
      <c r="F173" s="4" t="s">
        <v>62</v>
      </c>
      <c r="G173" s="4" t="s">
        <v>62</v>
      </c>
      <c r="H173" s="4" t="s">
        <v>62</v>
      </c>
      <c r="I173" s="4" t="s">
        <v>62</v>
      </c>
      <c r="J173" s="4" t="s">
        <v>62</v>
      </c>
      <c r="K173" s="4" t="s">
        <v>62</v>
      </c>
      <c r="L173" s="4" t="s">
        <v>62</v>
      </c>
      <c r="M173" s="4" t="s">
        <v>62</v>
      </c>
      <c r="N173" s="4" t="s">
        <v>62</v>
      </c>
      <c r="O173" s="4" t="s">
        <v>62</v>
      </c>
      <c r="P173" s="4" t="s">
        <v>62</v>
      </c>
      <c r="Q173" s="4" t="s">
        <v>62</v>
      </c>
      <c r="R173" s="4" t="s">
        <v>62</v>
      </c>
      <c r="S173" s="4" t="s">
        <v>62</v>
      </c>
      <c r="T173" s="4" t="s">
        <v>62</v>
      </c>
      <c r="U173" s="4" t="s">
        <v>62</v>
      </c>
      <c r="V173" s="4" t="s">
        <v>62</v>
      </c>
      <c r="W173" s="4" t="s">
        <v>62</v>
      </c>
      <c r="X173" s="4" t="s">
        <v>62</v>
      </c>
      <c r="Y173" s="4" t="s">
        <v>62</v>
      </c>
      <c r="Z173" s="4" t="s">
        <v>62</v>
      </c>
      <c r="AA173" s="4" t="s">
        <v>62</v>
      </c>
      <c r="AB173" s="4" t="s">
        <v>62</v>
      </c>
      <c r="AC173" s="4" t="s">
        <v>62</v>
      </c>
      <c r="AD173" s="4" t="s">
        <v>62</v>
      </c>
      <c r="AE173" s="4" t="s">
        <v>62</v>
      </c>
      <c r="AF173" s="4" t="s">
        <v>62</v>
      </c>
      <c r="AG173" s="4" t="s">
        <v>62</v>
      </c>
      <c r="AH173" s="4" t="s">
        <v>62</v>
      </c>
    </row>
    <row r="174" spans="2:34">
      <c r="B174" s="85">
        <v>6</v>
      </c>
      <c r="C174" s="90" t="str">
        <f>LEFT(EmpGName06)&amp;" " &amp;EmpSName06</f>
        <v>R Fielding</v>
      </c>
      <c r="D174" s="3" t="s">
        <v>62</v>
      </c>
      <c r="E174" s="3" t="s">
        <v>62</v>
      </c>
      <c r="F174" s="3" t="s">
        <v>62</v>
      </c>
      <c r="G174" s="3" t="s">
        <v>62</v>
      </c>
      <c r="H174" s="3" t="s">
        <v>62</v>
      </c>
      <c r="I174" s="3" t="s">
        <v>62</v>
      </c>
      <c r="J174" s="3" t="s">
        <v>62</v>
      </c>
      <c r="K174" s="3" t="s">
        <v>62</v>
      </c>
      <c r="L174" s="3" t="s">
        <v>62</v>
      </c>
      <c r="M174" s="3" t="s">
        <v>62</v>
      </c>
      <c r="N174" s="3" t="s">
        <v>62</v>
      </c>
      <c r="O174" s="3" t="s">
        <v>62</v>
      </c>
      <c r="P174" s="3" t="s">
        <v>62</v>
      </c>
      <c r="Q174" s="3" t="s">
        <v>62</v>
      </c>
      <c r="R174" s="3" t="s">
        <v>62</v>
      </c>
      <c r="S174" s="3" t="s">
        <v>62</v>
      </c>
      <c r="T174" s="3" t="s">
        <v>62</v>
      </c>
      <c r="U174" s="3" t="s">
        <v>62</v>
      </c>
      <c r="V174" s="3" t="s">
        <v>62</v>
      </c>
      <c r="W174" s="3" t="s">
        <v>62</v>
      </c>
      <c r="X174" s="3" t="s">
        <v>62</v>
      </c>
      <c r="Y174" s="3" t="s">
        <v>62</v>
      </c>
      <c r="Z174" s="3" t="s">
        <v>62</v>
      </c>
      <c r="AA174" s="3" t="s">
        <v>62</v>
      </c>
      <c r="AB174" s="3" t="s">
        <v>62</v>
      </c>
      <c r="AC174" s="3" t="s">
        <v>62</v>
      </c>
      <c r="AD174" s="3" t="s">
        <v>62</v>
      </c>
      <c r="AE174" s="3" t="s">
        <v>62</v>
      </c>
      <c r="AF174" s="3" t="s">
        <v>62</v>
      </c>
      <c r="AG174" s="3" t="s">
        <v>62</v>
      </c>
      <c r="AH174" s="3" t="s">
        <v>62</v>
      </c>
    </row>
    <row r="175" spans="2:34">
      <c r="B175" s="85">
        <v>7</v>
      </c>
      <c r="C175" s="89" t="str">
        <f>LEFT(EmpGName07)&amp;" " &amp;EmpSName07</f>
        <v>T Sorensen</v>
      </c>
      <c r="D175" s="4" t="s">
        <v>62</v>
      </c>
      <c r="E175" s="4" t="s">
        <v>62</v>
      </c>
      <c r="F175" s="4" t="s">
        <v>62</v>
      </c>
      <c r="G175" s="4" t="s">
        <v>62</v>
      </c>
      <c r="H175" s="4" t="s">
        <v>62</v>
      </c>
      <c r="I175" s="4" t="s">
        <v>62</v>
      </c>
      <c r="J175" s="4" t="s">
        <v>62</v>
      </c>
      <c r="K175" s="4" t="s">
        <v>62</v>
      </c>
      <c r="L175" s="4" t="s">
        <v>62</v>
      </c>
      <c r="M175" s="4" t="s">
        <v>62</v>
      </c>
      <c r="N175" s="4" t="s">
        <v>62</v>
      </c>
      <c r="O175" s="4" t="s">
        <v>62</v>
      </c>
      <c r="P175" s="4" t="s">
        <v>62</v>
      </c>
      <c r="Q175" s="4" t="s">
        <v>62</v>
      </c>
      <c r="R175" s="4" t="s">
        <v>62</v>
      </c>
      <c r="S175" s="4" t="s">
        <v>62</v>
      </c>
      <c r="T175" s="4" t="s">
        <v>62</v>
      </c>
      <c r="U175" s="4" t="s">
        <v>62</v>
      </c>
      <c r="V175" s="4" t="s">
        <v>62</v>
      </c>
      <c r="W175" s="4" t="s">
        <v>62</v>
      </c>
      <c r="X175" s="4" t="s">
        <v>62</v>
      </c>
      <c r="Y175" s="4" t="s">
        <v>62</v>
      </c>
      <c r="Z175" s="4" t="s">
        <v>62</v>
      </c>
      <c r="AA175" s="4" t="s">
        <v>62</v>
      </c>
      <c r="AB175" s="4" t="s">
        <v>62</v>
      </c>
      <c r="AC175" s="4" t="s">
        <v>62</v>
      </c>
      <c r="AD175" s="4" t="s">
        <v>62</v>
      </c>
      <c r="AE175" s="4" t="s">
        <v>62</v>
      </c>
      <c r="AF175" s="4" t="s">
        <v>62</v>
      </c>
      <c r="AG175" s="4" t="s">
        <v>62</v>
      </c>
      <c r="AH175" s="4" t="s">
        <v>62</v>
      </c>
    </row>
    <row r="176" spans="2:34">
      <c r="B176" s="85">
        <v>8</v>
      </c>
      <c r="C176" s="90" t="str">
        <f>LEFT(EmpGName08)&amp;" " &amp;EmpSName08</f>
        <v xml:space="preserve">B Odd </v>
      </c>
      <c r="D176" s="3" t="s">
        <v>62</v>
      </c>
      <c r="E176" s="3" t="s">
        <v>62</v>
      </c>
      <c r="F176" s="3" t="s">
        <v>62</v>
      </c>
      <c r="G176" s="3" t="s">
        <v>62</v>
      </c>
      <c r="H176" s="3" t="s">
        <v>62</v>
      </c>
      <c r="I176" s="3" t="s">
        <v>62</v>
      </c>
      <c r="J176" s="3" t="s">
        <v>62</v>
      </c>
      <c r="K176" s="3" t="s">
        <v>62</v>
      </c>
      <c r="L176" s="3" t="s">
        <v>62</v>
      </c>
      <c r="M176" s="3" t="s">
        <v>62</v>
      </c>
      <c r="N176" s="3" t="s">
        <v>62</v>
      </c>
      <c r="O176" s="3" t="s">
        <v>62</v>
      </c>
      <c r="P176" s="3" t="s">
        <v>62</v>
      </c>
      <c r="Q176" s="3" t="s">
        <v>62</v>
      </c>
      <c r="R176" s="3" t="s">
        <v>62</v>
      </c>
      <c r="S176" s="3" t="s">
        <v>62</v>
      </c>
      <c r="T176" s="3" t="s">
        <v>62</v>
      </c>
      <c r="U176" s="3" t="s">
        <v>62</v>
      </c>
      <c r="V176" s="3" t="s">
        <v>62</v>
      </c>
      <c r="W176" s="3" t="s">
        <v>62</v>
      </c>
      <c r="X176" s="3" t="s">
        <v>62</v>
      </c>
      <c r="Y176" s="3" t="s">
        <v>62</v>
      </c>
      <c r="Z176" s="3" t="s">
        <v>62</v>
      </c>
      <c r="AA176" s="3" t="s">
        <v>62</v>
      </c>
      <c r="AB176" s="3" t="s">
        <v>62</v>
      </c>
      <c r="AC176" s="3" t="s">
        <v>62</v>
      </c>
      <c r="AD176" s="3" t="s">
        <v>62</v>
      </c>
      <c r="AE176" s="3" t="s">
        <v>62</v>
      </c>
      <c r="AF176" s="3" t="s">
        <v>62</v>
      </c>
      <c r="AG176" s="3" t="s">
        <v>62</v>
      </c>
      <c r="AH176" s="3" t="s">
        <v>62</v>
      </c>
    </row>
    <row r="177" spans="2:34">
      <c r="B177" s="85">
        <v>9</v>
      </c>
      <c r="C177" s="89" t="str">
        <f>LEFT(EmpGName09)&amp;" " &amp;EmpSName09</f>
        <v>1 Odd1</v>
      </c>
      <c r="D177" s="4" t="s">
        <v>62</v>
      </c>
      <c r="E177" s="4" t="s">
        <v>62</v>
      </c>
      <c r="F177" s="4" t="s">
        <v>62</v>
      </c>
      <c r="G177" s="4" t="s">
        <v>62</v>
      </c>
      <c r="H177" s="4" t="s">
        <v>62</v>
      </c>
      <c r="I177" s="4" t="s">
        <v>62</v>
      </c>
      <c r="J177" s="4" t="s">
        <v>62</v>
      </c>
      <c r="K177" s="4" t="s">
        <v>62</v>
      </c>
      <c r="L177" s="4" t="s">
        <v>62</v>
      </c>
      <c r="M177" s="4" t="s">
        <v>62</v>
      </c>
      <c r="N177" s="4" t="s">
        <v>62</v>
      </c>
      <c r="O177" s="4" t="s">
        <v>62</v>
      </c>
      <c r="P177" s="4" t="s">
        <v>62</v>
      </c>
      <c r="Q177" s="4" t="s">
        <v>62</v>
      </c>
      <c r="R177" s="4" t="s">
        <v>62</v>
      </c>
      <c r="S177" s="4" t="s">
        <v>62</v>
      </c>
      <c r="T177" s="4" t="s">
        <v>62</v>
      </c>
      <c r="U177" s="4" t="s">
        <v>62</v>
      </c>
      <c r="V177" s="4" t="s">
        <v>62</v>
      </c>
      <c r="W177" s="4" t="s">
        <v>62</v>
      </c>
      <c r="X177" s="4" t="s">
        <v>62</v>
      </c>
      <c r="Y177" s="4" t="s">
        <v>62</v>
      </c>
      <c r="Z177" s="4" t="s">
        <v>62</v>
      </c>
      <c r="AA177" s="4" t="s">
        <v>62</v>
      </c>
      <c r="AB177" s="4" t="s">
        <v>62</v>
      </c>
      <c r="AC177" s="4" t="s">
        <v>62</v>
      </c>
      <c r="AD177" s="4" t="s">
        <v>62</v>
      </c>
      <c r="AE177" s="4" t="s">
        <v>62</v>
      </c>
      <c r="AF177" s="4" t="s">
        <v>62</v>
      </c>
      <c r="AG177" s="4" t="s">
        <v>62</v>
      </c>
      <c r="AH177" s="4" t="s">
        <v>62</v>
      </c>
    </row>
    <row r="178" spans="2:34">
      <c r="B178" s="148">
        <v>10</v>
      </c>
      <c r="C178" s="90" t="str">
        <f>LEFT(EmpGName10)&amp;" " &amp;EmpSName10</f>
        <v>2 Odd2</v>
      </c>
      <c r="D178" s="3" t="s">
        <v>62</v>
      </c>
      <c r="E178" s="3" t="s">
        <v>62</v>
      </c>
      <c r="F178" s="3" t="s">
        <v>62</v>
      </c>
      <c r="G178" s="3" t="s">
        <v>62</v>
      </c>
      <c r="H178" s="3" t="s">
        <v>62</v>
      </c>
      <c r="I178" s="3" t="s">
        <v>62</v>
      </c>
      <c r="J178" s="3" t="s">
        <v>62</v>
      </c>
      <c r="K178" s="3" t="s">
        <v>62</v>
      </c>
      <c r="L178" s="3" t="s">
        <v>62</v>
      </c>
      <c r="M178" s="3" t="s">
        <v>62</v>
      </c>
      <c r="N178" s="3" t="s">
        <v>62</v>
      </c>
      <c r="O178" s="3" t="s">
        <v>62</v>
      </c>
      <c r="P178" s="3" t="s">
        <v>62</v>
      </c>
      <c r="Q178" s="3" t="s">
        <v>62</v>
      </c>
      <c r="R178" s="3" t="s">
        <v>62</v>
      </c>
      <c r="S178" s="3" t="s">
        <v>62</v>
      </c>
      <c r="T178" s="3" t="s">
        <v>62</v>
      </c>
      <c r="U178" s="3" t="s">
        <v>62</v>
      </c>
      <c r="V178" s="3" t="s">
        <v>62</v>
      </c>
      <c r="W178" s="3" t="s">
        <v>62</v>
      </c>
      <c r="X178" s="3" t="s">
        <v>62</v>
      </c>
      <c r="Y178" s="3" t="s">
        <v>62</v>
      </c>
      <c r="Z178" s="3" t="s">
        <v>62</v>
      </c>
      <c r="AA178" s="3" t="s">
        <v>62</v>
      </c>
      <c r="AB178" s="3" t="s">
        <v>62</v>
      </c>
      <c r="AC178" s="3" t="s">
        <v>62</v>
      </c>
      <c r="AD178" s="3" t="s">
        <v>62</v>
      </c>
      <c r="AE178" s="3" t="s">
        <v>62</v>
      </c>
      <c r="AF178" s="3" t="s">
        <v>62</v>
      </c>
      <c r="AG178" s="3" t="s">
        <v>62</v>
      </c>
      <c r="AH178" s="3" t="s">
        <v>62</v>
      </c>
    </row>
    <row r="179" spans="2:34">
      <c r="B179" s="148">
        <v>11</v>
      </c>
      <c r="C179" s="89" t="str">
        <f>LEFT(EmpGName11)&amp;" " &amp;EmpSName11</f>
        <v>2 Odd3</v>
      </c>
      <c r="D179" s="4" t="s">
        <v>62</v>
      </c>
      <c r="E179" s="4" t="s">
        <v>62</v>
      </c>
      <c r="F179" s="4" t="s">
        <v>62</v>
      </c>
      <c r="G179" s="4" t="s">
        <v>62</v>
      </c>
      <c r="H179" s="4" t="s">
        <v>62</v>
      </c>
      <c r="I179" s="4" t="s">
        <v>62</v>
      </c>
      <c r="J179" s="4" t="s">
        <v>62</v>
      </c>
      <c r="K179" s="4" t="s">
        <v>62</v>
      </c>
      <c r="L179" s="4" t="s">
        <v>62</v>
      </c>
      <c r="M179" s="4" t="s">
        <v>62</v>
      </c>
      <c r="N179" s="4" t="s">
        <v>62</v>
      </c>
      <c r="O179" s="4" t="s">
        <v>62</v>
      </c>
      <c r="P179" s="4" t="s">
        <v>62</v>
      </c>
      <c r="Q179" s="4" t="s">
        <v>62</v>
      </c>
      <c r="R179" s="4" t="s">
        <v>62</v>
      </c>
      <c r="S179" s="4" t="s">
        <v>62</v>
      </c>
      <c r="T179" s="4" t="s">
        <v>62</v>
      </c>
      <c r="U179" s="4" t="s">
        <v>62</v>
      </c>
      <c r="V179" s="4" t="s">
        <v>62</v>
      </c>
      <c r="W179" s="4" t="s">
        <v>62</v>
      </c>
      <c r="X179" s="4" t="s">
        <v>62</v>
      </c>
      <c r="Y179" s="4" t="s">
        <v>62</v>
      </c>
      <c r="Z179" s="4" t="s">
        <v>62</v>
      </c>
      <c r="AA179" s="4" t="s">
        <v>62</v>
      </c>
      <c r="AB179" s="4" t="s">
        <v>62</v>
      </c>
      <c r="AC179" s="4" t="s">
        <v>62</v>
      </c>
      <c r="AD179" s="4" t="s">
        <v>62</v>
      </c>
      <c r="AE179" s="4" t="s">
        <v>62</v>
      </c>
      <c r="AF179" s="4" t="s">
        <v>62</v>
      </c>
      <c r="AG179" s="4" t="s">
        <v>62</v>
      </c>
      <c r="AH179" s="4" t="s">
        <v>62</v>
      </c>
    </row>
    <row r="180" spans="2:34">
      <c r="B180" s="148">
        <v>12</v>
      </c>
      <c r="C180" s="90" t="str">
        <f>LEFT(EmpGName12)&amp;" " &amp;EmpSName12</f>
        <v>4 Odd4</v>
      </c>
      <c r="D180" s="3" t="s">
        <v>62</v>
      </c>
      <c r="E180" s="3" t="s">
        <v>62</v>
      </c>
      <c r="F180" s="3" t="s">
        <v>62</v>
      </c>
      <c r="G180" s="3" t="s">
        <v>62</v>
      </c>
      <c r="H180" s="3" t="s">
        <v>62</v>
      </c>
      <c r="I180" s="3" t="s">
        <v>62</v>
      </c>
      <c r="J180" s="3" t="s">
        <v>62</v>
      </c>
      <c r="K180" s="3" t="s">
        <v>62</v>
      </c>
      <c r="L180" s="3" t="s">
        <v>62</v>
      </c>
      <c r="M180" s="3" t="s">
        <v>62</v>
      </c>
      <c r="N180" s="3" t="s">
        <v>62</v>
      </c>
      <c r="O180" s="3" t="s">
        <v>62</v>
      </c>
      <c r="P180" s="3" t="s">
        <v>62</v>
      </c>
      <c r="Q180" s="3" t="s">
        <v>62</v>
      </c>
      <c r="R180" s="3" t="s">
        <v>62</v>
      </c>
      <c r="S180" s="3" t="s">
        <v>62</v>
      </c>
      <c r="T180" s="3" t="s">
        <v>62</v>
      </c>
      <c r="U180" s="3" t="s">
        <v>62</v>
      </c>
      <c r="V180" s="3" t="s">
        <v>62</v>
      </c>
      <c r="W180" s="3" t="s">
        <v>62</v>
      </c>
      <c r="X180" s="3" t="s">
        <v>62</v>
      </c>
      <c r="Y180" s="3" t="s">
        <v>62</v>
      </c>
      <c r="Z180" s="3" t="s">
        <v>62</v>
      </c>
      <c r="AA180" s="3" t="s">
        <v>62</v>
      </c>
      <c r="AB180" s="3" t="s">
        <v>62</v>
      </c>
      <c r="AC180" s="3" t="s">
        <v>62</v>
      </c>
      <c r="AD180" s="3" t="s">
        <v>62</v>
      </c>
      <c r="AE180" s="3" t="s">
        <v>62</v>
      </c>
      <c r="AF180" s="3" t="s">
        <v>62</v>
      </c>
      <c r="AG180" s="3" t="s">
        <v>62</v>
      </c>
      <c r="AH180" s="3" t="s">
        <v>62</v>
      </c>
    </row>
    <row r="181" spans="2:34">
      <c r="B181" s="148">
        <v>13</v>
      </c>
      <c r="C181" s="89" t="str">
        <f>LEFT(EmpGName13)&amp;" " &amp;EmpSName13</f>
        <v>A Odd5</v>
      </c>
      <c r="D181" s="4" t="s">
        <v>62</v>
      </c>
      <c r="E181" s="4" t="s">
        <v>62</v>
      </c>
      <c r="F181" s="4" t="s">
        <v>62</v>
      </c>
      <c r="G181" s="4" t="s">
        <v>62</v>
      </c>
      <c r="H181" s="4" t="s">
        <v>62</v>
      </c>
      <c r="I181" s="4" t="s">
        <v>62</v>
      </c>
      <c r="J181" s="4" t="s">
        <v>62</v>
      </c>
      <c r="K181" s="4" t="s">
        <v>62</v>
      </c>
      <c r="L181" s="4" t="s">
        <v>62</v>
      </c>
      <c r="M181" s="4" t="s">
        <v>62</v>
      </c>
      <c r="N181" s="4" t="s">
        <v>62</v>
      </c>
      <c r="O181" s="4" t="s">
        <v>62</v>
      </c>
      <c r="P181" s="4" t="s">
        <v>62</v>
      </c>
      <c r="Q181" s="4" t="s">
        <v>62</v>
      </c>
      <c r="R181" s="4" t="s">
        <v>62</v>
      </c>
      <c r="S181" s="4" t="s">
        <v>62</v>
      </c>
      <c r="T181" s="4" t="s">
        <v>62</v>
      </c>
      <c r="U181" s="4" t="s">
        <v>62</v>
      </c>
      <c r="V181" s="4" t="s">
        <v>62</v>
      </c>
      <c r="W181" s="4" t="s">
        <v>62</v>
      </c>
      <c r="X181" s="4" t="s">
        <v>62</v>
      </c>
      <c r="Y181" s="4" t="s">
        <v>62</v>
      </c>
      <c r="Z181" s="4" t="s">
        <v>62</v>
      </c>
      <c r="AA181" s="4" t="s">
        <v>62</v>
      </c>
      <c r="AB181" s="4" t="s">
        <v>62</v>
      </c>
      <c r="AC181" s="4" t="s">
        <v>62</v>
      </c>
      <c r="AD181" s="4" t="s">
        <v>62</v>
      </c>
      <c r="AE181" s="4" t="s">
        <v>62</v>
      </c>
      <c r="AF181" s="4" t="s">
        <v>62</v>
      </c>
      <c r="AG181" s="4" t="s">
        <v>62</v>
      </c>
      <c r="AH181" s="4" t="s">
        <v>62</v>
      </c>
    </row>
    <row r="182" spans="2:34">
      <c r="B182" s="148">
        <v>14</v>
      </c>
      <c r="C182" s="90" t="str">
        <f>LEFT(EmpGName14)&amp;" " &amp;EmpSName14</f>
        <v>B Odd6</v>
      </c>
      <c r="D182" s="3" t="s">
        <v>62</v>
      </c>
      <c r="E182" s="3" t="s">
        <v>62</v>
      </c>
      <c r="F182" s="3" t="s">
        <v>62</v>
      </c>
      <c r="G182" s="3" t="s">
        <v>62</v>
      </c>
      <c r="H182" s="3" t="s">
        <v>62</v>
      </c>
      <c r="I182" s="3" t="s">
        <v>62</v>
      </c>
      <c r="J182" s="3" t="s">
        <v>62</v>
      </c>
      <c r="K182" s="3" t="s">
        <v>62</v>
      </c>
      <c r="L182" s="3" t="s">
        <v>62</v>
      </c>
      <c r="M182" s="3" t="s">
        <v>62</v>
      </c>
      <c r="N182" s="3" t="s">
        <v>62</v>
      </c>
      <c r="O182" s="3" t="s">
        <v>62</v>
      </c>
      <c r="P182" s="3" t="s">
        <v>62</v>
      </c>
      <c r="Q182" s="3" t="s">
        <v>62</v>
      </c>
      <c r="R182" s="3" t="s">
        <v>62</v>
      </c>
      <c r="S182" s="3" t="s">
        <v>62</v>
      </c>
      <c r="T182" s="3" t="s">
        <v>62</v>
      </c>
      <c r="U182" s="3" t="s">
        <v>62</v>
      </c>
      <c r="V182" s="3" t="s">
        <v>62</v>
      </c>
      <c r="W182" s="3" t="s">
        <v>62</v>
      </c>
      <c r="X182" s="3" t="s">
        <v>62</v>
      </c>
      <c r="Y182" s="3" t="s">
        <v>62</v>
      </c>
      <c r="Z182" s="3" t="s">
        <v>62</v>
      </c>
      <c r="AA182" s="3" t="s">
        <v>62</v>
      </c>
      <c r="AB182" s="3" t="s">
        <v>62</v>
      </c>
      <c r="AC182" s="3" t="s">
        <v>62</v>
      </c>
      <c r="AD182" s="3" t="s">
        <v>62</v>
      </c>
      <c r="AE182" s="3" t="s">
        <v>62</v>
      </c>
      <c r="AF182" s="3" t="s">
        <v>62</v>
      </c>
      <c r="AG182" s="3" t="s">
        <v>62</v>
      </c>
      <c r="AH182" s="3" t="s">
        <v>62</v>
      </c>
    </row>
    <row r="183" spans="2:34">
      <c r="B183" s="148">
        <v>15</v>
      </c>
      <c r="C183" s="89" t="str">
        <f>LEFT(EmpGName15)&amp;" " &amp;EmpSName15</f>
        <v>C Odd7</v>
      </c>
      <c r="D183" s="4" t="s">
        <v>62</v>
      </c>
      <c r="E183" s="4" t="s">
        <v>62</v>
      </c>
      <c r="F183" s="4" t="s">
        <v>62</v>
      </c>
      <c r="G183" s="4" t="s">
        <v>62</v>
      </c>
      <c r="H183" s="4" t="s">
        <v>62</v>
      </c>
      <c r="I183" s="4" t="s">
        <v>62</v>
      </c>
      <c r="J183" s="4" t="s">
        <v>62</v>
      </c>
      <c r="K183" s="4" t="s">
        <v>62</v>
      </c>
      <c r="L183" s="4" t="s">
        <v>62</v>
      </c>
      <c r="M183" s="4" t="s">
        <v>62</v>
      </c>
      <c r="N183" s="4" t="s">
        <v>62</v>
      </c>
      <c r="O183" s="4" t="s">
        <v>62</v>
      </c>
      <c r="P183" s="4" t="s">
        <v>62</v>
      </c>
      <c r="Q183" s="4" t="s">
        <v>62</v>
      </c>
      <c r="R183" s="4" t="s">
        <v>62</v>
      </c>
      <c r="S183" s="4" t="s">
        <v>62</v>
      </c>
      <c r="T183" s="4" t="s">
        <v>62</v>
      </c>
      <c r="U183" s="4" t="s">
        <v>62</v>
      </c>
      <c r="V183" s="4" t="s">
        <v>62</v>
      </c>
      <c r="W183" s="4" t="s">
        <v>62</v>
      </c>
      <c r="X183" s="4" t="s">
        <v>62</v>
      </c>
      <c r="Y183" s="4" t="s">
        <v>62</v>
      </c>
      <c r="Z183" s="4" t="s">
        <v>62</v>
      </c>
      <c r="AA183" s="4" t="s">
        <v>62</v>
      </c>
      <c r="AB183" s="4" t="s">
        <v>62</v>
      </c>
      <c r="AC183" s="4" t="s">
        <v>62</v>
      </c>
      <c r="AD183" s="4" t="s">
        <v>62</v>
      </c>
      <c r="AE183" s="4" t="s">
        <v>62</v>
      </c>
      <c r="AF183" s="4" t="s">
        <v>62</v>
      </c>
      <c r="AG183" s="4" t="s">
        <v>62</v>
      </c>
      <c r="AH183" s="4" t="s">
        <v>62</v>
      </c>
    </row>
    <row r="184" spans="2:34">
      <c r="B184" s="148">
        <v>16</v>
      </c>
      <c r="C184" s="90" t="str">
        <f>LEFT(EmpGName16)&amp;" " &amp;EmpSName16</f>
        <v>D Odd8</v>
      </c>
      <c r="D184" s="3" t="s">
        <v>62</v>
      </c>
      <c r="E184" s="3" t="s">
        <v>62</v>
      </c>
      <c r="F184" s="3" t="s">
        <v>62</v>
      </c>
      <c r="G184" s="3" t="s">
        <v>62</v>
      </c>
      <c r="H184" s="3" t="s">
        <v>62</v>
      </c>
      <c r="I184" s="3" t="s">
        <v>62</v>
      </c>
      <c r="J184" s="3" t="s">
        <v>62</v>
      </c>
      <c r="K184" s="3" t="s">
        <v>62</v>
      </c>
      <c r="L184" s="3" t="s">
        <v>62</v>
      </c>
      <c r="M184" s="3" t="s">
        <v>62</v>
      </c>
      <c r="N184" s="3" t="s">
        <v>62</v>
      </c>
      <c r="O184" s="3" t="s">
        <v>62</v>
      </c>
      <c r="P184" s="3" t="s">
        <v>62</v>
      </c>
      <c r="Q184" s="3" t="s">
        <v>62</v>
      </c>
      <c r="R184" s="3" t="s">
        <v>62</v>
      </c>
      <c r="S184" s="3" t="s">
        <v>62</v>
      </c>
      <c r="T184" s="3" t="s">
        <v>62</v>
      </c>
      <c r="U184" s="3" t="s">
        <v>62</v>
      </c>
      <c r="V184" s="3" t="s">
        <v>62</v>
      </c>
      <c r="W184" s="3" t="s">
        <v>62</v>
      </c>
      <c r="X184" s="3" t="s">
        <v>62</v>
      </c>
      <c r="Y184" s="3" t="s">
        <v>62</v>
      </c>
      <c r="Z184" s="3" t="s">
        <v>62</v>
      </c>
      <c r="AA184" s="3" t="s">
        <v>62</v>
      </c>
      <c r="AB184" s="3" t="s">
        <v>62</v>
      </c>
      <c r="AC184" s="3" t="s">
        <v>62</v>
      </c>
      <c r="AD184" s="3" t="s">
        <v>62</v>
      </c>
      <c r="AE184" s="3" t="s">
        <v>62</v>
      </c>
      <c r="AF184" s="3" t="s">
        <v>62</v>
      </c>
      <c r="AG184" s="3" t="s">
        <v>62</v>
      </c>
      <c r="AH184" s="3" t="s">
        <v>62</v>
      </c>
    </row>
    <row r="185" spans="2:34">
      <c r="B185" s="148">
        <v>17</v>
      </c>
      <c r="C185" s="89" t="str">
        <f>LEFT(EmpGName17)&amp;" " &amp;EmpSName17</f>
        <v>E Odd9</v>
      </c>
      <c r="D185" s="4" t="s">
        <v>62</v>
      </c>
      <c r="E185" s="4" t="s">
        <v>62</v>
      </c>
      <c r="F185" s="4" t="s">
        <v>62</v>
      </c>
      <c r="G185" s="4" t="s">
        <v>62</v>
      </c>
      <c r="H185" s="4" t="s">
        <v>62</v>
      </c>
      <c r="I185" s="4" t="s">
        <v>62</v>
      </c>
      <c r="J185" s="4" t="s">
        <v>62</v>
      </c>
      <c r="K185" s="4" t="s">
        <v>62</v>
      </c>
      <c r="L185" s="4" t="s">
        <v>62</v>
      </c>
      <c r="M185" s="4" t="s">
        <v>62</v>
      </c>
      <c r="N185" s="4" t="s">
        <v>62</v>
      </c>
      <c r="O185" s="4" t="s">
        <v>62</v>
      </c>
      <c r="P185" s="4" t="s">
        <v>62</v>
      </c>
      <c r="Q185" s="4" t="s">
        <v>62</v>
      </c>
      <c r="R185" s="4" t="s">
        <v>62</v>
      </c>
      <c r="S185" s="4" t="s">
        <v>62</v>
      </c>
      <c r="T185" s="4" t="s">
        <v>62</v>
      </c>
      <c r="U185" s="4" t="s">
        <v>62</v>
      </c>
      <c r="V185" s="4" t="s">
        <v>62</v>
      </c>
      <c r="W185" s="4" t="s">
        <v>62</v>
      </c>
      <c r="X185" s="4" t="s">
        <v>62</v>
      </c>
      <c r="Y185" s="4" t="s">
        <v>62</v>
      </c>
      <c r="Z185" s="4" t="s">
        <v>62</v>
      </c>
      <c r="AA185" s="4" t="s">
        <v>62</v>
      </c>
      <c r="AB185" s="4" t="s">
        <v>62</v>
      </c>
      <c r="AC185" s="4" t="s">
        <v>62</v>
      </c>
      <c r="AD185" s="4" t="s">
        <v>62</v>
      </c>
      <c r="AE185" s="4" t="s">
        <v>62</v>
      </c>
      <c r="AF185" s="4" t="s">
        <v>62</v>
      </c>
      <c r="AG185" s="4" t="s">
        <v>62</v>
      </c>
      <c r="AH185" s="4" t="s">
        <v>62</v>
      </c>
    </row>
    <row r="186" spans="2:34">
      <c r="B186" s="148">
        <v>18</v>
      </c>
      <c r="C186" s="90" t="str">
        <f>LEFT(EmpGName18)&amp;" " &amp;EmpSName18</f>
        <v>F Odd10</v>
      </c>
      <c r="D186" s="3" t="s">
        <v>62</v>
      </c>
      <c r="E186" s="3" t="s">
        <v>62</v>
      </c>
      <c r="F186" s="3" t="s">
        <v>62</v>
      </c>
      <c r="G186" s="3" t="s">
        <v>62</v>
      </c>
      <c r="H186" s="3" t="s">
        <v>62</v>
      </c>
      <c r="I186" s="3" t="s">
        <v>62</v>
      </c>
      <c r="J186" s="3" t="s">
        <v>62</v>
      </c>
      <c r="K186" s="3" t="s">
        <v>62</v>
      </c>
      <c r="L186" s="3" t="s">
        <v>62</v>
      </c>
      <c r="M186" s="3" t="s">
        <v>62</v>
      </c>
      <c r="N186" s="3" t="s">
        <v>62</v>
      </c>
      <c r="O186" s="3" t="s">
        <v>62</v>
      </c>
      <c r="P186" s="3" t="s">
        <v>62</v>
      </c>
      <c r="Q186" s="3" t="s">
        <v>62</v>
      </c>
      <c r="R186" s="3" t="s">
        <v>62</v>
      </c>
      <c r="S186" s="3" t="s">
        <v>62</v>
      </c>
      <c r="T186" s="3" t="s">
        <v>62</v>
      </c>
      <c r="U186" s="3" t="s">
        <v>62</v>
      </c>
      <c r="V186" s="3" t="s">
        <v>62</v>
      </c>
      <c r="W186" s="3" t="s">
        <v>62</v>
      </c>
      <c r="X186" s="3" t="s">
        <v>62</v>
      </c>
      <c r="Y186" s="3" t="s">
        <v>62</v>
      </c>
      <c r="Z186" s="3" t="s">
        <v>62</v>
      </c>
      <c r="AA186" s="3" t="s">
        <v>62</v>
      </c>
      <c r="AB186" s="3" t="s">
        <v>62</v>
      </c>
      <c r="AC186" s="3" t="s">
        <v>62</v>
      </c>
      <c r="AD186" s="3" t="s">
        <v>62</v>
      </c>
      <c r="AE186" s="3" t="s">
        <v>62</v>
      </c>
      <c r="AF186" s="3" t="s">
        <v>62</v>
      </c>
      <c r="AG186" s="3" t="s">
        <v>62</v>
      </c>
      <c r="AH186" s="3" t="s">
        <v>62</v>
      </c>
    </row>
    <row r="187" spans="2:34">
      <c r="B187" s="148">
        <v>19</v>
      </c>
      <c r="C187" s="89" t="str">
        <f>LEFT(EmpGName19)&amp;" " &amp;EmpSName19</f>
        <v>G Odd11</v>
      </c>
      <c r="D187" s="4" t="s">
        <v>62</v>
      </c>
      <c r="E187" s="4" t="s">
        <v>62</v>
      </c>
      <c r="F187" s="4" t="s">
        <v>62</v>
      </c>
      <c r="G187" s="4" t="s">
        <v>62</v>
      </c>
      <c r="H187" s="4" t="s">
        <v>62</v>
      </c>
      <c r="I187" s="4" t="s">
        <v>62</v>
      </c>
      <c r="J187" s="4" t="s">
        <v>62</v>
      </c>
      <c r="K187" s="4" t="s">
        <v>62</v>
      </c>
      <c r="L187" s="4" t="s">
        <v>62</v>
      </c>
      <c r="M187" s="4" t="s">
        <v>62</v>
      </c>
      <c r="N187" s="4" t="s">
        <v>62</v>
      </c>
      <c r="O187" s="4" t="s">
        <v>62</v>
      </c>
      <c r="P187" s="4" t="s">
        <v>62</v>
      </c>
      <c r="Q187" s="4" t="s">
        <v>62</v>
      </c>
      <c r="R187" s="4" t="s">
        <v>62</v>
      </c>
      <c r="S187" s="4" t="s">
        <v>62</v>
      </c>
      <c r="T187" s="4" t="s">
        <v>62</v>
      </c>
      <c r="U187" s="4" t="s">
        <v>62</v>
      </c>
      <c r="V187" s="4" t="s">
        <v>62</v>
      </c>
      <c r="W187" s="4" t="s">
        <v>62</v>
      </c>
      <c r="X187" s="4" t="s">
        <v>62</v>
      </c>
      <c r="Y187" s="4" t="s">
        <v>62</v>
      </c>
      <c r="Z187" s="4" t="s">
        <v>62</v>
      </c>
      <c r="AA187" s="4" t="s">
        <v>62</v>
      </c>
      <c r="AB187" s="4" t="s">
        <v>62</v>
      </c>
      <c r="AC187" s="4" t="s">
        <v>62</v>
      </c>
      <c r="AD187" s="4" t="s">
        <v>62</v>
      </c>
      <c r="AE187" s="4" t="s">
        <v>62</v>
      </c>
      <c r="AF187" s="4" t="s">
        <v>62</v>
      </c>
      <c r="AG187" s="4" t="s">
        <v>62</v>
      </c>
      <c r="AH187" s="4" t="s">
        <v>62</v>
      </c>
    </row>
    <row r="188" spans="2:34">
      <c r="B188" s="148">
        <v>20</v>
      </c>
      <c r="C188" s="90" t="str">
        <f>LEFT(EmpGName20)&amp;" " &amp;EmpSName20</f>
        <v>H Odd12</v>
      </c>
      <c r="D188" s="3" t="s">
        <v>62</v>
      </c>
      <c r="E188" s="3" t="s">
        <v>62</v>
      </c>
      <c r="F188" s="3" t="s">
        <v>62</v>
      </c>
      <c r="G188" s="3" t="s">
        <v>62</v>
      </c>
      <c r="H188" s="3" t="s">
        <v>62</v>
      </c>
      <c r="I188" s="3" t="s">
        <v>62</v>
      </c>
      <c r="J188" s="3" t="s">
        <v>62</v>
      </c>
      <c r="K188" s="3" t="s">
        <v>62</v>
      </c>
      <c r="L188" s="3" t="s">
        <v>62</v>
      </c>
      <c r="M188" s="3" t="s">
        <v>62</v>
      </c>
      <c r="N188" s="3" t="s">
        <v>62</v>
      </c>
      <c r="O188" s="3" t="s">
        <v>62</v>
      </c>
      <c r="P188" s="3" t="s">
        <v>62</v>
      </c>
      <c r="Q188" s="3" t="s">
        <v>62</v>
      </c>
      <c r="R188" s="3" t="s">
        <v>62</v>
      </c>
      <c r="S188" s="3" t="s">
        <v>62</v>
      </c>
      <c r="T188" s="3" t="s">
        <v>62</v>
      </c>
      <c r="U188" s="3" t="s">
        <v>62</v>
      </c>
      <c r="V188" s="3" t="s">
        <v>62</v>
      </c>
      <c r="W188" s="3" t="s">
        <v>62</v>
      </c>
      <c r="X188" s="3" t="s">
        <v>62</v>
      </c>
      <c r="Y188" s="3" t="s">
        <v>62</v>
      </c>
      <c r="Z188" s="3" t="s">
        <v>62</v>
      </c>
      <c r="AA188" s="3" t="s">
        <v>62</v>
      </c>
      <c r="AB188" s="3" t="s">
        <v>62</v>
      </c>
      <c r="AC188" s="3" t="s">
        <v>62</v>
      </c>
      <c r="AD188" s="3" t="s">
        <v>62</v>
      </c>
      <c r="AE188" s="3" t="s">
        <v>62</v>
      </c>
      <c r="AF188" s="3" t="s">
        <v>62</v>
      </c>
      <c r="AG188" s="3" t="s">
        <v>62</v>
      </c>
      <c r="AH188" s="3" t="s">
        <v>62</v>
      </c>
    </row>
    <row r="189" spans="2:34">
      <c r="B189" s="148">
        <v>21</v>
      </c>
      <c r="C189" s="89" t="str">
        <f>LEFT(EmpGName21)&amp;" " &amp;EmpSName21</f>
        <v>I Odd13</v>
      </c>
      <c r="D189" s="4" t="s">
        <v>62</v>
      </c>
      <c r="E189" s="4" t="s">
        <v>62</v>
      </c>
      <c r="F189" s="4" t="s">
        <v>62</v>
      </c>
      <c r="G189" s="4" t="s">
        <v>62</v>
      </c>
      <c r="H189" s="4" t="s">
        <v>62</v>
      </c>
      <c r="I189" s="4" t="s">
        <v>62</v>
      </c>
      <c r="J189" s="4" t="s">
        <v>62</v>
      </c>
      <c r="K189" s="4" t="s">
        <v>62</v>
      </c>
      <c r="L189" s="4" t="s">
        <v>62</v>
      </c>
      <c r="M189" s="4" t="s">
        <v>62</v>
      </c>
      <c r="N189" s="4" t="s">
        <v>62</v>
      </c>
      <c r="O189" s="4" t="s">
        <v>62</v>
      </c>
      <c r="P189" s="4" t="s">
        <v>62</v>
      </c>
      <c r="Q189" s="4" t="s">
        <v>62</v>
      </c>
      <c r="R189" s="4" t="s">
        <v>62</v>
      </c>
      <c r="S189" s="4" t="s">
        <v>62</v>
      </c>
      <c r="T189" s="4" t="s">
        <v>62</v>
      </c>
      <c r="U189" s="4" t="s">
        <v>62</v>
      </c>
      <c r="V189" s="4" t="s">
        <v>62</v>
      </c>
      <c r="W189" s="4" t="s">
        <v>62</v>
      </c>
      <c r="X189" s="4" t="s">
        <v>62</v>
      </c>
      <c r="Y189" s="4" t="s">
        <v>62</v>
      </c>
      <c r="Z189" s="4" t="s">
        <v>62</v>
      </c>
      <c r="AA189" s="4" t="s">
        <v>62</v>
      </c>
      <c r="AB189" s="4" t="s">
        <v>62</v>
      </c>
      <c r="AC189" s="4" t="s">
        <v>62</v>
      </c>
      <c r="AD189" s="4" t="s">
        <v>62</v>
      </c>
      <c r="AE189" s="4" t="s">
        <v>62</v>
      </c>
      <c r="AF189" s="4" t="s">
        <v>62</v>
      </c>
      <c r="AG189" s="4" t="s">
        <v>62</v>
      </c>
      <c r="AH189" s="4" t="s">
        <v>62</v>
      </c>
    </row>
    <row r="190" spans="2:34">
      <c r="B190" s="148">
        <v>22</v>
      </c>
      <c r="C190" s="90" t="str">
        <f>LEFT(EmpGName22)&amp;" " &amp;EmpSName22</f>
        <v>J Odd14</v>
      </c>
      <c r="D190" s="3" t="s">
        <v>62</v>
      </c>
      <c r="E190" s="3" t="s">
        <v>62</v>
      </c>
      <c r="F190" s="3" t="s">
        <v>62</v>
      </c>
      <c r="G190" s="3" t="s">
        <v>62</v>
      </c>
      <c r="H190" s="3" t="s">
        <v>62</v>
      </c>
      <c r="I190" s="3" t="s">
        <v>62</v>
      </c>
      <c r="J190" s="3" t="s">
        <v>62</v>
      </c>
      <c r="K190" s="3" t="s">
        <v>62</v>
      </c>
      <c r="L190" s="3" t="s">
        <v>62</v>
      </c>
      <c r="M190" s="3" t="s">
        <v>62</v>
      </c>
      <c r="N190" s="3" t="s">
        <v>62</v>
      </c>
      <c r="O190" s="3" t="s">
        <v>62</v>
      </c>
      <c r="P190" s="3" t="s">
        <v>62</v>
      </c>
      <c r="Q190" s="3" t="s">
        <v>62</v>
      </c>
      <c r="R190" s="3" t="s">
        <v>62</v>
      </c>
      <c r="S190" s="3" t="s">
        <v>62</v>
      </c>
      <c r="T190" s="3" t="s">
        <v>62</v>
      </c>
      <c r="U190" s="3" t="s">
        <v>62</v>
      </c>
      <c r="V190" s="3" t="s">
        <v>62</v>
      </c>
      <c r="W190" s="3" t="s">
        <v>62</v>
      </c>
      <c r="X190" s="3" t="s">
        <v>62</v>
      </c>
      <c r="Y190" s="3" t="s">
        <v>62</v>
      </c>
      <c r="Z190" s="3" t="s">
        <v>62</v>
      </c>
      <c r="AA190" s="3" t="s">
        <v>62</v>
      </c>
      <c r="AB190" s="3" t="s">
        <v>62</v>
      </c>
      <c r="AC190" s="3" t="s">
        <v>62</v>
      </c>
      <c r="AD190" s="3" t="s">
        <v>62</v>
      </c>
      <c r="AE190" s="3" t="s">
        <v>62</v>
      </c>
      <c r="AF190" s="3" t="s">
        <v>62</v>
      </c>
      <c r="AG190" s="3" t="s">
        <v>62</v>
      </c>
      <c r="AH190" s="3" t="s">
        <v>62</v>
      </c>
    </row>
    <row r="191" spans="2:34">
      <c r="B191" s="148">
        <v>23</v>
      </c>
      <c r="C191" s="89" t="str">
        <f>LEFT(EmpGName23)&amp;" " &amp;EmpSName23</f>
        <v>K Odd15</v>
      </c>
      <c r="D191" s="4" t="s">
        <v>62</v>
      </c>
      <c r="E191" s="4" t="s">
        <v>62</v>
      </c>
      <c r="F191" s="4" t="s">
        <v>62</v>
      </c>
      <c r="G191" s="4" t="s">
        <v>62</v>
      </c>
      <c r="H191" s="4" t="s">
        <v>62</v>
      </c>
      <c r="I191" s="4" t="s">
        <v>62</v>
      </c>
      <c r="J191" s="4" t="s">
        <v>62</v>
      </c>
      <c r="K191" s="4" t="s">
        <v>62</v>
      </c>
      <c r="L191" s="4" t="s">
        <v>62</v>
      </c>
      <c r="M191" s="4" t="s">
        <v>62</v>
      </c>
      <c r="N191" s="4" t="s">
        <v>62</v>
      </c>
      <c r="O191" s="4" t="s">
        <v>62</v>
      </c>
      <c r="P191" s="4" t="s">
        <v>62</v>
      </c>
      <c r="Q191" s="4" t="s">
        <v>62</v>
      </c>
      <c r="R191" s="4" t="s">
        <v>62</v>
      </c>
      <c r="S191" s="4" t="s">
        <v>62</v>
      </c>
      <c r="T191" s="4" t="s">
        <v>62</v>
      </c>
      <c r="U191" s="4" t="s">
        <v>62</v>
      </c>
      <c r="V191" s="4" t="s">
        <v>62</v>
      </c>
      <c r="W191" s="4" t="s">
        <v>62</v>
      </c>
      <c r="X191" s="4" t="s">
        <v>62</v>
      </c>
      <c r="Y191" s="4" t="s">
        <v>62</v>
      </c>
      <c r="Z191" s="4" t="s">
        <v>62</v>
      </c>
      <c r="AA191" s="4" t="s">
        <v>62</v>
      </c>
      <c r="AB191" s="4" t="s">
        <v>62</v>
      </c>
      <c r="AC191" s="4" t="s">
        <v>62</v>
      </c>
      <c r="AD191" s="4" t="s">
        <v>62</v>
      </c>
      <c r="AE191" s="4" t="s">
        <v>62</v>
      </c>
      <c r="AF191" s="4" t="s">
        <v>62</v>
      </c>
      <c r="AG191" s="4" t="s">
        <v>62</v>
      </c>
      <c r="AH191" s="4" t="s">
        <v>62</v>
      </c>
    </row>
    <row r="192" spans="2:34">
      <c r="B192" s="148">
        <v>24</v>
      </c>
      <c r="C192" s="90" t="str">
        <f>LEFT(EmpGName24)&amp;" " &amp;EmpSName24</f>
        <v>L Odd16</v>
      </c>
      <c r="D192" s="3" t="s">
        <v>62</v>
      </c>
      <c r="E192" s="3" t="s">
        <v>62</v>
      </c>
      <c r="F192" s="3" t="s">
        <v>62</v>
      </c>
      <c r="G192" s="3" t="s">
        <v>62</v>
      </c>
      <c r="H192" s="3" t="s">
        <v>62</v>
      </c>
      <c r="I192" s="3" t="s">
        <v>62</v>
      </c>
      <c r="J192" s="3" t="s">
        <v>62</v>
      </c>
      <c r="K192" s="3" t="s">
        <v>62</v>
      </c>
      <c r="L192" s="3" t="s">
        <v>62</v>
      </c>
      <c r="M192" s="3" t="s">
        <v>62</v>
      </c>
      <c r="N192" s="3" t="s">
        <v>62</v>
      </c>
      <c r="O192" s="3" t="s">
        <v>62</v>
      </c>
      <c r="P192" s="3" t="s">
        <v>62</v>
      </c>
      <c r="Q192" s="3" t="s">
        <v>62</v>
      </c>
      <c r="R192" s="3" t="s">
        <v>62</v>
      </c>
      <c r="S192" s="3" t="s">
        <v>62</v>
      </c>
      <c r="T192" s="3" t="s">
        <v>62</v>
      </c>
      <c r="U192" s="3" t="s">
        <v>62</v>
      </c>
      <c r="V192" s="3" t="s">
        <v>62</v>
      </c>
      <c r="W192" s="3" t="s">
        <v>62</v>
      </c>
      <c r="X192" s="3" t="s">
        <v>62</v>
      </c>
      <c r="Y192" s="3" t="s">
        <v>62</v>
      </c>
      <c r="Z192" s="3" t="s">
        <v>62</v>
      </c>
      <c r="AA192" s="3" t="s">
        <v>62</v>
      </c>
      <c r="AB192" s="3" t="s">
        <v>62</v>
      </c>
      <c r="AC192" s="3" t="s">
        <v>62</v>
      </c>
      <c r="AD192" s="3" t="s">
        <v>62</v>
      </c>
      <c r="AE192" s="3" t="s">
        <v>62</v>
      </c>
      <c r="AF192" s="3" t="s">
        <v>62</v>
      </c>
      <c r="AG192" s="3" t="s">
        <v>62</v>
      </c>
      <c r="AH192" s="3" t="s">
        <v>62</v>
      </c>
    </row>
    <row r="193" spans="2:34">
      <c r="B193" s="148">
        <v>25</v>
      </c>
      <c r="C193" s="89" t="str">
        <f>LEFT(EmpGName25)&amp;" " &amp;EmpSName25</f>
        <v>M Odd17</v>
      </c>
      <c r="D193" s="4" t="s">
        <v>62</v>
      </c>
      <c r="E193" s="4" t="s">
        <v>62</v>
      </c>
      <c r="F193" s="4" t="s">
        <v>62</v>
      </c>
      <c r="G193" s="4" t="s">
        <v>62</v>
      </c>
      <c r="H193" s="4" t="s">
        <v>62</v>
      </c>
      <c r="I193" s="4" t="s">
        <v>62</v>
      </c>
      <c r="J193" s="4" t="s">
        <v>62</v>
      </c>
      <c r="K193" s="4" t="s">
        <v>62</v>
      </c>
      <c r="L193" s="4" t="s">
        <v>62</v>
      </c>
      <c r="M193" s="4" t="s">
        <v>62</v>
      </c>
      <c r="N193" s="4" t="s">
        <v>62</v>
      </c>
      <c r="O193" s="4" t="s">
        <v>62</v>
      </c>
      <c r="P193" s="4" t="s">
        <v>62</v>
      </c>
      <c r="Q193" s="4" t="s">
        <v>62</v>
      </c>
      <c r="R193" s="4" t="s">
        <v>62</v>
      </c>
      <c r="S193" s="4" t="s">
        <v>62</v>
      </c>
      <c r="T193" s="4" t="s">
        <v>62</v>
      </c>
      <c r="U193" s="4" t="s">
        <v>62</v>
      </c>
      <c r="V193" s="4" t="s">
        <v>62</v>
      </c>
      <c r="W193" s="4" t="s">
        <v>62</v>
      </c>
      <c r="X193" s="4" t="s">
        <v>62</v>
      </c>
      <c r="Y193" s="4" t="s">
        <v>62</v>
      </c>
      <c r="Z193" s="4" t="s">
        <v>62</v>
      </c>
      <c r="AA193" s="4" t="s">
        <v>62</v>
      </c>
      <c r="AB193" s="4" t="s">
        <v>62</v>
      </c>
      <c r="AC193" s="4" t="s">
        <v>62</v>
      </c>
      <c r="AD193" s="4" t="s">
        <v>62</v>
      </c>
      <c r="AE193" s="4" t="s">
        <v>62</v>
      </c>
      <c r="AF193" s="4" t="s">
        <v>62</v>
      </c>
      <c r="AG193" s="4" t="s">
        <v>62</v>
      </c>
      <c r="AH193" s="4" t="s">
        <v>62</v>
      </c>
    </row>
    <row r="194" spans="2:34">
      <c r="B194" s="148">
        <v>26</v>
      </c>
      <c r="C194" s="90" t="str">
        <f>LEFT(EmpGName26)&amp;" " &amp;EmpSName26</f>
        <v>N Odd18</v>
      </c>
      <c r="D194" s="3" t="s">
        <v>62</v>
      </c>
      <c r="E194" s="3" t="s">
        <v>62</v>
      </c>
      <c r="F194" s="3" t="s">
        <v>62</v>
      </c>
      <c r="G194" s="3" t="s">
        <v>62</v>
      </c>
      <c r="H194" s="3" t="s">
        <v>62</v>
      </c>
      <c r="I194" s="3" t="s">
        <v>62</v>
      </c>
      <c r="J194" s="3" t="s">
        <v>62</v>
      </c>
      <c r="K194" s="3" t="s">
        <v>62</v>
      </c>
      <c r="L194" s="3" t="s">
        <v>62</v>
      </c>
      <c r="M194" s="3" t="s">
        <v>62</v>
      </c>
      <c r="N194" s="3" t="s">
        <v>62</v>
      </c>
      <c r="O194" s="3" t="s">
        <v>62</v>
      </c>
      <c r="P194" s="3" t="s">
        <v>62</v>
      </c>
      <c r="Q194" s="3" t="s">
        <v>62</v>
      </c>
      <c r="R194" s="3" t="s">
        <v>62</v>
      </c>
      <c r="S194" s="3" t="s">
        <v>62</v>
      </c>
      <c r="T194" s="3" t="s">
        <v>62</v>
      </c>
      <c r="U194" s="3" t="s">
        <v>62</v>
      </c>
      <c r="V194" s="3" t="s">
        <v>62</v>
      </c>
      <c r="W194" s="3" t="s">
        <v>62</v>
      </c>
      <c r="X194" s="3" t="s">
        <v>62</v>
      </c>
      <c r="Y194" s="3" t="s">
        <v>62</v>
      </c>
      <c r="Z194" s="3" t="s">
        <v>62</v>
      </c>
      <c r="AA194" s="3" t="s">
        <v>62</v>
      </c>
      <c r="AB194" s="3" t="s">
        <v>62</v>
      </c>
      <c r="AC194" s="3" t="s">
        <v>62</v>
      </c>
      <c r="AD194" s="3" t="s">
        <v>62</v>
      </c>
      <c r="AE194" s="3" t="s">
        <v>62</v>
      </c>
      <c r="AF194" s="3" t="s">
        <v>62</v>
      </c>
      <c r="AG194" s="3" t="s">
        <v>62</v>
      </c>
      <c r="AH194" s="3" t="s">
        <v>62</v>
      </c>
    </row>
    <row r="195" spans="2:34">
      <c r="B195" s="148">
        <v>27</v>
      </c>
      <c r="C195" s="89" t="str">
        <f>LEFT(EmpGName27)&amp;" " &amp;EmpSName27</f>
        <v>O Odd19</v>
      </c>
      <c r="D195" s="4" t="s">
        <v>62</v>
      </c>
      <c r="E195" s="4" t="s">
        <v>62</v>
      </c>
      <c r="F195" s="4" t="s">
        <v>62</v>
      </c>
      <c r="G195" s="4" t="s">
        <v>62</v>
      </c>
      <c r="H195" s="4" t="s">
        <v>62</v>
      </c>
      <c r="I195" s="4" t="s">
        <v>62</v>
      </c>
      <c r="J195" s="4" t="s">
        <v>62</v>
      </c>
      <c r="K195" s="4" t="s">
        <v>62</v>
      </c>
      <c r="L195" s="4" t="s">
        <v>62</v>
      </c>
      <c r="M195" s="4" t="s">
        <v>62</v>
      </c>
      <c r="N195" s="4" t="s">
        <v>62</v>
      </c>
      <c r="O195" s="4" t="s">
        <v>62</v>
      </c>
      <c r="P195" s="4" t="s">
        <v>62</v>
      </c>
      <c r="Q195" s="4" t="s">
        <v>62</v>
      </c>
      <c r="R195" s="4" t="s">
        <v>62</v>
      </c>
      <c r="S195" s="4" t="s">
        <v>62</v>
      </c>
      <c r="T195" s="4" t="s">
        <v>62</v>
      </c>
      <c r="U195" s="4" t="s">
        <v>62</v>
      </c>
      <c r="V195" s="4" t="s">
        <v>62</v>
      </c>
      <c r="W195" s="4" t="s">
        <v>62</v>
      </c>
      <c r="X195" s="4" t="s">
        <v>62</v>
      </c>
      <c r="Y195" s="4" t="s">
        <v>62</v>
      </c>
      <c r="Z195" s="4" t="s">
        <v>62</v>
      </c>
      <c r="AA195" s="4" t="s">
        <v>62</v>
      </c>
      <c r="AB195" s="4" t="s">
        <v>62</v>
      </c>
      <c r="AC195" s="4" t="s">
        <v>62</v>
      </c>
      <c r="AD195" s="4" t="s">
        <v>62</v>
      </c>
      <c r="AE195" s="4" t="s">
        <v>62</v>
      </c>
      <c r="AF195" s="4" t="s">
        <v>62</v>
      </c>
      <c r="AG195" s="4" t="s">
        <v>62</v>
      </c>
      <c r="AH195" s="4" t="s">
        <v>62</v>
      </c>
    </row>
    <row r="196" spans="2:34">
      <c r="B196" s="148">
        <v>28</v>
      </c>
      <c r="C196" s="90" t="str">
        <f>LEFT(EmpGName28)&amp;" " &amp;EmpSName28</f>
        <v>P Odd20</v>
      </c>
      <c r="D196" s="3" t="s">
        <v>62</v>
      </c>
      <c r="E196" s="3" t="s">
        <v>62</v>
      </c>
      <c r="F196" s="3" t="s">
        <v>62</v>
      </c>
      <c r="G196" s="3" t="s">
        <v>62</v>
      </c>
      <c r="H196" s="3" t="s">
        <v>62</v>
      </c>
      <c r="I196" s="3" t="s">
        <v>62</v>
      </c>
      <c r="J196" s="3" t="s">
        <v>62</v>
      </c>
      <c r="K196" s="3" t="s">
        <v>62</v>
      </c>
      <c r="L196" s="3" t="s">
        <v>62</v>
      </c>
      <c r="M196" s="3" t="s">
        <v>62</v>
      </c>
      <c r="N196" s="3" t="s">
        <v>62</v>
      </c>
      <c r="O196" s="3" t="s">
        <v>62</v>
      </c>
      <c r="P196" s="3" t="s">
        <v>62</v>
      </c>
      <c r="Q196" s="3" t="s">
        <v>62</v>
      </c>
      <c r="R196" s="3" t="s">
        <v>62</v>
      </c>
      <c r="S196" s="3" t="s">
        <v>62</v>
      </c>
      <c r="T196" s="3" t="s">
        <v>62</v>
      </c>
      <c r="U196" s="3" t="s">
        <v>62</v>
      </c>
      <c r="V196" s="3" t="s">
        <v>62</v>
      </c>
      <c r="W196" s="3" t="s">
        <v>62</v>
      </c>
      <c r="X196" s="3" t="s">
        <v>62</v>
      </c>
      <c r="Y196" s="3" t="s">
        <v>62</v>
      </c>
      <c r="Z196" s="3" t="s">
        <v>62</v>
      </c>
      <c r="AA196" s="3" t="s">
        <v>62</v>
      </c>
      <c r="AB196" s="3" t="s">
        <v>62</v>
      </c>
      <c r="AC196" s="3" t="s">
        <v>62</v>
      </c>
      <c r="AD196" s="3" t="s">
        <v>62</v>
      </c>
      <c r="AE196" s="3" t="s">
        <v>62</v>
      </c>
      <c r="AF196" s="3" t="s">
        <v>62</v>
      </c>
      <c r="AG196" s="3" t="s">
        <v>62</v>
      </c>
      <c r="AH196" s="3" t="s">
        <v>62</v>
      </c>
    </row>
    <row r="198" spans="2:34">
      <c r="C198" t="str">
        <f>CurYear&amp;":"</f>
        <v>2019:</v>
      </c>
      <c r="D198" s="5" t="str">
        <f>LEFT(TEXT(D199&amp;"-"&amp;$C$199&amp;"-"&amp;CurYear,"ddd"),2)</f>
        <v>Tu</v>
      </c>
      <c r="E198" s="5" t="str">
        <f>LEFT(TEXT(E199&amp;"-"&amp;$C$199&amp;"-"&amp;CurYear,"ddd"),2)</f>
        <v>We</v>
      </c>
      <c r="F198" s="5" t="str">
        <f>LEFT(TEXT(F199&amp;"-"&amp;$C$199&amp;"-"&amp;CurYear,"ddd"),2)</f>
        <v>Th</v>
      </c>
      <c r="G198" s="5" t="str">
        <f>LEFT(TEXT(G199&amp;"-"&amp;$C$199&amp;"-"&amp;CurYear,"ddd"),2)</f>
        <v>Fr</v>
      </c>
      <c r="H198" s="5" t="str">
        <f>LEFT(TEXT(H199&amp;"-"&amp;$C$199&amp;"-"&amp;CurYear,"ddd"),2)</f>
        <v>Sa</v>
      </c>
      <c r="I198" s="5" t="str">
        <f>LEFT(TEXT(I199&amp;"-"&amp;$C$199&amp;"-"&amp;CurYear,"ddd"),2)</f>
        <v>Su</v>
      </c>
      <c r="J198" s="5" t="str">
        <f>LEFT(TEXT(J199&amp;"-"&amp;$C$199&amp;"-"&amp;CurYear,"ddd"),2)</f>
        <v>Mo</v>
      </c>
      <c r="K198" s="5" t="str">
        <f>LEFT(TEXT(K199&amp;"-"&amp;$C$199&amp;"-"&amp;CurYear,"ddd"),2)</f>
        <v>Tu</v>
      </c>
      <c r="L198" s="5" t="str">
        <f>LEFT(TEXT(L199&amp;"-"&amp;$C$199&amp;"-"&amp;CurYear,"ddd"),2)</f>
        <v>We</v>
      </c>
      <c r="M198" s="5" t="str">
        <f>LEFT(TEXT(M199&amp;"-"&amp;$C$199&amp;"-"&amp;CurYear,"ddd"),2)</f>
        <v>Th</v>
      </c>
      <c r="N198" s="5" t="str">
        <f>LEFT(TEXT(N199&amp;"-"&amp;$C$199&amp;"-"&amp;CurYear,"ddd"),2)</f>
        <v>Fr</v>
      </c>
      <c r="O198" s="5" t="str">
        <f>LEFT(TEXT(O199&amp;"-"&amp;$C$199&amp;"-"&amp;CurYear,"ddd"),2)</f>
        <v>Sa</v>
      </c>
      <c r="P198" s="5" t="str">
        <f>LEFT(TEXT(P199&amp;"-"&amp;$C$199&amp;"-"&amp;CurYear,"ddd"),2)</f>
        <v>Su</v>
      </c>
      <c r="Q198" s="5" t="str">
        <f>LEFT(TEXT(Q199&amp;"-"&amp;$C$199&amp;"-"&amp;CurYear,"ddd"),2)</f>
        <v>Mo</v>
      </c>
      <c r="R198" s="5" t="str">
        <f>LEFT(TEXT(R199&amp;"-"&amp;$C$199&amp;"-"&amp;CurYear,"ddd"),2)</f>
        <v>Tu</v>
      </c>
      <c r="S198" s="5" t="str">
        <f>LEFT(TEXT(S199&amp;"-"&amp;$C$199&amp;"-"&amp;CurYear,"ddd"),2)</f>
        <v>We</v>
      </c>
      <c r="T198" s="5" t="str">
        <f>LEFT(TEXT(T199&amp;"-"&amp;$C$199&amp;"-"&amp;CurYear,"ddd"),2)</f>
        <v>Th</v>
      </c>
      <c r="U198" s="5" t="str">
        <f>LEFT(TEXT(U199&amp;"-"&amp;$C$199&amp;"-"&amp;CurYear,"ddd"),2)</f>
        <v>Fr</v>
      </c>
      <c r="V198" s="5" t="str">
        <f>LEFT(TEXT(V199&amp;"-"&amp;$C$199&amp;"-"&amp;CurYear,"ddd"),2)</f>
        <v>Sa</v>
      </c>
      <c r="W198" s="5" t="str">
        <f>LEFT(TEXT(W199&amp;"-"&amp;$C$199&amp;"-"&amp;CurYear,"ddd"),2)</f>
        <v>Su</v>
      </c>
      <c r="X198" s="5" t="str">
        <f>LEFT(TEXT(X199&amp;"-"&amp;$C$199&amp;"-"&amp;CurYear,"ddd"),2)</f>
        <v>Mo</v>
      </c>
      <c r="Y198" s="5" t="str">
        <f>LEFT(TEXT(Y199&amp;"-"&amp;$C$199&amp;"-"&amp;CurYear,"ddd"),2)</f>
        <v>Tu</v>
      </c>
      <c r="Z198" s="5" t="str">
        <f>LEFT(TEXT(Z199&amp;"-"&amp;$C$199&amp;"-"&amp;CurYear,"ddd"),2)</f>
        <v>We</v>
      </c>
      <c r="AA198" s="5" t="str">
        <f>LEFT(TEXT(AA199&amp;"-"&amp;$C$199&amp;"-"&amp;CurYear,"ddd"),2)</f>
        <v>Th</v>
      </c>
      <c r="AB198" s="5" t="str">
        <f>LEFT(TEXT(AB199&amp;"-"&amp;$C$199&amp;"-"&amp;CurYear,"ddd"),2)</f>
        <v>Fr</v>
      </c>
      <c r="AC198" s="5" t="str">
        <f>LEFT(TEXT(AC199&amp;"-"&amp;$C$199&amp;"-"&amp;CurYear,"ddd"),2)</f>
        <v>Sa</v>
      </c>
      <c r="AD198" s="5" t="str">
        <f>LEFT(TEXT(AD199&amp;"-"&amp;$C$199&amp;"-"&amp;CurYear,"ddd"),2)</f>
        <v>Su</v>
      </c>
      <c r="AE198" s="5" t="str">
        <f>LEFT(TEXT(AE199&amp;"-"&amp;$C$199&amp;"-"&amp;CurYear,"ddd"),2)</f>
        <v>Mo</v>
      </c>
      <c r="AF198" s="5" t="str">
        <f>LEFT(TEXT(AF199&amp;"-"&amp;$C$199&amp;"-"&amp;CurYear,"ddd"),2)</f>
        <v>Tu</v>
      </c>
      <c r="AG198" s="5" t="str">
        <f>LEFT(TEXT(AG199&amp;"-"&amp;$C$199&amp;"-"&amp;CurYear,"ddd"),2)</f>
        <v>We</v>
      </c>
      <c r="AH198" s="5" t="str">
        <f>LEFT(TEXT(AH199&amp;"-"&amp;$C$199&amp;"-"&amp;CurYear,"ddd"),2)</f>
        <v>Th</v>
      </c>
    </row>
    <row r="199" spans="2:34">
      <c r="B199" s="86"/>
      <c r="C199" s="84" t="s">
        <v>8</v>
      </c>
      <c r="D199" s="85">
        <v>1</v>
      </c>
      <c r="E199" s="85">
        <v>2</v>
      </c>
      <c r="F199" s="85">
        <v>3</v>
      </c>
      <c r="G199" s="176">
        <v>4</v>
      </c>
      <c r="H199" s="85">
        <v>5</v>
      </c>
      <c r="I199" s="85">
        <v>6</v>
      </c>
      <c r="J199" s="85">
        <v>7</v>
      </c>
      <c r="K199" s="85">
        <v>8</v>
      </c>
      <c r="L199" s="85">
        <v>9</v>
      </c>
      <c r="M199" s="85">
        <v>10</v>
      </c>
      <c r="N199" s="85">
        <v>11</v>
      </c>
      <c r="O199" s="85">
        <v>12</v>
      </c>
      <c r="P199" s="85">
        <v>13</v>
      </c>
      <c r="Q199" s="85">
        <v>14</v>
      </c>
      <c r="R199" s="85">
        <v>15</v>
      </c>
      <c r="S199" s="85">
        <v>16</v>
      </c>
      <c r="T199" s="85">
        <v>17</v>
      </c>
      <c r="U199" s="176">
        <v>18</v>
      </c>
      <c r="V199" s="85">
        <v>19</v>
      </c>
      <c r="W199" s="85">
        <v>20</v>
      </c>
      <c r="X199" s="85">
        <v>21</v>
      </c>
      <c r="Y199" s="85">
        <v>22</v>
      </c>
      <c r="Z199" s="85">
        <v>23</v>
      </c>
      <c r="AA199" s="85">
        <v>24</v>
      </c>
      <c r="AB199" s="85">
        <v>25</v>
      </c>
      <c r="AC199" s="85">
        <v>26</v>
      </c>
      <c r="AD199" s="85">
        <v>27</v>
      </c>
      <c r="AE199" s="85">
        <v>28</v>
      </c>
      <c r="AF199" s="85">
        <v>29</v>
      </c>
      <c r="AG199" s="85">
        <v>30</v>
      </c>
      <c r="AH199" s="85">
        <v>31</v>
      </c>
    </row>
    <row r="200" spans="2:34">
      <c r="B200" s="83">
        <v>1</v>
      </c>
      <c r="C200" s="89" t="str">
        <f>LEFT(EmpGName01)&amp;" " &amp; EmpSName01</f>
        <v>L Marampon</v>
      </c>
      <c r="D200" s="82" t="s">
        <v>62</v>
      </c>
      <c r="E200" s="82" t="s">
        <v>62</v>
      </c>
      <c r="F200" s="4" t="s">
        <v>62</v>
      </c>
      <c r="G200" s="4" t="s">
        <v>62</v>
      </c>
      <c r="H200" s="4" t="s">
        <v>62</v>
      </c>
      <c r="I200" s="4" t="s">
        <v>62</v>
      </c>
      <c r="J200" s="4" t="s">
        <v>62</v>
      </c>
      <c r="K200" s="4" t="s">
        <v>62</v>
      </c>
      <c r="L200" s="4" t="s">
        <v>62</v>
      </c>
      <c r="M200" s="4" t="s">
        <v>62</v>
      </c>
      <c r="N200" s="4" t="s">
        <v>62</v>
      </c>
      <c r="O200" s="4" t="s">
        <v>62</v>
      </c>
      <c r="P200" s="4" t="s">
        <v>62</v>
      </c>
      <c r="Q200" s="4" t="s">
        <v>62</v>
      </c>
      <c r="R200" s="4" t="s">
        <v>62</v>
      </c>
      <c r="S200" s="4" t="s">
        <v>62</v>
      </c>
      <c r="T200" s="4" t="s">
        <v>62</v>
      </c>
      <c r="U200" s="4" t="s">
        <v>62</v>
      </c>
      <c r="V200" s="4" t="s">
        <v>62</v>
      </c>
      <c r="W200" s="4" t="s">
        <v>62</v>
      </c>
      <c r="X200" s="4" t="s">
        <v>62</v>
      </c>
      <c r="Y200" s="4" t="s">
        <v>62</v>
      </c>
      <c r="Z200" s="4" t="s">
        <v>62</v>
      </c>
      <c r="AA200" s="4" t="s">
        <v>62</v>
      </c>
      <c r="AB200" s="4" t="s">
        <v>62</v>
      </c>
      <c r="AC200" s="4" t="s">
        <v>62</v>
      </c>
      <c r="AD200" s="4" t="s">
        <v>62</v>
      </c>
      <c r="AE200" s="4" t="s">
        <v>62</v>
      </c>
      <c r="AF200" s="4" t="s">
        <v>62</v>
      </c>
      <c r="AG200" s="4" t="s">
        <v>62</v>
      </c>
      <c r="AH200" s="4" t="s">
        <v>62</v>
      </c>
    </row>
    <row r="201" spans="2:34">
      <c r="B201" s="83">
        <v>2</v>
      </c>
      <c r="C201" s="90" t="str">
        <f>LEFT(EmpGName02)&amp;" " &amp;EmpSName02</f>
        <v>K Stone</v>
      </c>
      <c r="D201" s="3" t="s">
        <v>62</v>
      </c>
      <c r="E201" s="3" t="s">
        <v>62</v>
      </c>
      <c r="F201" s="3" t="s">
        <v>62</v>
      </c>
      <c r="G201" s="3" t="s">
        <v>62</v>
      </c>
      <c r="H201" s="3" t="s">
        <v>62</v>
      </c>
      <c r="I201" s="3" t="s">
        <v>62</v>
      </c>
      <c r="J201" s="3" t="s">
        <v>62</v>
      </c>
      <c r="K201" s="3" t="s">
        <v>62</v>
      </c>
      <c r="L201" s="3" t="s">
        <v>62</v>
      </c>
      <c r="M201" s="3" t="s">
        <v>62</v>
      </c>
      <c r="N201" s="3" t="s">
        <v>62</v>
      </c>
      <c r="O201" s="3" t="s">
        <v>62</v>
      </c>
      <c r="P201" s="3" t="s">
        <v>62</v>
      </c>
      <c r="Q201" s="3" t="s">
        <v>62</v>
      </c>
      <c r="R201" s="3" t="s">
        <v>62</v>
      </c>
      <c r="S201" s="3" t="s">
        <v>62</v>
      </c>
      <c r="T201" s="3" t="s">
        <v>62</v>
      </c>
      <c r="U201" s="3" t="s">
        <v>62</v>
      </c>
      <c r="V201" s="3" t="s">
        <v>62</v>
      </c>
      <c r="W201" s="3" t="s">
        <v>62</v>
      </c>
      <c r="X201" s="3" t="s">
        <v>62</v>
      </c>
      <c r="Y201" s="3" t="s">
        <v>62</v>
      </c>
      <c r="Z201" s="3" t="s">
        <v>62</v>
      </c>
      <c r="AA201" s="3" t="s">
        <v>62</v>
      </c>
      <c r="AB201" s="3" t="s">
        <v>62</v>
      </c>
      <c r="AC201" s="3" t="s">
        <v>62</v>
      </c>
      <c r="AD201" s="3" t="s">
        <v>62</v>
      </c>
      <c r="AE201" s="3" t="s">
        <v>62</v>
      </c>
      <c r="AF201" s="3" t="s">
        <v>62</v>
      </c>
      <c r="AG201" s="3" t="s">
        <v>62</v>
      </c>
      <c r="AH201" s="3" t="s">
        <v>62</v>
      </c>
    </row>
    <row r="202" spans="2:34">
      <c r="B202" s="83">
        <v>3</v>
      </c>
      <c r="C202" s="89" t="str">
        <f>LEFT(EmpGName03)&amp;" " &amp;EmpSName03</f>
        <v>I Thelning</v>
      </c>
      <c r="D202" s="4" t="s">
        <v>62</v>
      </c>
      <c r="E202" s="4" t="s">
        <v>62</v>
      </c>
      <c r="F202" s="4" t="s">
        <v>62</v>
      </c>
      <c r="G202" s="4" t="s">
        <v>62</v>
      </c>
      <c r="H202" s="4" t="s">
        <v>62</v>
      </c>
      <c r="I202" s="4" t="s">
        <v>62</v>
      </c>
      <c r="J202" s="4" t="s">
        <v>62</v>
      </c>
      <c r="K202" s="4" t="s">
        <v>62</v>
      </c>
      <c r="L202" s="4" t="s">
        <v>62</v>
      </c>
      <c r="M202" s="4" t="s">
        <v>62</v>
      </c>
      <c r="N202" s="4" t="s">
        <v>62</v>
      </c>
      <c r="O202" s="4" t="s">
        <v>62</v>
      </c>
      <c r="P202" s="4" t="s">
        <v>62</v>
      </c>
      <c r="Q202" s="4" t="s">
        <v>62</v>
      </c>
      <c r="R202" s="4" t="s">
        <v>62</v>
      </c>
      <c r="S202" s="4" t="s">
        <v>62</v>
      </c>
      <c r="T202" s="4" t="s">
        <v>62</v>
      </c>
      <c r="U202" s="4" t="s">
        <v>62</v>
      </c>
      <c r="V202" s="4" t="s">
        <v>62</v>
      </c>
      <c r="W202" s="4" t="s">
        <v>62</v>
      </c>
      <c r="X202" s="4" t="s">
        <v>62</v>
      </c>
      <c r="Y202" s="4" t="s">
        <v>62</v>
      </c>
      <c r="Z202" s="4" t="s">
        <v>62</v>
      </c>
      <c r="AA202" s="4" t="s">
        <v>62</v>
      </c>
      <c r="AB202" s="4" t="s">
        <v>62</v>
      </c>
      <c r="AC202" s="4" t="s">
        <v>62</v>
      </c>
      <c r="AD202" s="4" t="s">
        <v>62</v>
      </c>
      <c r="AE202" s="4" t="s">
        <v>62</v>
      </c>
      <c r="AF202" s="4" t="s">
        <v>62</v>
      </c>
      <c r="AG202" s="4" t="s">
        <v>62</v>
      </c>
      <c r="AH202" s="4" t="s">
        <v>62</v>
      </c>
    </row>
    <row r="203" spans="2:34">
      <c r="B203" s="83">
        <v>4</v>
      </c>
      <c r="C203" s="90" t="str">
        <f>LEFT(EmpGName04)&amp;" " &amp;EmpSName04</f>
        <v>L King</v>
      </c>
      <c r="D203" s="3" t="s">
        <v>62</v>
      </c>
      <c r="E203" s="3" t="s">
        <v>62</v>
      </c>
      <c r="F203" s="3" t="s">
        <v>62</v>
      </c>
      <c r="G203" s="3" t="s">
        <v>62</v>
      </c>
      <c r="H203" s="3" t="s">
        <v>62</v>
      </c>
      <c r="I203" s="3" t="s">
        <v>62</v>
      </c>
      <c r="J203" s="3" t="s">
        <v>62</v>
      </c>
      <c r="K203" s="3" t="s">
        <v>62</v>
      </c>
      <c r="L203" s="3" t="s">
        <v>62</v>
      </c>
      <c r="M203" s="3" t="s">
        <v>62</v>
      </c>
      <c r="N203" s="3" t="s">
        <v>62</v>
      </c>
      <c r="O203" s="3" t="s">
        <v>62</v>
      </c>
      <c r="P203" s="3" t="s">
        <v>62</v>
      </c>
      <c r="Q203" s="3" t="s">
        <v>62</v>
      </c>
      <c r="R203" s="3" t="s">
        <v>62</v>
      </c>
      <c r="S203" s="3" t="s">
        <v>62</v>
      </c>
      <c r="T203" s="3" t="s">
        <v>62</v>
      </c>
      <c r="U203" s="3" t="s">
        <v>62</v>
      </c>
      <c r="V203" s="3" t="s">
        <v>62</v>
      </c>
      <c r="W203" s="3" t="s">
        <v>62</v>
      </c>
      <c r="X203" s="3" t="s">
        <v>62</v>
      </c>
      <c r="Y203" s="3" t="s">
        <v>62</v>
      </c>
      <c r="Z203" s="3" t="s">
        <v>62</v>
      </c>
      <c r="AA203" s="3" t="s">
        <v>62</v>
      </c>
      <c r="AB203" s="3" t="s">
        <v>62</v>
      </c>
      <c r="AC203" s="3" t="s">
        <v>62</v>
      </c>
      <c r="AD203" s="3" t="s">
        <v>62</v>
      </c>
      <c r="AE203" s="3" t="s">
        <v>62</v>
      </c>
      <c r="AF203" s="3" t="s">
        <v>62</v>
      </c>
      <c r="AG203" s="3" t="s">
        <v>62</v>
      </c>
      <c r="AH203" s="3" t="s">
        <v>62</v>
      </c>
    </row>
    <row r="204" spans="2:34">
      <c r="B204" s="83">
        <v>5</v>
      </c>
      <c r="C204" s="89" t="str">
        <f>LEFT(EmpGName05)&amp;" " &amp;EmpSName05</f>
        <v>D Castle</v>
      </c>
      <c r="D204" s="4" t="s">
        <v>62</v>
      </c>
      <c r="E204" s="4" t="s">
        <v>62</v>
      </c>
      <c r="F204" s="4" t="s">
        <v>62</v>
      </c>
      <c r="G204" s="4" t="s">
        <v>62</v>
      </c>
      <c r="H204" s="4" t="s">
        <v>62</v>
      </c>
      <c r="I204" s="4" t="s">
        <v>62</v>
      </c>
      <c r="J204" s="4" t="s">
        <v>62</v>
      </c>
      <c r="K204" s="4" t="s">
        <v>62</v>
      </c>
      <c r="L204" s="4" t="s">
        <v>62</v>
      </c>
      <c r="M204" s="4" t="s">
        <v>62</v>
      </c>
      <c r="N204" s="4" t="s">
        <v>62</v>
      </c>
      <c r="O204" s="4" t="s">
        <v>62</v>
      </c>
      <c r="P204" s="4" t="s">
        <v>62</v>
      </c>
      <c r="Q204" s="4" t="s">
        <v>62</v>
      </c>
      <c r="R204" s="4" t="s">
        <v>62</v>
      </c>
      <c r="S204" s="4" t="s">
        <v>62</v>
      </c>
      <c r="T204" s="4" t="s">
        <v>62</v>
      </c>
      <c r="U204" s="4" t="s">
        <v>62</v>
      </c>
      <c r="V204" s="4" t="s">
        <v>62</v>
      </c>
      <c r="W204" s="4" t="s">
        <v>62</v>
      </c>
      <c r="X204" s="4" t="s">
        <v>62</v>
      </c>
      <c r="Y204" s="4" t="s">
        <v>62</v>
      </c>
      <c r="Z204" s="4" t="s">
        <v>62</v>
      </c>
      <c r="AA204" s="4" t="s">
        <v>62</v>
      </c>
      <c r="AB204" s="4" t="s">
        <v>62</v>
      </c>
      <c r="AC204" s="4" t="s">
        <v>62</v>
      </c>
      <c r="AD204" s="4" t="s">
        <v>62</v>
      </c>
      <c r="AE204" s="4" t="s">
        <v>62</v>
      </c>
      <c r="AF204" s="4" t="s">
        <v>62</v>
      </c>
      <c r="AG204" s="4" t="s">
        <v>62</v>
      </c>
      <c r="AH204" s="4" t="s">
        <v>62</v>
      </c>
    </row>
    <row r="205" spans="2:34">
      <c r="B205" s="83">
        <v>6</v>
      </c>
      <c r="C205" s="90" t="str">
        <f>LEFT(EmpGName06)&amp;" " &amp;EmpSName06</f>
        <v>R Fielding</v>
      </c>
      <c r="D205" s="3" t="s">
        <v>62</v>
      </c>
      <c r="E205" s="3" t="s">
        <v>62</v>
      </c>
      <c r="F205" s="3" t="s">
        <v>62</v>
      </c>
      <c r="G205" s="3" t="s">
        <v>62</v>
      </c>
      <c r="H205" s="3" t="s">
        <v>62</v>
      </c>
      <c r="I205" s="3" t="s">
        <v>62</v>
      </c>
      <c r="J205" s="3" t="s">
        <v>62</v>
      </c>
      <c r="K205" s="3" t="s">
        <v>62</v>
      </c>
      <c r="L205" s="3" t="s">
        <v>62</v>
      </c>
      <c r="M205" s="3" t="s">
        <v>62</v>
      </c>
      <c r="N205" s="3" t="s">
        <v>62</v>
      </c>
      <c r="O205" s="3" t="s">
        <v>62</v>
      </c>
      <c r="P205" s="3" t="s">
        <v>62</v>
      </c>
      <c r="Q205" s="3" t="s">
        <v>62</v>
      </c>
      <c r="R205" s="3" t="s">
        <v>62</v>
      </c>
      <c r="S205" s="3" t="s">
        <v>62</v>
      </c>
      <c r="T205" s="3" t="s">
        <v>62</v>
      </c>
      <c r="U205" s="3" t="s">
        <v>62</v>
      </c>
      <c r="V205" s="3" t="s">
        <v>62</v>
      </c>
      <c r="W205" s="3" t="s">
        <v>62</v>
      </c>
      <c r="X205" s="3" t="s">
        <v>62</v>
      </c>
      <c r="Y205" s="3" t="s">
        <v>62</v>
      </c>
      <c r="Z205" s="3" t="s">
        <v>62</v>
      </c>
      <c r="AA205" s="3" t="s">
        <v>62</v>
      </c>
      <c r="AB205" s="3" t="s">
        <v>62</v>
      </c>
      <c r="AC205" s="3" t="s">
        <v>62</v>
      </c>
      <c r="AD205" s="3" t="s">
        <v>62</v>
      </c>
      <c r="AE205" s="3" t="s">
        <v>62</v>
      </c>
      <c r="AF205" s="3" t="s">
        <v>62</v>
      </c>
      <c r="AG205" s="3" t="s">
        <v>62</v>
      </c>
      <c r="AH205" s="3" t="s">
        <v>62</v>
      </c>
    </row>
    <row r="206" spans="2:34">
      <c r="B206" s="83">
        <v>7</v>
      </c>
      <c r="C206" s="89" t="str">
        <f>LEFT(EmpGName07)&amp;" " &amp;EmpSName07</f>
        <v>T Sorensen</v>
      </c>
      <c r="D206" s="4" t="s">
        <v>62</v>
      </c>
      <c r="E206" s="4" t="s">
        <v>62</v>
      </c>
      <c r="F206" s="4" t="s">
        <v>62</v>
      </c>
      <c r="G206" s="4" t="s">
        <v>62</v>
      </c>
      <c r="H206" s="4" t="s">
        <v>62</v>
      </c>
      <c r="I206" s="4" t="s">
        <v>62</v>
      </c>
      <c r="J206" s="4" t="s">
        <v>62</v>
      </c>
      <c r="K206" s="4" t="s">
        <v>62</v>
      </c>
      <c r="L206" s="4" t="s">
        <v>62</v>
      </c>
      <c r="M206" s="4" t="s">
        <v>62</v>
      </c>
      <c r="N206" s="4" t="s">
        <v>62</v>
      </c>
      <c r="O206" s="4" t="s">
        <v>62</v>
      </c>
      <c r="P206" s="4" t="s">
        <v>62</v>
      </c>
      <c r="Q206" s="4" t="s">
        <v>62</v>
      </c>
      <c r="R206" s="4" t="s">
        <v>62</v>
      </c>
      <c r="S206" s="4" t="s">
        <v>62</v>
      </c>
      <c r="T206" s="4" t="s">
        <v>62</v>
      </c>
      <c r="U206" s="4" t="s">
        <v>62</v>
      </c>
      <c r="V206" s="4" t="s">
        <v>62</v>
      </c>
      <c r="W206" s="4" t="s">
        <v>62</v>
      </c>
      <c r="X206" s="4" t="s">
        <v>62</v>
      </c>
      <c r="Y206" s="4" t="s">
        <v>62</v>
      </c>
      <c r="Z206" s="4" t="s">
        <v>62</v>
      </c>
      <c r="AA206" s="4" t="s">
        <v>62</v>
      </c>
      <c r="AB206" s="4" t="s">
        <v>62</v>
      </c>
      <c r="AC206" s="4" t="s">
        <v>62</v>
      </c>
      <c r="AD206" s="4" t="s">
        <v>62</v>
      </c>
      <c r="AE206" s="4" t="s">
        <v>62</v>
      </c>
      <c r="AF206" s="4" t="s">
        <v>62</v>
      </c>
      <c r="AG206" s="4" t="s">
        <v>62</v>
      </c>
      <c r="AH206" s="4" t="s">
        <v>62</v>
      </c>
    </row>
    <row r="207" spans="2:34">
      <c r="B207" s="83">
        <v>8</v>
      </c>
      <c r="C207" s="90" t="str">
        <f>LEFT(EmpGName08)&amp;" " &amp;EmpSName08</f>
        <v xml:space="preserve">B Odd </v>
      </c>
      <c r="D207" s="3" t="s">
        <v>62</v>
      </c>
      <c r="E207" s="3" t="s">
        <v>62</v>
      </c>
      <c r="F207" s="3" t="s">
        <v>62</v>
      </c>
      <c r="G207" s="3" t="s">
        <v>62</v>
      </c>
      <c r="H207" s="3" t="s">
        <v>62</v>
      </c>
      <c r="I207" s="3" t="s">
        <v>62</v>
      </c>
      <c r="J207" s="3" t="s">
        <v>62</v>
      </c>
      <c r="K207" s="3" t="s">
        <v>62</v>
      </c>
      <c r="L207" s="3" t="s">
        <v>62</v>
      </c>
      <c r="M207" s="3" t="s">
        <v>62</v>
      </c>
      <c r="N207" s="3" t="s">
        <v>62</v>
      </c>
      <c r="O207" s="3" t="s">
        <v>62</v>
      </c>
      <c r="P207" s="3" t="s">
        <v>62</v>
      </c>
      <c r="Q207" s="3" t="s">
        <v>62</v>
      </c>
      <c r="R207" s="3" t="s">
        <v>62</v>
      </c>
      <c r="S207" s="3" t="s">
        <v>62</v>
      </c>
      <c r="T207" s="3" t="s">
        <v>62</v>
      </c>
      <c r="U207" s="3" t="s">
        <v>62</v>
      </c>
      <c r="V207" s="3" t="s">
        <v>62</v>
      </c>
      <c r="W207" s="3" t="s">
        <v>62</v>
      </c>
      <c r="X207" s="3" t="s">
        <v>62</v>
      </c>
      <c r="Y207" s="3" t="s">
        <v>62</v>
      </c>
      <c r="Z207" s="3" t="s">
        <v>62</v>
      </c>
      <c r="AA207" s="3" t="s">
        <v>62</v>
      </c>
      <c r="AB207" s="3" t="s">
        <v>62</v>
      </c>
      <c r="AC207" s="3" t="s">
        <v>62</v>
      </c>
      <c r="AD207" s="3" t="s">
        <v>62</v>
      </c>
      <c r="AE207" s="3" t="s">
        <v>62</v>
      </c>
      <c r="AF207" s="3" t="s">
        <v>62</v>
      </c>
      <c r="AG207" s="3" t="s">
        <v>62</v>
      </c>
      <c r="AH207" s="3" t="s">
        <v>62</v>
      </c>
    </row>
    <row r="208" spans="2:34">
      <c r="B208" s="83">
        <v>9</v>
      </c>
      <c r="C208" s="89" t="str">
        <f>LEFT(EmpGName09)&amp;" " &amp;EmpSName09</f>
        <v>1 Odd1</v>
      </c>
      <c r="D208" s="4" t="s">
        <v>62</v>
      </c>
      <c r="E208" s="4" t="s">
        <v>62</v>
      </c>
      <c r="F208" s="4" t="s">
        <v>62</v>
      </c>
      <c r="G208" s="4" t="s">
        <v>62</v>
      </c>
      <c r="H208" s="4" t="s">
        <v>62</v>
      </c>
      <c r="I208" s="4" t="s">
        <v>62</v>
      </c>
      <c r="J208" s="4" t="s">
        <v>62</v>
      </c>
      <c r="K208" s="4" t="s">
        <v>62</v>
      </c>
      <c r="L208" s="4" t="s">
        <v>62</v>
      </c>
      <c r="M208" s="4" t="s">
        <v>62</v>
      </c>
      <c r="N208" s="4" t="s">
        <v>62</v>
      </c>
      <c r="O208" s="4" t="s">
        <v>62</v>
      </c>
      <c r="P208" s="4" t="s">
        <v>62</v>
      </c>
      <c r="Q208" s="4" t="s">
        <v>62</v>
      </c>
      <c r="R208" s="4" t="s">
        <v>62</v>
      </c>
      <c r="S208" s="4" t="s">
        <v>62</v>
      </c>
      <c r="T208" s="4" t="s">
        <v>62</v>
      </c>
      <c r="U208" s="4" t="s">
        <v>62</v>
      </c>
      <c r="V208" s="4" t="s">
        <v>62</v>
      </c>
      <c r="W208" s="4" t="s">
        <v>62</v>
      </c>
      <c r="X208" s="4" t="s">
        <v>62</v>
      </c>
      <c r="Y208" s="4" t="s">
        <v>62</v>
      </c>
      <c r="Z208" s="4" t="s">
        <v>62</v>
      </c>
      <c r="AA208" s="4" t="s">
        <v>62</v>
      </c>
      <c r="AB208" s="4" t="s">
        <v>62</v>
      </c>
      <c r="AC208" s="4" t="s">
        <v>62</v>
      </c>
      <c r="AD208" s="4" t="s">
        <v>62</v>
      </c>
      <c r="AE208" s="4" t="s">
        <v>62</v>
      </c>
      <c r="AF208" s="4" t="s">
        <v>62</v>
      </c>
      <c r="AG208" s="4" t="s">
        <v>62</v>
      </c>
      <c r="AH208" s="4" t="s">
        <v>62</v>
      </c>
    </row>
    <row r="209" spans="2:34">
      <c r="B209" s="149">
        <v>10</v>
      </c>
      <c r="C209" s="91" t="str">
        <f>LEFT(EmpGName10)&amp;" " &amp;EmpSName10</f>
        <v>2 Odd2</v>
      </c>
      <c r="D209" s="68" t="s">
        <v>62</v>
      </c>
      <c r="E209" s="68" t="s">
        <v>62</v>
      </c>
      <c r="F209" s="68" t="s">
        <v>62</v>
      </c>
      <c r="G209" s="68" t="s">
        <v>62</v>
      </c>
      <c r="H209" s="68" t="s">
        <v>62</v>
      </c>
      <c r="I209" s="68" t="s">
        <v>62</v>
      </c>
      <c r="J209" s="68" t="s">
        <v>62</v>
      </c>
      <c r="K209" s="68" t="s">
        <v>62</v>
      </c>
      <c r="L209" s="68" t="s">
        <v>62</v>
      </c>
      <c r="M209" s="68" t="s">
        <v>62</v>
      </c>
      <c r="N209" s="68" t="s">
        <v>62</v>
      </c>
      <c r="O209" s="68" t="s">
        <v>62</v>
      </c>
      <c r="P209" s="68" t="s">
        <v>62</v>
      </c>
      <c r="Q209" s="68" t="s">
        <v>62</v>
      </c>
      <c r="R209" s="68" t="s">
        <v>62</v>
      </c>
      <c r="S209" s="68" t="s">
        <v>62</v>
      </c>
      <c r="T209" s="68" t="s">
        <v>62</v>
      </c>
      <c r="U209" s="68" t="s">
        <v>62</v>
      </c>
      <c r="V209" s="68" t="s">
        <v>62</v>
      </c>
      <c r="W209" s="68" t="s">
        <v>62</v>
      </c>
      <c r="X209" s="68" t="s">
        <v>62</v>
      </c>
      <c r="Y209" s="68" t="s">
        <v>62</v>
      </c>
      <c r="Z209" s="68" t="s">
        <v>62</v>
      </c>
      <c r="AA209" s="68" t="s">
        <v>62</v>
      </c>
      <c r="AB209" s="68" t="s">
        <v>62</v>
      </c>
      <c r="AC209" s="68" t="s">
        <v>62</v>
      </c>
      <c r="AD209" s="68" t="s">
        <v>62</v>
      </c>
      <c r="AE209" s="68" t="s">
        <v>62</v>
      </c>
      <c r="AF209" s="68" t="s">
        <v>62</v>
      </c>
      <c r="AG209" s="68" t="s">
        <v>62</v>
      </c>
      <c r="AH209" s="68" t="s">
        <v>62</v>
      </c>
    </row>
    <row r="210" spans="2:34">
      <c r="B210" s="149">
        <v>11</v>
      </c>
      <c r="C210" s="89" t="str">
        <f>LEFT(EmpGName11)&amp;" " &amp;EmpSName11</f>
        <v>2 Odd3</v>
      </c>
      <c r="D210" s="4" t="s">
        <v>62</v>
      </c>
      <c r="E210" s="4" t="s">
        <v>62</v>
      </c>
      <c r="F210" s="4" t="s">
        <v>62</v>
      </c>
      <c r="G210" s="4" t="s">
        <v>62</v>
      </c>
      <c r="H210" s="4" t="s">
        <v>62</v>
      </c>
      <c r="I210" s="4" t="s">
        <v>62</v>
      </c>
      <c r="J210" s="4" t="s">
        <v>62</v>
      </c>
      <c r="K210" s="4" t="s">
        <v>62</v>
      </c>
      <c r="L210" s="4" t="s">
        <v>62</v>
      </c>
      <c r="M210" s="4" t="s">
        <v>62</v>
      </c>
      <c r="N210" s="4" t="s">
        <v>62</v>
      </c>
      <c r="O210" s="4" t="s">
        <v>62</v>
      </c>
      <c r="P210" s="4" t="s">
        <v>62</v>
      </c>
      <c r="Q210" s="4" t="s">
        <v>62</v>
      </c>
      <c r="R210" s="4" t="s">
        <v>62</v>
      </c>
      <c r="S210" s="4" t="s">
        <v>62</v>
      </c>
      <c r="T210" s="4" t="s">
        <v>62</v>
      </c>
      <c r="U210" s="4" t="s">
        <v>62</v>
      </c>
      <c r="V210" s="4" t="s">
        <v>62</v>
      </c>
      <c r="W210" s="4" t="s">
        <v>62</v>
      </c>
      <c r="X210" s="4" t="s">
        <v>62</v>
      </c>
      <c r="Y210" s="4" t="s">
        <v>62</v>
      </c>
      <c r="Z210" s="4" t="s">
        <v>62</v>
      </c>
      <c r="AA210" s="4" t="s">
        <v>62</v>
      </c>
      <c r="AB210" s="4" t="s">
        <v>62</v>
      </c>
      <c r="AC210" s="4" t="s">
        <v>62</v>
      </c>
      <c r="AD210" s="4" t="s">
        <v>62</v>
      </c>
      <c r="AE210" s="4" t="s">
        <v>62</v>
      </c>
      <c r="AF210" s="4" t="s">
        <v>62</v>
      </c>
      <c r="AG210" s="4" t="s">
        <v>62</v>
      </c>
      <c r="AH210" s="4" t="s">
        <v>62</v>
      </c>
    </row>
    <row r="211" spans="2:34">
      <c r="B211" s="149">
        <v>12</v>
      </c>
      <c r="C211" s="91" t="str">
        <f>LEFT(EmpGName12)&amp;" " &amp;EmpSName12</f>
        <v>4 Odd4</v>
      </c>
      <c r="D211" s="68" t="s">
        <v>62</v>
      </c>
      <c r="E211" s="68" t="s">
        <v>62</v>
      </c>
      <c r="F211" s="68" t="s">
        <v>62</v>
      </c>
      <c r="G211" s="68" t="s">
        <v>62</v>
      </c>
      <c r="H211" s="68" t="s">
        <v>62</v>
      </c>
      <c r="I211" s="68" t="s">
        <v>62</v>
      </c>
      <c r="J211" s="68" t="s">
        <v>62</v>
      </c>
      <c r="K211" s="68" t="s">
        <v>62</v>
      </c>
      <c r="L211" s="68" t="s">
        <v>62</v>
      </c>
      <c r="M211" s="68" t="s">
        <v>62</v>
      </c>
      <c r="N211" s="68" t="s">
        <v>62</v>
      </c>
      <c r="O211" s="68" t="s">
        <v>62</v>
      </c>
      <c r="P211" s="68" t="s">
        <v>62</v>
      </c>
      <c r="Q211" s="68" t="s">
        <v>62</v>
      </c>
      <c r="R211" s="68" t="s">
        <v>62</v>
      </c>
      <c r="S211" s="68" t="s">
        <v>62</v>
      </c>
      <c r="T211" s="68" t="s">
        <v>62</v>
      </c>
      <c r="U211" s="68" t="s">
        <v>62</v>
      </c>
      <c r="V211" s="68" t="s">
        <v>62</v>
      </c>
      <c r="W211" s="68" t="s">
        <v>62</v>
      </c>
      <c r="X211" s="68" t="s">
        <v>62</v>
      </c>
      <c r="Y211" s="68" t="s">
        <v>62</v>
      </c>
      <c r="Z211" s="68" t="s">
        <v>62</v>
      </c>
      <c r="AA211" s="68" t="s">
        <v>62</v>
      </c>
      <c r="AB211" s="68" t="s">
        <v>62</v>
      </c>
      <c r="AC211" s="68" t="s">
        <v>62</v>
      </c>
      <c r="AD211" s="68" t="s">
        <v>62</v>
      </c>
      <c r="AE211" s="68" t="s">
        <v>62</v>
      </c>
      <c r="AF211" s="68" t="s">
        <v>62</v>
      </c>
      <c r="AG211" s="68" t="s">
        <v>62</v>
      </c>
      <c r="AH211" s="68" t="s">
        <v>62</v>
      </c>
    </row>
    <row r="212" spans="2:34">
      <c r="B212" s="6"/>
      <c r="C212" s="7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69"/>
      <c r="AG212" s="8"/>
      <c r="AH212" s="8"/>
    </row>
    <row r="213" spans="2:34">
      <c r="C213" t="str">
        <f>CurYear&amp;":"</f>
        <v>2019:</v>
      </c>
      <c r="D213" s="5" t="str">
        <f>LEFT(TEXT(D214&amp;"-"&amp;$C$214&amp;"-"&amp;CurYear,"ddd"),2)</f>
        <v>Fr</v>
      </c>
      <c r="E213" s="5" t="str">
        <f>LEFT(TEXT(E214&amp;"-"&amp;$C$214&amp;"-"&amp;CurYear,"ddd"),2)</f>
        <v>Sa</v>
      </c>
      <c r="F213" s="5" t="str">
        <f>LEFT(TEXT(F214&amp;"-"&amp;$C$214&amp;"-"&amp;CurYear,"ddd"),2)</f>
        <v>Su</v>
      </c>
      <c r="G213" s="5" t="str">
        <f>LEFT(TEXT(G214&amp;"-"&amp;$C$214&amp;"-"&amp;CurYear,"ddd"),2)</f>
        <v>Mo</v>
      </c>
      <c r="H213" s="5" t="str">
        <f>LEFT(TEXT(H214&amp;"-"&amp;$C$214&amp;"-"&amp;CurYear,"ddd"),2)</f>
        <v>Tu</v>
      </c>
      <c r="I213" s="5" t="str">
        <f>LEFT(TEXT(I214&amp;"-"&amp;$C$214&amp;"-"&amp;CurYear,"ddd"),2)</f>
        <v>We</v>
      </c>
      <c r="J213" s="5" t="str">
        <f>LEFT(TEXT(J214&amp;"-"&amp;$C$214&amp;"-"&amp;CurYear,"ddd"),2)</f>
        <v>Th</v>
      </c>
      <c r="K213" s="5" t="str">
        <f>LEFT(TEXT(K214&amp;"-"&amp;$C$214&amp;"-"&amp;CurYear,"ddd"),2)</f>
        <v>Fr</v>
      </c>
      <c r="L213" s="5" t="str">
        <f>LEFT(TEXT(L214&amp;"-"&amp;$C$214&amp;"-"&amp;CurYear,"ddd"),2)</f>
        <v>Sa</v>
      </c>
      <c r="M213" s="5" t="str">
        <f>LEFT(TEXT(M214&amp;"-"&amp;$C$214&amp;"-"&amp;CurYear,"ddd"),2)</f>
        <v>Su</v>
      </c>
      <c r="N213" s="5" t="str">
        <f>LEFT(TEXT(N214&amp;"-"&amp;$C$214&amp;"-"&amp;CurYear,"ddd"),2)</f>
        <v>Mo</v>
      </c>
      <c r="O213" s="5" t="str">
        <f>LEFT(TEXT(O214&amp;"-"&amp;$C$214&amp;"-"&amp;CurYear,"ddd"),2)</f>
        <v>Tu</v>
      </c>
      <c r="P213" s="5" t="str">
        <f>LEFT(TEXT(P214&amp;"-"&amp;$C$214&amp;"-"&amp;CurYear,"ddd"),2)</f>
        <v>We</v>
      </c>
      <c r="Q213" s="5" t="str">
        <f>LEFT(TEXT(Q214&amp;"-"&amp;$C$214&amp;"-"&amp;CurYear,"ddd"),2)</f>
        <v>Th</v>
      </c>
      <c r="R213" s="5" t="str">
        <f>LEFT(TEXT(R214&amp;"-"&amp;$C$214&amp;"-"&amp;CurYear,"ddd"),2)</f>
        <v>Fr</v>
      </c>
      <c r="S213" s="5" t="str">
        <f>LEFT(TEXT(S214&amp;"-"&amp;$C$214&amp;"-"&amp;CurYear,"ddd"),2)</f>
        <v>Sa</v>
      </c>
      <c r="T213" s="5" t="str">
        <f>LEFT(TEXT(T214&amp;"-"&amp;$C$214&amp;"-"&amp;CurYear,"ddd"),2)</f>
        <v>Su</v>
      </c>
      <c r="U213" s="5" t="str">
        <f>LEFT(TEXT(U214&amp;"-"&amp;$C$214&amp;"-"&amp;CurYear,"ddd"),2)</f>
        <v>Mo</v>
      </c>
      <c r="V213" s="5" t="str">
        <f>LEFT(TEXT(V214&amp;"-"&amp;$C$214&amp;"-"&amp;CurYear,"ddd"),2)</f>
        <v>Tu</v>
      </c>
      <c r="W213" s="5" t="str">
        <f>LEFT(TEXT(W214&amp;"-"&amp;$C$214&amp;"-"&amp;CurYear,"ddd"),2)</f>
        <v>We</v>
      </c>
      <c r="X213" s="5" t="str">
        <f>LEFT(TEXT(X214&amp;"-"&amp;$C$214&amp;"-"&amp;CurYear,"ddd"),2)</f>
        <v>Th</v>
      </c>
      <c r="Y213" s="5" t="str">
        <f>LEFT(TEXT(Y214&amp;"-"&amp;$C$214&amp;"-"&amp;CurYear,"ddd"),2)</f>
        <v>Fr</v>
      </c>
      <c r="Z213" s="5" t="str">
        <f>LEFT(TEXT(Z214&amp;"-"&amp;$C$214&amp;"-"&amp;CurYear,"ddd"),2)</f>
        <v>Sa</v>
      </c>
      <c r="AA213" s="5" t="str">
        <f>LEFT(TEXT(AA214&amp;"-"&amp;$C$214&amp;"-"&amp;CurYear,"ddd"),2)</f>
        <v>Su</v>
      </c>
      <c r="AB213" s="5" t="str">
        <f>LEFT(TEXT(AB214&amp;"-"&amp;$C$214&amp;"-"&amp;CurYear,"ddd"),2)</f>
        <v>Mo</v>
      </c>
      <c r="AC213" s="5" t="str">
        <f>LEFT(TEXT(AC214&amp;"-"&amp;$C$214&amp;"-"&amp;CurYear,"ddd"),2)</f>
        <v>Tu</v>
      </c>
      <c r="AD213" s="5" t="str">
        <f>LEFT(TEXT(AD214&amp;"-"&amp;$C$214&amp;"-"&amp;CurYear,"ddd"),2)</f>
        <v>We</v>
      </c>
      <c r="AE213" s="5" t="str">
        <f>LEFT(TEXT(AE214&amp;"-"&amp;$C$214&amp;"-"&amp;CurYear,"ddd"),2)</f>
        <v>Th</v>
      </c>
      <c r="AF213" s="175" t="str">
        <f>LEFT(TEXT(AF214&amp;"-"&amp;$C$214&amp;"-"&amp;CurYear,"ddd"),2)</f>
        <v>-F</v>
      </c>
    </row>
    <row r="214" spans="2:34">
      <c r="B214" s="86"/>
      <c r="C214" s="84" t="s">
        <v>13</v>
      </c>
      <c r="D214" s="176">
        <v>1</v>
      </c>
      <c r="E214" s="85">
        <v>2</v>
      </c>
      <c r="F214" s="85">
        <v>3</v>
      </c>
      <c r="G214" s="85">
        <v>4</v>
      </c>
      <c r="H214" s="85">
        <v>5</v>
      </c>
      <c r="I214" s="85">
        <v>6</v>
      </c>
      <c r="J214" s="85">
        <v>7</v>
      </c>
      <c r="K214" s="85">
        <v>8</v>
      </c>
      <c r="L214" s="85">
        <v>9</v>
      </c>
      <c r="M214" s="85">
        <v>10</v>
      </c>
      <c r="N214" s="85">
        <v>11</v>
      </c>
      <c r="O214" s="85">
        <v>12</v>
      </c>
      <c r="P214" s="85">
        <v>13</v>
      </c>
      <c r="Q214" s="85">
        <v>14</v>
      </c>
      <c r="R214" s="176">
        <v>15</v>
      </c>
      <c r="S214" s="85">
        <v>16</v>
      </c>
      <c r="T214" s="85">
        <v>17</v>
      </c>
      <c r="U214" s="85">
        <v>18</v>
      </c>
      <c r="V214" s="85">
        <v>19</v>
      </c>
      <c r="W214" s="85">
        <v>20</v>
      </c>
      <c r="X214" s="85">
        <v>21</v>
      </c>
      <c r="Y214" s="85">
        <v>22</v>
      </c>
      <c r="Z214" s="85">
        <v>23</v>
      </c>
      <c r="AA214" s="85">
        <v>24</v>
      </c>
      <c r="AB214" s="85">
        <v>25</v>
      </c>
      <c r="AC214" s="85">
        <v>26</v>
      </c>
      <c r="AD214" s="85">
        <v>27</v>
      </c>
      <c r="AE214" s="94">
        <v>28</v>
      </c>
      <c r="AF214" s="173"/>
      <c r="AG214" s="1"/>
      <c r="AH214" s="1"/>
    </row>
    <row r="215" spans="2:34">
      <c r="B215" s="83">
        <v>1</v>
      </c>
      <c r="C215" s="89" t="str">
        <f>LEFT(EmpGName01)&amp;" " &amp; EmpSName01</f>
        <v>L Marampon</v>
      </c>
      <c r="D215" s="4" t="s">
        <v>62</v>
      </c>
      <c r="E215" s="82" t="s">
        <v>62</v>
      </c>
      <c r="F215" s="4" t="s">
        <v>62</v>
      </c>
      <c r="G215" s="4" t="s">
        <v>62</v>
      </c>
      <c r="H215" s="4" t="s">
        <v>62</v>
      </c>
      <c r="I215" s="4" t="s">
        <v>62</v>
      </c>
      <c r="J215" s="4" t="s">
        <v>62</v>
      </c>
      <c r="K215" s="4" t="s">
        <v>62</v>
      </c>
      <c r="L215" s="4" t="s">
        <v>62</v>
      </c>
      <c r="M215" s="4" t="s">
        <v>62</v>
      </c>
      <c r="N215" s="4" t="s">
        <v>62</v>
      </c>
      <c r="O215" s="4" t="s">
        <v>62</v>
      </c>
      <c r="P215" s="4" t="s">
        <v>62</v>
      </c>
      <c r="Q215" s="4" t="s">
        <v>62</v>
      </c>
      <c r="R215" s="4" t="s">
        <v>62</v>
      </c>
      <c r="S215" s="4" t="s">
        <v>62</v>
      </c>
      <c r="T215" s="4" t="s">
        <v>62</v>
      </c>
      <c r="U215" s="4" t="s">
        <v>62</v>
      </c>
      <c r="V215" s="4" t="s">
        <v>62</v>
      </c>
      <c r="W215" s="4" t="s">
        <v>62</v>
      </c>
      <c r="X215" s="4" t="s">
        <v>62</v>
      </c>
      <c r="Y215" s="4" t="s">
        <v>62</v>
      </c>
      <c r="Z215" s="4" t="s">
        <v>62</v>
      </c>
      <c r="AA215" s="4" t="s">
        <v>62</v>
      </c>
      <c r="AB215" s="4" t="s">
        <v>62</v>
      </c>
      <c r="AC215" s="4" t="s">
        <v>62</v>
      </c>
      <c r="AD215" s="4" t="s">
        <v>62</v>
      </c>
      <c r="AE215" s="95" t="s">
        <v>62</v>
      </c>
      <c r="AF215" s="174"/>
      <c r="AG215" s="2"/>
      <c r="AH215" s="2"/>
    </row>
    <row r="216" spans="2:34">
      <c r="B216" s="83">
        <v>2</v>
      </c>
      <c r="C216" s="90" t="str">
        <f>LEFT(EmpGName02)&amp;" " &amp;EmpSName02</f>
        <v>K Stone</v>
      </c>
      <c r="D216" s="3" t="s">
        <v>62</v>
      </c>
      <c r="E216" s="3" t="s">
        <v>62</v>
      </c>
      <c r="F216" s="3" t="s">
        <v>62</v>
      </c>
      <c r="G216" s="3" t="s">
        <v>62</v>
      </c>
      <c r="H216" s="3" t="s">
        <v>62</v>
      </c>
      <c r="I216" s="3" t="s">
        <v>62</v>
      </c>
      <c r="J216" s="3" t="s">
        <v>62</v>
      </c>
      <c r="K216" s="3" t="s">
        <v>62</v>
      </c>
      <c r="L216" s="3" t="s">
        <v>62</v>
      </c>
      <c r="M216" s="3" t="s">
        <v>62</v>
      </c>
      <c r="N216" s="3" t="s">
        <v>62</v>
      </c>
      <c r="O216" s="3" t="s">
        <v>62</v>
      </c>
      <c r="P216" s="3" t="s">
        <v>62</v>
      </c>
      <c r="Q216" s="3" t="s">
        <v>62</v>
      </c>
      <c r="R216" s="3" t="s">
        <v>62</v>
      </c>
      <c r="S216" s="3" t="s">
        <v>62</v>
      </c>
      <c r="T216" s="3" t="s">
        <v>62</v>
      </c>
      <c r="U216" s="3" t="s">
        <v>62</v>
      </c>
      <c r="V216" s="3" t="s">
        <v>62</v>
      </c>
      <c r="W216" s="3" t="s">
        <v>62</v>
      </c>
      <c r="X216" s="3" t="s">
        <v>62</v>
      </c>
      <c r="Y216" s="3" t="s">
        <v>62</v>
      </c>
      <c r="Z216" s="3" t="s">
        <v>62</v>
      </c>
      <c r="AA216" s="3" t="s">
        <v>62</v>
      </c>
      <c r="AB216" s="3" t="s">
        <v>62</v>
      </c>
      <c r="AC216" s="3" t="s">
        <v>62</v>
      </c>
      <c r="AD216" s="3" t="s">
        <v>62</v>
      </c>
      <c r="AE216" s="96" t="s">
        <v>62</v>
      </c>
      <c r="AF216" s="174"/>
      <c r="AG216" s="2"/>
      <c r="AH216" s="2"/>
    </row>
    <row r="217" spans="2:34">
      <c r="B217" s="83">
        <v>3</v>
      </c>
      <c r="C217" s="89" t="str">
        <f>LEFT(EmpGName03)&amp;" " &amp;EmpSName03</f>
        <v>I Thelning</v>
      </c>
      <c r="D217" s="4" t="s">
        <v>62</v>
      </c>
      <c r="E217" s="4" t="s">
        <v>62</v>
      </c>
      <c r="F217" s="4" t="s">
        <v>62</v>
      </c>
      <c r="G217" s="4" t="s">
        <v>62</v>
      </c>
      <c r="H217" s="4" t="s">
        <v>62</v>
      </c>
      <c r="I217" s="4" t="s">
        <v>62</v>
      </c>
      <c r="J217" s="4" t="s">
        <v>62</v>
      </c>
      <c r="K217" s="4" t="s">
        <v>62</v>
      </c>
      <c r="L217" s="4" t="s">
        <v>62</v>
      </c>
      <c r="M217" s="4" t="s">
        <v>62</v>
      </c>
      <c r="N217" s="4" t="s">
        <v>62</v>
      </c>
      <c r="O217" s="4" t="s">
        <v>62</v>
      </c>
      <c r="P217" s="4" t="s">
        <v>62</v>
      </c>
      <c r="Q217" s="4" t="s">
        <v>62</v>
      </c>
      <c r="R217" s="4" t="s">
        <v>62</v>
      </c>
      <c r="S217" s="4" t="s">
        <v>62</v>
      </c>
      <c r="T217" s="4" t="s">
        <v>62</v>
      </c>
      <c r="U217" s="4" t="s">
        <v>62</v>
      </c>
      <c r="V217" s="4" t="s">
        <v>62</v>
      </c>
      <c r="W217" s="4" t="s">
        <v>62</v>
      </c>
      <c r="X217" s="4" t="s">
        <v>62</v>
      </c>
      <c r="Y217" s="4" t="s">
        <v>62</v>
      </c>
      <c r="Z217" s="4" t="s">
        <v>62</v>
      </c>
      <c r="AA217" s="4" t="s">
        <v>62</v>
      </c>
      <c r="AB217" s="4" t="s">
        <v>62</v>
      </c>
      <c r="AC217" s="4" t="s">
        <v>62</v>
      </c>
      <c r="AD217" s="4" t="s">
        <v>62</v>
      </c>
      <c r="AE217" s="95" t="s">
        <v>62</v>
      </c>
      <c r="AF217" s="174"/>
      <c r="AG217" s="2"/>
      <c r="AH217" s="2"/>
    </row>
    <row r="218" spans="2:34">
      <c r="B218" s="83">
        <v>4</v>
      </c>
      <c r="C218" s="90" t="str">
        <f>LEFT(EmpGName04)&amp;" " &amp;EmpSName04</f>
        <v>L King</v>
      </c>
      <c r="D218" s="3" t="s">
        <v>62</v>
      </c>
      <c r="E218" s="3" t="s">
        <v>62</v>
      </c>
      <c r="F218" s="3" t="s">
        <v>62</v>
      </c>
      <c r="G218" s="3" t="s">
        <v>62</v>
      </c>
      <c r="H218" s="3" t="s">
        <v>62</v>
      </c>
      <c r="I218" s="3" t="s">
        <v>62</v>
      </c>
      <c r="J218" s="3" t="s">
        <v>62</v>
      </c>
      <c r="K218" s="3" t="s">
        <v>62</v>
      </c>
      <c r="L218" s="3" t="s">
        <v>62</v>
      </c>
      <c r="M218" s="3" t="s">
        <v>62</v>
      </c>
      <c r="N218" s="3" t="s">
        <v>62</v>
      </c>
      <c r="O218" s="3" t="s">
        <v>62</v>
      </c>
      <c r="P218" s="3" t="s">
        <v>62</v>
      </c>
      <c r="Q218" s="3" t="s">
        <v>62</v>
      </c>
      <c r="R218" s="3" t="s">
        <v>62</v>
      </c>
      <c r="S218" s="3" t="s">
        <v>62</v>
      </c>
      <c r="T218" s="3" t="s">
        <v>62</v>
      </c>
      <c r="U218" s="3" t="s">
        <v>62</v>
      </c>
      <c r="V218" s="3" t="s">
        <v>62</v>
      </c>
      <c r="W218" s="3" t="s">
        <v>62</v>
      </c>
      <c r="X218" s="3" t="s">
        <v>62</v>
      </c>
      <c r="Y218" s="3" t="s">
        <v>62</v>
      </c>
      <c r="Z218" s="3" t="s">
        <v>62</v>
      </c>
      <c r="AA218" s="3" t="s">
        <v>62</v>
      </c>
      <c r="AB218" s="3" t="s">
        <v>62</v>
      </c>
      <c r="AC218" s="3" t="s">
        <v>62</v>
      </c>
      <c r="AD218" s="3" t="s">
        <v>62</v>
      </c>
      <c r="AE218" s="96" t="s">
        <v>62</v>
      </c>
      <c r="AF218" s="174"/>
      <c r="AG218" s="2"/>
      <c r="AH218" s="2"/>
    </row>
    <row r="219" spans="2:34">
      <c r="B219" s="83">
        <v>5</v>
      </c>
      <c r="C219" s="89" t="str">
        <f>LEFT(EmpGName05)&amp;" " &amp;EmpSName05</f>
        <v>D Castle</v>
      </c>
      <c r="D219" s="4" t="s">
        <v>62</v>
      </c>
      <c r="E219" s="4" t="s">
        <v>62</v>
      </c>
      <c r="F219" s="4" t="s">
        <v>62</v>
      </c>
      <c r="G219" s="4" t="s">
        <v>62</v>
      </c>
      <c r="H219" s="4" t="s">
        <v>62</v>
      </c>
      <c r="I219" s="4" t="s">
        <v>62</v>
      </c>
      <c r="J219" s="4" t="s">
        <v>62</v>
      </c>
      <c r="K219" s="4" t="s">
        <v>62</v>
      </c>
      <c r="L219" s="4" t="s">
        <v>62</v>
      </c>
      <c r="M219" s="4" t="s">
        <v>62</v>
      </c>
      <c r="N219" s="4" t="s">
        <v>62</v>
      </c>
      <c r="O219" s="4" t="s">
        <v>62</v>
      </c>
      <c r="P219" s="4" t="s">
        <v>62</v>
      </c>
      <c r="Q219" s="4" t="s">
        <v>62</v>
      </c>
      <c r="R219" s="4" t="s">
        <v>62</v>
      </c>
      <c r="S219" s="4" t="s">
        <v>62</v>
      </c>
      <c r="T219" s="4" t="s">
        <v>62</v>
      </c>
      <c r="U219" s="4" t="s">
        <v>62</v>
      </c>
      <c r="V219" s="4" t="s">
        <v>62</v>
      </c>
      <c r="W219" s="4" t="s">
        <v>62</v>
      </c>
      <c r="X219" s="4" t="s">
        <v>62</v>
      </c>
      <c r="Y219" s="4" t="s">
        <v>62</v>
      </c>
      <c r="Z219" s="4" t="s">
        <v>62</v>
      </c>
      <c r="AA219" s="4" t="s">
        <v>62</v>
      </c>
      <c r="AB219" s="4" t="s">
        <v>62</v>
      </c>
      <c r="AC219" s="4" t="s">
        <v>62</v>
      </c>
      <c r="AD219" s="4" t="s">
        <v>62</v>
      </c>
      <c r="AE219" s="95" t="s">
        <v>62</v>
      </c>
      <c r="AF219" s="174"/>
      <c r="AG219" s="2"/>
      <c r="AH219" s="2"/>
    </row>
    <row r="220" spans="2:34">
      <c r="B220" s="83">
        <v>6</v>
      </c>
      <c r="C220" s="90" t="str">
        <f>LEFT(EmpGName06)&amp;" " &amp;EmpSName06</f>
        <v>R Fielding</v>
      </c>
      <c r="D220" s="3" t="s">
        <v>62</v>
      </c>
      <c r="E220" s="3" t="s">
        <v>62</v>
      </c>
      <c r="F220" s="3" t="s">
        <v>62</v>
      </c>
      <c r="G220" s="3" t="s">
        <v>62</v>
      </c>
      <c r="H220" s="3" t="s">
        <v>62</v>
      </c>
      <c r="I220" s="3" t="s">
        <v>62</v>
      </c>
      <c r="J220" s="3" t="s">
        <v>62</v>
      </c>
      <c r="K220" s="3" t="s">
        <v>62</v>
      </c>
      <c r="L220" s="3" t="s">
        <v>62</v>
      </c>
      <c r="M220" s="3" t="s">
        <v>62</v>
      </c>
      <c r="N220" s="3" t="s">
        <v>62</v>
      </c>
      <c r="O220" s="3" t="s">
        <v>62</v>
      </c>
      <c r="P220" s="3" t="s">
        <v>62</v>
      </c>
      <c r="Q220" s="3" t="s">
        <v>62</v>
      </c>
      <c r="R220" s="3" t="s">
        <v>62</v>
      </c>
      <c r="S220" s="3" t="s">
        <v>62</v>
      </c>
      <c r="T220" s="3" t="s">
        <v>62</v>
      </c>
      <c r="U220" s="3" t="s">
        <v>62</v>
      </c>
      <c r="V220" s="3" t="s">
        <v>62</v>
      </c>
      <c r="W220" s="3" t="s">
        <v>62</v>
      </c>
      <c r="X220" s="3" t="s">
        <v>62</v>
      </c>
      <c r="Y220" s="3" t="s">
        <v>62</v>
      </c>
      <c r="Z220" s="3" t="s">
        <v>62</v>
      </c>
      <c r="AA220" s="3" t="s">
        <v>62</v>
      </c>
      <c r="AB220" s="3" t="s">
        <v>62</v>
      </c>
      <c r="AC220" s="3" t="s">
        <v>62</v>
      </c>
      <c r="AD220" s="3" t="s">
        <v>62</v>
      </c>
      <c r="AE220" s="96" t="s">
        <v>62</v>
      </c>
      <c r="AF220" s="174"/>
      <c r="AG220" s="2"/>
      <c r="AH220" s="2"/>
    </row>
    <row r="221" spans="2:34">
      <c r="B221" s="83">
        <v>7</v>
      </c>
      <c r="C221" s="89" t="str">
        <f>LEFT(EmpGName07)&amp;" " &amp;EmpSName07</f>
        <v>T Sorensen</v>
      </c>
      <c r="D221" s="4" t="s">
        <v>62</v>
      </c>
      <c r="E221" s="4" t="s">
        <v>62</v>
      </c>
      <c r="F221" s="4" t="s">
        <v>62</v>
      </c>
      <c r="G221" s="4" t="s">
        <v>62</v>
      </c>
      <c r="H221" s="4" t="s">
        <v>62</v>
      </c>
      <c r="I221" s="4" t="s">
        <v>62</v>
      </c>
      <c r="J221" s="4" t="s">
        <v>62</v>
      </c>
      <c r="K221" s="4" t="s">
        <v>62</v>
      </c>
      <c r="L221" s="4" t="s">
        <v>62</v>
      </c>
      <c r="M221" s="4" t="s">
        <v>62</v>
      </c>
      <c r="N221" s="4" t="s">
        <v>62</v>
      </c>
      <c r="O221" s="4" t="s">
        <v>62</v>
      </c>
      <c r="P221" s="4" t="s">
        <v>62</v>
      </c>
      <c r="Q221" s="4" t="s">
        <v>62</v>
      </c>
      <c r="R221" s="4" t="s">
        <v>62</v>
      </c>
      <c r="S221" s="4" t="s">
        <v>62</v>
      </c>
      <c r="T221" s="4" t="s">
        <v>62</v>
      </c>
      <c r="U221" s="4" t="s">
        <v>62</v>
      </c>
      <c r="V221" s="4" t="s">
        <v>62</v>
      </c>
      <c r="W221" s="4" t="s">
        <v>62</v>
      </c>
      <c r="X221" s="4" t="s">
        <v>62</v>
      </c>
      <c r="Y221" s="4" t="s">
        <v>62</v>
      </c>
      <c r="Z221" s="4" t="s">
        <v>62</v>
      </c>
      <c r="AA221" s="4" t="s">
        <v>62</v>
      </c>
      <c r="AB221" s="4" t="s">
        <v>62</v>
      </c>
      <c r="AC221" s="4" t="s">
        <v>62</v>
      </c>
      <c r="AD221" s="4" t="s">
        <v>62</v>
      </c>
      <c r="AE221" s="95" t="s">
        <v>62</v>
      </c>
      <c r="AF221" s="174"/>
      <c r="AG221" s="2"/>
      <c r="AH221" s="2"/>
    </row>
    <row r="222" spans="2:34">
      <c r="B222" s="83">
        <v>8</v>
      </c>
      <c r="C222" s="90" t="str">
        <f>LEFT(EmpGName08)&amp;" " &amp;EmpSName08</f>
        <v xml:space="preserve">B Odd </v>
      </c>
      <c r="D222" s="3" t="s">
        <v>62</v>
      </c>
      <c r="E222" s="3" t="s">
        <v>62</v>
      </c>
      <c r="F222" s="3" t="s">
        <v>62</v>
      </c>
      <c r="G222" s="3" t="s">
        <v>62</v>
      </c>
      <c r="H222" s="3" t="s">
        <v>62</v>
      </c>
      <c r="I222" s="3" t="s">
        <v>62</v>
      </c>
      <c r="J222" s="3" t="s">
        <v>62</v>
      </c>
      <c r="K222" s="3" t="s">
        <v>62</v>
      </c>
      <c r="L222" s="3" t="s">
        <v>62</v>
      </c>
      <c r="M222" s="3" t="s">
        <v>62</v>
      </c>
      <c r="N222" s="3" t="s">
        <v>62</v>
      </c>
      <c r="O222" s="3" t="s">
        <v>62</v>
      </c>
      <c r="P222" s="3" t="s">
        <v>62</v>
      </c>
      <c r="Q222" s="3" t="s">
        <v>62</v>
      </c>
      <c r="R222" s="3" t="s">
        <v>62</v>
      </c>
      <c r="S222" s="3" t="s">
        <v>62</v>
      </c>
      <c r="T222" s="3" t="s">
        <v>62</v>
      </c>
      <c r="U222" s="3" t="s">
        <v>62</v>
      </c>
      <c r="V222" s="3" t="s">
        <v>62</v>
      </c>
      <c r="W222" s="3" t="s">
        <v>62</v>
      </c>
      <c r="X222" s="3" t="s">
        <v>62</v>
      </c>
      <c r="Y222" s="3" t="s">
        <v>62</v>
      </c>
      <c r="Z222" s="3" t="s">
        <v>62</v>
      </c>
      <c r="AA222" s="3" t="s">
        <v>62</v>
      </c>
      <c r="AB222" s="3" t="s">
        <v>62</v>
      </c>
      <c r="AC222" s="3" t="s">
        <v>62</v>
      </c>
      <c r="AD222" s="3" t="s">
        <v>62</v>
      </c>
      <c r="AE222" s="96" t="s">
        <v>62</v>
      </c>
      <c r="AF222" s="174"/>
      <c r="AG222" s="2"/>
      <c r="AH222" s="2"/>
    </row>
    <row r="223" spans="2:34">
      <c r="B223" s="83">
        <v>9</v>
      </c>
      <c r="C223" s="89" t="str">
        <f>LEFT(EmpGName09)&amp;" " &amp;EmpSName09</f>
        <v>1 Odd1</v>
      </c>
      <c r="D223" s="4" t="s">
        <v>62</v>
      </c>
      <c r="E223" s="4" t="s">
        <v>62</v>
      </c>
      <c r="F223" s="4" t="s">
        <v>62</v>
      </c>
      <c r="G223" s="4" t="s">
        <v>62</v>
      </c>
      <c r="H223" s="4" t="s">
        <v>62</v>
      </c>
      <c r="I223" s="4" t="s">
        <v>62</v>
      </c>
      <c r="J223" s="4" t="s">
        <v>62</v>
      </c>
      <c r="K223" s="4" t="s">
        <v>62</v>
      </c>
      <c r="L223" s="4" t="s">
        <v>62</v>
      </c>
      <c r="M223" s="4" t="s">
        <v>62</v>
      </c>
      <c r="N223" s="4" t="s">
        <v>62</v>
      </c>
      <c r="O223" s="4" t="s">
        <v>62</v>
      </c>
      <c r="P223" s="4" t="s">
        <v>62</v>
      </c>
      <c r="Q223" s="4" t="s">
        <v>62</v>
      </c>
      <c r="R223" s="4" t="s">
        <v>62</v>
      </c>
      <c r="S223" s="4" t="s">
        <v>62</v>
      </c>
      <c r="T223" s="4" t="s">
        <v>62</v>
      </c>
      <c r="U223" s="4" t="s">
        <v>62</v>
      </c>
      <c r="V223" s="4" t="s">
        <v>62</v>
      </c>
      <c r="W223" s="4" t="s">
        <v>62</v>
      </c>
      <c r="X223" s="4" t="s">
        <v>62</v>
      </c>
      <c r="Y223" s="4" t="s">
        <v>62</v>
      </c>
      <c r="Z223" s="4" t="s">
        <v>62</v>
      </c>
      <c r="AA223" s="4" t="s">
        <v>62</v>
      </c>
      <c r="AB223" s="4" t="s">
        <v>62</v>
      </c>
      <c r="AC223" s="4" t="s">
        <v>62</v>
      </c>
      <c r="AD223" s="4" t="s">
        <v>62</v>
      </c>
      <c r="AE223" s="95" t="s">
        <v>62</v>
      </c>
      <c r="AF223" s="174"/>
      <c r="AG223" s="2"/>
      <c r="AH223" s="2"/>
    </row>
    <row r="224" spans="2:34">
      <c r="B224" s="149">
        <v>10</v>
      </c>
      <c r="C224" s="91" t="str">
        <f>LEFT(EmpGName10)&amp;" " &amp;EmpSName10</f>
        <v>2 Odd2</v>
      </c>
      <c r="D224" s="68" t="s">
        <v>62</v>
      </c>
      <c r="E224" s="68" t="s">
        <v>62</v>
      </c>
      <c r="F224" s="68" t="s">
        <v>62</v>
      </c>
      <c r="G224" s="68" t="s">
        <v>62</v>
      </c>
      <c r="H224" s="68" t="s">
        <v>62</v>
      </c>
      <c r="I224" s="68" t="s">
        <v>62</v>
      </c>
      <c r="J224" s="68" t="s">
        <v>62</v>
      </c>
      <c r="K224" s="68" t="s">
        <v>62</v>
      </c>
      <c r="L224" s="68" t="s">
        <v>62</v>
      </c>
      <c r="M224" s="68" t="s">
        <v>62</v>
      </c>
      <c r="N224" s="68" t="s">
        <v>62</v>
      </c>
      <c r="O224" s="68" t="s">
        <v>62</v>
      </c>
      <c r="P224" s="68" t="s">
        <v>62</v>
      </c>
      <c r="Q224" s="68" t="s">
        <v>62</v>
      </c>
      <c r="R224" s="68" t="s">
        <v>62</v>
      </c>
      <c r="S224" s="68" t="s">
        <v>62</v>
      </c>
      <c r="T224" s="68" t="s">
        <v>62</v>
      </c>
      <c r="U224" s="68" t="s">
        <v>62</v>
      </c>
      <c r="V224" s="68" t="s">
        <v>62</v>
      </c>
      <c r="W224" s="68" t="s">
        <v>62</v>
      </c>
      <c r="X224" s="68" t="s">
        <v>62</v>
      </c>
      <c r="Y224" s="68" t="s">
        <v>62</v>
      </c>
      <c r="Z224" s="68" t="s">
        <v>62</v>
      </c>
      <c r="AA224" s="68" t="s">
        <v>62</v>
      </c>
      <c r="AB224" s="68" t="s">
        <v>62</v>
      </c>
      <c r="AC224" s="68" t="s">
        <v>62</v>
      </c>
      <c r="AD224" s="68" t="s">
        <v>62</v>
      </c>
      <c r="AE224" s="97" t="s">
        <v>62</v>
      </c>
      <c r="AF224" s="174"/>
      <c r="AG224" s="2"/>
      <c r="AH224" s="2"/>
    </row>
    <row r="225" spans="2:34">
      <c r="B225" s="149">
        <v>11</v>
      </c>
      <c r="C225" s="89" t="str">
        <f>LEFT(EmpGName11)&amp;" " &amp;EmpSName11</f>
        <v>2 Odd3</v>
      </c>
      <c r="D225" s="4" t="s">
        <v>62</v>
      </c>
      <c r="E225" s="4" t="s">
        <v>62</v>
      </c>
      <c r="F225" s="4" t="s">
        <v>62</v>
      </c>
      <c r="G225" s="4" t="s">
        <v>62</v>
      </c>
      <c r="H225" s="4" t="s">
        <v>62</v>
      </c>
      <c r="I225" s="4" t="s">
        <v>62</v>
      </c>
      <c r="J225" s="4" t="s">
        <v>62</v>
      </c>
      <c r="K225" s="4" t="s">
        <v>62</v>
      </c>
      <c r="L225" s="4" t="s">
        <v>62</v>
      </c>
      <c r="M225" s="4" t="s">
        <v>62</v>
      </c>
      <c r="N225" s="4" t="s">
        <v>62</v>
      </c>
      <c r="O225" s="4" t="s">
        <v>62</v>
      </c>
      <c r="P225" s="4" t="s">
        <v>62</v>
      </c>
      <c r="Q225" s="4" t="s">
        <v>62</v>
      </c>
      <c r="R225" s="4" t="s">
        <v>62</v>
      </c>
      <c r="S225" s="4" t="s">
        <v>62</v>
      </c>
      <c r="T225" s="4" t="s">
        <v>62</v>
      </c>
      <c r="U225" s="4" t="s">
        <v>62</v>
      </c>
      <c r="V225" s="4" t="s">
        <v>62</v>
      </c>
      <c r="W225" s="4" t="s">
        <v>62</v>
      </c>
      <c r="X225" s="4" t="s">
        <v>62</v>
      </c>
      <c r="Y225" s="4" t="s">
        <v>62</v>
      </c>
      <c r="Z225" s="4" t="s">
        <v>62</v>
      </c>
      <c r="AA225" s="4" t="s">
        <v>62</v>
      </c>
      <c r="AB225" s="4" t="s">
        <v>62</v>
      </c>
      <c r="AC225" s="4" t="s">
        <v>62</v>
      </c>
      <c r="AD225" s="4" t="s">
        <v>62</v>
      </c>
      <c r="AE225" s="95" t="s">
        <v>62</v>
      </c>
      <c r="AF225" s="174"/>
      <c r="AG225" s="2"/>
      <c r="AH225" s="2"/>
    </row>
    <row r="226" spans="2:34">
      <c r="B226" s="149">
        <v>12</v>
      </c>
      <c r="C226" s="91" t="str">
        <f>LEFT(EmpGName12)&amp;" " &amp;EmpSName12</f>
        <v>4 Odd4</v>
      </c>
      <c r="D226" s="68" t="s">
        <v>62</v>
      </c>
      <c r="E226" s="68" t="s">
        <v>62</v>
      </c>
      <c r="F226" s="68" t="s">
        <v>62</v>
      </c>
      <c r="G226" s="68" t="s">
        <v>62</v>
      </c>
      <c r="H226" s="68" t="s">
        <v>62</v>
      </c>
      <c r="I226" s="68" t="s">
        <v>62</v>
      </c>
      <c r="J226" s="68" t="s">
        <v>62</v>
      </c>
      <c r="K226" s="68" t="s">
        <v>62</v>
      </c>
      <c r="L226" s="68" t="s">
        <v>62</v>
      </c>
      <c r="M226" s="68" t="s">
        <v>62</v>
      </c>
      <c r="N226" s="68" t="s">
        <v>62</v>
      </c>
      <c r="O226" s="68" t="s">
        <v>62</v>
      </c>
      <c r="P226" s="68" t="s">
        <v>62</v>
      </c>
      <c r="Q226" s="68" t="s">
        <v>62</v>
      </c>
      <c r="R226" s="68" t="s">
        <v>62</v>
      </c>
      <c r="S226" s="68" t="s">
        <v>62</v>
      </c>
      <c r="T226" s="68" t="s">
        <v>62</v>
      </c>
      <c r="U226" s="68" t="s">
        <v>62</v>
      </c>
      <c r="V226" s="68" t="s">
        <v>62</v>
      </c>
      <c r="W226" s="68" t="s">
        <v>62</v>
      </c>
      <c r="X226" s="68" t="s">
        <v>62</v>
      </c>
      <c r="Y226" s="68" t="s">
        <v>62</v>
      </c>
      <c r="Z226" s="68" t="s">
        <v>62</v>
      </c>
      <c r="AA226" s="68" t="s">
        <v>62</v>
      </c>
      <c r="AB226" s="68" t="s">
        <v>62</v>
      </c>
      <c r="AC226" s="68" t="s">
        <v>62</v>
      </c>
      <c r="AD226" s="68" t="s">
        <v>62</v>
      </c>
      <c r="AE226" s="97" t="s">
        <v>62</v>
      </c>
      <c r="AF226" s="174"/>
      <c r="AG226" s="2"/>
      <c r="AH226" s="2"/>
    </row>
    <row r="227" spans="2:34">
      <c r="B227" s="6"/>
      <c r="C227" s="7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7"/>
      <c r="AH227" s="7"/>
    </row>
    <row r="228" spans="2:34">
      <c r="C228" t="str">
        <f>CurYear&amp;":"</f>
        <v>2019:</v>
      </c>
      <c r="D228" s="5" t="str">
        <f>LEFT(TEXT(D229&amp;"-"&amp;$C$229&amp;"-"&amp;CurYear,"ddd"),2)</f>
        <v>Fr</v>
      </c>
      <c r="E228" s="5" t="str">
        <f>LEFT(TEXT(E229&amp;"-"&amp;$C$229&amp;"-"&amp;CurYear,"ddd"),2)</f>
        <v>Sa</v>
      </c>
      <c r="F228" s="5" t="str">
        <f>LEFT(TEXT(F229&amp;"-"&amp;$C$229&amp;"-"&amp;CurYear,"ddd"),2)</f>
        <v>Su</v>
      </c>
      <c r="G228" s="5" t="str">
        <f>LEFT(TEXT(G229&amp;"-"&amp;$C$229&amp;"-"&amp;CurYear,"ddd"),2)</f>
        <v>Mo</v>
      </c>
      <c r="H228" s="5" t="str">
        <f>LEFT(TEXT(H229&amp;"-"&amp;$C$229&amp;"-"&amp;CurYear,"ddd"),2)</f>
        <v>Tu</v>
      </c>
      <c r="I228" s="5" t="str">
        <f>LEFT(TEXT(I229&amp;"-"&amp;$C$229&amp;"-"&amp;CurYear,"ddd"),2)</f>
        <v>We</v>
      </c>
      <c r="J228" s="5" t="str">
        <f>LEFT(TEXT(J229&amp;"-"&amp;$C$229&amp;"-"&amp;CurYear,"ddd"),2)</f>
        <v>Th</v>
      </c>
      <c r="K228" s="5" t="str">
        <f>LEFT(TEXT(K229&amp;"-"&amp;$C$229&amp;"-"&amp;CurYear,"ddd"),2)</f>
        <v>Fr</v>
      </c>
      <c r="L228" s="5" t="str">
        <f>LEFT(TEXT(L229&amp;"-"&amp;$C$229&amp;"-"&amp;CurYear,"ddd"),2)</f>
        <v>Sa</v>
      </c>
      <c r="M228" s="5" t="str">
        <f>LEFT(TEXT(M229&amp;"-"&amp;$C$229&amp;"-"&amp;CurYear,"ddd"),2)</f>
        <v>Su</v>
      </c>
      <c r="N228" s="5" t="str">
        <f>LEFT(TEXT(N229&amp;"-"&amp;$C$229&amp;"-"&amp;CurYear,"ddd"),2)</f>
        <v>Mo</v>
      </c>
      <c r="O228" s="5" t="str">
        <f>LEFT(TEXT(O229&amp;"-"&amp;$C$229&amp;"-"&amp;CurYear,"ddd"),2)</f>
        <v>Tu</v>
      </c>
      <c r="P228" s="5" t="str">
        <f>LEFT(TEXT(P229&amp;"-"&amp;$C$229&amp;"-"&amp;CurYear,"ddd"),2)</f>
        <v>We</v>
      </c>
      <c r="Q228" s="5" t="str">
        <f>LEFT(TEXT(Q229&amp;"-"&amp;$C$229&amp;"-"&amp;CurYear,"ddd"),2)</f>
        <v>Th</v>
      </c>
      <c r="R228" s="5" t="str">
        <f>LEFT(TEXT(R229&amp;"-"&amp;$C$229&amp;"-"&amp;CurYear,"ddd"),2)</f>
        <v>Fr</v>
      </c>
      <c r="S228" s="5" t="str">
        <f>LEFT(TEXT(S229&amp;"-"&amp;$C$229&amp;"-"&amp;CurYear,"ddd"),2)</f>
        <v>Sa</v>
      </c>
      <c r="T228" s="5" t="str">
        <f>LEFT(TEXT(T229&amp;"-"&amp;$C$229&amp;"-"&amp;CurYear,"ddd"),2)</f>
        <v>Su</v>
      </c>
      <c r="U228" s="5" t="str">
        <f>LEFT(TEXT(U229&amp;"-"&amp;$C$229&amp;"-"&amp;CurYear,"ddd"),2)</f>
        <v>Mo</v>
      </c>
      <c r="V228" s="5" t="str">
        <f>LEFT(TEXT(V229&amp;"-"&amp;$C$229&amp;"-"&amp;CurYear,"ddd"),2)</f>
        <v>Tu</v>
      </c>
      <c r="W228" s="5" t="str">
        <f>LEFT(TEXT(W229&amp;"-"&amp;$C$229&amp;"-"&amp;CurYear,"ddd"),2)</f>
        <v>We</v>
      </c>
      <c r="X228" s="5" t="str">
        <f>LEFT(TEXT(X229&amp;"-"&amp;$C$229&amp;"-"&amp;CurYear,"ddd"),2)</f>
        <v>Th</v>
      </c>
      <c r="Y228" s="5" t="str">
        <f>LEFT(TEXT(Y229&amp;"-"&amp;$C$229&amp;"-"&amp;CurYear,"ddd"),2)</f>
        <v>Fr</v>
      </c>
      <c r="Z228" s="5" t="str">
        <f>LEFT(TEXT(Z229&amp;"-"&amp;$C$229&amp;"-"&amp;CurYear,"ddd"),2)</f>
        <v>Sa</v>
      </c>
      <c r="AA228" s="5" t="str">
        <f>LEFT(TEXT(AA229&amp;"-"&amp;$C$229&amp;"-"&amp;CurYear,"ddd"),2)</f>
        <v>Su</v>
      </c>
      <c r="AB228" s="5" t="str">
        <f>LEFT(TEXT(AB229&amp;"-"&amp;$C$229&amp;"-"&amp;CurYear,"ddd"),2)</f>
        <v>Mo</v>
      </c>
      <c r="AC228" s="5" t="str">
        <f>LEFT(TEXT(AC229&amp;"-"&amp;$C$229&amp;"-"&amp;CurYear,"ddd"),2)</f>
        <v>Tu</v>
      </c>
      <c r="AD228" s="5" t="str">
        <f>LEFT(TEXT(AD229&amp;"-"&amp;$C$229&amp;"-"&amp;CurYear,"ddd"),2)</f>
        <v>We</v>
      </c>
      <c r="AE228" s="5" t="str">
        <f>LEFT(TEXT(AE229&amp;"-"&amp;$C$229&amp;"-"&amp;CurYear,"ddd"),2)</f>
        <v>Th</v>
      </c>
      <c r="AF228" s="5" t="str">
        <f>LEFT(TEXT(AF229&amp;"-"&amp;$C$229&amp;"-"&amp;CurYear,"ddd"),2)</f>
        <v>Fr</v>
      </c>
      <c r="AG228" s="5" t="str">
        <f>LEFT(TEXT(AG229&amp;"-"&amp;$C$229&amp;"-"&amp;CurYear,"ddd"),2)</f>
        <v>Sa</v>
      </c>
      <c r="AH228" s="5" t="str">
        <f>LEFT(TEXT(AH229&amp;"-"&amp;$C$229&amp;"-"&amp;CurYear,"ddd"),2)</f>
        <v>Su</v>
      </c>
    </row>
    <row r="229" spans="2:34">
      <c r="B229" s="88"/>
      <c r="C229" s="84" t="s">
        <v>14</v>
      </c>
      <c r="D229" s="176">
        <v>1</v>
      </c>
      <c r="E229" s="85">
        <v>2</v>
      </c>
      <c r="F229" s="85">
        <v>3</v>
      </c>
      <c r="G229" s="85">
        <v>4</v>
      </c>
      <c r="H229" s="85">
        <v>5</v>
      </c>
      <c r="I229" s="85">
        <v>6</v>
      </c>
      <c r="J229" s="85">
        <v>7</v>
      </c>
      <c r="K229" s="85">
        <v>8</v>
      </c>
      <c r="L229" s="85">
        <v>9</v>
      </c>
      <c r="M229" s="85">
        <v>10</v>
      </c>
      <c r="N229" s="85">
        <v>11</v>
      </c>
      <c r="O229" s="85">
        <v>12</v>
      </c>
      <c r="P229" s="85">
        <v>13</v>
      </c>
      <c r="Q229" s="85">
        <v>14</v>
      </c>
      <c r="R229" s="176">
        <v>15</v>
      </c>
      <c r="S229" s="85">
        <v>16</v>
      </c>
      <c r="T229" s="85">
        <v>17</v>
      </c>
      <c r="U229" s="85">
        <v>18</v>
      </c>
      <c r="V229" s="85">
        <v>19</v>
      </c>
      <c r="W229" s="85">
        <v>20</v>
      </c>
      <c r="X229" s="85">
        <v>21</v>
      </c>
      <c r="Y229" s="85">
        <v>22</v>
      </c>
      <c r="Z229" s="85">
        <v>23</v>
      </c>
      <c r="AA229" s="85">
        <v>24</v>
      </c>
      <c r="AB229" s="85">
        <v>25</v>
      </c>
      <c r="AC229" s="85">
        <v>26</v>
      </c>
      <c r="AD229" s="85">
        <v>27</v>
      </c>
      <c r="AE229" s="85">
        <v>28</v>
      </c>
      <c r="AF229" s="176">
        <v>29</v>
      </c>
      <c r="AG229" s="85">
        <v>30</v>
      </c>
      <c r="AH229" s="85">
        <v>31</v>
      </c>
    </row>
    <row r="230" spans="2:34">
      <c r="B230" s="83">
        <v>1</v>
      </c>
      <c r="C230" s="89" t="str">
        <f>LEFT(EmpGName01)&amp;" " &amp; EmpSName01</f>
        <v>L Marampon</v>
      </c>
      <c r="D230" s="4" t="s">
        <v>62</v>
      </c>
      <c r="E230" s="4" t="s">
        <v>62</v>
      </c>
      <c r="F230" s="82" t="s">
        <v>62</v>
      </c>
      <c r="G230" s="4" t="s">
        <v>62</v>
      </c>
      <c r="H230" s="4" t="s">
        <v>62</v>
      </c>
      <c r="I230" s="4" t="s">
        <v>62</v>
      </c>
      <c r="J230" s="4" t="s">
        <v>62</v>
      </c>
      <c r="K230" s="4" t="s">
        <v>62</v>
      </c>
      <c r="L230" s="4" t="s">
        <v>62</v>
      </c>
      <c r="M230" s="4" t="s">
        <v>62</v>
      </c>
      <c r="N230" s="4" t="s">
        <v>62</v>
      </c>
      <c r="O230" s="4" t="s">
        <v>62</v>
      </c>
      <c r="P230" s="4" t="s">
        <v>62</v>
      </c>
      <c r="Q230" s="4" t="s">
        <v>62</v>
      </c>
      <c r="R230" s="4" t="s">
        <v>62</v>
      </c>
      <c r="S230" s="4" t="s">
        <v>62</v>
      </c>
      <c r="T230" s="4" t="s">
        <v>62</v>
      </c>
      <c r="U230" s="4" t="s">
        <v>62</v>
      </c>
      <c r="V230" s="4" t="s">
        <v>62</v>
      </c>
      <c r="W230" s="4" t="s">
        <v>62</v>
      </c>
      <c r="X230" s="4" t="s">
        <v>62</v>
      </c>
      <c r="Y230" s="4" t="s">
        <v>62</v>
      </c>
      <c r="Z230" s="4" t="s">
        <v>62</v>
      </c>
      <c r="AA230" s="4" t="s">
        <v>62</v>
      </c>
      <c r="AB230" s="4" t="s">
        <v>62</v>
      </c>
      <c r="AC230" s="4" t="s">
        <v>62</v>
      </c>
      <c r="AD230" s="4" t="s">
        <v>62</v>
      </c>
      <c r="AE230" s="4" t="s">
        <v>62</v>
      </c>
      <c r="AF230" s="4" t="s">
        <v>62</v>
      </c>
      <c r="AG230" s="4" t="s">
        <v>62</v>
      </c>
      <c r="AH230" s="4" t="s">
        <v>62</v>
      </c>
    </row>
    <row r="231" spans="2:34">
      <c r="B231" s="83">
        <v>2</v>
      </c>
      <c r="C231" s="90" t="str">
        <f>LEFT(EmpGName02)&amp;" " &amp;EmpSName02</f>
        <v>K Stone</v>
      </c>
      <c r="D231" s="3" t="s">
        <v>62</v>
      </c>
      <c r="E231" s="3" t="s">
        <v>62</v>
      </c>
      <c r="F231" s="3" t="s">
        <v>62</v>
      </c>
      <c r="G231" s="3" t="s">
        <v>62</v>
      </c>
      <c r="H231" s="3" t="s">
        <v>62</v>
      </c>
      <c r="I231" s="3" t="s">
        <v>62</v>
      </c>
      <c r="J231" s="3" t="s">
        <v>62</v>
      </c>
      <c r="K231" s="3" t="s">
        <v>62</v>
      </c>
      <c r="L231" s="3" t="s">
        <v>62</v>
      </c>
      <c r="M231" s="3" t="s">
        <v>62</v>
      </c>
      <c r="N231" s="3" t="s">
        <v>62</v>
      </c>
      <c r="O231" s="3" t="s">
        <v>62</v>
      </c>
      <c r="P231" s="3" t="s">
        <v>62</v>
      </c>
      <c r="Q231" s="3" t="s">
        <v>62</v>
      </c>
      <c r="R231" s="3" t="s">
        <v>62</v>
      </c>
      <c r="S231" s="3" t="s">
        <v>62</v>
      </c>
      <c r="T231" s="3" t="s">
        <v>62</v>
      </c>
      <c r="U231" s="3" t="s">
        <v>62</v>
      </c>
      <c r="V231" s="3" t="s">
        <v>62</v>
      </c>
      <c r="W231" s="3" t="s">
        <v>62</v>
      </c>
      <c r="X231" s="3" t="s">
        <v>62</v>
      </c>
      <c r="Y231" s="3" t="s">
        <v>62</v>
      </c>
      <c r="Z231" s="3" t="s">
        <v>62</v>
      </c>
      <c r="AA231" s="3" t="s">
        <v>62</v>
      </c>
      <c r="AB231" s="3" t="s">
        <v>62</v>
      </c>
      <c r="AC231" s="3" t="s">
        <v>62</v>
      </c>
      <c r="AD231" s="3" t="s">
        <v>62</v>
      </c>
      <c r="AE231" s="3" t="s">
        <v>62</v>
      </c>
      <c r="AF231" s="3" t="s">
        <v>62</v>
      </c>
      <c r="AG231" s="3" t="s">
        <v>62</v>
      </c>
      <c r="AH231" s="3" t="s">
        <v>62</v>
      </c>
    </row>
    <row r="232" spans="2:34">
      <c r="B232" s="83">
        <v>3</v>
      </c>
      <c r="C232" s="89" t="str">
        <f>LEFT(EmpGName03)&amp;" " &amp;EmpSName03</f>
        <v>I Thelning</v>
      </c>
      <c r="D232" s="4" t="s">
        <v>62</v>
      </c>
      <c r="E232" s="4" t="s">
        <v>62</v>
      </c>
      <c r="F232" s="4" t="s">
        <v>62</v>
      </c>
      <c r="G232" s="4" t="s">
        <v>62</v>
      </c>
      <c r="H232" s="4" t="s">
        <v>62</v>
      </c>
      <c r="I232" s="4" t="s">
        <v>62</v>
      </c>
      <c r="J232" s="4" t="s">
        <v>62</v>
      </c>
      <c r="K232" s="4" t="s">
        <v>62</v>
      </c>
      <c r="L232" s="4" t="s">
        <v>62</v>
      </c>
      <c r="M232" s="4" t="s">
        <v>62</v>
      </c>
      <c r="N232" s="4" t="s">
        <v>62</v>
      </c>
      <c r="O232" s="4" t="s">
        <v>62</v>
      </c>
      <c r="P232" s="4" t="s">
        <v>62</v>
      </c>
      <c r="Q232" s="4" t="s">
        <v>62</v>
      </c>
      <c r="R232" s="4" t="s">
        <v>62</v>
      </c>
      <c r="S232" s="4" t="s">
        <v>62</v>
      </c>
      <c r="T232" s="4" t="s">
        <v>62</v>
      </c>
      <c r="U232" s="4" t="s">
        <v>62</v>
      </c>
      <c r="V232" s="4" t="s">
        <v>62</v>
      </c>
      <c r="W232" s="4" t="s">
        <v>62</v>
      </c>
      <c r="X232" s="4" t="s">
        <v>62</v>
      </c>
      <c r="Y232" s="4" t="s">
        <v>62</v>
      </c>
      <c r="Z232" s="4" t="s">
        <v>62</v>
      </c>
      <c r="AA232" s="4" t="s">
        <v>62</v>
      </c>
      <c r="AB232" s="4" t="s">
        <v>62</v>
      </c>
      <c r="AC232" s="4" t="s">
        <v>62</v>
      </c>
      <c r="AD232" s="4" t="s">
        <v>62</v>
      </c>
      <c r="AE232" s="4" t="s">
        <v>62</v>
      </c>
      <c r="AF232" s="4" t="s">
        <v>62</v>
      </c>
      <c r="AG232" s="4" t="s">
        <v>62</v>
      </c>
      <c r="AH232" s="4" t="s">
        <v>62</v>
      </c>
    </row>
    <row r="233" spans="2:34">
      <c r="B233" s="83">
        <v>4</v>
      </c>
      <c r="C233" s="90" t="str">
        <f>LEFT(EmpGName04)&amp;" " &amp;EmpSName04</f>
        <v>L King</v>
      </c>
      <c r="D233" s="3" t="s">
        <v>62</v>
      </c>
      <c r="E233" s="3" t="s">
        <v>62</v>
      </c>
      <c r="F233" s="3" t="s">
        <v>62</v>
      </c>
      <c r="G233" s="3" t="s">
        <v>62</v>
      </c>
      <c r="H233" s="3" t="s">
        <v>62</v>
      </c>
      <c r="I233" s="3" t="s">
        <v>62</v>
      </c>
      <c r="J233" s="3" t="s">
        <v>62</v>
      </c>
      <c r="K233" s="3" t="s">
        <v>62</v>
      </c>
      <c r="L233" s="3" t="s">
        <v>62</v>
      </c>
      <c r="M233" s="3" t="s">
        <v>62</v>
      </c>
      <c r="N233" s="3" t="s">
        <v>62</v>
      </c>
      <c r="O233" s="3" t="s">
        <v>62</v>
      </c>
      <c r="P233" s="3" t="s">
        <v>62</v>
      </c>
      <c r="Q233" s="3" t="s">
        <v>62</v>
      </c>
      <c r="R233" s="3" t="s">
        <v>62</v>
      </c>
      <c r="S233" s="3" t="s">
        <v>62</v>
      </c>
      <c r="T233" s="3" t="s">
        <v>62</v>
      </c>
      <c r="U233" s="3" t="s">
        <v>62</v>
      </c>
      <c r="V233" s="3" t="s">
        <v>62</v>
      </c>
      <c r="W233" s="3" t="s">
        <v>62</v>
      </c>
      <c r="X233" s="3" t="s">
        <v>62</v>
      </c>
      <c r="Y233" s="3" t="s">
        <v>62</v>
      </c>
      <c r="Z233" s="3" t="s">
        <v>62</v>
      </c>
      <c r="AA233" s="3" t="s">
        <v>62</v>
      </c>
      <c r="AB233" s="3" t="s">
        <v>62</v>
      </c>
      <c r="AC233" s="3" t="s">
        <v>62</v>
      </c>
      <c r="AD233" s="3" t="s">
        <v>62</v>
      </c>
      <c r="AE233" s="3" t="s">
        <v>62</v>
      </c>
      <c r="AF233" s="3" t="s">
        <v>62</v>
      </c>
      <c r="AG233" s="3" t="s">
        <v>62</v>
      </c>
      <c r="AH233" s="3" t="s">
        <v>62</v>
      </c>
    </row>
    <row r="234" spans="2:34">
      <c r="B234" s="83">
        <v>5</v>
      </c>
      <c r="C234" s="89" t="str">
        <f>LEFT(EmpGName05)&amp;" " &amp;EmpSName05</f>
        <v>D Castle</v>
      </c>
      <c r="D234" s="4" t="s">
        <v>62</v>
      </c>
      <c r="E234" s="4" t="s">
        <v>62</v>
      </c>
      <c r="F234" s="4" t="s">
        <v>62</v>
      </c>
      <c r="G234" s="4" t="s">
        <v>62</v>
      </c>
      <c r="H234" s="4" t="s">
        <v>62</v>
      </c>
      <c r="I234" s="4" t="s">
        <v>62</v>
      </c>
      <c r="J234" s="4" t="s">
        <v>62</v>
      </c>
      <c r="K234" s="4" t="s">
        <v>62</v>
      </c>
      <c r="L234" s="4" t="s">
        <v>62</v>
      </c>
      <c r="M234" s="4" t="s">
        <v>62</v>
      </c>
      <c r="N234" s="4" t="s">
        <v>62</v>
      </c>
      <c r="O234" s="4" t="s">
        <v>62</v>
      </c>
      <c r="P234" s="4" t="s">
        <v>62</v>
      </c>
      <c r="Q234" s="4" t="s">
        <v>62</v>
      </c>
      <c r="R234" s="4" t="s">
        <v>62</v>
      </c>
      <c r="S234" s="4" t="s">
        <v>62</v>
      </c>
      <c r="T234" s="4" t="s">
        <v>62</v>
      </c>
      <c r="U234" s="4" t="s">
        <v>62</v>
      </c>
      <c r="V234" s="4" t="s">
        <v>62</v>
      </c>
      <c r="W234" s="4" t="s">
        <v>62</v>
      </c>
      <c r="X234" s="4" t="s">
        <v>62</v>
      </c>
      <c r="Y234" s="4" t="s">
        <v>62</v>
      </c>
      <c r="Z234" s="4" t="s">
        <v>62</v>
      </c>
      <c r="AA234" s="4" t="s">
        <v>62</v>
      </c>
      <c r="AB234" s="4" t="s">
        <v>62</v>
      </c>
      <c r="AC234" s="4" t="s">
        <v>62</v>
      </c>
      <c r="AD234" s="4" t="s">
        <v>62</v>
      </c>
      <c r="AE234" s="4" t="s">
        <v>62</v>
      </c>
      <c r="AF234" s="4" t="s">
        <v>62</v>
      </c>
      <c r="AG234" s="4" t="s">
        <v>62</v>
      </c>
      <c r="AH234" s="4" t="s">
        <v>62</v>
      </c>
    </row>
    <row r="235" spans="2:34">
      <c r="B235" s="83">
        <v>6</v>
      </c>
      <c r="C235" s="90" t="str">
        <f>LEFT(EmpGName06)&amp;" " &amp;EmpSName06</f>
        <v>R Fielding</v>
      </c>
      <c r="D235" s="3" t="s">
        <v>62</v>
      </c>
      <c r="E235" s="3" t="s">
        <v>62</v>
      </c>
      <c r="F235" s="3" t="s">
        <v>62</v>
      </c>
      <c r="G235" s="3" t="s">
        <v>62</v>
      </c>
      <c r="H235" s="3" t="s">
        <v>62</v>
      </c>
      <c r="I235" s="3" t="s">
        <v>62</v>
      </c>
      <c r="J235" s="3" t="s">
        <v>62</v>
      </c>
      <c r="K235" s="3" t="s">
        <v>62</v>
      </c>
      <c r="L235" s="3" t="s">
        <v>62</v>
      </c>
      <c r="M235" s="3" t="s">
        <v>62</v>
      </c>
      <c r="N235" s="3" t="s">
        <v>62</v>
      </c>
      <c r="O235" s="3" t="s">
        <v>62</v>
      </c>
      <c r="P235" s="3" t="s">
        <v>62</v>
      </c>
      <c r="Q235" s="3" t="s">
        <v>62</v>
      </c>
      <c r="R235" s="3" t="s">
        <v>62</v>
      </c>
      <c r="S235" s="3" t="s">
        <v>62</v>
      </c>
      <c r="T235" s="3" t="s">
        <v>62</v>
      </c>
      <c r="U235" s="3" t="s">
        <v>62</v>
      </c>
      <c r="V235" s="3" t="s">
        <v>62</v>
      </c>
      <c r="W235" s="3" t="s">
        <v>62</v>
      </c>
      <c r="X235" s="3" t="s">
        <v>62</v>
      </c>
      <c r="Y235" s="3" t="s">
        <v>62</v>
      </c>
      <c r="Z235" s="3" t="s">
        <v>62</v>
      </c>
      <c r="AA235" s="3" t="s">
        <v>62</v>
      </c>
      <c r="AB235" s="3" t="s">
        <v>62</v>
      </c>
      <c r="AC235" s="3" t="s">
        <v>62</v>
      </c>
      <c r="AD235" s="3" t="s">
        <v>62</v>
      </c>
      <c r="AE235" s="3" t="s">
        <v>62</v>
      </c>
      <c r="AF235" s="3" t="s">
        <v>62</v>
      </c>
      <c r="AG235" s="3" t="s">
        <v>62</v>
      </c>
      <c r="AH235" s="3" t="s">
        <v>62</v>
      </c>
    </row>
    <row r="236" spans="2:34">
      <c r="B236" s="83">
        <v>7</v>
      </c>
      <c r="C236" s="89" t="str">
        <f>LEFT(EmpGName07)&amp;" " &amp;EmpSName07</f>
        <v>T Sorensen</v>
      </c>
      <c r="D236" s="4" t="s">
        <v>62</v>
      </c>
      <c r="E236" s="4" t="s">
        <v>62</v>
      </c>
      <c r="F236" s="4" t="s">
        <v>62</v>
      </c>
      <c r="G236" s="4" t="s">
        <v>62</v>
      </c>
      <c r="H236" s="4" t="s">
        <v>62</v>
      </c>
      <c r="I236" s="4" t="s">
        <v>62</v>
      </c>
      <c r="J236" s="4" t="s">
        <v>62</v>
      </c>
      <c r="K236" s="4" t="s">
        <v>62</v>
      </c>
      <c r="L236" s="4" t="s">
        <v>62</v>
      </c>
      <c r="M236" s="4" t="s">
        <v>62</v>
      </c>
      <c r="N236" s="4" t="s">
        <v>62</v>
      </c>
      <c r="O236" s="4" t="s">
        <v>62</v>
      </c>
      <c r="P236" s="4" t="s">
        <v>62</v>
      </c>
      <c r="Q236" s="4" t="s">
        <v>62</v>
      </c>
      <c r="R236" s="4" t="s">
        <v>62</v>
      </c>
      <c r="S236" s="4" t="s">
        <v>62</v>
      </c>
      <c r="T236" s="4" t="s">
        <v>62</v>
      </c>
      <c r="U236" s="4" t="s">
        <v>62</v>
      </c>
      <c r="V236" s="4" t="s">
        <v>62</v>
      </c>
      <c r="W236" s="4" t="s">
        <v>62</v>
      </c>
      <c r="X236" s="4" t="s">
        <v>62</v>
      </c>
      <c r="Y236" s="4" t="s">
        <v>62</v>
      </c>
      <c r="Z236" s="4" t="s">
        <v>62</v>
      </c>
      <c r="AA236" s="4" t="s">
        <v>62</v>
      </c>
      <c r="AB236" s="4" t="s">
        <v>62</v>
      </c>
      <c r="AC236" s="4" t="s">
        <v>62</v>
      </c>
      <c r="AD236" s="4" t="s">
        <v>62</v>
      </c>
      <c r="AE236" s="4" t="s">
        <v>62</v>
      </c>
      <c r="AF236" s="4" t="s">
        <v>62</v>
      </c>
      <c r="AG236" s="4" t="s">
        <v>62</v>
      </c>
      <c r="AH236" s="4" t="s">
        <v>62</v>
      </c>
    </row>
    <row r="237" spans="2:34">
      <c r="B237" s="83">
        <v>8</v>
      </c>
      <c r="C237" s="90" t="str">
        <f>LEFT(EmpGName08)&amp;" " &amp;EmpSName08</f>
        <v xml:space="preserve">B Odd </v>
      </c>
      <c r="D237" s="3" t="s">
        <v>62</v>
      </c>
      <c r="E237" s="3" t="s">
        <v>62</v>
      </c>
      <c r="F237" s="3" t="s">
        <v>62</v>
      </c>
      <c r="G237" s="3" t="s">
        <v>62</v>
      </c>
      <c r="H237" s="3" t="s">
        <v>62</v>
      </c>
      <c r="I237" s="3" t="s">
        <v>62</v>
      </c>
      <c r="J237" s="3" t="s">
        <v>62</v>
      </c>
      <c r="K237" s="3" t="s">
        <v>62</v>
      </c>
      <c r="L237" s="3" t="s">
        <v>62</v>
      </c>
      <c r="M237" s="3" t="s">
        <v>62</v>
      </c>
      <c r="N237" s="3" t="s">
        <v>62</v>
      </c>
      <c r="O237" s="3" t="s">
        <v>62</v>
      </c>
      <c r="P237" s="3" t="s">
        <v>62</v>
      </c>
      <c r="Q237" s="3" t="s">
        <v>62</v>
      </c>
      <c r="R237" s="3" t="s">
        <v>62</v>
      </c>
      <c r="S237" s="3" t="s">
        <v>62</v>
      </c>
      <c r="T237" s="3" t="s">
        <v>62</v>
      </c>
      <c r="U237" s="3" t="s">
        <v>62</v>
      </c>
      <c r="V237" s="3" t="s">
        <v>62</v>
      </c>
      <c r="W237" s="3" t="s">
        <v>62</v>
      </c>
      <c r="X237" s="3" t="s">
        <v>62</v>
      </c>
      <c r="Y237" s="3" t="s">
        <v>62</v>
      </c>
      <c r="Z237" s="3" t="s">
        <v>62</v>
      </c>
      <c r="AA237" s="3" t="s">
        <v>62</v>
      </c>
      <c r="AB237" s="3" t="s">
        <v>62</v>
      </c>
      <c r="AC237" s="3" t="s">
        <v>62</v>
      </c>
      <c r="AD237" s="3" t="s">
        <v>62</v>
      </c>
      <c r="AE237" s="3" t="s">
        <v>62</v>
      </c>
      <c r="AF237" s="3" t="s">
        <v>62</v>
      </c>
      <c r="AG237" s="3" t="s">
        <v>62</v>
      </c>
      <c r="AH237" s="3" t="s">
        <v>62</v>
      </c>
    </row>
    <row r="238" spans="2:34">
      <c r="B238" s="83">
        <v>9</v>
      </c>
      <c r="C238" s="89" t="str">
        <f>LEFT(EmpGName09)&amp;" " &amp;EmpSName09</f>
        <v>1 Odd1</v>
      </c>
      <c r="D238" s="4" t="s">
        <v>62</v>
      </c>
      <c r="E238" s="4" t="s">
        <v>62</v>
      </c>
      <c r="F238" s="4" t="s">
        <v>62</v>
      </c>
      <c r="G238" s="4" t="s">
        <v>62</v>
      </c>
      <c r="H238" s="4" t="s">
        <v>62</v>
      </c>
      <c r="I238" s="4" t="s">
        <v>62</v>
      </c>
      <c r="J238" s="4" t="s">
        <v>62</v>
      </c>
      <c r="K238" s="4" t="s">
        <v>62</v>
      </c>
      <c r="L238" s="4" t="s">
        <v>62</v>
      </c>
      <c r="M238" s="4" t="s">
        <v>62</v>
      </c>
      <c r="N238" s="4" t="s">
        <v>62</v>
      </c>
      <c r="O238" s="4" t="s">
        <v>62</v>
      </c>
      <c r="P238" s="4" t="s">
        <v>62</v>
      </c>
      <c r="Q238" s="4" t="s">
        <v>62</v>
      </c>
      <c r="R238" s="4" t="s">
        <v>62</v>
      </c>
      <c r="S238" s="4" t="s">
        <v>62</v>
      </c>
      <c r="T238" s="4" t="s">
        <v>62</v>
      </c>
      <c r="U238" s="4" t="s">
        <v>62</v>
      </c>
      <c r="V238" s="4" t="s">
        <v>62</v>
      </c>
      <c r="W238" s="4" t="s">
        <v>62</v>
      </c>
      <c r="X238" s="4" t="s">
        <v>62</v>
      </c>
      <c r="Y238" s="4" t="s">
        <v>62</v>
      </c>
      <c r="Z238" s="4" t="s">
        <v>62</v>
      </c>
      <c r="AA238" s="4" t="s">
        <v>62</v>
      </c>
      <c r="AB238" s="4" t="s">
        <v>62</v>
      </c>
      <c r="AC238" s="4" t="s">
        <v>62</v>
      </c>
      <c r="AD238" s="4" t="s">
        <v>62</v>
      </c>
      <c r="AE238" s="4" t="s">
        <v>62</v>
      </c>
      <c r="AF238" s="4" t="s">
        <v>62</v>
      </c>
      <c r="AG238" s="4" t="s">
        <v>62</v>
      </c>
      <c r="AH238" s="4" t="s">
        <v>62</v>
      </c>
    </row>
    <row r="239" spans="2:34">
      <c r="B239" s="149">
        <v>10</v>
      </c>
      <c r="C239" s="91" t="str">
        <f>LEFT(EmpGName10)&amp;" " &amp;EmpSName10</f>
        <v>2 Odd2</v>
      </c>
      <c r="D239" s="68" t="s">
        <v>62</v>
      </c>
      <c r="E239" s="68" t="s">
        <v>62</v>
      </c>
      <c r="F239" s="68" t="s">
        <v>62</v>
      </c>
      <c r="G239" s="68" t="s">
        <v>62</v>
      </c>
      <c r="H239" s="68" t="s">
        <v>62</v>
      </c>
      <c r="I239" s="68" t="s">
        <v>62</v>
      </c>
      <c r="J239" s="68" t="s">
        <v>62</v>
      </c>
      <c r="K239" s="68" t="s">
        <v>62</v>
      </c>
      <c r="L239" s="68" t="s">
        <v>62</v>
      </c>
      <c r="M239" s="68" t="s">
        <v>62</v>
      </c>
      <c r="N239" s="68" t="s">
        <v>62</v>
      </c>
      <c r="O239" s="68" t="s">
        <v>62</v>
      </c>
      <c r="P239" s="68" t="s">
        <v>62</v>
      </c>
      <c r="Q239" s="68" t="s">
        <v>62</v>
      </c>
      <c r="R239" s="68" t="s">
        <v>62</v>
      </c>
      <c r="S239" s="68" t="s">
        <v>62</v>
      </c>
      <c r="T239" s="68" t="s">
        <v>62</v>
      </c>
      <c r="U239" s="68" t="s">
        <v>62</v>
      </c>
      <c r="V239" s="68" t="s">
        <v>62</v>
      </c>
      <c r="W239" s="68" t="s">
        <v>62</v>
      </c>
      <c r="X239" s="68" t="s">
        <v>62</v>
      </c>
      <c r="Y239" s="68" t="s">
        <v>62</v>
      </c>
      <c r="Z239" s="68" t="s">
        <v>62</v>
      </c>
      <c r="AA239" s="68" t="s">
        <v>62</v>
      </c>
      <c r="AB239" s="68" t="s">
        <v>62</v>
      </c>
      <c r="AC239" s="68" t="s">
        <v>62</v>
      </c>
      <c r="AD239" s="68" t="s">
        <v>62</v>
      </c>
      <c r="AE239" s="68" t="s">
        <v>62</v>
      </c>
      <c r="AF239" s="68" t="s">
        <v>62</v>
      </c>
      <c r="AG239" s="68" t="s">
        <v>62</v>
      </c>
      <c r="AH239" s="68" t="s">
        <v>62</v>
      </c>
    </row>
    <row r="240" spans="2:34">
      <c r="B240" s="149">
        <v>11</v>
      </c>
      <c r="C240" s="89" t="str">
        <f>LEFT(EmpGName11)&amp;" " &amp;EmpSName11</f>
        <v>2 Odd3</v>
      </c>
      <c r="D240" s="4" t="s">
        <v>62</v>
      </c>
      <c r="E240" s="4" t="s">
        <v>62</v>
      </c>
      <c r="F240" s="4" t="s">
        <v>62</v>
      </c>
      <c r="G240" s="4" t="s">
        <v>62</v>
      </c>
      <c r="H240" s="4" t="s">
        <v>62</v>
      </c>
      <c r="I240" s="4" t="s">
        <v>62</v>
      </c>
      <c r="J240" s="4" t="s">
        <v>62</v>
      </c>
      <c r="K240" s="4" t="s">
        <v>62</v>
      </c>
      <c r="L240" s="4" t="s">
        <v>62</v>
      </c>
      <c r="M240" s="4" t="s">
        <v>62</v>
      </c>
      <c r="N240" s="4" t="s">
        <v>62</v>
      </c>
      <c r="O240" s="4" t="s">
        <v>62</v>
      </c>
      <c r="P240" s="4" t="s">
        <v>62</v>
      </c>
      <c r="Q240" s="4" t="s">
        <v>62</v>
      </c>
      <c r="R240" s="4" t="s">
        <v>62</v>
      </c>
      <c r="S240" s="4" t="s">
        <v>62</v>
      </c>
      <c r="T240" s="4" t="s">
        <v>62</v>
      </c>
      <c r="U240" s="4" t="s">
        <v>62</v>
      </c>
      <c r="V240" s="4" t="s">
        <v>62</v>
      </c>
      <c r="W240" s="4" t="s">
        <v>62</v>
      </c>
      <c r="X240" s="4" t="s">
        <v>62</v>
      </c>
      <c r="Y240" s="4" t="s">
        <v>62</v>
      </c>
      <c r="Z240" s="4" t="s">
        <v>62</v>
      </c>
      <c r="AA240" s="4" t="s">
        <v>62</v>
      </c>
      <c r="AB240" s="4" t="s">
        <v>62</v>
      </c>
      <c r="AC240" s="4" t="s">
        <v>62</v>
      </c>
      <c r="AD240" s="4" t="s">
        <v>62</v>
      </c>
      <c r="AE240" s="4" t="s">
        <v>62</v>
      </c>
      <c r="AF240" s="4" t="s">
        <v>62</v>
      </c>
      <c r="AG240" s="4" t="s">
        <v>62</v>
      </c>
      <c r="AH240" s="4" t="s">
        <v>62</v>
      </c>
    </row>
    <row r="241" spans="2:34">
      <c r="B241" s="149">
        <v>12</v>
      </c>
      <c r="C241" s="91" t="str">
        <f>LEFT(EmpGName12)&amp;" " &amp;EmpSName12</f>
        <v>4 Odd4</v>
      </c>
      <c r="D241" s="68" t="s">
        <v>62</v>
      </c>
      <c r="E241" s="68" t="s">
        <v>62</v>
      </c>
      <c r="F241" s="68" t="s">
        <v>62</v>
      </c>
      <c r="G241" s="68" t="s">
        <v>62</v>
      </c>
      <c r="H241" s="68" t="s">
        <v>62</v>
      </c>
      <c r="I241" s="68" t="s">
        <v>62</v>
      </c>
      <c r="J241" s="68" t="s">
        <v>62</v>
      </c>
      <c r="K241" s="68" t="s">
        <v>62</v>
      </c>
      <c r="L241" s="68" t="s">
        <v>62</v>
      </c>
      <c r="M241" s="68" t="s">
        <v>62</v>
      </c>
      <c r="N241" s="68" t="s">
        <v>62</v>
      </c>
      <c r="O241" s="68" t="s">
        <v>62</v>
      </c>
      <c r="P241" s="68" t="s">
        <v>62</v>
      </c>
      <c r="Q241" s="68" t="s">
        <v>62</v>
      </c>
      <c r="R241" s="68" t="s">
        <v>62</v>
      </c>
      <c r="S241" s="68" t="s">
        <v>62</v>
      </c>
      <c r="T241" s="68" t="s">
        <v>62</v>
      </c>
      <c r="U241" s="68" t="s">
        <v>62</v>
      </c>
      <c r="V241" s="68" t="s">
        <v>62</v>
      </c>
      <c r="W241" s="68" t="s">
        <v>62</v>
      </c>
      <c r="X241" s="68" t="s">
        <v>62</v>
      </c>
      <c r="Y241" s="68" t="s">
        <v>62</v>
      </c>
      <c r="Z241" s="68" t="s">
        <v>62</v>
      </c>
      <c r="AA241" s="68" t="s">
        <v>62</v>
      </c>
      <c r="AB241" s="68" t="s">
        <v>62</v>
      </c>
      <c r="AC241" s="68" t="s">
        <v>62</v>
      </c>
      <c r="AD241" s="68" t="s">
        <v>62</v>
      </c>
      <c r="AE241" s="68" t="s">
        <v>62</v>
      </c>
      <c r="AF241" s="68" t="s">
        <v>62</v>
      </c>
      <c r="AG241" s="68" t="s">
        <v>62</v>
      </c>
      <c r="AH241" s="68" t="s">
        <v>62</v>
      </c>
    </row>
    <row r="242" spans="2:34">
      <c r="B242" s="71"/>
      <c r="C242" s="72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  <c r="R242" s="73"/>
      <c r="S242" s="73"/>
      <c r="T242" s="73"/>
      <c r="U242" s="73"/>
      <c r="V242" s="73"/>
      <c r="W242" s="73"/>
      <c r="X242" s="73"/>
      <c r="Y242" s="73"/>
      <c r="Z242" s="73"/>
      <c r="AA242" s="73"/>
      <c r="AB242" s="73"/>
      <c r="AC242" s="73"/>
      <c r="AD242" s="73"/>
      <c r="AE242" s="73"/>
      <c r="AF242" s="73"/>
      <c r="AG242" s="73"/>
      <c r="AH242" s="73"/>
    </row>
    <row r="243" spans="2:34">
      <c r="C243" t="str">
        <f>CurYear&amp;":"</f>
        <v>2019:</v>
      </c>
      <c r="D243" s="5" t="str">
        <f>LEFT(TEXT(D244&amp;"-"&amp;$C244&amp;"-"&amp;$B$4,"ddd"),2)</f>
        <v>Mo</v>
      </c>
      <c r="E243" s="5" t="str">
        <f t="shared" ref="E243:AG243" si="6">LEFT(TEXT(E244&amp;"-"&amp;$C244&amp;"-"&amp;$B$4,"ddd"),2)</f>
        <v>Tu</v>
      </c>
      <c r="F243" s="5" t="str">
        <f t="shared" si="6"/>
        <v>We</v>
      </c>
      <c r="G243" s="5" t="str">
        <f t="shared" si="6"/>
        <v>Th</v>
      </c>
      <c r="H243" s="5" t="str">
        <f t="shared" si="6"/>
        <v>Fr</v>
      </c>
      <c r="I243" s="5" t="str">
        <f t="shared" si="6"/>
        <v>Sa</v>
      </c>
      <c r="J243" s="5" t="str">
        <f t="shared" si="6"/>
        <v>Su</v>
      </c>
      <c r="K243" s="5" t="str">
        <f t="shared" si="6"/>
        <v>Mo</v>
      </c>
      <c r="L243" s="5" t="str">
        <f t="shared" si="6"/>
        <v>Tu</v>
      </c>
      <c r="M243" s="5" t="str">
        <f t="shared" si="6"/>
        <v>We</v>
      </c>
      <c r="N243" s="5" t="str">
        <f t="shared" si="6"/>
        <v>Th</v>
      </c>
      <c r="O243" s="5" t="str">
        <f t="shared" si="6"/>
        <v>Fr</v>
      </c>
      <c r="P243" s="5" t="str">
        <f t="shared" si="6"/>
        <v>Sa</v>
      </c>
      <c r="Q243" s="5" t="str">
        <f t="shared" si="6"/>
        <v>Su</v>
      </c>
      <c r="R243" s="5" t="str">
        <f t="shared" si="6"/>
        <v>Mo</v>
      </c>
      <c r="S243" s="5" t="str">
        <f t="shared" si="6"/>
        <v>Tu</v>
      </c>
      <c r="T243" s="5" t="str">
        <f t="shared" si="6"/>
        <v>We</v>
      </c>
      <c r="U243" s="5" t="str">
        <f t="shared" si="6"/>
        <v>Th</v>
      </c>
      <c r="V243" s="5" t="str">
        <f t="shared" si="6"/>
        <v>Fr</v>
      </c>
      <c r="W243" s="5" t="str">
        <f t="shared" si="6"/>
        <v>Sa</v>
      </c>
      <c r="X243" s="5" t="str">
        <f t="shared" si="6"/>
        <v>Su</v>
      </c>
      <c r="Y243" s="5" t="str">
        <f t="shared" si="6"/>
        <v>Mo</v>
      </c>
      <c r="Z243" s="5" t="str">
        <f t="shared" si="6"/>
        <v>Tu</v>
      </c>
      <c r="AA243" s="5" t="str">
        <f t="shared" si="6"/>
        <v>We</v>
      </c>
      <c r="AB243" s="5" t="str">
        <f t="shared" si="6"/>
        <v>Th</v>
      </c>
      <c r="AC243" s="5" t="str">
        <f t="shared" si="6"/>
        <v>Fr</v>
      </c>
      <c r="AD243" s="5" t="str">
        <f t="shared" si="6"/>
        <v>Sa</v>
      </c>
      <c r="AE243" s="5" t="str">
        <f t="shared" si="6"/>
        <v>Su</v>
      </c>
      <c r="AF243" s="5" t="str">
        <f t="shared" si="6"/>
        <v>Mo</v>
      </c>
      <c r="AG243" s="5" t="str">
        <f t="shared" si="6"/>
        <v>Tu</v>
      </c>
      <c r="AH243" s="1"/>
    </row>
    <row r="244" spans="2:34">
      <c r="B244" s="87"/>
      <c r="C244" s="84" t="s">
        <v>15</v>
      </c>
      <c r="D244" s="85">
        <v>1</v>
      </c>
      <c r="E244" s="85">
        <v>2</v>
      </c>
      <c r="F244" s="85">
        <v>3</v>
      </c>
      <c r="G244" s="85">
        <v>4</v>
      </c>
      <c r="H244" s="85">
        <v>5</v>
      </c>
      <c r="I244" s="85">
        <v>6</v>
      </c>
      <c r="J244" s="85">
        <v>7</v>
      </c>
      <c r="K244" s="85">
        <v>8</v>
      </c>
      <c r="L244" s="85">
        <v>9</v>
      </c>
      <c r="M244" s="85">
        <v>10</v>
      </c>
      <c r="N244" s="85">
        <v>11</v>
      </c>
      <c r="O244" s="176">
        <v>12</v>
      </c>
      <c r="P244" s="85">
        <v>13</v>
      </c>
      <c r="Q244" s="85">
        <v>14</v>
      </c>
      <c r="R244" s="85">
        <v>15</v>
      </c>
      <c r="S244" s="85">
        <v>16</v>
      </c>
      <c r="T244" s="85">
        <v>17</v>
      </c>
      <c r="U244" s="85">
        <v>18</v>
      </c>
      <c r="V244" s="85">
        <v>19</v>
      </c>
      <c r="W244" s="85">
        <v>20</v>
      </c>
      <c r="X244" s="85">
        <v>21</v>
      </c>
      <c r="Y244" s="85">
        <v>22</v>
      </c>
      <c r="Z244" s="85">
        <v>23</v>
      </c>
      <c r="AA244" s="85">
        <v>24</v>
      </c>
      <c r="AB244" s="85">
        <v>25</v>
      </c>
      <c r="AC244" s="176">
        <v>26</v>
      </c>
      <c r="AD244" s="85">
        <v>27</v>
      </c>
      <c r="AE244" s="85">
        <v>28</v>
      </c>
      <c r="AF244" s="85">
        <v>29</v>
      </c>
      <c r="AG244" s="85">
        <v>30</v>
      </c>
      <c r="AH244" s="92"/>
    </row>
    <row r="245" spans="2:34">
      <c r="B245" s="83">
        <v>1</v>
      </c>
      <c r="C245" s="89" t="str">
        <f>LEFT(EmpGName01)&amp;" " &amp; EmpSName01</f>
        <v>L Marampon</v>
      </c>
      <c r="D245" s="4" t="s">
        <v>62</v>
      </c>
      <c r="E245" s="4" t="s">
        <v>62</v>
      </c>
      <c r="F245" s="4" t="s">
        <v>62</v>
      </c>
      <c r="G245" s="4" t="s">
        <v>62</v>
      </c>
      <c r="H245" s="4" t="s">
        <v>62</v>
      </c>
      <c r="I245" s="4" t="s">
        <v>62</v>
      </c>
      <c r="J245" s="4" t="s">
        <v>62</v>
      </c>
      <c r="K245" s="4" t="s">
        <v>62</v>
      </c>
      <c r="L245" s="4" t="s">
        <v>62</v>
      </c>
      <c r="M245" s="4" t="s">
        <v>62</v>
      </c>
      <c r="N245" s="4" t="s">
        <v>62</v>
      </c>
      <c r="O245" s="4" t="s">
        <v>62</v>
      </c>
      <c r="P245" s="4" t="s">
        <v>62</v>
      </c>
      <c r="Q245" s="4" t="s">
        <v>62</v>
      </c>
      <c r="R245" s="4" t="s">
        <v>62</v>
      </c>
      <c r="S245" s="4" t="s">
        <v>62</v>
      </c>
      <c r="T245" s="4" t="s">
        <v>62</v>
      </c>
      <c r="U245" s="4" t="s">
        <v>62</v>
      </c>
      <c r="V245" s="4" t="s">
        <v>62</v>
      </c>
      <c r="W245" s="4" t="s">
        <v>62</v>
      </c>
      <c r="X245" s="4" t="s">
        <v>62</v>
      </c>
      <c r="Y245" s="4" t="s">
        <v>62</v>
      </c>
      <c r="Z245" s="4" t="s">
        <v>62</v>
      </c>
      <c r="AA245" s="4" t="s">
        <v>62</v>
      </c>
      <c r="AB245" s="4" t="s">
        <v>62</v>
      </c>
      <c r="AC245" s="4" t="s">
        <v>62</v>
      </c>
      <c r="AD245" s="4" t="s">
        <v>62</v>
      </c>
      <c r="AE245" s="4" t="s">
        <v>62</v>
      </c>
      <c r="AF245" s="4" t="s">
        <v>62</v>
      </c>
      <c r="AG245" s="4" t="s">
        <v>62</v>
      </c>
      <c r="AH245" s="8"/>
    </row>
    <row r="246" spans="2:34">
      <c r="B246" s="83">
        <v>2</v>
      </c>
      <c r="C246" s="90" t="str">
        <f>LEFT(EmpGName02)&amp;" " &amp;EmpSName02</f>
        <v>K Stone</v>
      </c>
      <c r="D246" s="3" t="s">
        <v>62</v>
      </c>
      <c r="E246" s="3" t="s">
        <v>62</v>
      </c>
      <c r="F246" s="3" t="s">
        <v>62</v>
      </c>
      <c r="G246" s="3" t="s">
        <v>62</v>
      </c>
      <c r="H246" s="3" t="s">
        <v>62</v>
      </c>
      <c r="I246" s="3" t="s">
        <v>62</v>
      </c>
      <c r="J246" s="3" t="s">
        <v>62</v>
      </c>
      <c r="K246" s="3" t="s">
        <v>62</v>
      </c>
      <c r="L246" s="3" t="s">
        <v>62</v>
      </c>
      <c r="M246" s="3" t="s">
        <v>62</v>
      </c>
      <c r="N246" s="3" t="s">
        <v>62</v>
      </c>
      <c r="O246" s="3" t="s">
        <v>62</v>
      </c>
      <c r="P246" s="3" t="s">
        <v>62</v>
      </c>
      <c r="Q246" s="3" t="s">
        <v>62</v>
      </c>
      <c r="R246" s="3" t="s">
        <v>62</v>
      </c>
      <c r="S246" s="3" t="s">
        <v>62</v>
      </c>
      <c r="T246" s="3" t="s">
        <v>62</v>
      </c>
      <c r="U246" s="3" t="s">
        <v>62</v>
      </c>
      <c r="V246" s="3" t="s">
        <v>62</v>
      </c>
      <c r="W246" s="3" t="s">
        <v>62</v>
      </c>
      <c r="X246" s="3" t="s">
        <v>62</v>
      </c>
      <c r="Y246" s="3" t="s">
        <v>62</v>
      </c>
      <c r="Z246" s="3" t="s">
        <v>62</v>
      </c>
      <c r="AA246" s="3" t="s">
        <v>62</v>
      </c>
      <c r="AB246" s="3" t="s">
        <v>62</v>
      </c>
      <c r="AC246" s="3" t="s">
        <v>62</v>
      </c>
      <c r="AD246" s="3" t="s">
        <v>62</v>
      </c>
      <c r="AE246" s="3" t="s">
        <v>62</v>
      </c>
      <c r="AF246" s="3" t="s">
        <v>62</v>
      </c>
      <c r="AG246" s="3" t="s">
        <v>62</v>
      </c>
      <c r="AH246" s="8"/>
    </row>
    <row r="247" spans="2:34">
      <c r="B247" s="83">
        <v>3</v>
      </c>
      <c r="C247" s="89" t="str">
        <f>LEFT(EmpGName03)&amp;" " &amp;EmpSName03</f>
        <v>I Thelning</v>
      </c>
      <c r="D247" s="4" t="s">
        <v>62</v>
      </c>
      <c r="E247" s="4" t="s">
        <v>62</v>
      </c>
      <c r="F247" s="4" t="s">
        <v>62</v>
      </c>
      <c r="G247" s="4" t="s">
        <v>62</v>
      </c>
      <c r="H247" s="4" t="s">
        <v>62</v>
      </c>
      <c r="I247" s="4" t="s">
        <v>62</v>
      </c>
      <c r="J247" s="4" t="s">
        <v>62</v>
      </c>
      <c r="K247" s="4" t="s">
        <v>62</v>
      </c>
      <c r="L247" s="4" t="s">
        <v>62</v>
      </c>
      <c r="M247" s="4" t="s">
        <v>62</v>
      </c>
      <c r="N247" s="4" t="s">
        <v>62</v>
      </c>
      <c r="O247" s="4" t="s">
        <v>62</v>
      </c>
      <c r="P247" s="4" t="s">
        <v>62</v>
      </c>
      <c r="Q247" s="4" t="s">
        <v>62</v>
      </c>
      <c r="R247" s="4" t="s">
        <v>62</v>
      </c>
      <c r="S247" s="4" t="s">
        <v>62</v>
      </c>
      <c r="T247" s="4" t="s">
        <v>62</v>
      </c>
      <c r="U247" s="4" t="s">
        <v>62</v>
      </c>
      <c r="V247" s="4" t="s">
        <v>62</v>
      </c>
      <c r="W247" s="4" t="s">
        <v>62</v>
      </c>
      <c r="X247" s="4" t="s">
        <v>62</v>
      </c>
      <c r="Y247" s="4" t="s">
        <v>62</v>
      </c>
      <c r="Z247" s="4" t="s">
        <v>62</v>
      </c>
      <c r="AA247" s="4" t="s">
        <v>62</v>
      </c>
      <c r="AB247" s="4" t="s">
        <v>62</v>
      </c>
      <c r="AC247" s="4" t="s">
        <v>62</v>
      </c>
      <c r="AD247" s="4" t="s">
        <v>62</v>
      </c>
      <c r="AE247" s="4" t="s">
        <v>62</v>
      </c>
      <c r="AF247" s="4" t="s">
        <v>62</v>
      </c>
      <c r="AG247" s="4" t="s">
        <v>62</v>
      </c>
      <c r="AH247" s="8"/>
    </row>
    <row r="248" spans="2:34">
      <c r="B248" s="83">
        <v>4</v>
      </c>
      <c r="C248" s="90" t="str">
        <f>LEFT(EmpGName04)&amp;" " &amp;EmpSName04</f>
        <v>L King</v>
      </c>
      <c r="D248" s="3" t="s">
        <v>62</v>
      </c>
      <c r="E248" s="3" t="s">
        <v>62</v>
      </c>
      <c r="F248" s="3" t="s">
        <v>62</v>
      </c>
      <c r="G248" s="3" t="s">
        <v>62</v>
      </c>
      <c r="H248" s="3" t="s">
        <v>62</v>
      </c>
      <c r="I248" s="3" t="s">
        <v>62</v>
      </c>
      <c r="J248" s="3" t="s">
        <v>62</v>
      </c>
      <c r="K248" s="3" t="s">
        <v>62</v>
      </c>
      <c r="L248" s="3" t="s">
        <v>62</v>
      </c>
      <c r="M248" s="3" t="s">
        <v>62</v>
      </c>
      <c r="N248" s="3" t="s">
        <v>62</v>
      </c>
      <c r="O248" s="3" t="s">
        <v>62</v>
      </c>
      <c r="P248" s="3" t="s">
        <v>62</v>
      </c>
      <c r="Q248" s="3" t="s">
        <v>62</v>
      </c>
      <c r="R248" s="3" t="s">
        <v>62</v>
      </c>
      <c r="S248" s="3" t="s">
        <v>62</v>
      </c>
      <c r="T248" s="3" t="s">
        <v>62</v>
      </c>
      <c r="U248" s="3" t="s">
        <v>62</v>
      </c>
      <c r="V248" s="3" t="s">
        <v>62</v>
      </c>
      <c r="W248" s="3" t="s">
        <v>62</v>
      </c>
      <c r="X248" s="3" t="s">
        <v>62</v>
      </c>
      <c r="Y248" s="3" t="s">
        <v>62</v>
      </c>
      <c r="Z248" s="3" t="s">
        <v>62</v>
      </c>
      <c r="AA248" s="3" t="s">
        <v>62</v>
      </c>
      <c r="AB248" s="3" t="s">
        <v>62</v>
      </c>
      <c r="AC248" s="3" t="s">
        <v>62</v>
      </c>
      <c r="AD248" s="3" t="s">
        <v>62</v>
      </c>
      <c r="AE248" s="3" t="s">
        <v>62</v>
      </c>
      <c r="AF248" s="3" t="s">
        <v>62</v>
      </c>
      <c r="AG248" s="3" t="s">
        <v>62</v>
      </c>
      <c r="AH248" s="8"/>
    </row>
    <row r="249" spans="2:34">
      <c r="B249" s="83">
        <v>5</v>
      </c>
      <c r="C249" s="89" t="str">
        <f>LEFT(EmpGName05)&amp;" " &amp;EmpSName05</f>
        <v>D Castle</v>
      </c>
      <c r="D249" s="4" t="s">
        <v>62</v>
      </c>
      <c r="E249" s="4" t="s">
        <v>62</v>
      </c>
      <c r="F249" s="4" t="s">
        <v>62</v>
      </c>
      <c r="G249" s="4" t="s">
        <v>62</v>
      </c>
      <c r="H249" s="4" t="s">
        <v>62</v>
      </c>
      <c r="I249" s="4" t="s">
        <v>62</v>
      </c>
      <c r="J249" s="4" t="s">
        <v>62</v>
      </c>
      <c r="K249" s="4" t="s">
        <v>62</v>
      </c>
      <c r="L249" s="4" t="s">
        <v>62</v>
      </c>
      <c r="M249" s="4" t="s">
        <v>62</v>
      </c>
      <c r="N249" s="4" t="s">
        <v>62</v>
      </c>
      <c r="O249" s="4" t="s">
        <v>62</v>
      </c>
      <c r="P249" s="4" t="s">
        <v>62</v>
      </c>
      <c r="Q249" s="4" t="s">
        <v>62</v>
      </c>
      <c r="R249" s="4" t="s">
        <v>62</v>
      </c>
      <c r="S249" s="4" t="s">
        <v>62</v>
      </c>
      <c r="T249" s="4" t="s">
        <v>62</v>
      </c>
      <c r="U249" s="4" t="s">
        <v>62</v>
      </c>
      <c r="V249" s="4" t="s">
        <v>62</v>
      </c>
      <c r="W249" s="4" t="s">
        <v>62</v>
      </c>
      <c r="X249" s="4" t="s">
        <v>62</v>
      </c>
      <c r="Y249" s="4" t="s">
        <v>62</v>
      </c>
      <c r="Z249" s="4" t="s">
        <v>62</v>
      </c>
      <c r="AA249" s="4" t="s">
        <v>62</v>
      </c>
      <c r="AB249" s="4" t="s">
        <v>62</v>
      </c>
      <c r="AC249" s="4" t="s">
        <v>62</v>
      </c>
      <c r="AD249" s="4" t="s">
        <v>62</v>
      </c>
      <c r="AE249" s="4" t="s">
        <v>62</v>
      </c>
      <c r="AF249" s="4" t="s">
        <v>62</v>
      </c>
      <c r="AG249" s="4" t="s">
        <v>62</v>
      </c>
      <c r="AH249" s="8"/>
    </row>
    <row r="250" spans="2:34">
      <c r="B250" s="83">
        <v>6</v>
      </c>
      <c r="C250" s="90" t="str">
        <f>LEFT(EmpGName06)&amp;" " &amp;EmpSName06</f>
        <v>R Fielding</v>
      </c>
      <c r="D250" s="3" t="s">
        <v>62</v>
      </c>
      <c r="E250" s="3" t="s">
        <v>62</v>
      </c>
      <c r="F250" s="3" t="s">
        <v>62</v>
      </c>
      <c r="G250" s="3" t="s">
        <v>62</v>
      </c>
      <c r="H250" s="3" t="s">
        <v>62</v>
      </c>
      <c r="I250" s="3" t="s">
        <v>62</v>
      </c>
      <c r="J250" s="3" t="s">
        <v>62</v>
      </c>
      <c r="K250" s="3" t="s">
        <v>62</v>
      </c>
      <c r="L250" s="3" t="s">
        <v>62</v>
      </c>
      <c r="M250" s="3" t="s">
        <v>62</v>
      </c>
      <c r="N250" s="3" t="s">
        <v>62</v>
      </c>
      <c r="O250" s="3" t="s">
        <v>62</v>
      </c>
      <c r="P250" s="3" t="s">
        <v>62</v>
      </c>
      <c r="Q250" s="3" t="s">
        <v>62</v>
      </c>
      <c r="R250" s="3" t="s">
        <v>62</v>
      </c>
      <c r="S250" s="3" t="s">
        <v>62</v>
      </c>
      <c r="T250" s="3" t="s">
        <v>62</v>
      </c>
      <c r="U250" s="3" t="s">
        <v>62</v>
      </c>
      <c r="V250" s="3" t="s">
        <v>62</v>
      </c>
      <c r="W250" s="3" t="s">
        <v>62</v>
      </c>
      <c r="X250" s="3" t="s">
        <v>62</v>
      </c>
      <c r="Y250" s="3" t="s">
        <v>62</v>
      </c>
      <c r="Z250" s="3" t="s">
        <v>62</v>
      </c>
      <c r="AA250" s="3" t="s">
        <v>62</v>
      </c>
      <c r="AB250" s="3" t="s">
        <v>62</v>
      </c>
      <c r="AC250" s="3" t="s">
        <v>62</v>
      </c>
      <c r="AD250" s="3" t="s">
        <v>62</v>
      </c>
      <c r="AE250" s="3" t="s">
        <v>62</v>
      </c>
      <c r="AF250" s="3" t="s">
        <v>62</v>
      </c>
      <c r="AG250" s="3" t="s">
        <v>62</v>
      </c>
      <c r="AH250" s="8"/>
    </row>
    <row r="251" spans="2:34">
      <c r="B251" s="83">
        <v>7</v>
      </c>
      <c r="C251" s="89" t="str">
        <f>LEFT(EmpGName07)&amp;" " &amp;EmpSName07</f>
        <v>T Sorensen</v>
      </c>
      <c r="D251" s="4" t="s">
        <v>62</v>
      </c>
      <c r="E251" s="4" t="s">
        <v>62</v>
      </c>
      <c r="F251" s="4" t="s">
        <v>62</v>
      </c>
      <c r="G251" s="4" t="s">
        <v>62</v>
      </c>
      <c r="H251" s="4" t="s">
        <v>62</v>
      </c>
      <c r="I251" s="4" t="s">
        <v>62</v>
      </c>
      <c r="J251" s="4" t="s">
        <v>62</v>
      </c>
      <c r="K251" s="4" t="s">
        <v>62</v>
      </c>
      <c r="L251" s="4" t="s">
        <v>62</v>
      </c>
      <c r="M251" s="4" t="s">
        <v>62</v>
      </c>
      <c r="N251" s="4" t="s">
        <v>62</v>
      </c>
      <c r="O251" s="4" t="s">
        <v>62</v>
      </c>
      <c r="P251" s="4" t="s">
        <v>62</v>
      </c>
      <c r="Q251" s="4" t="s">
        <v>62</v>
      </c>
      <c r="R251" s="4" t="s">
        <v>62</v>
      </c>
      <c r="S251" s="4" t="s">
        <v>62</v>
      </c>
      <c r="T251" s="4" t="s">
        <v>62</v>
      </c>
      <c r="U251" s="4" t="s">
        <v>62</v>
      </c>
      <c r="V251" s="4" t="s">
        <v>62</v>
      </c>
      <c r="W251" s="4" t="s">
        <v>62</v>
      </c>
      <c r="X251" s="4" t="s">
        <v>62</v>
      </c>
      <c r="Y251" s="4" t="s">
        <v>62</v>
      </c>
      <c r="Z251" s="4" t="s">
        <v>62</v>
      </c>
      <c r="AA251" s="4" t="s">
        <v>62</v>
      </c>
      <c r="AB251" s="4" t="s">
        <v>62</v>
      </c>
      <c r="AC251" s="4" t="s">
        <v>62</v>
      </c>
      <c r="AD251" s="4" t="s">
        <v>62</v>
      </c>
      <c r="AE251" s="4" t="s">
        <v>62</v>
      </c>
      <c r="AF251" s="4" t="s">
        <v>62</v>
      </c>
      <c r="AG251" s="4" t="s">
        <v>62</v>
      </c>
      <c r="AH251" s="8"/>
    </row>
    <row r="252" spans="2:34">
      <c r="B252" s="83">
        <v>8</v>
      </c>
      <c r="C252" s="90" t="str">
        <f>LEFT(EmpGName08)&amp;" " &amp;EmpSName08</f>
        <v xml:space="preserve">B Odd </v>
      </c>
      <c r="D252" s="3" t="s">
        <v>62</v>
      </c>
      <c r="E252" s="3" t="s">
        <v>62</v>
      </c>
      <c r="F252" s="3" t="s">
        <v>62</v>
      </c>
      <c r="G252" s="3" t="s">
        <v>62</v>
      </c>
      <c r="H252" s="3" t="s">
        <v>62</v>
      </c>
      <c r="I252" s="3" t="s">
        <v>62</v>
      </c>
      <c r="J252" s="3" t="s">
        <v>62</v>
      </c>
      <c r="K252" s="3" t="s">
        <v>62</v>
      </c>
      <c r="L252" s="3" t="s">
        <v>62</v>
      </c>
      <c r="M252" s="3" t="s">
        <v>62</v>
      </c>
      <c r="N252" s="3" t="s">
        <v>62</v>
      </c>
      <c r="O252" s="3" t="s">
        <v>62</v>
      </c>
      <c r="P252" s="3" t="s">
        <v>62</v>
      </c>
      <c r="Q252" s="3" t="s">
        <v>62</v>
      </c>
      <c r="R252" s="3" t="s">
        <v>62</v>
      </c>
      <c r="S252" s="3" t="s">
        <v>62</v>
      </c>
      <c r="T252" s="3" t="s">
        <v>62</v>
      </c>
      <c r="U252" s="3" t="s">
        <v>62</v>
      </c>
      <c r="V252" s="3" t="s">
        <v>62</v>
      </c>
      <c r="W252" s="3" t="s">
        <v>62</v>
      </c>
      <c r="X252" s="3" t="s">
        <v>62</v>
      </c>
      <c r="Y252" s="3" t="s">
        <v>62</v>
      </c>
      <c r="Z252" s="3" t="s">
        <v>62</v>
      </c>
      <c r="AA252" s="3" t="s">
        <v>62</v>
      </c>
      <c r="AB252" s="3" t="s">
        <v>62</v>
      </c>
      <c r="AC252" s="3" t="s">
        <v>62</v>
      </c>
      <c r="AD252" s="3" t="s">
        <v>62</v>
      </c>
      <c r="AE252" s="3" t="s">
        <v>62</v>
      </c>
      <c r="AF252" s="3" t="s">
        <v>62</v>
      </c>
      <c r="AG252" s="3" t="s">
        <v>62</v>
      </c>
      <c r="AH252" s="8"/>
    </row>
    <row r="253" spans="2:34">
      <c r="B253" s="83">
        <v>9</v>
      </c>
      <c r="C253" s="89" t="str">
        <f>LEFT(EmpGName09)&amp;" " &amp;EmpSName09</f>
        <v>1 Odd1</v>
      </c>
      <c r="D253" s="4" t="s">
        <v>62</v>
      </c>
      <c r="E253" s="4" t="s">
        <v>62</v>
      </c>
      <c r="F253" s="4" t="s">
        <v>62</v>
      </c>
      <c r="G253" s="4" t="s">
        <v>62</v>
      </c>
      <c r="H253" s="4" t="s">
        <v>62</v>
      </c>
      <c r="I253" s="4" t="s">
        <v>62</v>
      </c>
      <c r="J253" s="4" t="s">
        <v>62</v>
      </c>
      <c r="K253" s="4" t="s">
        <v>62</v>
      </c>
      <c r="L253" s="4" t="s">
        <v>62</v>
      </c>
      <c r="M253" s="4" t="s">
        <v>62</v>
      </c>
      <c r="N253" s="4" t="s">
        <v>62</v>
      </c>
      <c r="O253" s="4" t="s">
        <v>62</v>
      </c>
      <c r="P253" s="4" t="s">
        <v>62</v>
      </c>
      <c r="Q253" s="4" t="s">
        <v>62</v>
      </c>
      <c r="R253" s="4" t="s">
        <v>62</v>
      </c>
      <c r="S253" s="4" t="s">
        <v>62</v>
      </c>
      <c r="T253" s="4" t="s">
        <v>62</v>
      </c>
      <c r="U253" s="4" t="s">
        <v>62</v>
      </c>
      <c r="V253" s="4" t="s">
        <v>62</v>
      </c>
      <c r="W253" s="4" t="s">
        <v>62</v>
      </c>
      <c r="X253" s="4" t="s">
        <v>62</v>
      </c>
      <c r="Y253" s="4" t="s">
        <v>62</v>
      </c>
      <c r="Z253" s="4" t="s">
        <v>62</v>
      </c>
      <c r="AA253" s="4" t="s">
        <v>62</v>
      </c>
      <c r="AB253" s="4" t="s">
        <v>62</v>
      </c>
      <c r="AC253" s="4" t="s">
        <v>62</v>
      </c>
      <c r="AD253" s="4" t="s">
        <v>62</v>
      </c>
      <c r="AE253" s="4" t="s">
        <v>62</v>
      </c>
      <c r="AF253" s="4" t="s">
        <v>62</v>
      </c>
      <c r="AG253" s="4" t="s">
        <v>62</v>
      </c>
      <c r="AH253" s="8"/>
    </row>
    <row r="254" spans="2:34">
      <c r="B254" s="149">
        <v>10</v>
      </c>
      <c r="C254" s="90" t="str">
        <f>LEFT(EmpGName10)&amp;" " &amp;EmpSName10</f>
        <v>2 Odd2</v>
      </c>
      <c r="D254" s="3" t="s">
        <v>62</v>
      </c>
      <c r="E254" s="3" t="s">
        <v>62</v>
      </c>
      <c r="F254" s="3" t="s">
        <v>62</v>
      </c>
      <c r="G254" s="3" t="s">
        <v>62</v>
      </c>
      <c r="H254" s="3" t="s">
        <v>62</v>
      </c>
      <c r="I254" s="3" t="s">
        <v>62</v>
      </c>
      <c r="J254" s="3" t="s">
        <v>62</v>
      </c>
      <c r="K254" s="3" t="s">
        <v>62</v>
      </c>
      <c r="L254" s="3" t="s">
        <v>62</v>
      </c>
      <c r="M254" s="3" t="s">
        <v>62</v>
      </c>
      <c r="N254" s="3" t="s">
        <v>62</v>
      </c>
      <c r="O254" s="3" t="s">
        <v>62</v>
      </c>
      <c r="P254" s="3" t="s">
        <v>62</v>
      </c>
      <c r="Q254" s="3" t="s">
        <v>62</v>
      </c>
      <c r="R254" s="3" t="s">
        <v>62</v>
      </c>
      <c r="S254" s="3" t="s">
        <v>62</v>
      </c>
      <c r="T254" s="3" t="s">
        <v>62</v>
      </c>
      <c r="U254" s="3" t="s">
        <v>62</v>
      </c>
      <c r="V254" s="3" t="s">
        <v>62</v>
      </c>
      <c r="W254" s="3" t="s">
        <v>62</v>
      </c>
      <c r="X254" s="3" t="s">
        <v>62</v>
      </c>
      <c r="Y254" s="3" t="s">
        <v>62</v>
      </c>
      <c r="Z254" s="3" t="s">
        <v>62</v>
      </c>
      <c r="AA254" s="3" t="s">
        <v>62</v>
      </c>
      <c r="AB254" s="3" t="s">
        <v>62</v>
      </c>
      <c r="AC254" s="3" t="s">
        <v>62</v>
      </c>
      <c r="AD254" s="3" t="s">
        <v>62</v>
      </c>
      <c r="AE254" s="3" t="s">
        <v>62</v>
      </c>
      <c r="AF254" s="3" t="s">
        <v>62</v>
      </c>
      <c r="AG254" s="3" t="s">
        <v>62</v>
      </c>
      <c r="AH254" s="74"/>
    </row>
    <row r="255" spans="2:34">
      <c r="B255" s="149">
        <v>11</v>
      </c>
      <c r="C255" s="89" t="str">
        <f>LEFT(EmpGName11)&amp;" " &amp;EmpSName11</f>
        <v>2 Odd3</v>
      </c>
      <c r="D255" s="4" t="s">
        <v>62</v>
      </c>
      <c r="E255" s="4" t="s">
        <v>62</v>
      </c>
      <c r="F255" s="4" t="s">
        <v>62</v>
      </c>
      <c r="G255" s="4" t="s">
        <v>62</v>
      </c>
      <c r="H255" s="4" t="s">
        <v>62</v>
      </c>
      <c r="I255" s="4" t="s">
        <v>62</v>
      </c>
      <c r="J255" s="4" t="s">
        <v>62</v>
      </c>
      <c r="K255" s="4" t="s">
        <v>62</v>
      </c>
      <c r="L255" s="4" t="s">
        <v>62</v>
      </c>
      <c r="M255" s="4" t="s">
        <v>62</v>
      </c>
      <c r="N255" s="4" t="s">
        <v>62</v>
      </c>
      <c r="O255" s="4" t="s">
        <v>62</v>
      </c>
      <c r="P255" s="4" t="s">
        <v>62</v>
      </c>
      <c r="Q255" s="4" t="s">
        <v>62</v>
      </c>
      <c r="R255" s="4" t="s">
        <v>62</v>
      </c>
      <c r="S255" s="4" t="s">
        <v>62</v>
      </c>
      <c r="T255" s="4" t="s">
        <v>62</v>
      </c>
      <c r="U255" s="4" t="s">
        <v>62</v>
      </c>
      <c r="V255" s="4" t="s">
        <v>62</v>
      </c>
      <c r="W255" s="4" t="s">
        <v>62</v>
      </c>
      <c r="X255" s="4" t="s">
        <v>62</v>
      </c>
      <c r="Y255" s="4" t="s">
        <v>62</v>
      </c>
      <c r="Z255" s="4" t="s">
        <v>62</v>
      </c>
      <c r="AA255" s="4" t="s">
        <v>62</v>
      </c>
      <c r="AB255" s="4" t="s">
        <v>62</v>
      </c>
      <c r="AC255" s="4" t="s">
        <v>62</v>
      </c>
      <c r="AD255" s="4" t="s">
        <v>62</v>
      </c>
      <c r="AE255" s="4" t="s">
        <v>62</v>
      </c>
      <c r="AF255" s="4" t="s">
        <v>62</v>
      </c>
      <c r="AG255" s="4" t="s">
        <v>62</v>
      </c>
      <c r="AH255" s="74"/>
    </row>
    <row r="256" spans="2:34">
      <c r="B256" s="149">
        <v>12</v>
      </c>
      <c r="C256" s="90" t="str">
        <f>LEFT(EmpGName12)&amp;" " &amp;EmpSName12</f>
        <v>4 Odd4</v>
      </c>
      <c r="D256" s="3" t="s">
        <v>62</v>
      </c>
      <c r="E256" s="3" t="s">
        <v>62</v>
      </c>
      <c r="F256" s="3" t="s">
        <v>62</v>
      </c>
      <c r="G256" s="3" t="s">
        <v>62</v>
      </c>
      <c r="H256" s="3" t="s">
        <v>62</v>
      </c>
      <c r="I256" s="3" t="s">
        <v>62</v>
      </c>
      <c r="J256" s="3" t="s">
        <v>62</v>
      </c>
      <c r="K256" s="3" t="s">
        <v>62</v>
      </c>
      <c r="L256" s="3" t="s">
        <v>62</v>
      </c>
      <c r="M256" s="3" t="s">
        <v>62</v>
      </c>
      <c r="N256" s="3" t="s">
        <v>62</v>
      </c>
      <c r="O256" s="3" t="s">
        <v>62</v>
      </c>
      <c r="P256" s="3" t="s">
        <v>62</v>
      </c>
      <c r="Q256" s="3" t="s">
        <v>62</v>
      </c>
      <c r="R256" s="3" t="s">
        <v>62</v>
      </c>
      <c r="S256" s="3" t="s">
        <v>62</v>
      </c>
      <c r="T256" s="3" t="s">
        <v>62</v>
      </c>
      <c r="U256" s="3" t="s">
        <v>62</v>
      </c>
      <c r="V256" s="3" t="s">
        <v>62</v>
      </c>
      <c r="W256" s="3" t="s">
        <v>62</v>
      </c>
      <c r="X256" s="3" t="s">
        <v>62</v>
      </c>
      <c r="Y256" s="3" t="s">
        <v>62</v>
      </c>
      <c r="Z256" s="3" t="s">
        <v>62</v>
      </c>
      <c r="AA256" s="3" t="s">
        <v>62</v>
      </c>
      <c r="AB256" s="3" t="s">
        <v>62</v>
      </c>
      <c r="AC256" s="3" t="s">
        <v>62</v>
      </c>
      <c r="AD256" s="3" t="s">
        <v>62</v>
      </c>
      <c r="AE256" s="3" t="s">
        <v>62</v>
      </c>
      <c r="AF256" s="3" t="s">
        <v>62</v>
      </c>
      <c r="AG256" s="3" t="s">
        <v>62</v>
      </c>
      <c r="AH256" s="74"/>
    </row>
    <row r="257" spans="2:34">
      <c r="AH257" s="2"/>
    </row>
    <row r="258" spans="2:34">
      <c r="C258" t="str">
        <f>CurYear&amp;":"</f>
        <v>2019:</v>
      </c>
      <c r="D258" s="5" t="str">
        <f>LEFT(TEXT(D259&amp;"-"&amp;$C259&amp;"-"&amp; CurYear,"ddd"),2)</f>
        <v>We</v>
      </c>
      <c r="E258" s="5" t="str">
        <f t="shared" ref="E258:AG258" si="7">LEFT(TEXT(E259&amp;"-"&amp;$C259&amp;"-"&amp; CurYear,"ddd"),2)</f>
        <v>Th</v>
      </c>
      <c r="F258" s="5" t="str">
        <f t="shared" si="7"/>
        <v>Fr</v>
      </c>
      <c r="G258" s="5" t="str">
        <f t="shared" si="7"/>
        <v>Sa</v>
      </c>
      <c r="H258" s="5" t="str">
        <f t="shared" si="7"/>
        <v>Su</v>
      </c>
      <c r="I258" s="5" t="str">
        <f t="shared" si="7"/>
        <v>Mo</v>
      </c>
      <c r="J258" s="5" t="str">
        <f t="shared" si="7"/>
        <v>Tu</v>
      </c>
      <c r="K258" s="5" t="str">
        <f t="shared" si="7"/>
        <v>We</v>
      </c>
      <c r="L258" s="5" t="str">
        <f t="shared" si="7"/>
        <v>Th</v>
      </c>
      <c r="M258" s="5" t="str">
        <f t="shared" si="7"/>
        <v>Fr</v>
      </c>
      <c r="N258" s="5" t="str">
        <f t="shared" si="7"/>
        <v>Sa</v>
      </c>
      <c r="O258" s="5" t="str">
        <f t="shared" si="7"/>
        <v>Su</v>
      </c>
      <c r="P258" s="5" t="str">
        <f t="shared" si="7"/>
        <v>Mo</v>
      </c>
      <c r="Q258" s="5" t="str">
        <f t="shared" si="7"/>
        <v>Tu</v>
      </c>
      <c r="R258" s="5" t="str">
        <f t="shared" si="7"/>
        <v>We</v>
      </c>
      <c r="S258" s="5" t="str">
        <f t="shared" si="7"/>
        <v>Th</v>
      </c>
      <c r="T258" s="5" t="str">
        <f t="shared" si="7"/>
        <v>Fr</v>
      </c>
      <c r="U258" s="5" t="str">
        <f t="shared" si="7"/>
        <v>Sa</v>
      </c>
      <c r="V258" s="5" t="str">
        <f t="shared" si="7"/>
        <v>Su</v>
      </c>
      <c r="W258" s="5" t="str">
        <f t="shared" si="7"/>
        <v>Mo</v>
      </c>
      <c r="X258" s="5" t="str">
        <f t="shared" si="7"/>
        <v>Tu</v>
      </c>
      <c r="Y258" s="5" t="str">
        <f t="shared" si="7"/>
        <v>We</v>
      </c>
      <c r="Z258" s="5" t="str">
        <f t="shared" si="7"/>
        <v>Th</v>
      </c>
      <c r="AA258" s="5" t="str">
        <f t="shared" si="7"/>
        <v>Fr</v>
      </c>
      <c r="AB258" s="5" t="str">
        <f t="shared" si="7"/>
        <v>Sa</v>
      </c>
      <c r="AC258" s="5" t="str">
        <f t="shared" si="7"/>
        <v>Su</v>
      </c>
      <c r="AD258" s="5" t="str">
        <f t="shared" si="7"/>
        <v>Mo</v>
      </c>
      <c r="AE258" s="5" t="str">
        <f t="shared" si="7"/>
        <v>Tu</v>
      </c>
      <c r="AF258" s="5" t="str">
        <f t="shared" si="7"/>
        <v>We</v>
      </c>
      <c r="AG258" s="5" t="str">
        <f t="shared" si="7"/>
        <v>Th</v>
      </c>
      <c r="AH258" s="5" t="str">
        <f>LEFT(TEXT(AH259&amp;"-"&amp;$C259&amp;"-"&amp; CurYear,"ddd"),2)</f>
        <v>Fr</v>
      </c>
    </row>
    <row r="259" spans="2:34">
      <c r="B259" s="88"/>
      <c r="C259" s="84" t="s">
        <v>16</v>
      </c>
      <c r="D259" s="85">
        <v>1</v>
      </c>
      <c r="E259" s="85">
        <v>2</v>
      </c>
      <c r="F259" s="85">
        <v>3</v>
      </c>
      <c r="G259" s="85">
        <v>4</v>
      </c>
      <c r="H259" s="85">
        <v>5</v>
      </c>
      <c r="I259" s="85">
        <v>6</v>
      </c>
      <c r="J259" s="85">
        <v>7</v>
      </c>
      <c r="K259" s="85">
        <v>8</v>
      </c>
      <c r="L259" s="85">
        <v>9</v>
      </c>
      <c r="M259" s="176">
        <v>10</v>
      </c>
      <c r="N259" s="85">
        <v>11</v>
      </c>
      <c r="O259" s="85">
        <v>12</v>
      </c>
      <c r="P259" s="85">
        <v>13</v>
      </c>
      <c r="Q259" s="85">
        <v>14</v>
      </c>
      <c r="R259" s="85">
        <v>15</v>
      </c>
      <c r="S259" s="85">
        <v>16</v>
      </c>
      <c r="T259" s="85">
        <v>17</v>
      </c>
      <c r="U259" s="85">
        <v>18</v>
      </c>
      <c r="V259" s="85">
        <v>19</v>
      </c>
      <c r="W259" s="85">
        <v>20</v>
      </c>
      <c r="X259" s="85">
        <v>21</v>
      </c>
      <c r="Y259" s="85">
        <v>22</v>
      </c>
      <c r="Z259" s="85">
        <v>23</v>
      </c>
      <c r="AA259" s="176">
        <v>24</v>
      </c>
      <c r="AB259" s="85">
        <v>25</v>
      </c>
      <c r="AC259" s="85">
        <v>26</v>
      </c>
      <c r="AD259" s="85">
        <v>27</v>
      </c>
      <c r="AE259" s="85">
        <v>28</v>
      </c>
      <c r="AF259" s="85">
        <v>29</v>
      </c>
      <c r="AG259" s="85">
        <v>30</v>
      </c>
      <c r="AH259" s="85">
        <v>31</v>
      </c>
    </row>
    <row r="260" spans="2:34">
      <c r="B260" s="85">
        <v>1</v>
      </c>
      <c r="C260" s="89" t="str">
        <f>LEFT(EmpGName01)&amp;" " &amp; EmpSName01</f>
        <v>L Marampon</v>
      </c>
      <c r="D260" s="4" t="s">
        <v>62</v>
      </c>
      <c r="E260" s="4" t="s">
        <v>62</v>
      </c>
      <c r="F260" s="4" t="s">
        <v>62</v>
      </c>
      <c r="G260" s="4" t="s">
        <v>62</v>
      </c>
      <c r="H260" s="4" t="s">
        <v>62</v>
      </c>
      <c r="I260" s="4" t="s">
        <v>62</v>
      </c>
      <c r="J260" s="4" t="s">
        <v>62</v>
      </c>
      <c r="K260" s="4" t="s">
        <v>62</v>
      </c>
      <c r="L260" s="4" t="s">
        <v>62</v>
      </c>
      <c r="M260" s="4" t="s">
        <v>62</v>
      </c>
      <c r="N260" s="4" t="s">
        <v>62</v>
      </c>
      <c r="O260" s="4" t="s">
        <v>62</v>
      </c>
      <c r="P260" s="4" t="s">
        <v>62</v>
      </c>
      <c r="Q260" s="4" t="s">
        <v>62</v>
      </c>
      <c r="R260" s="4" t="s">
        <v>62</v>
      </c>
      <c r="S260" s="4" t="s">
        <v>62</v>
      </c>
      <c r="T260" s="4" t="s">
        <v>62</v>
      </c>
      <c r="U260" s="4" t="s">
        <v>62</v>
      </c>
      <c r="V260" s="4" t="s">
        <v>62</v>
      </c>
      <c r="W260" s="4" t="s">
        <v>62</v>
      </c>
      <c r="X260" s="4" t="s">
        <v>62</v>
      </c>
      <c r="Y260" s="4" t="s">
        <v>62</v>
      </c>
      <c r="Z260" s="4" t="s">
        <v>62</v>
      </c>
      <c r="AA260" s="4" t="s">
        <v>62</v>
      </c>
      <c r="AB260" s="4" t="s">
        <v>62</v>
      </c>
      <c r="AC260" s="4" t="s">
        <v>62</v>
      </c>
      <c r="AD260" s="4" t="s">
        <v>62</v>
      </c>
      <c r="AE260" s="4" t="s">
        <v>62</v>
      </c>
      <c r="AF260" s="4" t="s">
        <v>62</v>
      </c>
      <c r="AG260" s="4" t="s">
        <v>62</v>
      </c>
      <c r="AH260" s="4" t="s">
        <v>62</v>
      </c>
    </row>
    <row r="261" spans="2:34">
      <c r="B261" s="85">
        <v>2</v>
      </c>
      <c r="C261" s="90" t="str">
        <f>LEFT(EmpGName02)&amp;" " &amp;EmpSName02</f>
        <v>K Stone</v>
      </c>
      <c r="D261" s="3" t="s">
        <v>62</v>
      </c>
      <c r="E261" s="3" t="s">
        <v>62</v>
      </c>
      <c r="F261" s="3" t="s">
        <v>62</v>
      </c>
      <c r="G261" s="3" t="s">
        <v>62</v>
      </c>
      <c r="H261" s="3" t="s">
        <v>62</v>
      </c>
      <c r="I261" s="3" t="s">
        <v>62</v>
      </c>
      <c r="J261" s="3" t="s">
        <v>62</v>
      </c>
      <c r="K261" s="3" t="s">
        <v>62</v>
      </c>
      <c r="L261" s="3" t="s">
        <v>62</v>
      </c>
      <c r="M261" s="3" t="s">
        <v>62</v>
      </c>
      <c r="N261" s="3" t="s">
        <v>62</v>
      </c>
      <c r="O261" s="3" t="s">
        <v>62</v>
      </c>
      <c r="P261" s="3" t="s">
        <v>62</v>
      </c>
      <c r="Q261" s="3" t="s">
        <v>62</v>
      </c>
      <c r="R261" s="3" t="s">
        <v>62</v>
      </c>
      <c r="S261" s="3" t="s">
        <v>62</v>
      </c>
      <c r="T261" s="3" t="s">
        <v>62</v>
      </c>
      <c r="U261" s="3" t="s">
        <v>62</v>
      </c>
      <c r="V261" s="3" t="s">
        <v>62</v>
      </c>
      <c r="W261" s="3" t="s">
        <v>62</v>
      </c>
      <c r="X261" s="3" t="s">
        <v>62</v>
      </c>
      <c r="Y261" s="3" t="s">
        <v>62</v>
      </c>
      <c r="Z261" s="3" t="s">
        <v>62</v>
      </c>
      <c r="AA261" s="3" t="s">
        <v>62</v>
      </c>
      <c r="AB261" s="3" t="s">
        <v>62</v>
      </c>
      <c r="AC261" s="3" t="s">
        <v>62</v>
      </c>
      <c r="AD261" s="3" t="s">
        <v>62</v>
      </c>
      <c r="AE261" s="3" t="s">
        <v>62</v>
      </c>
      <c r="AF261" s="3" t="s">
        <v>62</v>
      </c>
      <c r="AG261" s="3" t="s">
        <v>62</v>
      </c>
      <c r="AH261" s="3" t="s">
        <v>62</v>
      </c>
    </row>
    <row r="262" spans="2:34">
      <c r="B262" s="85">
        <v>3</v>
      </c>
      <c r="C262" s="89" t="str">
        <f>LEFT(EmpGName03)&amp;" " &amp;EmpSName03</f>
        <v>I Thelning</v>
      </c>
      <c r="D262" s="4" t="s">
        <v>62</v>
      </c>
      <c r="E262" s="4" t="s">
        <v>62</v>
      </c>
      <c r="F262" s="4" t="s">
        <v>62</v>
      </c>
      <c r="G262" s="4" t="s">
        <v>62</v>
      </c>
      <c r="H262" s="4" t="s">
        <v>62</v>
      </c>
      <c r="I262" s="4" t="s">
        <v>62</v>
      </c>
      <c r="J262" s="4" t="s">
        <v>62</v>
      </c>
      <c r="K262" s="4" t="s">
        <v>62</v>
      </c>
      <c r="L262" s="4" t="s">
        <v>62</v>
      </c>
      <c r="M262" s="4" t="s">
        <v>62</v>
      </c>
      <c r="N262" s="4" t="s">
        <v>62</v>
      </c>
      <c r="O262" s="4" t="s">
        <v>62</v>
      </c>
      <c r="P262" s="4" t="s">
        <v>62</v>
      </c>
      <c r="Q262" s="4" t="s">
        <v>62</v>
      </c>
      <c r="R262" s="4" t="s">
        <v>62</v>
      </c>
      <c r="S262" s="4" t="s">
        <v>62</v>
      </c>
      <c r="T262" s="4" t="s">
        <v>62</v>
      </c>
      <c r="U262" s="4" t="s">
        <v>62</v>
      </c>
      <c r="V262" s="4" t="s">
        <v>62</v>
      </c>
      <c r="W262" s="4" t="s">
        <v>62</v>
      </c>
      <c r="X262" s="4" t="s">
        <v>62</v>
      </c>
      <c r="Y262" s="4" t="s">
        <v>62</v>
      </c>
      <c r="Z262" s="4" t="s">
        <v>62</v>
      </c>
      <c r="AA262" s="4" t="s">
        <v>62</v>
      </c>
      <c r="AB262" s="4" t="s">
        <v>62</v>
      </c>
      <c r="AC262" s="4" t="s">
        <v>62</v>
      </c>
      <c r="AD262" s="4" t="s">
        <v>62</v>
      </c>
      <c r="AE262" s="4" t="s">
        <v>62</v>
      </c>
      <c r="AF262" s="4" t="s">
        <v>62</v>
      </c>
      <c r="AG262" s="4" t="s">
        <v>62</v>
      </c>
      <c r="AH262" s="4" t="s">
        <v>62</v>
      </c>
    </row>
    <row r="263" spans="2:34">
      <c r="B263" s="85">
        <v>4</v>
      </c>
      <c r="C263" s="90" t="str">
        <f>LEFT(EmpGName04)&amp;" " &amp;EmpSName04</f>
        <v>L King</v>
      </c>
      <c r="D263" s="3" t="s">
        <v>62</v>
      </c>
      <c r="E263" s="3" t="s">
        <v>62</v>
      </c>
      <c r="F263" s="3" t="s">
        <v>62</v>
      </c>
      <c r="G263" s="3" t="s">
        <v>62</v>
      </c>
      <c r="H263" s="3" t="s">
        <v>62</v>
      </c>
      <c r="I263" s="3" t="s">
        <v>62</v>
      </c>
      <c r="J263" s="3" t="s">
        <v>62</v>
      </c>
      <c r="K263" s="3" t="s">
        <v>62</v>
      </c>
      <c r="L263" s="3" t="s">
        <v>62</v>
      </c>
      <c r="M263" s="3" t="s">
        <v>62</v>
      </c>
      <c r="N263" s="3" t="s">
        <v>62</v>
      </c>
      <c r="O263" s="3" t="s">
        <v>62</v>
      </c>
      <c r="P263" s="3" t="s">
        <v>62</v>
      </c>
      <c r="Q263" s="3" t="s">
        <v>62</v>
      </c>
      <c r="R263" s="3" t="s">
        <v>62</v>
      </c>
      <c r="S263" s="3" t="s">
        <v>62</v>
      </c>
      <c r="T263" s="3" t="s">
        <v>62</v>
      </c>
      <c r="U263" s="3" t="s">
        <v>62</v>
      </c>
      <c r="V263" s="3" t="s">
        <v>62</v>
      </c>
      <c r="W263" s="3" t="s">
        <v>62</v>
      </c>
      <c r="X263" s="3" t="s">
        <v>62</v>
      </c>
      <c r="Y263" s="3" t="s">
        <v>62</v>
      </c>
      <c r="Z263" s="3" t="s">
        <v>62</v>
      </c>
      <c r="AA263" s="3" t="s">
        <v>62</v>
      </c>
      <c r="AB263" s="3" t="s">
        <v>62</v>
      </c>
      <c r="AC263" s="3" t="s">
        <v>62</v>
      </c>
      <c r="AD263" s="3" t="s">
        <v>62</v>
      </c>
      <c r="AE263" s="3" t="s">
        <v>62</v>
      </c>
      <c r="AF263" s="3" t="s">
        <v>62</v>
      </c>
      <c r="AG263" s="3" t="s">
        <v>62</v>
      </c>
      <c r="AH263" s="3" t="s">
        <v>62</v>
      </c>
    </row>
    <row r="264" spans="2:34">
      <c r="B264" s="85">
        <v>5</v>
      </c>
      <c r="C264" s="89" t="str">
        <f>LEFT(EmpGName05)&amp;" " &amp;EmpSName05</f>
        <v>D Castle</v>
      </c>
      <c r="D264" s="4" t="s">
        <v>62</v>
      </c>
      <c r="E264" s="4" t="s">
        <v>62</v>
      </c>
      <c r="F264" s="4" t="s">
        <v>62</v>
      </c>
      <c r="G264" s="4" t="s">
        <v>62</v>
      </c>
      <c r="H264" s="4" t="s">
        <v>62</v>
      </c>
      <c r="I264" s="4" t="s">
        <v>62</v>
      </c>
      <c r="J264" s="4" t="s">
        <v>62</v>
      </c>
      <c r="K264" s="4" t="s">
        <v>62</v>
      </c>
      <c r="L264" s="4" t="s">
        <v>62</v>
      </c>
      <c r="M264" s="4" t="s">
        <v>62</v>
      </c>
      <c r="N264" s="4" t="s">
        <v>62</v>
      </c>
      <c r="O264" s="4" t="s">
        <v>62</v>
      </c>
      <c r="P264" s="4" t="s">
        <v>62</v>
      </c>
      <c r="Q264" s="4" t="s">
        <v>62</v>
      </c>
      <c r="R264" s="4" t="s">
        <v>62</v>
      </c>
      <c r="S264" s="4" t="s">
        <v>62</v>
      </c>
      <c r="T264" s="4" t="s">
        <v>62</v>
      </c>
      <c r="U264" s="4" t="s">
        <v>62</v>
      </c>
      <c r="V264" s="4" t="s">
        <v>62</v>
      </c>
      <c r="W264" s="4" t="s">
        <v>62</v>
      </c>
      <c r="X264" s="4" t="s">
        <v>62</v>
      </c>
      <c r="Y264" s="4" t="s">
        <v>62</v>
      </c>
      <c r="Z264" s="4" t="s">
        <v>62</v>
      </c>
      <c r="AA264" s="4" t="s">
        <v>62</v>
      </c>
      <c r="AB264" s="4" t="s">
        <v>62</v>
      </c>
      <c r="AC264" s="4" t="s">
        <v>62</v>
      </c>
      <c r="AD264" s="4" t="s">
        <v>62</v>
      </c>
      <c r="AE264" s="4" t="s">
        <v>62</v>
      </c>
      <c r="AF264" s="4" t="s">
        <v>62</v>
      </c>
      <c r="AG264" s="4" t="s">
        <v>62</v>
      </c>
      <c r="AH264" s="4" t="s">
        <v>62</v>
      </c>
    </row>
    <row r="265" spans="2:34">
      <c r="B265" s="85">
        <v>6</v>
      </c>
      <c r="C265" s="90" t="str">
        <f>LEFT(EmpGName06)&amp;" " &amp;EmpSName06</f>
        <v>R Fielding</v>
      </c>
      <c r="D265" s="3" t="s">
        <v>62</v>
      </c>
      <c r="E265" s="3" t="s">
        <v>62</v>
      </c>
      <c r="F265" s="3" t="s">
        <v>62</v>
      </c>
      <c r="G265" s="3" t="s">
        <v>62</v>
      </c>
      <c r="H265" s="3" t="s">
        <v>62</v>
      </c>
      <c r="I265" s="3" t="s">
        <v>62</v>
      </c>
      <c r="J265" s="3" t="s">
        <v>62</v>
      </c>
      <c r="K265" s="3" t="s">
        <v>62</v>
      </c>
      <c r="L265" s="3" t="s">
        <v>62</v>
      </c>
      <c r="M265" s="3" t="s">
        <v>62</v>
      </c>
      <c r="N265" s="3" t="s">
        <v>62</v>
      </c>
      <c r="O265" s="3" t="s">
        <v>62</v>
      </c>
      <c r="P265" s="3" t="s">
        <v>62</v>
      </c>
      <c r="Q265" s="3" t="s">
        <v>62</v>
      </c>
      <c r="R265" s="3" t="s">
        <v>62</v>
      </c>
      <c r="S265" s="3" t="s">
        <v>62</v>
      </c>
      <c r="T265" s="3" t="s">
        <v>62</v>
      </c>
      <c r="U265" s="3" t="s">
        <v>62</v>
      </c>
      <c r="V265" s="3" t="s">
        <v>62</v>
      </c>
      <c r="W265" s="3" t="s">
        <v>62</v>
      </c>
      <c r="X265" s="3" t="s">
        <v>62</v>
      </c>
      <c r="Y265" s="3" t="s">
        <v>62</v>
      </c>
      <c r="Z265" s="3" t="s">
        <v>62</v>
      </c>
      <c r="AA265" s="3" t="s">
        <v>62</v>
      </c>
      <c r="AB265" s="3" t="s">
        <v>62</v>
      </c>
      <c r="AC265" s="3" t="s">
        <v>62</v>
      </c>
      <c r="AD265" s="3" t="s">
        <v>62</v>
      </c>
      <c r="AE265" s="3" t="s">
        <v>62</v>
      </c>
      <c r="AF265" s="3" t="s">
        <v>62</v>
      </c>
      <c r="AG265" s="3" t="s">
        <v>62</v>
      </c>
      <c r="AH265" s="3" t="s">
        <v>62</v>
      </c>
    </row>
    <row r="266" spans="2:34">
      <c r="B266" s="85">
        <v>7</v>
      </c>
      <c r="C266" s="89" t="str">
        <f>LEFT(EmpGName07)&amp;" " &amp;EmpSName07</f>
        <v>T Sorensen</v>
      </c>
      <c r="D266" s="4" t="s">
        <v>62</v>
      </c>
      <c r="E266" s="4" t="s">
        <v>62</v>
      </c>
      <c r="F266" s="4" t="s">
        <v>62</v>
      </c>
      <c r="G266" s="4" t="s">
        <v>62</v>
      </c>
      <c r="H266" s="4" t="s">
        <v>62</v>
      </c>
      <c r="I266" s="4" t="s">
        <v>62</v>
      </c>
      <c r="J266" s="4" t="s">
        <v>62</v>
      </c>
      <c r="K266" s="4" t="s">
        <v>62</v>
      </c>
      <c r="L266" s="4" t="s">
        <v>62</v>
      </c>
      <c r="M266" s="4" t="s">
        <v>62</v>
      </c>
      <c r="N266" s="4" t="s">
        <v>62</v>
      </c>
      <c r="O266" s="4" t="s">
        <v>62</v>
      </c>
      <c r="P266" s="4" t="s">
        <v>62</v>
      </c>
      <c r="Q266" s="4" t="s">
        <v>62</v>
      </c>
      <c r="R266" s="4" t="s">
        <v>62</v>
      </c>
      <c r="S266" s="4" t="s">
        <v>62</v>
      </c>
      <c r="T266" s="4" t="s">
        <v>62</v>
      </c>
      <c r="U266" s="4" t="s">
        <v>62</v>
      </c>
      <c r="V266" s="4" t="s">
        <v>62</v>
      </c>
      <c r="W266" s="4" t="s">
        <v>62</v>
      </c>
      <c r="X266" s="4" t="s">
        <v>62</v>
      </c>
      <c r="Y266" s="4" t="s">
        <v>62</v>
      </c>
      <c r="Z266" s="4" t="s">
        <v>62</v>
      </c>
      <c r="AA266" s="4" t="s">
        <v>62</v>
      </c>
      <c r="AB266" s="4" t="s">
        <v>62</v>
      </c>
      <c r="AC266" s="4" t="s">
        <v>62</v>
      </c>
      <c r="AD266" s="4" t="s">
        <v>62</v>
      </c>
      <c r="AE266" s="4" t="s">
        <v>62</v>
      </c>
      <c r="AF266" s="4" t="s">
        <v>62</v>
      </c>
      <c r="AG266" s="4" t="s">
        <v>62</v>
      </c>
      <c r="AH266" s="4" t="s">
        <v>62</v>
      </c>
    </row>
    <row r="267" spans="2:34">
      <c r="B267" s="85">
        <v>8</v>
      </c>
      <c r="C267" s="90" t="str">
        <f>LEFT(EmpGName08)&amp;" " &amp;EmpSName08</f>
        <v xml:space="preserve">B Odd </v>
      </c>
      <c r="D267" s="3" t="s">
        <v>62</v>
      </c>
      <c r="E267" s="3" t="s">
        <v>62</v>
      </c>
      <c r="F267" s="3" t="s">
        <v>62</v>
      </c>
      <c r="G267" s="3" t="s">
        <v>62</v>
      </c>
      <c r="H267" s="3" t="s">
        <v>62</v>
      </c>
      <c r="I267" s="3" t="s">
        <v>62</v>
      </c>
      <c r="J267" s="3" t="s">
        <v>62</v>
      </c>
      <c r="K267" s="3" t="s">
        <v>62</v>
      </c>
      <c r="L267" s="3" t="s">
        <v>62</v>
      </c>
      <c r="M267" s="3" t="s">
        <v>62</v>
      </c>
      <c r="N267" s="3" t="s">
        <v>62</v>
      </c>
      <c r="O267" s="3" t="s">
        <v>62</v>
      </c>
      <c r="P267" s="3" t="s">
        <v>62</v>
      </c>
      <c r="Q267" s="3" t="s">
        <v>62</v>
      </c>
      <c r="R267" s="3" t="s">
        <v>62</v>
      </c>
      <c r="S267" s="3" t="s">
        <v>62</v>
      </c>
      <c r="T267" s="3" t="s">
        <v>62</v>
      </c>
      <c r="U267" s="3" t="s">
        <v>62</v>
      </c>
      <c r="V267" s="3" t="s">
        <v>62</v>
      </c>
      <c r="W267" s="3" t="s">
        <v>62</v>
      </c>
      <c r="X267" s="3" t="s">
        <v>62</v>
      </c>
      <c r="Y267" s="3" t="s">
        <v>62</v>
      </c>
      <c r="Z267" s="3" t="s">
        <v>62</v>
      </c>
      <c r="AA267" s="3" t="s">
        <v>62</v>
      </c>
      <c r="AB267" s="3" t="s">
        <v>62</v>
      </c>
      <c r="AC267" s="3" t="s">
        <v>62</v>
      </c>
      <c r="AD267" s="3" t="s">
        <v>62</v>
      </c>
      <c r="AE267" s="3" t="s">
        <v>62</v>
      </c>
      <c r="AF267" s="3" t="s">
        <v>62</v>
      </c>
      <c r="AG267" s="3" t="s">
        <v>62</v>
      </c>
      <c r="AH267" s="3" t="s">
        <v>62</v>
      </c>
    </row>
    <row r="268" spans="2:34">
      <c r="B268" s="85">
        <v>9</v>
      </c>
      <c r="C268" s="89" t="str">
        <f>LEFT(EmpGName09)&amp;" " &amp;EmpSName09</f>
        <v>1 Odd1</v>
      </c>
      <c r="D268" s="4" t="s">
        <v>62</v>
      </c>
      <c r="E268" s="4" t="s">
        <v>62</v>
      </c>
      <c r="F268" s="4" t="s">
        <v>62</v>
      </c>
      <c r="G268" s="4" t="s">
        <v>62</v>
      </c>
      <c r="H268" s="4" t="s">
        <v>62</v>
      </c>
      <c r="I268" s="4" t="s">
        <v>62</v>
      </c>
      <c r="J268" s="4" t="s">
        <v>62</v>
      </c>
      <c r="K268" s="4" t="s">
        <v>62</v>
      </c>
      <c r="L268" s="4" t="s">
        <v>62</v>
      </c>
      <c r="M268" s="4" t="s">
        <v>62</v>
      </c>
      <c r="N268" s="4" t="s">
        <v>62</v>
      </c>
      <c r="O268" s="4" t="s">
        <v>62</v>
      </c>
      <c r="P268" s="4" t="s">
        <v>62</v>
      </c>
      <c r="Q268" s="4" t="s">
        <v>62</v>
      </c>
      <c r="R268" s="4" t="s">
        <v>62</v>
      </c>
      <c r="S268" s="4" t="s">
        <v>62</v>
      </c>
      <c r="T268" s="4" t="s">
        <v>62</v>
      </c>
      <c r="U268" s="4" t="s">
        <v>62</v>
      </c>
      <c r="V268" s="4" t="s">
        <v>62</v>
      </c>
      <c r="W268" s="4" t="s">
        <v>62</v>
      </c>
      <c r="X268" s="4" t="s">
        <v>62</v>
      </c>
      <c r="Y268" s="4" t="s">
        <v>62</v>
      </c>
      <c r="Z268" s="4" t="s">
        <v>62</v>
      </c>
      <c r="AA268" s="4" t="s">
        <v>62</v>
      </c>
      <c r="AB268" s="4" t="s">
        <v>62</v>
      </c>
      <c r="AC268" s="4" t="s">
        <v>62</v>
      </c>
      <c r="AD268" s="4" t="s">
        <v>62</v>
      </c>
      <c r="AE268" s="4" t="s">
        <v>62</v>
      </c>
      <c r="AF268" s="4" t="s">
        <v>62</v>
      </c>
      <c r="AG268" s="4" t="s">
        <v>62</v>
      </c>
      <c r="AH268" s="4" t="s">
        <v>62</v>
      </c>
    </row>
    <row r="269" spans="2:34">
      <c r="B269" s="148">
        <v>10</v>
      </c>
      <c r="C269" s="90" t="str">
        <f>LEFT(EmpGName10)&amp;" " &amp;EmpSName10</f>
        <v>2 Odd2</v>
      </c>
      <c r="D269" s="3" t="s">
        <v>62</v>
      </c>
      <c r="E269" s="3" t="s">
        <v>62</v>
      </c>
      <c r="F269" s="3" t="s">
        <v>62</v>
      </c>
      <c r="G269" s="3" t="s">
        <v>62</v>
      </c>
      <c r="H269" s="3" t="s">
        <v>62</v>
      </c>
      <c r="I269" s="3" t="s">
        <v>62</v>
      </c>
      <c r="J269" s="3" t="s">
        <v>62</v>
      </c>
      <c r="K269" s="3" t="s">
        <v>62</v>
      </c>
      <c r="L269" s="3" t="s">
        <v>62</v>
      </c>
      <c r="M269" s="3" t="s">
        <v>62</v>
      </c>
      <c r="N269" s="3" t="s">
        <v>62</v>
      </c>
      <c r="O269" s="3" t="s">
        <v>62</v>
      </c>
      <c r="P269" s="3" t="s">
        <v>62</v>
      </c>
      <c r="Q269" s="3" t="s">
        <v>62</v>
      </c>
      <c r="R269" s="3" t="s">
        <v>62</v>
      </c>
      <c r="S269" s="3" t="s">
        <v>62</v>
      </c>
      <c r="T269" s="3" t="s">
        <v>62</v>
      </c>
      <c r="U269" s="3" t="s">
        <v>62</v>
      </c>
      <c r="V269" s="3" t="s">
        <v>62</v>
      </c>
      <c r="W269" s="3" t="s">
        <v>62</v>
      </c>
      <c r="X269" s="3" t="s">
        <v>62</v>
      </c>
      <c r="Y269" s="3" t="s">
        <v>62</v>
      </c>
      <c r="Z269" s="3" t="s">
        <v>62</v>
      </c>
      <c r="AA269" s="3" t="s">
        <v>62</v>
      </c>
      <c r="AB269" s="3" t="s">
        <v>62</v>
      </c>
      <c r="AC269" s="3" t="s">
        <v>62</v>
      </c>
      <c r="AD269" s="3" t="s">
        <v>62</v>
      </c>
      <c r="AE269" s="3" t="s">
        <v>62</v>
      </c>
      <c r="AF269" s="3" t="s">
        <v>62</v>
      </c>
      <c r="AG269" s="3" t="s">
        <v>62</v>
      </c>
      <c r="AH269" s="3" t="s">
        <v>62</v>
      </c>
    </row>
    <row r="270" spans="2:34">
      <c r="B270" s="148">
        <v>11</v>
      </c>
      <c r="C270" s="89" t="str">
        <f>LEFT(EmpGName11)&amp;" " &amp;EmpSName11</f>
        <v>2 Odd3</v>
      </c>
      <c r="D270" s="4" t="s">
        <v>62</v>
      </c>
      <c r="E270" s="4" t="s">
        <v>62</v>
      </c>
      <c r="F270" s="4" t="s">
        <v>62</v>
      </c>
      <c r="G270" s="4" t="s">
        <v>62</v>
      </c>
      <c r="H270" s="4" t="s">
        <v>62</v>
      </c>
      <c r="I270" s="4" t="s">
        <v>62</v>
      </c>
      <c r="J270" s="4" t="s">
        <v>62</v>
      </c>
      <c r="K270" s="4" t="s">
        <v>62</v>
      </c>
      <c r="L270" s="4" t="s">
        <v>62</v>
      </c>
      <c r="M270" s="4" t="s">
        <v>62</v>
      </c>
      <c r="N270" s="4" t="s">
        <v>62</v>
      </c>
      <c r="O270" s="4" t="s">
        <v>62</v>
      </c>
      <c r="P270" s="4" t="s">
        <v>62</v>
      </c>
      <c r="Q270" s="4" t="s">
        <v>62</v>
      </c>
      <c r="R270" s="4" t="s">
        <v>62</v>
      </c>
      <c r="S270" s="4" t="s">
        <v>62</v>
      </c>
      <c r="T270" s="4" t="s">
        <v>62</v>
      </c>
      <c r="U270" s="4" t="s">
        <v>62</v>
      </c>
      <c r="V270" s="4" t="s">
        <v>62</v>
      </c>
      <c r="W270" s="4" t="s">
        <v>62</v>
      </c>
      <c r="X270" s="4" t="s">
        <v>62</v>
      </c>
      <c r="Y270" s="4" t="s">
        <v>62</v>
      </c>
      <c r="Z270" s="4" t="s">
        <v>62</v>
      </c>
      <c r="AA270" s="4" t="s">
        <v>62</v>
      </c>
      <c r="AB270" s="4" t="s">
        <v>62</v>
      </c>
      <c r="AC270" s="4" t="s">
        <v>62</v>
      </c>
      <c r="AD270" s="4" t="s">
        <v>62</v>
      </c>
      <c r="AE270" s="4" t="s">
        <v>62</v>
      </c>
      <c r="AF270" s="4" t="s">
        <v>62</v>
      </c>
      <c r="AG270" s="4" t="s">
        <v>62</v>
      </c>
      <c r="AH270" s="4" t="s">
        <v>62</v>
      </c>
    </row>
    <row r="271" spans="2:34">
      <c r="B271" s="148">
        <v>12</v>
      </c>
      <c r="C271" s="90" t="str">
        <f>LEFT(EmpGName12)&amp;" " &amp;EmpSName12</f>
        <v>4 Odd4</v>
      </c>
      <c r="D271" s="3" t="s">
        <v>62</v>
      </c>
      <c r="E271" s="3" t="s">
        <v>62</v>
      </c>
      <c r="F271" s="3" t="s">
        <v>62</v>
      </c>
      <c r="G271" s="3" t="s">
        <v>62</v>
      </c>
      <c r="H271" s="3" t="s">
        <v>62</v>
      </c>
      <c r="I271" s="3" t="s">
        <v>62</v>
      </c>
      <c r="J271" s="3" t="s">
        <v>62</v>
      </c>
      <c r="K271" s="3" t="s">
        <v>62</v>
      </c>
      <c r="L271" s="3" t="s">
        <v>62</v>
      </c>
      <c r="M271" s="3" t="s">
        <v>62</v>
      </c>
      <c r="N271" s="3" t="s">
        <v>62</v>
      </c>
      <c r="O271" s="3" t="s">
        <v>62</v>
      </c>
      <c r="P271" s="3" t="s">
        <v>62</v>
      </c>
      <c r="Q271" s="3" t="s">
        <v>62</v>
      </c>
      <c r="R271" s="3" t="s">
        <v>62</v>
      </c>
      <c r="S271" s="3" t="s">
        <v>62</v>
      </c>
      <c r="T271" s="3" t="s">
        <v>62</v>
      </c>
      <c r="U271" s="3" t="s">
        <v>62</v>
      </c>
      <c r="V271" s="3" t="s">
        <v>62</v>
      </c>
      <c r="W271" s="3" t="s">
        <v>62</v>
      </c>
      <c r="X271" s="3" t="s">
        <v>62</v>
      </c>
      <c r="Y271" s="3" t="s">
        <v>62</v>
      </c>
      <c r="Z271" s="3" t="s">
        <v>62</v>
      </c>
      <c r="AA271" s="3" t="s">
        <v>62</v>
      </c>
      <c r="AB271" s="3" t="s">
        <v>62</v>
      </c>
      <c r="AC271" s="3" t="s">
        <v>62</v>
      </c>
      <c r="AD271" s="3" t="s">
        <v>62</v>
      </c>
      <c r="AE271" s="3" t="s">
        <v>62</v>
      </c>
      <c r="AF271" s="3" t="s">
        <v>62</v>
      </c>
      <c r="AG271" s="3" t="s">
        <v>62</v>
      </c>
      <c r="AH271" s="3" t="s">
        <v>62</v>
      </c>
    </row>
    <row r="273" spans="2:34">
      <c r="C273" t="str">
        <f>CurYear&amp;":"</f>
        <v>2019:</v>
      </c>
      <c r="D273" s="5" t="str">
        <f>LEFT(TEXT(D274&amp;"-"&amp;$C274&amp;"-"&amp;CurYear,"ddd"),2)</f>
        <v>Sa</v>
      </c>
      <c r="E273" s="5" t="str">
        <f t="shared" ref="E273:AG273" si="8">LEFT(TEXT(E274&amp;"-"&amp;$C274&amp;"-"&amp;CurYear,"ddd"),2)</f>
        <v>Su</v>
      </c>
      <c r="F273" s="5" t="str">
        <f t="shared" si="8"/>
        <v>Mo</v>
      </c>
      <c r="G273" s="5" t="str">
        <f t="shared" si="8"/>
        <v>Tu</v>
      </c>
      <c r="H273" s="5" t="str">
        <f t="shared" si="8"/>
        <v>We</v>
      </c>
      <c r="I273" s="5" t="str">
        <f t="shared" si="8"/>
        <v>Th</v>
      </c>
      <c r="J273" s="5" t="str">
        <f t="shared" si="8"/>
        <v>Fr</v>
      </c>
      <c r="K273" s="5" t="str">
        <f t="shared" si="8"/>
        <v>Sa</v>
      </c>
      <c r="L273" s="5" t="str">
        <f t="shared" si="8"/>
        <v>Su</v>
      </c>
      <c r="M273" s="5" t="str">
        <f t="shared" si="8"/>
        <v>Mo</v>
      </c>
      <c r="N273" s="5" t="str">
        <f t="shared" si="8"/>
        <v>Tu</v>
      </c>
      <c r="O273" s="5" t="str">
        <f t="shared" si="8"/>
        <v>We</v>
      </c>
      <c r="P273" s="5" t="str">
        <f t="shared" si="8"/>
        <v>Th</v>
      </c>
      <c r="Q273" s="5" t="str">
        <f t="shared" si="8"/>
        <v>Fr</v>
      </c>
      <c r="R273" s="5" t="str">
        <f t="shared" si="8"/>
        <v>Sa</v>
      </c>
      <c r="S273" s="5" t="str">
        <f t="shared" si="8"/>
        <v>Su</v>
      </c>
      <c r="T273" s="5" t="str">
        <f t="shared" si="8"/>
        <v>Mo</v>
      </c>
      <c r="U273" s="5" t="str">
        <f t="shared" si="8"/>
        <v>Tu</v>
      </c>
      <c r="V273" s="5" t="str">
        <f t="shared" si="8"/>
        <v>We</v>
      </c>
      <c r="W273" s="5" t="str">
        <f t="shared" si="8"/>
        <v>Th</v>
      </c>
      <c r="X273" s="5" t="str">
        <f t="shared" si="8"/>
        <v>Fr</v>
      </c>
      <c r="Y273" s="5" t="str">
        <f t="shared" si="8"/>
        <v>Sa</v>
      </c>
      <c r="Z273" s="5" t="str">
        <f t="shared" si="8"/>
        <v>Su</v>
      </c>
      <c r="AA273" s="5" t="str">
        <f t="shared" si="8"/>
        <v>Mo</v>
      </c>
      <c r="AB273" s="5" t="str">
        <f t="shared" si="8"/>
        <v>Tu</v>
      </c>
      <c r="AC273" s="5" t="str">
        <f t="shared" si="8"/>
        <v>We</v>
      </c>
      <c r="AD273" s="5" t="str">
        <f t="shared" si="8"/>
        <v>Th</v>
      </c>
      <c r="AE273" s="5" t="str">
        <f t="shared" si="8"/>
        <v>Fr</v>
      </c>
      <c r="AF273" s="5" t="str">
        <f t="shared" si="8"/>
        <v>Sa</v>
      </c>
      <c r="AG273" s="5" t="str">
        <f t="shared" si="8"/>
        <v>Su</v>
      </c>
      <c r="AH273" s="5"/>
    </row>
    <row r="274" spans="2:34">
      <c r="B274" s="88"/>
      <c r="C274" s="84" t="s">
        <v>17</v>
      </c>
      <c r="D274" s="85">
        <v>1</v>
      </c>
      <c r="E274" s="85">
        <v>2</v>
      </c>
      <c r="F274" s="85">
        <v>3</v>
      </c>
      <c r="G274" s="85">
        <v>4</v>
      </c>
      <c r="H274" s="85">
        <v>5</v>
      </c>
      <c r="I274" s="85">
        <v>6</v>
      </c>
      <c r="J274" s="176">
        <v>7</v>
      </c>
      <c r="K274" s="85">
        <v>8</v>
      </c>
      <c r="L274" s="85">
        <v>9</v>
      </c>
      <c r="M274" s="85">
        <v>10</v>
      </c>
      <c r="N274" s="85">
        <v>11</v>
      </c>
      <c r="O274" s="85">
        <v>12</v>
      </c>
      <c r="P274" s="85">
        <v>13</v>
      </c>
      <c r="Q274" s="85">
        <v>14</v>
      </c>
      <c r="R274" s="85">
        <v>15</v>
      </c>
      <c r="S274" s="85">
        <v>16</v>
      </c>
      <c r="T274" s="85">
        <v>17</v>
      </c>
      <c r="U274" s="85">
        <v>18</v>
      </c>
      <c r="V274" s="85">
        <v>19</v>
      </c>
      <c r="W274" s="85">
        <v>20</v>
      </c>
      <c r="X274" s="176">
        <v>21</v>
      </c>
      <c r="Y274" s="85">
        <v>22</v>
      </c>
      <c r="Z274" s="85">
        <v>23</v>
      </c>
      <c r="AA274" s="85">
        <v>24</v>
      </c>
      <c r="AB274" s="85">
        <v>25</v>
      </c>
      <c r="AC274" s="85">
        <v>26</v>
      </c>
      <c r="AD274" s="85">
        <v>27</v>
      </c>
      <c r="AE274" s="85">
        <v>28</v>
      </c>
      <c r="AF274" s="85">
        <v>29</v>
      </c>
      <c r="AG274" s="85">
        <v>30</v>
      </c>
      <c r="AH274" s="92"/>
    </row>
    <row r="275" spans="2:34">
      <c r="B275" s="85">
        <v>1</v>
      </c>
      <c r="C275" s="89" t="str">
        <f>LEFT(EmpGName01)&amp;" " &amp; EmpSName01</f>
        <v>L Marampon</v>
      </c>
      <c r="D275" s="4" t="s">
        <v>62</v>
      </c>
      <c r="E275" s="4" t="s">
        <v>62</v>
      </c>
      <c r="F275" s="4" t="s">
        <v>62</v>
      </c>
      <c r="G275" s="4" t="s">
        <v>62</v>
      </c>
      <c r="H275" s="4" t="s">
        <v>62</v>
      </c>
      <c r="I275" s="4" t="s">
        <v>62</v>
      </c>
      <c r="J275" s="4" t="s">
        <v>62</v>
      </c>
      <c r="K275" s="4" t="s">
        <v>62</v>
      </c>
      <c r="L275" s="4" t="s">
        <v>62</v>
      </c>
      <c r="M275" s="4" t="s">
        <v>62</v>
      </c>
      <c r="N275" s="4" t="s">
        <v>62</v>
      </c>
      <c r="O275" s="4" t="s">
        <v>62</v>
      </c>
      <c r="P275" s="4" t="s">
        <v>62</v>
      </c>
      <c r="Q275" s="4" t="s">
        <v>62</v>
      </c>
      <c r="R275" s="4" t="s">
        <v>62</v>
      </c>
      <c r="S275" s="4" t="s">
        <v>62</v>
      </c>
      <c r="T275" s="4" t="s">
        <v>62</v>
      </c>
      <c r="U275" s="4" t="s">
        <v>62</v>
      </c>
      <c r="V275" s="4" t="s">
        <v>62</v>
      </c>
      <c r="W275" s="4" t="s">
        <v>62</v>
      </c>
      <c r="X275" s="4" t="s">
        <v>62</v>
      </c>
      <c r="Y275" s="4" t="s">
        <v>62</v>
      </c>
      <c r="Z275" s="4" t="s">
        <v>62</v>
      </c>
      <c r="AA275" s="4" t="s">
        <v>62</v>
      </c>
      <c r="AB275" s="4" t="s">
        <v>62</v>
      </c>
      <c r="AC275" s="4" t="s">
        <v>62</v>
      </c>
      <c r="AD275" s="4" t="s">
        <v>62</v>
      </c>
      <c r="AE275" s="4" t="s">
        <v>62</v>
      </c>
      <c r="AF275" s="4" t="s">
        <v>62</v>
      </c>
      <c r="AG275" s="4" t="s">
        <v>62</v>
      </c>
      <c r="AH275" s="8"/>
    </row>
    <row r="276" spans="2:34">
      <c r="B276" s="85">
        <v>2</v>
      </c>
      <c r="C276" s="90" t="str">
        <f>LEFT(EmpGName02)&amp;" " &amp;EmpSName02</f>
        <v>K Stone</v>
      </c>
      <c r="D276" s="3" t="s">
        <v>62</v>
      </c>
      <c r="E276" s="3" t="s">
        <v>62</v>
      </c>
      <c r="F276" s="3" t="s">
        <v>62</v>
      </c>
      <c r="G276" s="3" t="s">
        <v>62</v>
      </c>
      <c r="H276" s="3" t="s">
        <v>62</v>
      </c>
      <c r="I276" s="3" t="s">
        <v>62</v>
      </c>
      <c r="J276" s="3" t="s">
        <v>62</v>
      </c>
      <c r="K276" s="3" t="s">
        <v>62</v>
      </c>
      <c r="L276" s="3" t="s">
        <v>62</v>
      </c>
      <c r="M276" s="3" t="s">
        <v>62</v>
      </c>
      <c r="N276" s="3" t="s">
        <v>62</v>
      </c>
      <c r="O276" s="3" t="s">
        <v>62</v>
      </c>
      <c r="P276" s="3" t="s">
        <v>62</v>
      </c>
      <c r="Q276" s="3" t="s">
        <v>62</v>
      </c>
      <c r="R276" s="3" t="s">
        <v>62</v>
      </c>
      <c r="S276" s="3" t="s">
        <v>62</v>
      </c>
      <c r="T276" s="3" t="s">
        <v>62</v>
      </c>
      <c r="U276" s="3" t="s">
        <v>62</v>
      </c>
      <c r="V276" s="3" t="s">
        <v>62</v>
      </c>
      <c r="W276" s="3" t="s">
        <v>62</v>
      </c>
      <c r="X276" s="3" t="s">
        <v>62</v>
      </c>
      <c r="Y276" s="3" t="s">
        <v>62</v>
      </c>
      <c r="Z276" s="3" t="s">
        <v>62</v>
      </c>
      <c r="AA276" s="3" t="s">
        <v>62</v>
      </c>
      <c r="AB276" s="3" t="s">
        <v>62</v>
      </c>
      <c r="AC276" s="3" t="s">
        <v>62</v>
      </c>
      <c r="AD276" s="3" t="s">
        <v>62</v>
      </c>
      <c r="AE276" s="3" t="s">
        <v>62</v>
      </c>
      <c r="AF276" s="3" t="s">
        <v>62</v>
      </c>
      <c r="AG276" s="3" t="s">
        <v>62</v>
      </c>
      <c r="AH276" s="8"/>
    </row>
    <row r="277" spans="2:34">
      <c r="B277" s="85">
        <v>3</v>
      </c>
      <c r="C277" s="89" t="str">
        <f>LEFT(EmpGName03)&amp;" " &amp;EmpSName03</f>
        <v>I Thelning</v>
      </c>
      <c r="D277" s="4" t="s">
        <v>62</v>
      </c>
      <c r="E277" s="4" t="s">
        <v>62</v>
      </c>
      <c r="F277" s="4" t="s">
        <v>62</v>
      </c>
      <c r="G277" s="4" t="s">
        <v>62</v>
      </c>
      <c r="H277" s="4" t="s">
        <v>62</v>
      </c>
      <c r="I277" s="4" t="s">
        <v>62</v>
      </c>
      <c r="J277" s="4" t="s">
        <v>62</v>
      </c>
      <c r="K277" s="4" t="s">
        <v>62</v>
      </c>
      <c r="L277" s="4" t="s">
        <v>62</v>
      </c>
      <c r="M277" s="4" t="s">
        <v>62</v>
      </c>
      <c r="N277" s="4" t="s">
        <v>62</v>
      </c>
      <c r="O277" s="4" t="s">
        <v>62</v>
      </c>
      <c r="P277" s="4" t="s">
        <v>62</v>
      </c>
      <c r="Q277" s="4" t="s">
        <v>62</v>
      </c>
      <c r="R277" s="4" t="s">
        <v>62</v>
      </c>
      <c r="S277" s="4" t="s">
        <v>62</v>
      </c>
      <c r="T277" s="4" t="s">
        <v>62</v>
      </c>
      <c r="U277" s="4" t="s">
        <v>62</v>
      </c>
      <c r="V277" s="4" t="s">
        <v>62</v>
      </c>
      <c r="W277" s="4" t="s">
        <v>62</v>
      </c>
      <c r="X277" s="4" t="s">
        <v>62</v>
      </c>
      <c r="Y277" s="4" t="s">
        <v>62</v>
      </c>
      <c r="Z277" s="4" t="s">
        <v>62</v>
      </c>
      <c r="AA277" s="4" t="s">
        <v>62</v>
      </c>
      <c r="AB277" s="4" t="s">
        <v>62</v>
      </c>
      <c r="AC277" s="4" t="s">
        <v>62</v>
      </c>
      <c r="AD277" s="4" t="s">
        <v>62</v>
      </c>
      <c r="AE277" s="4" t="s">
        <v>62</v>
      </c>
      <c r="AF277" s="4" t="s">
        <v>62</v>
      </c>
      <c r="AG277" s="4" t="s">
        <v>62</v>
      </c>
      <c r="AH277" s="8"/>
    </row>
    <row r="278" spans="2:34">
      <c r="B278" s="85">
        <v>4</v>
      </c>
      <c r="C278" s="90" t="str">
        <f>LEFT(EmpGName04)&amp;" " &amp;EmpSName04</f>
        <v>L King</v>
      </c>
      <c r="D278" s="3" t="s">
        <v>62</v>
      </c>
      <c r="E278" s="3" t="s">
        <v>62</v>
      </c>
      <c r="F278" s="3" t="s">
        <v>62</v>
      </c>
      <c r="G278" s="3" t="s">
        <v>62</v>
      </c>
      <c r="H278" s="3" t="s">
        <v>62</v>
      </c>
      <c r="I278" s="3" t="s">
        <v>62</v>
      </c>
      <c r="J278" s="3" t="s">
        <v>62</v>
      </c>
      <c r="K278" s="3" t="s">
        <v>62</v>
      </c>
      <c r="L278" s="3" t="s">
        <v>62</v>
      </c>
      <c r="M278" s="3" t="s">
        <v>62</v>
      </c>
      <c r="N278" s="3" t="s">
        <v>62</v>
      </c>
      <c r="O278" s="3" t="s">
        <v>62</v>
      </c>
      <c r="P278" s="3" t="s">
        <v>62</v>
      </c>
      <c r="Q278" s="3" t="s">
        <v>62</v>
      </c>
      <c r="R278" s="3" t="s">
        <v>62</v>
      </c>
      <c r="S278" s="3" t="s">
        <v>62</v>
      </c>
      <c r="T278" s="3" t="s">
        <v>62</v>
      </c>
      <c r="U278" s="3" t="s">
        <v>62</v>
      </c>
      <c r="V278" s="3" t="s">
        <v>62</v>
      </c>
      <c r="W278" s="3" t="s">
        <v>62</v>
      </c>
      <c r="X278" s="3" t="s">
        <v>62</v>
      </c>
      <c r="Y278" s="3" t="s">
        <v>62</v>
      </c>
      <c r="Z278" s="3" t="s">
        <v>62</v>
      </c>
      <c r="AA278" s="3" t="s">
        <v>62</v>
      </c>
      <c r="AB278" s="3" t="s">
        <v>62</v>
      </c>
      <c r="AC278" s="3" t="s">
        <v>62</v>
      </c>
      <c r="AD278" s="3" t="s">
        <v>62</v>
      </c>
      <c r="AE278" s="3" t="s">
        <v>62</v>
      </c>
      <c r="AF278" s="3" t="s">
        <v>62</v>
      </c>
      <c r="AG278" s="3" t="s">
        <v>62</v>
      </c>
      <c r="AH278" s="8"/>
    </row>
    <row r="279" spans="2:34">
      <c r="B279" s="85">
        <v>5</v>
      </c>
      <c r="C279" s="89" t="str">
        <f>LEFT(EmpGName05)&amp;" " &amp;EmpSName05</f>
        <v>D Castle</v>
      </c>
      <c r="D279" s="4" t="s">
        <v>62</v>
      </c>
      <c r="E279" s="4" t="s">
        <v>62</v>
      </c>
      <c r="F279" s="4" t="s">
        <v>62</v>
      </c>
      <c r="G279" s="4" t="s">
        <v>62</v>
      </c>
      <c r="H279" s="4" t="s">
        <v>62</v>
      </c>
      <c r="I279" s="4" t="s">
        <v>62</v>
      </c>
      <c r="J279" s="4" t="s">
        <v>62</v>
      </c>
      <c r="K279" s="4" t="s">
        <v>62</v>
      </c>
      <c r="L279" s="4" t="s">
        <v>62</v>
      </c>
      <c r="M279" s="4" t="s">
        <v>62</v>
      </c>
      <c r="N279" s="4" t="s">
        <v>62</v>
      </c>
      <c r="O279" s="4" t="s">
        <v>62</v>
      </c>
      <c r="P279" s="4" t="s">
        <v>62</v>
      </c>
      <c r="Q279" s="4" t="s">
        <v>62</v>
      </c>
      <c r="R279" s="4" t="s">
        <v>62</v>
      </c>
      <c r="S279" s="4" t="s">
        <v>62</v>
      </c>
      <c r="T279" s="4" t="s">
        <v>62</v>
      </c>
      <c r="U279" s="4" t="s">
        <v>62</v>
      </c>
      <c r="V279" s="4" t="s">
        <v>62</v>
      </c>
      <c r="W279" s="4" t="s">
        <v>62</v>
      </c>
      <c r="X279" s="4" t="s">
        <v>62</v>
      </c>
      <c r="Y279" s="4" t="s">
        <v>62</v>
      </c>
      <c r="Z279" s="4" t="s">
        <v>62</v>
      </c>
      <c r="AA279" s="4" t="s">
        <v>62</v>
      </c>
      <c r="AB279" s="4" t="s">
        <v>62</v>
      </c>
      <c r="AC279" s="4" t="s">
        <v>62</v>
      </c>
      <c r="AD279" s="4" t="s">
        <v>62</v>
      </c>
      <c r="AE279" s="4" t="s">
        <v>62</v>
      </c>
      <c r="AF279" s="4" t="s">
        <v>62</v>
      </c>
      <c r="AG279" s="4" t="s">
        <v>62</v>
      </c>
      <c r="AH279" s="8"/>
    </row>
    <row r="280" spans="2:34">
      <c r="B280" s="85">
        <v>6</v>
      </c>
      <c r="C280" s="90" t="str">
        <f>LEFT(EmpGName06)&amp;" " &amp;EmpSName06</f>
        <v>R Fielding</v>
      </c>
      <c r="D280" s="3" t="s">
        <v>62</v>
      </c>
      <c r="E280" s="3" t="s">
        <v>62</v>
      </c>
      <c r="F280" s="3" t="s">
        <v>62</v>
      </c>
      <c r="G280" s="3" t="s">
        <v>62</v>
      </c>
      <c r="H280" s="3" t="s">
        <v>62</v>
      </c>
      <c r="I280" s="3" t="s">
        <v>62</v>
      </c>
      <c r="J280" s="3" t="s">
        <v>62</v>
      </c>
      <c r="K280" s="3" t="s">
        <v>62</v>
      </c>
      <c r="L280" s="3" t="s">
        <v>62</v>
      </c>
      <c r="M280" s="3" t="s">
        <v>62</v>
      </c>
      <c r="N280" s="3" t="s">
        <v>62</v>
      </c>
      <c r="O280" s="3" t="s">
        <v>62</v>
      </c>
      <c r="P280" s="3" t="s">
        <v>62</v>
      </c>
      <c r="Q280" s="3" t="s">
        <v>62</v>
      </c>
      <c r="R280" s="3" t="s">
        <v>62</v>
      </c>
      <c r="S280" s="3" t="s">
        <v>62</v>
      </c>
      <c r="T280" s="3" t="s">
        <v>62</v>
      </c>
      <c r="U280" s="3" t="s">
        <v>62</v>
      </c>
      <c r="V280" s="3" t="s">
        <v>62</v>
      </c>
      <c r="W280" s="3" t="s">
        <v>62</v>
      </c>
      <c r="X280" s="3" t="s">
        <v>62</v>
      </c>
      <c r="Y280" s="3" t="s">
        <v>62</v>
      </c>
      <c r="Z280" s="3" t="s">
        <v>62</v>
      </c>
      <c r="AA280" s="3" t="s">
        <v>62</v>
      </c>
      <c r="AB280" s="3" t="s">
        <v>62</v>
      </c>
      <c r="AC280" s="3" t="s">
        <v>62</v>
      </c>
      <c r="AD280" s="3" t="s">
        <v>62</v>
      </c>
      <c r="AE280" s="3" t="s">
        <v>62</v>
      </c>
      <c r="AF280" s="3" t="s">
        <v>62</v>
      </c>
      <c r="AG280" s="3" t="s">
        <v>62</v>
      </c>
      <c r="AH280" s="8"/>
    </row>
    <row r="281" spans="2:34">
      <c r="B281" s="85">
        <v>7</v>
      </c>
      <c r="C281" s="89" t="str">
        <f>LEFT(EmpGName07)&amp;" " &amp;EmpSName07</f>
        <v>T Sorensen</v>
      </c>
      <c r="D281" s="4" t="s">
        <v>62</v>
      </c>
      <c r="E281" s="4" t="s">
        <v>62</v>
      </c>
      <c r="F281" s="4" t="s">
        <v>62</v>
      </c>
      <c r="G281" s="4" t="s">
        <v>62</v>
      </c>
      <c r="H281" s="4" t="s">
        <v>62</v>
      </c>
      <c r="I281" s="4" t="s">
        <v>62</v>
      </c>
      <c r="J281" s="4" t="s">
        <v>62</v>
      </c>
      <c r="K281" s="4" t="s">
        <v>62</v>
      </c>
      <c r="L281" s="4" t="s">
        <v>62</v>
      </c>
      <c r="M281" s="4" t="s">
        <v>62</v>
      </c>
      <c r="N281" s="4" t="s">
        <v>62</v>
      </c>
      <c r="O281" s="4" t="s">
        <v>62</v>
      </c>
      <c r="P281" s="4" t="s">
        <v>62</v>
      </c>
      <c r="Q281" s="4" t="s">
        <v>62</v>
      </c>
      <c r="R281" s="4" t="s">
        <v>62</v>
      </c>
      <c r="S281" s="4" t="s">
        <v>62</v>
      </c>
      <c r="T281" s="4" t="s">
        <v>62</v>
      </c>
      <c r="U281" s="4" t="s">
        <v>62</v>
      </c>
      <c r="V281" s="4" t="s">
        <v>62</v>
      </c>
      <c r="W281" s="4" t="s">
        <v>62</v>
      </c>
      <c r="X281" s="4" t="s">
        <v>62</v>
      </c>
      <c r="Y281" s="4" t="s">
        <v>62</v>
      </c>
      <c r="Z281" s="4" t="s">
        <v>62</v>
      </c>
      <c r="AA281" s="4" t="s">
        <v>62</v>
      </c>
      <c r="AB281" s="4" t="s">
        <v>62</v>
      </c>
      <c r="AC281" s="4" t="s">
        <v>62</v>
      </c>
      <c r="AD281" s="4" t="s">
        <v>62</v>
      </c>
      <c r="AE281" s="4" t="s">
        <v>62</v>
      </c>
      <c r="AF281" s="4" t="s">
        <v>62</v>
      </c>
      <c r="AG281" s="4" t="s">
        <v>62</v>
      </c>
      <c r="AH281" s="8"/>
    </row>
    <row r="282" spans="2:34">
      <c r="B282" s="85">
        <v>8</v>
      </c>
      <c r="C282" s="90" t="str">
        <f>LEFT(EmpGName08)&amp;" " &amp;EmpSName08</f>
        <v xml:space="preserve">B Odd </v>
      </c>
      <c r="D282" s="3" t="s">
        <v>62</v>
      </c>
      <c r="E282" s="3" t="s">
        <v>62</v>
      </c>
      <c r="F282" s="3" t="s">
        <v>62</v>
      </c>
      <c r="G282" s="3" t="s">
        <v>62</v>
      </c>
      <c r="H282" s="3" t="s">
        <v>62</v>
      </c>
      <c r="I282" s="3" t="s">
        <v>62</v>
      </c>
      <c r="J282" s="3" t="s">
        <v>62</v>
      </c>
      <c r="K282" s="3" t="s">
        <v>62</v>
      </c>
      <c r="L282" s="3" t="s">
        <v>62</v>
      </c>
      <c r="M282" s="3" t="s">
        <v>62</v>
      </c>
      <c r="N282" s="3" t="s">
        <v>62</v>
      </c>
      <c r="O282" s="3" t="s">
        <v>62</v>
      </c>
      <c r="P282" s="3" t="s">
        <v>62</v>
      </c>
      <c r="Q282" s="3" t="s">
        <v>62</v>
      </c>
      <c r="R282" s="3" t="s">
        <v>62</v>
      </c>
      <c r="S282" s="3" t="s">
        <v>62</v>
      </c>
      <c r="T282" s="3" t="s">
        <v>62</v>
      </c>
      <c r="U282" s="3" t="s">
        <v>62</v>
      </c>
      <c r="V282" s="3" t="s">
        <v>62</v>
      </c>
      <c r="W282" s="3" t="s">
        <v>62</v>
      </c>
      <c r="X282" s="3" t="s">
        <v>62</v>
      </c>
      <c r="Y282" s="3" t="s">
        <v>62</v>
      </c>
      <c r="Z282" s="3" t="s">
        <v>62</v>
      </c>
      <c r="AA282" s="3" t="s">
        <v>62</v>
      </c>
      <c r="AB282" s="3" t="s">
        <v>62</v>
      </c>
      <c r="AC282" s="3" t="s">
        <v>62</v>
      </c>
      <c r="AD282" s="3" t="s">
        <v>62</v>
      </c>
      <c r="AE282" s="3" t="s">
        <v>62</v>
      </c>
      <c r="AF282" s="3" t="s">
        <v>62</v>
      </c>
      <c r="AG282" s="3" t="s">
        <v>62</v>
      </c>
      <c r="AH282" s="8"/>
    </row>
    <row r="283" spans="2:34">
      <c r="B283" s="85">
        <v>9</v>
      </c>
      <c r="C283" s="89" t="str">
        <f>LEFT(EmpGName09)&amp;" " &amp;EmpSName09</f>
        <v>1 Odd1</v>
      </c>
      <c r="D283" s="4" t="s">
        <v>62</v>
      </c>
      <c r="E283" s="4" t="s">
        <v>62</v>
      </c>
      <c r="F283" s="4" t="s">
        <v>62</v>
      </c>
      <c r="G283" s="4" t="s">
        <v>62</v>
      </c>
      <c r="H283" s="4" t="s">
        <v>62</v>
      </c>
      <c r="I283" s="4" t="s">
        <v>62</v>
      </c>
      <c r="J283" s="4" t="s">
        <v>62</v>
      </c>
      <c r="K283" s="4" t="s">
        <v>62</v>
      </c>
      <c r="L283" s="4" t="s">
        <v>62</v>
      </c>
      <c r="M283" s="4" t="s">
        <v>62</v>
      </c>
      <c r="N283" s="4" t="s">
        <v>62</v>
      </c>
      <c r="O283" s="4" t="s">
        <v>62</v>
      </c>
      <c r="P283" s="4" t="s">
        <v>62</v>
      </c>
      <c r="Q283" s="4" t="s">
        <v>62</v>
      </c>
      <c r="R283" s="4" t="s">
        <v>62</v>
      </c>
      <c r="S283" s="4" t="s">
        <v>62</v>
      </c>
      <c r="T283" s="4" t="s">
        <v>62</v>
      </c>
      <c r="U283" s="4" t="s">
        <v>62</v>
      </c>
      <c r="V283" s="4" t="s">
        <v>62</v>
      </c>
      <c r="W283" s="4" t="s">
        <v>62</v>
      </c>
      <c r="X283" s="4" t="s">
        <v>62</v>
      </c>
      <c r="Y283" s="4" t="s">
        <v>62</v>
      </c>
      <c r="Z283" s="4" t="s">
        <v>62</v>
      </c>
      <c r="AA283" s="4" t="s">
        <v>62</v>
      </c>
      <c r="AB283" s="4" t="s">
        <v>62</v>
      </c>
      <c r="AC283" s="4" t="s">
        <v>62</v>
      </c>
      <c r="AD283" s="4" t="s">
        <v>62</v>
      </c>
      <c r="AE283" s="4" t="s">
        <v>62</v>
      </c>
      <c r="AF283" s="4" t="s">
        <v>62</v>
      </c>
      <c r="AG283" s="4" t="s">
        <v>62</v>
      </c>
      <c r="AH283" s="8"/>
    </row>
    <row r="284" spans="2:34">
      <c r="B284" s="148">
        <v>10</v>
      </c>
      <c r="C284" s="90" t="str">
        <f>LEFT(EmpGName10)&amp;" " &amp;EmpSName10</f>
        <v>2 Odd2</v>
      </c>
      <c r="D284" s="3" t="s">
        <v>62</v>
      </c>
      <c r="E284" s="3" t="s">
        <v>62</v>
      </c>
      <c r="F284" s="3" t="s">
        <v>62</v>
      </c>
      <c r="G284" s="3" t="s">
        <v>62</v>
      </c>
      <c r="H284" s="3" t="s">
        <v>62</v>
      </c>
      <c r="I284" s="3" t="s">
        <v>62</v>
      </c>
      <c r="J284" s="3" t="s">
        <v>62</v>
      </c>
      <c r="K284" s="3" t="s">
        <v>62</v>
      </c>
      <c r="L284" s="3" t="s">
        <v>62</v>
      </c>
      <c r="M284" s="3" t="s">
        <v>62</v>
      </c>
      <c r="N284" s="3" t="s">
        <v>62</v>
      </c>
      <c r="O284" s="3" t="s">
        <v>62</v>
      </c>
      <c r="P284" s="3" t="s">
        <v>62</v>
      </c>
      <c r="Q284" s="3" t="s">
        <v>62</v>
      </c>
      <c r="R284" s="3" t="s">
        <v>62</v>
      </c>
      <c r="S284" s="3" t="s">
        <v>62</v>
      </c>
      <c r="T284" s="3" t="s">
        <v>62</v>
      </c>
      <c r="U284" s="3" t="s">
        <v>62</v>
      </c>
      <c r="V284" s="3" t="s">
        <v>62</v>
      </c>
      <c r="W284" s="3" t="s">
        <v>62</v>
      </c>
      <c r="X284" s="3" t="s">
        <v>62</v>
      </c>
      <c r="Y284" s="3" t="s">
        <v>62</v>
      </c>
      <c r="Z284" s="3" t="s">
        <v>62</v>
      </c>
      <c r="AA284" s="3" t="s">
        <v>62</v>
      </c>
      <c r="AB284" s="3" t="s">
        <v>62</v>
      </c>
      <c r="AC284" s="3" t="s">
        <v>62</v>
      </c>
      <c r="AD284" s="3" t="s">
        <v>62</v>
      </c>
      <c r="AE284" s="3" t="s">
        <v>62</v>
      </c>
      <c r="AF284" s="3" t="s">
        <v>62</v>
      </c>
      <c r="AG284" s="3" t="s">
        <v>62</v>
      </c>
      <c r="AH284" s="74"/>
    </row>
    <row r="285" spans="2:34">
      <c r="B285" s="148">
        <v>11</v>
      </c>
      <c r="C285" s="89" t="str">
        <f>LEFT(EmpGName11)&amp;" " &amp;EmpSName11</f>
        <v>2 Odd3</v>
      </c>
      <c r="D285" s="4" t="s">
        <v>62</v>
      </c>
      <c r="E285" s="4" t="s">
        <v>62</v>
      </c>
      <c r="F285" s="4" t="s">
        <v>62</v>
      </c>
      <c r="G285" s="4" t="s">
        <v>62</v>
      </c>
      <c r="H285" s="4" t="s">
        <v>62</v>
      </c>
      <c r="I285" s="4" t="s">
        <v>62</v>
      </c>
      <c r="J285" s="4" t="s">
        <v>62</v>
      </c>
      <c r="K285" s="4" t="s">
        <v>62</v>
      </c>
      <c r="L285" s="4" t="s">
        <v>62</v>
      </c>
      <c r="M285" s="4" t="s">
        <v>62</v>
      </c>
      <c r="N285" s="4" t="s">
        <v>62</v>
      </c>
      <c r="O285" s="4" t="s">
        <v>62</v>
      </c>
      <c r="P285" s="4" t="s">
        <v>62</v>
      </c>
      <c r="Q285" s="4" t="s">
        <v>62</v>
      </c>
      <c r="R285" s="4" t="s">
        <v>62</v>
      </c>
      <c r="S285" s="4" t="s">
        <v>62</v>
      </c>
      <c r="T285" s="4" t="s">
        <v>62</v>
      </c>
      <c r="U285" s="4" t="s">
        <v>62</v>
      </c>
      <c r="V285" s="4" t="s">
        <v>62</v>
      </c>
      <c r="W285" s="4" t="s">
        <v>62</v>
      </c>
      <c r="X285" s="4" t="s">
        <v>62</v>
      </c>
      <c r="Y285" s="4" t="s">
        <v>62</v>
      </c>
      <c r="Z285" s="4" t="s">
        <v>62</v>
      </c>
      <c r="AA285" s="4" t="s">
        <v>62</v>
      </c>
      <c r="AB285" s="4" t="s">
        <v>62</v>
      </c>
      <c r="AC285" s="4" t="s">
        <v>62</v>
      </c>
      <c r="AD285" s="4" t="s">
        <v>62</v>
      </c>
      <c r="AE285" s="4" t="s">
        <v>62</v>
      </c>
      <c r="AF285" s="4" t="s">
        <v>62</v>
      </c>
      <c r="AG285" s="4" t="s">
        <v>62</v>
      </c>
      <c r="AH285" s="74"/>
    </row>
    <row r="286" spans="2:34">
      <c r="B286" s="148">
        <v>12</v>
      </c>
      <c r="C286" s="90" t="str">
        <f>LEFT(EmpGName12)&amp;" " &amp;EmpSName12</f>
        <v>4 Odd4</v>
      </c>
      <c r="D286" s="3" t="s">
        <v>62</v>
      </c>
      <c r="E286" s="3" t="s">
        <v>62</v>
      </c>
      <c r="F286" s="3" t="s">
        <v>62</v>
      </c>
      <c r="G286" s="3" t="s">
        <v>62</v>
      </c>
      <c r="H286" s="3" t="s">
        <v>62</v>
      </c>
      <c r="I286" s="3" t="s">
        <v>62</v>
      </c>
      <c r="J286" s="3" t="s">
        <v>62</v>
      </c>
      <c r="K286" s="3" t="s">
        <v>62</v>
      </c>
      <c r="L286" s="3" t="s">
        <v>62</v>
      </c>
      <c r="M286" s="3" t="s">
        <v>62</v>
      </c>
      <c r="N286" s="3" t="s">
        <v>62</v>
      </c>
      <c r="O286" s="3" t="s">
        <v>62</v>
      </c>
      <c r="P286" s="3" t="s">
        <v>62</v>
      </c>
      <c r="Q286" s="3" t="s">
        <v>62</v>
      </c>
      <c r="R286" s="3" t="s">
        <v>62</v>
      </c>
      <c r="S286" s="3" t="s">
        <v>62</v>
      </c>
      <c r="T286" s="3" t="s">
        <v>62</v>
      </c>
      <c r="U286" s="3" t="s">
        <v>62</v>
      </c>
      <c r="V286" s="3" t="s">
        <v>62</v>
      </c>
      <c r="W286" s="3" t="s">
        <v>62</v>
      </c>
      <c r="X286" s="3" t="s">
        <v>62</v>
      </c>
      <c r="Y286" s="3" t="s">
        <v>62</v>
      </c>
      <c r="Z286" s="3" t="s">
        <v>62</v>
      </c>
      <c r="AA286" s="3" t="s">
        <v>62</v>
      </c>
      <c r="AB286" s="3" t="s">
        <v>62</v>
      </c>
      <c r="AC286" s="3" t="s">
        <v>62</v>
      </c>
      <c r="AD286" s="3" t="s">
        <v>62</v>
      </c>
      <c r="AE286" s="3" t="s">
        <v>62</v>
      </c>
      <c r="AF286" s="3" t="s">
        <v>62</v>
      </c>
      <c r="AG286" s="3" t="s">
        <v>62</v>
      </c>
      <c r="AH286" s="74"/>
    </row>
  </sheetData>
  <sheetProtection selectLockedCells="1"/>
  <customSheetViews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</customSheetViews>
  <mergeCells count="3">
    <mergeCell ref="C4:D4"/>
    <mergeCell ref="J3:AD3"/>
    <mergeCell ref="J1:AD2"/>
  </mergeCells>
  <phoneticPr fontId="0" type="noConversion"/>
  <conditionalFormatting sqref="D14:AH25 D76:AG87 D138:AG149 D200:AH211 D215:AF226 D230:AH241 D245:AG256 D260:AH271 D275:AG286 D45:AH56 D107:AH118 D169:AH180">
    <cfRule type="cellIs" dxfId="791" priority="683" operator="equal">
      <formula>"AL"</formula>
    </cfRule>
    <cfRule type="cellIs" dxfId="790" priority="684" operator="equal">
      <formula>"NA"</formula>
    </cfRule>
    <cfRule type="cellIs" dxfId="789" priority="685" operator="equal">
      <formula>"SL"</formula>
    </cfRule>
    <cfRule type="cellIs" dxfId="788" priority="687" stopIfTrue="1" operator="equal">
      <formula>"X"</formula>
    </cfRule>
    <cfRule type="cellIs" dxfId="787" priority="688" operator="equal">
      <formula>"H"</formula>
    </cfRule>
  </conditionalFormatting>
  <conditionalFormatting sqref="D12:AH12 D43:AH43 D74:AG74 D105:AH105 D136:AG136 D167:AH167 D198:AH198 D213:AF213 D228:AH228 D243:AG243 D258:AH258 D273:AG273">
    <cfRule type="cellIs" dxfId="786" priority="682" stopIfTrue="1" operator="equal">
      <formula>"Tu"</formula>
    </cfRule>
  </conditionalFormatting>
  <conditionalFormatting sqref="D200:AH211 D215:AF226 D230:AH241 D245:AG256 D260:AH271 D275:AG286 D14:AH25 D76:AG87 D138:AG149 D45:AH56 D107:AH118 D169:AH180">
    <cfRule type="cellIs" dxfId="785" priority="680" operator="equal">
      <formula>"SP"</formula>
    </cfRule>
    <cfRule type="cellIs" dxfId="784" priority="681" operator="equal">
      <formula>"."</formula>
    </cfRule>
  </conditionalFormatting>
  <conditionalFormatting sqref="D26:AH26">
    <cfRule type="cellIs" dxfId="783" priority="675" operator="equal">
      <formula>"AL"</formula>
    </cfRule>
    <cfRule type="cellIs" dxfId="782" priority="676" operator="equal">
      <formula>"NA"</formula>
    </cfRule>
    <cfRule type="cellIs" dxfId="781" priority="677" operator="equal">
      <formula>"SL"</formula>
    </cfRule>
    <cfRule type="cellIs" dxfId="780" priority="678" stopIfTrue="1" operator="equal">
      <formula>"X"</formula>
    </cfRule>
    <cfRule type="cellIs" dxfId="779" priority="679" operator="equal">
      <formula>"H"</formula>
    </cfRule>
  </conditionalFormatting>
  <conditionalFormatting sqref="D26:AH26">
    <cfRule type="cellIs" dxfId="778" priority="673" operator="equal">
      <formula>"SP"</formula>
    </cfRule>
    <cfRule type="cellIs" dxfId="777" priority="674" operator="equal">
      <formula>"."</formula>
    </cfRule>
  </conditionalFormatting>
  <conditionalFormatting sqref="D28:AH28">
    <cfRule type="cellIs" dxfId="776" priority="668" operator="equal">
      <formula>"AL"</formula>
    </cfRule>
    <cfRule type="cellIs" dxfId="775" priority="669" operator="equal">
      <formula>"NA"</formula>
    </cfRule>
    <cfRule type="cellIs" dxfId="774" priority="670" operator="equal">
      <formula>"SL"</formula>
    </cfRule>
    <cfRule type="cellIs" dxfId="773" priority="671" stopIfTrue="1" operator="equal">
      <formula>"X"</formula>
    </cfRule>
    <cfRule type="cellIs" dxfId="772" priority="672" operator="equal">
      <formula>"H"</formula>
    </cfRule>
  </conditionalFormatting>
  <conditionalFormatting sqref="D28:AH28">
    <cfRule type="cellIs" dxfId="771" priority="666" operator="equal">
      <formula>"SP"</formula>
    </cfRule>
    <cfRule type="cellIs" dxfId="770" priority="667" operator="equal">
      <formula>"."</formula>
    </cfRule>
  </conditionalFormatting>
  <conditionalFormatting sqref="D30:AH30">
    <cfRule type="cellIs" dxfId="769" priority="661" operator="equal">
      <formula>"AL"</formula>
    </cfRule>
    <cfRule type="cellIs" dxfId="768" priority="662" operator="equal">
      <formula>"NA"</formula>
    </cfRule>
    <cfRule type="cellIs" dxfId="767" priority="663" operator="equal">
      <formula>"SL"</formula>
    </cfRule>
    <cfRule type="cellIs" dxfId="766" priority="664" stopIfTrue="1" operator="equal">
      <formula>"X"</formula>
    </cfRule>
    <cfRule type="cellIs" dxfId="765" priority="665" operator="equal">
      <formula>"H"</formula>
    </cfRule>
  </conditionalFormatting>
  <conditionalFormatting sqref="D30:AH30">
    <cfRule type="cellIs" dxfId="764" priority="659" operator="equal">
      <formula>"SP"</formula>
    </cfRule>
    <cfRule type="cellIs" dxfId="763" priority="660" operator="equal">
      <formula>"."</formula>
    </cfRule>
  </conditionalFormatting>
  <conditionalFormatting sqref="D32:AH32">
    <cfRule type="cellIs" dxfId="762" priority="654" operator="equal">
      <formula>"AL"</formula>
    </cfRule>
    <cfRule type="cellIs" dxfId="761" priority="655" operator="equal">
      <formula>"NA"</formula>
    </cfRule>
    <cfRule type="cellIs" dxfId="760" priority="656" operator="equal">
      <formula>"SL"</formula>
    </cfRule>
    <cfRule type="cellIs" dxfId="759" priority="657" stopIfTrue="1" operator="equal">
      <formula>"X"</formula>
    </cfRule>
    <cfRule type="cellIs" dxfId="758" priority="658" operator="equal">
      <formula>"H"</formula>
    </cfRule>
  </conditionalFormatting>
  <conditionalFormatting sqref="D32:AH32">
    <cfRule type="cellIs" dxfId="757" priority="652" operator="equal">
      <formula>"SP"</formula>
    </cfRule>
    <cfRule type="cellIs" dxfId="756" priority="653" operator="equal">
      <formula>"."</formula>
    </cfRule>
  </conditionalFormatting>
  <conditionalFormatting sqref="D34:AH34">
    <cfRule type="cellIs" dxfId="755" priority="647" operator="equal">
      <formula>"AL"</formula>
    </cfRule>
    <cfRule type="cellIs" dxfId="754" priority="648" operator="equal">
      <formula>"NA"</formula>
    </cfRule>
    <cfRule type="cellIs" dxfId="753" priority="649" operator="equal">
      <formula>"SL"</formula>
    </cfRule>
    <cfRule type="cellIs" dxfId="752" priority="650" stopIfTrue="1" operator="equal">
      <formula>"X"</formula>
    </cfRule>
    <cfRule type="cellIs" dxfId="751" priority="651" operator="equal">
      <formula>"H"</formula>
    </cfRule>
  </conditionalFormatting>
  <conditionalFormatting sqref="D34:AH34">
    <cfRule type="cellIs" dxfId="750" priority="645" operator="equal">
      <formula>"SP"</formula>
    </cfRule>
    <cfRule type="cellIs" dxfId="749" priority="646" operator="equal">
      <formula>"."</formula>
    </cfRule>
  </conditionalFormatting>
  <conditionalFormatting sqref="D36:AH36">
    <cfRule type="cellIs" dxfId="748" priority="640" operator="equal">
      <formula>"AL"</formula>
    </cfRule>
    <cfRule type="cellIs" dxfId="747" priority="641" operator="equal">
      <formula>"NA"</formula>
    </cfRule>
    <cfRule type="cellIs" dxfId="746" priority="642" operator="equal">
      <formula>"SL"</formula>
    </cfRule>
    <cfRule type="cellIs" dxfId="745" priority="643" stopIfTrue="1" operator="equal">
      <formula>"X"</formula>
    </cfRule>
    <cfRule type="cellIs" dxfId="744" priority="644" operator="equal">
      <formula>"H"</formula>
    </cfRule>
  </conditionalFormatting>
  <conditionalFormatting sqref="D36:AH36">
    <cfRule type="cellIs" dxfId="743" priority="638" operator="equal">
      <formula>"SP"</formula>
    </cfRule>
    <cfRule type="cellIs" dxfId="742" priority="639" operator="equal">
      <formula>"."</formula>
    </cfRule>
  </conditionalFormatting>
  <conditionalFormatting sqref="D38:AH38">
    <cfRule type="cellIs" dxfId="741" priority="633" operator="equal">
      <formula>"AL"</formula>
    </cfRule>
    <cfRule type="cellIs" dxfId="740" priority="634" operator="equal">
      <formula>"NA"</formula>
    </cfRule>
    <cfRule type="cellIs" dxfId="739" priority="635" operator="equal">
      <formula>"SL"</formula>
    </cfRule>
    <cfRule type="cellIs" dxfId="738" priority="636" stopIfTrue="1" operator="equal">
      <formula>"X"</formula>
    </cfRule>
    <cfRule type="cellIs" dxfId="737" priority="637" operator="equal">
      <formula>"H"</formula>
    </cfRule>
  </conditionalFormatting>
  <conditionalFormatting sqref="D38:AH38">
    <cfRule type="cellIs" dxfId="736" priority="631" operator="equal">
      <formula>"SP"</formula>
    </cfRule>
    <cfRule type="cellIs" dxfId="735" priority="632" operator="equal">
      <formula>"."</formula>
    </cfRule>
  </conditionalFormatting>
  <conditionalFormatting sqref="D40:AH40">
    <cfRule type="cellIs" dxfId="734" priority="626" operator="equal">
      <formula>"AL"</formula>
    </cfRule>
    <cfRule type="cellIs" dxfId="733" priority="627" operator="equal">
      <formula>"NA"</formula>
    </cfRule>
    <cfRule type="cellIs" dxfId="732" priority="628" operator="equal">
      <formula>"SL"</formula>
    </cfRule>
    <cfRule type="cellIs" dxfId="731" priority="629" stopIfTrue="1" operator="equal">
      <formula>"X"</formula>
    </cfRule>
    <cfRule type="cellIs" dxfId="730" priority="630" operator="equal">
      <formula>"H"</formula>
    </cfRule>
  </conditionalFormatting>
  <conditionalFormatting sqref="D40:AH40">
    <cfRule type="cellIs" dxfId="729" priority="624" operator="equal">
      <formula>"SP"</formula>
    </cfRule>
    <cfRule type="cellIs" dxfId="728" priority="625" operator="equal">
      <formula>"."</formula>
    </cfRule>
  </conditionalFormatting>
  <conditionalFormatting sqref="D27:AH27">
    <cfRule type="cellIs" dxfId="727" priority="612" operator="equal">
      <formula>"AL"</formula>
    </cfRule>
    <cfRule type="cellIs" dxfId="726" priority="613" operator="equal">
      <formula>"NA"</formula>
    </cfRule>
    <cfRule type="cellIs" dxfId="725" priority="614" operator="equal">
      <formula>"SL"</formula>
    </cfRule>
    <cfRule type="cellIs" dxfId="724" priority="615" stopIfTrue="1" operator="equal">
      <formula>"X"</formula>
    </cfRule>
    <cfRule type="cellIs" dxfId="723" priority="616" operator="equal">
      <formula>"H"</formula>
    </cfRule>
  </conditionalFormatting>
  <conditionalFormatting sqref="D27:AH27">
    <cfRule type="cellIs" dxfId="722" priority="610" operator="equal">
      <formula>"SP"</formula>
    </cfRule>
    <cfRule type="cellIs" dxfId="721" priority="611" operator="equal">
      <formula>"."</formula>
    </cfRule>
  </conditionalFormatting>
  <conditionalFormatting sqref="D29:AH29">
    <cfRule type="cellIs" dxfId="720" priority="605" operator="equal">
      <formula>"AL"</formula>
    </cfRule>
    <cfRule type="cellIs" dxfId="719" priority="606" operator="equal">
      <formula>"NA"</formula>
    </cfRule>
    <cfRule type="cellIs" dxfId="718" priority="607" operator="equal">
      <formula>"SL"</formula>
    </cfRule>
    <cfRule type="cellIs" dxfId="717" priority="608" stopIfTrue="1" operator="equal">
      <formula>"X"</formula>
    </cfRule>
    <cfRule type="cellIs" dxfId="716" priority="609" operator="equal">
      <formula>"H"</formula>
    </cfRule>
  </conditionalFormatting>
  <conditionalFormatting sqref="D29:AH29">
    <cfRule type="cellIs" dxfId="715" priority="603" operator="equal">
      <formula>"SP"</formula>
    </cfRule>
    <cfRule type="cellIs" dxfId="714" priority="604" operator="equal">
      <formula>"."</formula>
    </cfRule>
  </conditionalFormatting>
  <conditionalFormatting sqref="D31:AH31">
    <cfRule type="cellIs" dxfId="713" priority="598" operator="equal">
      <formula>"AL"</formula>
    </cfRule>
    <cfRule type="cellIs" dxfId="712" priority="599" operator="equal">
      <formula>"NA"</formula>
    </cfRule>
    <cfRule type="cellIs" dxfId="711" priority="600" operator="equal">
      <formula>"SL"</formula>
    </cfRule>
    <cfRule type="cellIs" dxfId="710" priority="601" stopIfTrue="1" operator="equal">
      <formula>"X"</formula>
    </cfRule>
    <cfRule type="cellIs" dxfId="709" priority="602" operator="equal">
      <formula>"H"</formula>
    </cfRule>
  </conditionalFormatting>
  <conditionalFormatting sqref="D31:AH31">
    <cfRule type="cellIs" dxfId="708" priority="596" operator="equal">
      <formula>"SP"</formula>
    </cfRule>
    <cfRule type="cellIs" dxfId="707" priority="597" operator="equal">
      <formula>"."</formula>
    </cfRule>
  </conditionalFormatting>
  <conditionalFormatting sqref="D33:AH33">
    <cfRule type="cellIs" dxfId="706" priority="591" operator="equal">
      <formula>"AL"</formula>
    </cfRule>
    <cfRule type="cellIs" dxfId="705" priority="592" operator="equal">
      <formula>"NA"</formula>
    </cfRule>
    <cfRule type="cellIs" dxfId="704" priority="593" operator="equal">
      <formula>"SL"</formula>
    </cfRule>
    <cfRule type="cellIs" dxfId="703" priority="594" stopIfTrue="1" operator="equal">
      <formula>"X"</formula>
    </cfRule>
    <cfRule type="cellIs" dxfId="702" priority="595" operator="equal">
      <formula>"H"</formula>
    </cfRule>
  </conditionalFormatting>
  <conditionalFormatting sqref="D33:AH33">
    <cfRule type="cellIs" dxfId="701" priority="589" operator="equal">
      <formula>"SP"</formula>
    </cfRule>
    <cfRule type="cellIs" dxfId="700" priority="590" operator="equal">
      <formula>"."</formula>
    </cfRule>
  </conditionalFormatting>
  <conditionalFormatting sqref="D35:AH35">
    <cfRule type="cellIs" dxfId="699" priority="584" operator="equal">
      <formula>"AL"</formula>
    </cfRule>
    <cfRule type="cellIs" dxfId="698" priority="585" operator="equal">
      <formula>"NA"</formula>
    </cfRule>
    <cfRule type="cellIs" dxfId="697" priority="586" operator="equal">
      <formula>"SL"</formula>
    </cfRule>
    <cfRule type="cellIs" dxfId="696" priority="587" stopIfTrue="1" operator="equal">
      <formula>"X"</formula>
    </cfRule>
    <cfRule type="cellIs" dxfId="695" priority="588" operator="equal">
      <formula>"H"</formula>
    </cfRule>
  </conditionalFormatting>
  <conditionalFormatting sqref="D35:AH35">
    <cfRule type="cellIs" dxfId="694" priority="582" operator="equal">
      <formula>"SP"</formula>
    </cfRule>
    <cfRule type="cellIs" dxfId="693" priority="583" operator="equal">
      <formula>"."</formula>
    </cfRule>
  </conditionalFormatting>
  <conditionalFormatting sqref="D37:AH37">
    <cfRule type="cellIs" dxfId="692" priority="577" operator="equal">
      <formula>"AL"</formula>
    </cfRule>
    <cfRule type="cellIs" dxfId="691" priority="578" operator="equal">
      <formula>"NA"</formula>
    </cfRule>
    <cfRule type="cellIs" dxfId="690" priority="579" operator="equal">
      <formula>"SL"</formula>
    </cfRule>
    <cfRule type="cellIs" dxfId="689" priority="580" stopIfTrue="1" operator="equal">
      <formula>"X"</formula>
    </cfRule>
    <cfRule type="cellIs" dxfId="688" priority="581" operator="equal">
      <formula>"H"</formula>
    </cfRule>
  </conditionalFormatting>
  <conditionalFormatting sqref="D37:AH37">
    <cfRule type="cellIs" dxfId="687" priority="575" operator="equal">
      <formula>"SP"</formula>
    </cfRule>
    <cfRule type="cellIs" dxfId="686" priority="576" operator="equal">
      <formula>"."</formula>
    </cfRule>
  </conditionalFormatting>
  <conditionalFormatting sqref="D39:AH39">
    <cfRule type="cellIs" dxfId="685" priority="570" operator="equal">
      <formula>"AL"</formula>
    </cfRule>
    <cfRule type="cellIs" dxfId="684" priority="571" operator="equal">
      <formula>"NA"</formula>
    </cfRule>
    <cfRule type="cellIs" dxfId="683" priority="572" operator="equal">
      <formula>"SL"</formula>
    </cfRule>
    <cfRule type="cellIs" dxfId="682" priority="573" stopIfTrue="1" operator="equal">
      <formula>"X"</formula>
    </cfRule>
    <cfRule type="cellIs" dxfId="681" priority="574" operator="equal">
      <formula>"H"</formula>
    </cfRule>
  </conditionalFormatting>
  <conditionalFormatting sqref="D39:AH39">
    <cfRule type="cellIs" dxfId="680" priority="568" operator="equal">
      <formula>"SP"</formula>
    </cfRule>
    <cfRule type="cellIs" dxfId="679" priority="569" operator="equal">
      <formula>"."</formula>
    </cfRule>
  </conditionalFormatting>
  <conditionalFormatting sqref="D41:AH41">
    <cfRule type="cellIs" dxfId="678" priority="563" operator="equal">
      <formula>"AL"</formula>
    </cfRule>
    <cfRule type="cellIs" dxfId="677" priority="564" operator="equal">
      <formula>"NA"</formula>
    </cfRule>
    <cfRule type="cellIs" dxfId="676" priority="565" operator="equal">
      <formula>"SL"</formula>
    </cfRule>
    <cfRule type="cellIs" dxfId="675" priority="566" stopIfTrue="1" operator="equal">
      <formula>"X"</formula>
    </cfRule>
    <cfRule type="cellIs" dxfId="674" priority="567" operator="equal">
      <formula>"H"</formula>
    </cfRule>
  </conditionalFormatting>
  <conditionalFormatting sqref="D41:AH41">
    <cfRule type="cellIs" dxfId="673" priority="561" operator="equal">
      <formula>"SP"</formula>
    </cfRule>
    <cfRule type="cellIs" dxfId="672" priority="562" operator="equal">
      <formula>"."</formula>
    </cfRule>
  </conditionalFormatting>
  <conditionalFormatting sqref="D57:AH57">
    <cfRule type="cellIs" dxfId="671" priority="556" operator="equal">
      <formula>"AL"</formula>
    </cfRule>
    <cfRule type="cellIs" dxfId="670" priority="557" operator="equal">
      <formula>"NA"</formula>
    </cfRule>
    <cfRule type="cellIs" dxfId="669" priority="558" operator="equal">
      <formula>"SL"</formula>
    </cfRule>
    <cfRule type="cellIs" dxfId="668" priority="559" stopIfTrue="1" operator="equal">
      <formula>"X"</formula>
    </cfRule>
    <cfRule type="cellIs" dxfId="667" priority="560" operator="equal">
      <formula>"H"</formula>
    </cfRule>
  </conditionalFormatting>
  <conditionalFormatting sqref="D57:AH57">
    <cfRule type="cellIs" dxfId="666" priority="554" operator="equal">
      <formula>"SP"</formula>
    </cfRule>
    <cfRule type="cellIs" dxfId="665" priority="555" operator="equal">
      <formula>"."</formula>
    </cfRule>
  </conditionalFormatting>
  <conditionalFormatting sqref="D59:AH59">
    <cfRule type="cellIs" dxfId="664" priority="549" operator="equal">
      <formula>"AL"</formula>
    </cfRule>
    <cfRule type="cellIs" dxfId="663" priority="550" operator="equal">
      <formula>"NA"</formula>
    </cfRule>
    <cfRule type="cellIs" dxfId="662" priority="551" operator="equal">
      <formula>"SL"</formula>
    </cfRule>
    <cfRule type="cellIs" dxfId="661" priority="552" stopIfTrue="1" operator="equal">
      <formula>"X"</formula>
    </cfRule>
    <cfRule type="cellIs" dxfId="660" priority="553" operator="equal">
      <formula>"H"</formula>
    </cfRule>
  </conditionalFormatting>
  <conditionalFormatting sqref="D59:AH59">
    <cfRule type="cellIs" dxfId="659" priority="547" operator="equal">
      <formula>"SP"</formula>
    </cfRule>
    <cfRule type="cellIs" dxfId="658" priority="548" operator="equal">
      <formula>"."</formula>
    </cfRule>
  </conditionalFormatting>
  <conditionalFormatting sqref="D61:AH61">
    <cfRule type="cellIs" dxfId="657" priority="542" operator="equal">
      <formula>"AL"</formula>
    </cfRule>
    <cfRule type="cellIs" dxfId="656" priority="543" operator="equal">
      <formula>"NA"</formula>
    </cfRule>
    <cfRule type="cellIs" dxfId="655" priority="544" operator="equal">
      <formula>"SL"</formula>
    </cfRule>
    <cfRule type="cellIs" dxfId="654" priority="545" stopIfTrue="1" operator="equal">
      <formula>"X"</formula>
    </cfRule>
    <cfRule type="cellIs" dxfId="653" priority="546" operator="equal">
      <formula>"H"</formula>
    </cfRule>
  </conditionalFormatting>
  <conditionalFormatting sqref="D61:AH61">
    <cfRule type="cellIs" dxfId="652" priority="540" operator="equal">
      <formula>"SP"</formula>
    </cfRule>
    <cfRule type="cellIs" dxfId="651" priority="541" operator="equal">
      <formula>"."</formula>
    </cfRule>
  </conditionalFormatting>
  <conditionalFormatting sqref="D63:AH63">
    <cfRule type="cellIs" dxfId="650" priority="535" operator="equal">
      <formula>"AL"</formula>
    </cfRule>
    <cfRule type="cellIs" dxfId="649" priority="536" operator="equal">
      <formula>"NA"</formula>
    </cfRule>
    <cfRule type="cellIs" dxfId="648" priority="537" operator="equal">
      <formula>"SL"</formula>
    </cfRule>
    <cfRule type="cellIs" dxfId="647" priority="538" stopIfTrue="1" operator="equal">
      <formula>"X"</formula>
    </cfRule>
    <cfRule type="cellIs" dxfId="646" priority="539" operator="equal">
      <formula>"H"</formula>
    </cfRule>
  </conditionalFormatting>
  <conditionalFormatting sqref="D63:AH63">
    <cfRule type="cellIs" dxfId="645" priority="533" operator="equal">
      <formula>"SP"</formula>
    </cfRule>
    <cfRule type="cellIs" dxfId="644" priority="534" operator="equal">
      <formula>"."</formula>
    </cfRule>
  </conditionalFormatting>
  <conditionalFormatting sqref="D65:AH65">
    <cfRule type="cellIs" dxfId="643" priority="528" operator="equal">
      <formula>"AL"</formula>
    </cfRule>
    <cfRule type="cellIs" dxfId="642" priority="529" operator="equal">
      <formula>"NA"</formula>
    </cfRule>
    <cfRule type="cellIs" dxfId="641" priority="530" operator="equal">
      <formula>"SL"</formula>
    </cfRule>
    <cfRule type="cellIs" dxfId="640" priority="531" stopIfTrue="1" operator="equal">
      <formula>"X"</formula>
    </cfRule>
    <cfRule type="cellIs" dxfId="639" priority="532" operator="equal">
      <formula>"H"</formula>
    </cfRule>
  </conditionalFormatting>
  <conditionalFormatting sqref="D65:AH65">
    <cfRule type="cellIs" dxfId="638" priority="526" operator="equal">
      <formula>"SP"</formula>
    </cfRule>
    <cfRule type="cellIs" dxfId="637" priority="527" operator="equal">
      <formula>"."</formula>
    </cfRule>
  </conditionalFormatting>
  <conditionalFormatting sqref="D67:AH67">
    <cfRule type="cellIs" dxfId="636" priority="521" operator="equal">
      <formula>"AL"</formula>
    </cfRule>
    <cfRule type="cellIs" dxfId="635" priority="522" operator="equal">
      <formula>"NA"</formula>
    </cfRule>
    <cfRule type="cellIs" dxfId="634" priority="523" operator="equal">
      <formula>"SL"</formula>
    </cfRule>
    <cfRule type="cellIs" dxfId="633" priority="524" stopIfTrue="1" operator="equal">
      <formula>"X"</formula>
    </cfRule>
    <cfRule type="cellIs" dxfId="632" priority="525" operator="equal">
      <formula>"H"</formula>
    </cfRule>
  </conditionalFormatting>
  <conditionalFormatting sqref="D67:AH67">
    <cfRule type="cellIs" dxfId="631" priority="519" operator="equal">
      <formula>"SP"</formula>
    </cfRule>
    <cfRule type="cellIs" dxfId="630" priority="520" operator="equal">
      <formula>"."</formula>
    </cfRule>
  </conditionalFormatting>
  <conditionalFormatting sqref="D69:AH69">
    <cfRule type="cellIs" dxfId="629" priority="514" operator="equal">
      <formula>"AL"</formula>
    </cfRule>
    <cfRule type="cellIs" dxfId="628" priority="515" operator="equal">
      <formula>"NA"</formula>
    </cfRule>
    <cfRule type="cellIs" dxfId="627" priority="516" operator="equal">
      <formula>"SL"</formula>
    </cfRule>
    <cfRule type="cellIs" dxfId="626" priority="517" stopIfTrue="1" operator="equal">
      <formula>"X"</formula>
    </cfRule>
    <cfRule type="cellIs" dxfId="625" priority="518" operator="equal">
      <formula>"H"</formula>
    </cfRule>
  </conditionalFormatting>
  <conditionalFormatting sqref="D69:AH69">
    <cfRule type="cellIs" dxfId="624" priority="512" operator="equal">
      <formula>"SP"</formula>
    </cfRule>
    <cfRule type="cellIs" dxfId="623" priority="513" operator="equal">
      <formula>"."</formula>
    </cfRule>
  </conditionalFormatting>
  <conditionalFormatting sqref="D71:AH71">
    <cfRule type="cellIs" dxfId="622" priority="507" operator="equal">
      <formula>"AL"</formula>
    </cfRule>
    <cfRule type="cellIs" dxfId="621" priority="508" operator="equal">
      <formula>"NA"</formula>
    </cfRule>
    <cfRule type="cellIs" dxfId="620" priority="509" operator="equal">
      <formula>"SL"</formula>
    </cfRule>
    <cfRule type="cellIs" dxfId="619" priority="510" stopIfTrue="1" operator="equal">
      <formula>"X"</formula>
    </cfRule>
    <cfRule type="cellIs" dxfId="618" priority="511" operator="equal">
      <formula>"H"</formula>
    </cfRule>
  </conditionalFormatting>
  <conditionalFormatting sqref="D71:AH71">
    <cfRule type="cellIs" dxfId="617" priority="505" operator="equal">
      <formula>"SP"</formula>
    </cfRule>
    <cfRule type="cellIs" dxfId="616" priority="506" operator="equal">
      <formula>"."</formula>
    </cfRule>
  </conditionalFormatting>
  <conditionalFormatting sqref="D58:AH58">
    <cfRule type="cellIs" dxfId="615" priority="500" operator="equal">
      <formula>"AL"</formula>
    </cfRule>
    <cfRule type="cellIs" dxfId="614" priority="501" operator="equal">
      <formula>"NA"</formula>
    </cfRule>
    <cfRule type="cellIs" dxfId="613" priority="502" operator="equal">
      <formula>"SL"</formula>
    </cfRule>
    <cfRule type="cellIs" dxfId="612" priority="503" stopIfTrue="1" operator="equal">
      <formula>"X"</formula>
    </cfRule>
    <cfRule type="cellIs" dxfId="611" priority="504" operator="equal">
      <formula>"H"</formula>
    </cfRule>
  </conditionalFormatting>
  <conditionalFormatting sqref="D58:AH58">
    <cfRule type="cellIs" dxfId="610" priority="498" operator="equal">
      <formula>"SP"</formula>
    </cfRule>
    <cfRule type="cellIs" dxfId="609" priority="499" operator="equal">
      <formula>"."</formula>
    </cfRule>
  </conditionalFormatting>
  <conditionalFormatting sqref="D60:AH60">
    <cfRule type="cellIs" dxfId="608" priority="493" operator="equal">
      <formula>"AL"</formula>
    </cfRule>
    <cfRule type="cellIs" dxfId="607" priority="494" operator="equal">
      <formula>"NA"</formula>
    </cfRule>
    <cfRule type="cellIs" dxfId="606" priority="495" operator="equal">
      <formula>"SL"</formula>
    </cfRule>
    <cfRule type="cellIs" dxfId="605" priority="496" stopIfTrue="1" operator="equal">
      <formula>"X"</formula>
    </cfRule>
    <cfRule type="cellIs" dxfId="604" priority="497" operator="equal">
      <formula>"H"</formula>
    </cfRule>
  </conditionalFormatting>
  <conditionalFormatting sqref="D60:AH60">
    <cfRule type="cellIs" dxfId="603" priority="491" operator="equal">
      <formula>"SP"</formula>
    </cfRule>
    <cfRule type="cellIs" dxfId="602" priority="492" operator="equal">
      <formula>"."</formula>
    </cfRule>
  </conditionalFormatting>
  <conditionalFormatting sqref="D62:AH62">
    <cfRule type="cellIs" dxfId="601" priority="486" operator="equal">
      <formula>"AL"</formula>
    </cfRule>
    <cfRule type="cellIs" dxfId="600" priority="487" operator="equal">
      <formula>"NA"</formula>
    </cfRule>
    <cfRule type="cellIs" dxfId="599" priority="488" operator="equal">
      <formula>"SL"</formula>
    </cfRule>
    <cfRule type="cellIs" dxfId="598" priority="489" stopIfTrue="1" operator="equal">
      <formula>"X"</formula>
    </cfRule>
    <cfRule type="cellIs" dxfId="597" priority="490" operator="equal">
      <formula>"H"</formula>
    </cfRule>
  </conditionalFormatting>
  <conditionalFormatting sqref="D62:AH62">
    <cfRule type="cellIs" dxfId="596" priority="484" operator="equal">
      <formula>"SP"</formula>
    </cfRule>
    <cfRule type="cellIs" dxfId="595" priority="485" operator="equal">
      <formula>"."</formula>
    </cfRule>
  </conditionalFormatting>
  <conditionalFormatting sqref="D64:AH64">
    <cfRule type="cellIs" dxfId="594" priority="479" operator="equal">
      <formula>"AL"</formula>
    </cfRule>
    <cfRule type="cellIs" dxfId="593" priority="480" operator="equal">
      <formula>"NA"</formula>
    </cfRule>
    <cfRule type="cellIs" dxfId="592" priority="481" operator="equal">
      <formula>"SL"</formula>
    </cfRule>
    <cfRule type="cellIs" dxfId="591" priority="482" stopIfTrue="1" operator="equal">
      <formula>"X"</formula>
    </cfRule>
    <cfRule type="cellIs" dxfId="590" priority="483" operator="equal">
      <formula>"H"</formula>
    </cfRule>
  </conditionalFormatting>
  <conditionalFormatting sqref="D64:AH64">
    <cfRule type="cellIs" dxfId="589" priority="477" operator="equal">
      <formula>"SP"</formula>
    </cfRule>
    <cfRule type="cellIs" dxfId="588" priority="478" operator="equal">
      <formula>"."</formula>
    </cfRule>
  </conditionalFormatting>
  <conditionalFormatting sqref="D66:AH66">
    <cfRule type="cellIs" dxfId="587" priority="472" operator="equal">
      <formula>"AL"</formula>
    </cfRule>
    <cfRule type="cellIs" dxfId="586" priority="473" operator="equal">
      <formula>"NA"</formula>
    </cfRule>
    <cfRule type="cellIs" dxfId="585" priority="474" operator="equal">
      <formula>"SL"</formula>
    </cfRule>
    <cfRule type="cellIs" dxfId="584" priority="475" stopIfTrue="1" operator="equal">
      <formula>"X"</formula>
    </cfRule>
    <cfRule type="cellIs" dxfId="583" priority="476" operator="equal">
      <formula>"H"</formula>
    </cfRule>
  </conditionalFormatting>
  <conditionalFormatting sqref="D66:AH66">
    <cfRule type="cellIs" dxfId="582" priority="470" operator="equal">
      <formula>"SP"</formula>
    </cfRule>
    <cfRule type="cellIs" dxfId="581" priority="471" operator="equal">
      <formula>"."</formula>
    </cfRule>
  </conditionalFormatting>
  <conditionalFormatting sqref="D68:AH68">
    <cfRule type="cellIs" dxfId="580" priority="465" operator="equal">
      <formula>"AL"</formula>
    </cfRule>
    <cfRule type="cellIs" dxfId="579" priority="466" operator="equal">
      <formula>"NA"</formula>
    </cfRule>
    <cfRule type="cellIs" dxfId="578" priority="467" operator="equal">
      <formula>"SL"</formula>
    </cfRule>
    <cfRule type="cellIs" dxfId="577" priority="468" stopIfTrue="1" operator="equal">
      <formula>"X"</formula>
    </cfRule>
    <cfRule type="cellIs" dxfId="576" priority="469" operator="equal">
      <formula>"H"</formula>
    </cfRule>
  </conditionalFormatting>
  <conditionalFormatting sqref="D68:AH68">
    <cfRule type="cellIs" dxfId="575" priority="463" operator="equal">
      <formula>"SP"</formula>
    </cfRule>
    <cfRule type="cellIs" dxfId="574" priority="464" operator="equal">
      <formula>"."</formula>
    </cfRule>
  </conditionalFormatting>
  <conditionalFormatting sqref="D70:AH70">
    <cfRule type="cellIs" dxfId="573" priority="458" operator="equal">
      <formula>"AL"</formula>
    </cfRule>
    <cfRule type="cellIs" dxfId="572" priority="459" operator="equal">
      <formula>"NA"</formula>
    </cfRule>
    <cfRule type="cellIs" dxfId="571" priority="460" operator="equal">
      <formula>"SL"</formula>
    </cfRule>
    <cfRule type="cellIs" dxfId="570" priority="461" stopIfTrue="1" operator="equal">
      <formula>"X"</formula>
    </cfRule>
    <cfRule type="cellIs" dxfId="569" priority="462" operator="equal">
      <formula>"H"</formula>
    </cfRule>
  </conditionalFormatting>
  <conditionalFormatting sqref="D70:AH70">
    <cfRule type="cellIs" dxfId="568" priority="456" operator="equal">
      <formula>"SP"</formula>
    </cfRule>
    <cfRule type="cellIs" dxfId="567" priority="457" operator="equal">
      <formula>"."</formula>
    </cfRule>
  </conditionalFormatting>
  <conditionalFormatting sqref="D72:AH72">
    <cfRule type="cellIs" dxfId="566" priority="451" operator="equal">
      <formula>"AL"</formula>
    </cfRule>
    <cfRule type="cellIs" dxfId="565" priority="452" operator="equal">
      <formula>"NA"</formula>
    </cfRule>
    <cfRule type="cellIs" dxfId="564" priority="453" operator="equal">
      <formula>"SL"</formula>
    </cfRule>
    <cfRule type="cellIs" dxfId="563" priority="454" stopIfTrue="1" operator="equal">
      <formula>"X"</formula>
    </cfRule>
    <cfRule type="cellIs" dxfId="562" priority="455" operator="equal">
      <formula>"H"</formula>
    </cfRule>
  </conditionalFormatting>
  <conditionalFormatting sqref="D72:AH72">
    <cfRule type="cellIs" dxfId="561" priority="449" operator="equal">
      <formula>"SP"</formula>
    </cfRule>
    <cfRule type="cellIs" dxfId="560" priority="450" operator="equal">
      <formula>"."</formula>
    </cfRule>
  </conditionalFormatting>
  <conditionalFormatting sqref="D103:AG104">
    <cfRule type="cellIs" dxfId="559" priority="337" operator="equal">
      <formula>"SP"</formula>
    </cfRule>
    <cfRule type="cellIs" dxfId="558" priority="338" operator="equal">
      <formula>"."</formula>
    </cfRule>
  </conditionalFormatting>
  <conditionalFormatting sqref="D88:AG88">
    <cfRule type="cellIs" dxfId="557" priority="444" operator="equal">
      <formula>"AL"</formula>
    </cfRule>
    <cfRule type="cellIs" dxfId="556" priority="445" operator="equal">
      <formula>"NA"</formula>
    </cfRule>
    <cfRule type="cellIs" dxfId="555" priority="446" operator="equal">
      <formula>"SL"</formula>
    </cfRule>
    <cfRule type="cellIs" dxfId="554" priority="447" stopIfTrue="1" operator="equal">
      <formula>"X"</formula>
    </cfRule>
    <cfRule type="cellIs" dxfId="553" priority="448" operator="equal">
      <formula>"H"</formula>
    </cfRule>
  </conditionalFormatting>
  <conditionalFormatting sqref="D88:AG88">
    <cfRule type="cellIs" dxfId="552" priority="442" operator="equal">
      <formula>"SP"</formula>
    </cfRule>
    <cfRule type="cellIs" dxfId="551" priority="443" operator="equal">
      <formula>"."</formula>
    </cfRule>
  </conditionalFormatting>
  <conditionalFormatting sqref="D90:AG90">
    <cfRule type="cellIs" dxfId="550" priority="437" operator="equal">
      <formula>"AL"</formula>
    </cfRule>
    <cfRule type="cellIs" dxfId="549" priority="438" operator="equal">
      <formula>"NA"</formula>
    </cfRule>
    <cfRule type="cellIs" dxfId="548" priority="439" operator="equal">
      <formula>"SL"</formula>
    </cfRule>
    <cfRule type="cellIs" dxfId="547" priority="440" stopIfTrue="1" operator="equal">
      <formula>"X"</formula>
    </cfRule>
    <cfRule type="cellIs" dxfId="546" priority="441" operator="equal">
      <formula>"H"</formula>
    </cfRule>
  </conditionalFormatting>
  <conditionalFormatting sqref="D90:AG90">
    <cfRule type="cellIs" dxfId="545" priority="435" operator="equal">
      <formula>"SP"</formula>
    </cfRule>
    <cfRule type="cellIs" dxfId="544" priority="436" operator="equal">
      <formula>"."</formula>
    </cfRule>
  </conditionalFormatting>
  <conditionalFormatting sqref="D92:AG92">
    <cfRule type="cellIs" dxfId="543" priority="430" operator="equal">
      <formula>"AL"</formula>
    </cfRule>
    <cfRule type="cellIs" dxfId="542" priority="431" operator="equal">
      <formula>"NA"</formula>
    </cfRule>
    <cfRule type="cellIs" dxfId="541" priority="432" operator="equal">
      <formula>"SL"</formula>
    </cfRule>
    <cfRule type="cellIs" dxfId="540" priority="433" stopIfTrue="1" operator="equal">
      <formula>"X"</formula>
    </cfRule>
    <cfRule type="cellIs" dxfId="539" priority="434" operator="equal">
      <formula>"H"</formula>
    </cfRule>
  </conditionalFormatting>
  <conditionalFormatting sqref="D92:AG92">
    <cfRule type="cellIs" dxfId="538" priority="428" operator="equal">
      <formula>"SP"</formula>
    </cfRule>
    <cfRule type="cellIs" dxfId="537" priority="429" operator="equal">
      <formula>"."</formula>
    </cfRule>
  </conditionalFormatting>
  <conditionalFormatting sqref="D94:AG94">
    <cfRule type="cellIs" dxfId="536" priority="423" operator="equal">
      <formula>"AL"</formula>
    </cfRule>
    <cfRule type="cellIs" dxfId="535" priority="424" operator="equal">
      <formula>"NA"</formula>
    </cfRule>
    <cfRule type="cellIs" dxfId="534" priority="425" operator="equal">
      <formula>"SL"</formula>
    </cfRule>
    <cfRule type="cellIs" dxfId="533" priority="426" stopIfTrue="1" operator="equal">
      <formula>"X"</formula>
    </cfRule>
    <cfRule type="cellIs" dxfId="532" priority="427" operator="equal">
      <formula>"H"</formula>
    </cfRule>
  </conditionalFormatting>
  <conditionalFormatting sqref="D94:AG94">
    <cfRule type="cellIs" dxfId="531" priority="421" operator="equal">
      <formula>"SP"</formula>
    </cfRule>
    <cfRule type="cellIs" dxfId="530" priority="422" operator="equal">
      <formula>"."</formula>
    </cfRule>
  </conditionalFormatting>
  <conditionalFormatting sqref="D96:AG96">
    <cfRule type="cellIs" dxfId="529" priority="416" operator="equal">
      <formula>"AL"</formula>
    </cfRule>
    <cfRule type="cellIs" dxfId="528" priority="417" operator="equal">
      <formula>"NA"</formula>
    </cfRule>
    <cfRule type="cellIs" dxfId="527" priority="418" operator="equal">
      <formula>"SL"</formula>
    </cfRule>
    <cfRule type="cellIs" dxfId="526" priority="419" stopIfTrue="1" operator="equal">
      <formula>"X"</formula>
    </cfRule>
    <cfRule type="cellIs" dxfId="525" priority="420" operator="equal">
      <formula>"H"</formula>
    </cfRule>
  </conditionalFormatting>
  <conditionalFormatting sqref="D96:AG96">
    <cfRule type="cellIs" dxfId="524" priority="414" operator="equal">
      <formula>"SP"</formula>
    </cfRule>
    <cfRule type="cellIs" dxfId="523" priority="415" operator="equal">
      <formula>"."</formula>
    </cfRule>
  </conditionalFormatting>
  <conditionalFormatting sqref="D98:AG98">
    <cfRule type="cellIs" dxfId="522" priority="409" operator="equal">
      <formula>"AL"</formula>
    </cfRule>
    <cfRule type="cellIs" dxfId="521" priority="410" operator="equal">
      <formula>"NA"</formula>
    </cfRule>
    <cfRule type="cellIs" dxfId="520" priority="411" operator="equal">
      <formula>"SL"</formula>
    </cfRule>
    <cfRule type="cellIs" dxfId="519" priority="412" stopIfTrue="1" operator="equal">
      <formula>"X"</formula>
    </cfRule>
    <cfRule type="cellIs" dxfId="518" priority="413" operator="equal">
      <formula>"H"</formula>
    </cfRule>
  </conditionalFormatting>
  <conditionalFormatting sqref="D98:AG98">
    <cfRule type="cellIs" dxfId="517" priority="407" operator="equal">
      <formula>"SP"</formula>
    </cfRule>
    <cfRule type="cellIs" dxfId="516" priority="408" operator="equal">
      <formula>"."</formula>
    </cfRule>
  </conditionalFormatting>
  <conditionalFormatting sqref="D100:AG100">
    <cfRule type="cellIs" dxfId="515" priority="402" operator="equal">
      <formula>"AL"</formula>
    </cfRule>
    <cfRule type="cellIs" dxfId="514" priority="403" operator="equal">
      <formula>"NA"</formula>
    </cfRule>
    <cfRule type="cellIs" dxfId="513" priority="404" operator="equal">
      <formula>"SL"</formula>
    </cfRule>
    <cfRule type="cellIs" dxfId="512" priority="405" stopIfTrue="1" operator="equal">
      <formula>"X"</formula>
    </cfRule>
    <cfRule type="cellIs" dxfId="511" priority="406" operator="equal">
      <formula>"H"</formula>
    </cfRule>
  </conditionalFormatting>
  <conditionalFormatting sqref="D100:AG100">
    <cfRule type="cellIs" dxfId="510" priority="400" operator="equal">
      <formula>"SP"</formula>
    </cfRule>
    <cfRule type="cellIs" dxfId="509" priority="401" operator="equal">
      <formula>"."</formula>
    </cfRule>
  </conditionalFormatting>
  <conditionalFormatting sqref="D102:AG102">
    <cfRule type="cellIs" dxfId="508" priority="395" operator="equal">
      <formula>"AL"</formula>
    </cfRule>
    <cfRule type="cellIs" dxfId="507" priority="396" operator="equal">
      <formula>"NA"</formula>
    </cfRule>
    <cfRule type="cellIs" dxfId="506" priority="397" operator="equal">
      <formula>"SL"</formula>
    </cfRule>
    <cfRule type="cellIs" dxfId="505" priority="398" stopIfTrue="1" operator="equal">
      <formula>"X"</formula>
    </cfRule>
    <cfRule type="cellIs" dxfId="504" priority="399" operator="equal">
      <formula>"H"</formula>
    </cfRule>
  </conditionalFormatting>
  <conditionalFormatting sqref="D102:AG102">
    <cfRule type="cellIs" dxfId="503" priority="393" operator="equal">
      <formula>"SP"</formula>
    </cfRule>
    <cfRule type="cellIs" dxfId="502" priority="394" operator="equal">
      <formula>"."</formula>
    </cfRule>
  </conditionalFormatting>
  <conditionalFormatting sqref="D89:AG89">
    <cfRule type="cellIs" dxfId="501" priority="388" operator="equal">
      <formula>"AL"</formula>
    </cfRule>
    <cfRule type="cellIs" dxfId="500" priority="389" operator="equal">
      <formula>"NA"</formula>
    </cfRule>
    <cfRule type="cellIs" dxfId="499" priority="390" operator="equal">
      <formula>"SL"</formula>
    </cfRule>
    <cfRule type="cellIs" dxfId="498" priority="391" stopIfTrue="1" operator="equal">
      <formula>"X"</formula>
    </cfRule>
    <cfRule type="cellIs" dxfId="497" priority="392" operator="equal">
      <formula>"H"</formula>
    </cfRule>
  </conditionalFormatting>
  <conditionalFormatting sqref="D89:AG89">
    <cfRule type="cellIs" dxfId="496" priority="386" operator="equal">
      <formula>"SP"</formula>
    </cfRule>
    <cfRule type="cellIs" dxfId="495" priority="387" operator="equal">
      <formula>"."</formula>
    </cfRule>
  </conditionalFormatting>
  <conditionalFormatting sqref="D91:AG91">
    <cfRule type="cellIs" dxfId="494" priority="381" operator="equal">
      <formula>"AL"</formula>
    </cfRule>
    <cfRule type="cellIs" dxfId="493" priority="382" operator="equal">
      <formula>"NA"</formula>
    </cfRule>
    <cfRule type="cellIs" dxfId="492" priority="383" operator="equal">
      <formula>"SL"</formula>
    </cfRule>
    <cfRule type="cellIs" dxfId="491" priority="384" stopIfTrue="1" operator="equal">
      <formula>"X"</formula>
    </cfRule>
    <cfRule type="cellIs" dxfId="490" priority="385" operator="equal">
      <formula>"H"</formula>
    </cfRule>
  </conditionalFormatting>
  <conditionalFormatting sqref="D91:AG91">
    <cfRule type="cellIs" dxfId="489" priority="379" operator="equal">
      <formula>"SP"</formula>
    </cfRule>
    <cfRule type="cellIs" dxfId="488" priority="380" operator="equal">
      <formula>"."</formula>
    </cfRule>
  </conditionalFormatting>
  <conditionalFormatting sqref="D93:AG93">
    <cfRule type="cellIs" dxfId="487" priority="374" operator="equal">
      <formula>"AL"</formula>
    </cfRule>
    <cfRule type="cellIs" dxfId="486" priority="375" operator="equal">
      <formula>"NA"</formula>
    </cfRule>
    <cfRule type="cellIs" dxfId="485" priority="376" operator="equal">
      <formula>"SL"</formula>
    </cfRule>
    <cfRule type="cellIs" dxfId="484" priority="377" stopIfTrue="1" operator="equal">
      <formula>"X"</formula>
    </cfRule>
    <cfRule type="cellIs" dxfId="483" priority="378" operator="equal">
      <formula>"H"</formula>
    </cfRule>
  </conditionalFormatting>
  <conditionalFormatting sqref="D93:AG93">
    <cfRule type="cellIs" dxfId="482" priority="372" operator="equal">
      <formula>"SP"</formula>
    </cfRule>
    <cfRule type="cellIs" dxfId="481" priority="373" operator="equal">
      <formula>"."</formula>
    </cfRule>
  </conditionalFormatting>
  <conditionalFormatting sqref="D95:AG95">
    <cfRule type="cellIs" dxfId="480" priority="367" operator="equal">
      <formula>"AL"</formula>
    </cfRule>
    <cfRule type="cellIs" dxfId="479" priority="368" operator="equal">
      <formula>"NA"</formula>
    </cfRule>
    <cfRule type="cellIs" dxfId="478" priority="369" operator="equal">
      <formula>"SL"</formula>
    </cfRule>
    <cfRule type="cellIs" dxfId="477" priority="370" stopIfTrue="1" operator="equal">
      <formula>"X"</formula>
    </cfRule>
    <cfRule type="cellIs" dxfId="476" priority="371" operator="equal">
      <formula>"H"</formula>
    </cfRule>
  </conditionalFormatting>
  <conditionalFormatting sqref="D95:AG95">
    <cfRule type="cellIs" dxfId="475" priority="365" operator="equal">
      <formula>"SP"</formula>
    </cfRule>
    <cfRule type="cellIs" dxfId="474" priority="366" operator="equal">
      <formula>"."</formula>
    </cfRule>
  </conditionalFormatting>
  <conditionalFormatting sqref="D97:AG97">
    <cfRule type="cellIs" dxfId="473" priority="360" operator="equal">
      <formula>"AL"</formula>
    </cfRule>
    <cfRule type="cellIs" dxfId="472" priority="361" operator="equal">
      <formula>"NA"</formula>
    </cfRule>
    <cfRule type="cellIs" dxfId="471" priority="362" operator="equal">
      <formula>"SL"</formula>
    </cfRule>
    <cfRule type="cellIs" dxfId="470" priority="363" stopIfTrue="1" operator="equal">
      <formula>"X"</formula>
    </cfRule>
    <cfRule type="cellIs" dxfId="469" priority="364" operator="equal">
      <formula>"H"</formula>
    </cfRule>
  </conditionalFormatting>
  <conditionalFormatting sqref="D97:AG97">
    <cfRule type="cellIs" dxfId="468" priority="358" operator="equal">
      <formula>"SP"</formula>
    </cfRule>
    <cfRule type="cellIs" dxfId="467" priority="359" operator="equal">
      <formula>"."</formula>
    </cfRule>
  </conditionalFormatting>
  <conditionalFormatting sqref="D99:AG99">
    <cfRule type="cellIs" dxfId="466" priority="353" operator="equal">
      <formula>"AL"</formula>
    </cfRule>
    <cfRule type="cellIs" dxfId="465" priority="354" operator="equal">
      <formula>"NA"</formula>
    </cfRule>
    <cfRule type="cellIs" dxfId="464" priority="355" operator="equal">
      <formula>"SL"</formula>
    </cfRule>
    <cfRule type="cellIs" dxfId="463" priority="356" stopIfTrue="1" operator="equal">
      <formula>"X"</formula>
    </cfRule>
    <cfRule type="cellIs" dxfId="462" priority="357" operator="equal">
      <formula>"H"</formula>
    </cfRule>
  </conditionalFormatting>
  <conditionalFormatting sqref="D99:AG99">
    <cfRule type="cellIs" dxfId="461" priority="351" operator="equal">
      <formula>"SP"</formula>
    </cfRule>
    <cfRule type="cellIs" dxfId="460" priority="352" operator="equal">
      <formula>"."</formula>
    </cfRule>
  </conditionalFormatting>
  <conditionalFormatting sqref="D101:AG101">
    <cfRule type="cellIs" dxfId="459" priority="346" operator="equal">
      <formula>"AL"</formula>
    </cfRule>
    <cfRule type="cellIs" dxfId="458" priority="347" operator="equal">
      <formula>"NA"</formula>
    </cfRule>
    <cfRule type="cellIs" dxfId="457" priority="348" operator="equal">
      <formula>"SL"</formula>
    </cfRule>
    <cfRule type="cellIs" dxfId="456" priority="349" stopIfTrue="1" operator="equal">
      <formula>"X"</formula>
    </cfRule>
    <cfRule type="cellIs" dxfId="455" priority="350" operator="equal">
      <formula>"H"</formula>
    </cfRule>
  </conditionalFormatting>
  <conditionalFormatting sqref="D101:AG101">
    <cfRule type="cellIs" dxfId="454" priority="344" operator="equal">
      <formula>"SP"</formula>
    </cfRule>
    <cfRule type="cellIs" dxfId="453" priority="345" operator="equal">
      <formula>"."</formula>
    </cfRule>
  </conditionalFormatting>
  <conditionalFormatting sqref="D103:AG104">
    <cfRule type="cellIs" dxfId="452" priority="339" operator="equal">
      <formula>"AL"</formula>
    </cfRule>
    <cfRule type="cellIs" dxfId="451" priority="340" operator="equal">
      <formula>"NA"</formula>
    </cfRule>
    <cfRule type="cellIs" dxfId="450" priority="341" operator="equal">
      <formula>"SL"</formula>
    </cfRule>
    <cfRule type="cellIs" dxfId="449" priority="342" stopIfTrue="1" operator="equal">
      <formula>"X"</formula>
    </cfRule>
    <cfRule type="cellIs" dxfId="448" priority="343" operator="equal">
      <formula>"H"</formula>
    </cfRule>
  </conditionalFormatting>
  <conditionalFormatting sqref="D119:AH119">
    <cfRule type="cellIs" dxfId="447" priority="332" operator="equal">
      <formula>"AL"</formula>
    </cfRule>
    <cfRule type="cellIs" dxfId="446" priority="333" operator="equal">
      <formula>"NA"</formula>
    </cfRule>
    <cfRule type="cellIs" dxfId="445" priority="334" operator="equal">
      <formula>"SL"</formula>
    </cfRule>
    <cfRule type="cellIs" dxfId="444" priority="335" stopIfTrue="1" operator="equal">
      <formula>"X"</formula>
    </cfRule>
    <cfRule type="cellIs" dxfId="443" priority="336" operator="equal">
      <formula>"H"</formula>
    </cfRule>
  </conditionalFormatting>
  <conditionalFormatting sqref="D119:AH119">
    <cfRule type="cellIs" dxfId="442" priority="330" operator="equal">
      <formula>"SP"</formula>
    </cfRule>
    <cfRule type="cellIs" dxfId="441" priority="331" operator="equal">
      <formula>"."</formula>
    </cfRule>
  </conditionalFormatting>
  <conditionalFormatting sqref="D121:AH121">
    <cfRule type="cellIs" dxfId="440" priority="325" operator="equal">
      <formula>"AL"</formula>
    </cfRule>
    <cfRule type="cellIs" dxfId="439" priority="326" operator="equal">
      <formula>"NA"</formula>
    </cfRule>
    <cfRule type="cellIs" dxfId="438" priority="327" operator="equal">
      <formula>"SL"</formula>
    </cfRule>
    <cfRule type="cellIs" dxfId="437" priority="328" stopIfTrue="1" operator="equal">
      <formula>"X"</formula>
    </cfRule>
    <cfRule type="cellIs" dxfId="436" priority="329" operator="equal">
      <formula>"H"</formula>
    </cfRule>
  </conditionalFormatting>
  <conditionalFormatting sqref="D121:AH121">
    <cfRule type="cellIs" dxfId="435" priority="323" operator="equal">
      <formula>"SP"</formula>
    </cfRule>
    <cfRule type="cellIs" dxfId="434" priority="324" operator="equal">
      <formula>"."</formula>
    </cfRule>
  </conditionalFormatting>
  <conditionalFormatting sqref="D123:AH123">
    <cfRule type="cellIs" dxfId="433" priority="318" operator="equal">
      <formula>"AL"</formula>
    </cfRule>
    <cfRule type="cellIs" dxfId="432" priority="319" operator="equal">
      <formula>"NA"</formula>
    </cfRule>
    <cfRule type="cellIs" dxfId="431" priority="320" operator="equal">
      <formula>"SL"</formula>
    </cfRule>
    <cfRule type="cellIs" dxfId="430" priority="321" stopIfTrue="1" operator="equal">
      <formula>"X"</formula>
    </cfRule>
    <cfRule type="cellIs" dxfId="429" priority="322" operator="equal">
      <formula>"H"</formula>
    </cfRule>
  </conditionalFormatting>
  <conditionalFormatting sqref="D123:AH123">
    <cfRule type="cellIs" dxfId="428" priority="316" operator="equal">
      <formula>"SP"</formula>
    </cfRule>
    <cfRule type="cellIs" dxfId="427" priority="317" operator="equal">
      <formula>"."</formula>
    </cfRule>
  </conditionalFormatting>
  <conditionalFormatting sqref="D125:AH125">
    <cfRule type="cellIs" dxfId="426" priority="311" operator="equal">
      <formula>"AL"</formula>
    </cfRule>
    <cfRule type="cellIs" dxfId="425" priority="312" operator="equal">
      <formula>"NA"</formula>
    </cfRule>
    <cfRule type="cellIs" dxfId="424" priority="313" operator="equal">
      <formula>"SL"</formula>
    </cfRule>
    <cfRule type="cellIs" dxfId="423" priority="314" stopIfTrue="1" operator="equal">
      <formula>"X"</formula>
    </cfRule>
    <cfRule type="cellIs" dxfId="422" priority="315" operator="equal">
      <formula>"H"</formula>
    </cfRule>
  </conditionalFormatting>
  <conditionalFormatting sqref="D125:AH125">
    <cfRule type="cellIs" dxfId="421" priority="309" operator="equal">
      <formula>"SP"</formula>
    </cfRule>
    <cfRule type="cellIs" dxfId="420" priority="310" operator="equal">
      <formula>"."</formula>
    </cfRule>
  </conditionalFormatting>
  <conditionalFormatting sqref="D127:AH127">
    <cfRule type="cellIs" dxfId="419" priority="304" operator="equal">
      <formula>"AL"</formula>
    </cfRule>
    <cfRule type="cellIs" dxfId="418" priority="305" operator="equal">
      <formula>"NA"</formula>
    </cfRule>
    <cfRule type="cellIs" dxfId="417" priority="306" operator="equal">
      <formula>"SL"</formula>
    </cfRule>
    <cfRule type="cellIs" dxfId="416" priority="307" stopIfTrue="1" operator="equal">
      <formula>"X"</formula>
    </cfRule>
    <cfRule type="cellIs" dxfId="415" priority="308" operator="equal">
      <formula>"H"</formula>
    </cfRule>
  </conditionalFormatting>
  <conditionalFormatting sqref="D127:AH127">
    <cfRule type="cellIs" dxfId="414" priority="302" operator="equal">
      <formula>"SP"</formula>
    </cfRule>
    <cfRule type="cellIs" dxfId="413" priority="303" operator="equal">
      <formula>"."</formula>
    </cfRule>
  </conditionalFormatting>
  <conditionalFormatting sqref="D129:AH129">
    <cfRule type="cellIs" dxfId="412" priority="297" operator="equal">
      <formula>"AL"</formula>
    </cfRule>
    <cfRule type="cellIs" dxfId="411" priority="298" operator="equal">
      <formula>"NA"</formula>
    </cfRule>
    <cfRule type="cellIs" dxfId="410" priority="299" operator="equal">
      <formula>"SL"</formula>
    </cfRule>
    <cfRule type="cellIs" dxfId="409" priority="300" stopIfTrue="1" operator="equal">
      <formula>"X"</formula>
    </cfRule>
    <cfRule type="cellIs" dxfId="408" priority="301" operator="equal">
      <formula>"H"</formula>
    </cfRule>
  </conditionalFormatting>
  <conditionalFormatting sqref="D129:AH129">
    <cfRule type="cellIs" dxfId="407" priority="295" operator="equal">
      <formula>"SP"</formula>
    </cfRule>
    <cfRule type="cellIs" dxfId="406" priority="296" operator="equal">
      <formula>"."</formula>
    </cfRule>
  </conditionalFormatting>
  <conditionalFormatting sqref="D131:AH131">
    <cfRule type="cellIs" dxfId="405" priority="290" operator="equal">
      <formula>"AL"</formula>
    </cfRule>
    <cfRule type="cellIs" dxfId="404" priority="291" operator="equal">
      <formula>"NA"</formula>
    </cfRule>
    <cfRule type="cellIs" dxfId="403" priority="292" operator="equal">
      <formula>"SL"</formula>
    </cfRule>
    <cfRule type="cellIs" dxfId="402" priority="293" stopIfTrue="1" operator="equal">
      <formula>"X"</formula>
    </cfRule>
    <cfRule type="cellIs" dxfId="401" priority="294" operator="equal">
      <formula>"H"</formula>
    </cfRule>
  </conditionalFormatting>
  <conditionalFormatting sqref="D131:AH131">
    <cfRule type="cellIs" dxfId="400" priority="288" operator="equal">
      <formula>"SP"</formula>
    </cfRule>
    <cfRule type="cellIs" dxfId="399" priority="289" operator="equal">
      <formula>"."</formula>
    </cfRule>
  </conditionalFormatting>
  <conditionalFormatting sqref="D133:AH133">
    <cfRule type="cellIs" dxfId="398" priority="283" operator="equal">
      <formula>"AL"</formula>
    </cfRule>
    <cfRule type="cellIs" dxfId="397" priority="284" operator="equal">
      <formula>"NA"</formula>
    </cfRule>
    <cfRule type="cellIs" dxfId="396" priority="285" operator="equal">
      <formula>"SL"</formula>
    </cfRule>
    <cfRule type="cellIs" dxfId="395" priority="286" stopIfTrue="1" operator="equal">
      <formula>"X"</formula>
    </cfRule>
    <cfRule type="cellIs" dxfId="394" priority="287" operator="equal">
      <formula>"H"</formula>
    </cfRule>
  </conditionalFormatting>
  <conditionalFormatting sqref="D133:AH133">
    <cfRule type="cellIs" dxfId="393" priority="281" operator="equal">
      <formula>"SP"</formula>
    </cfRule>
    <cfRule type="cellIs" dxfId="392" priority="282" operator="equal">
      <formula>"."</formula>
    </cfRule>
  </conditionalFormatting>
  <conditionalFormatting sqref="D120:AH120">
    <cfRule type="cellIs" dxfId="391" priority="276" operator="equal">
      <formula>"AL"</formula>
    </cfRule>
    <cfRule type="cellIs" dxfId="390" priority="277" operator="equal">
      <formula>"NA"</formula>
    </cfRule>
    <cfRule type="cellIs" dxfId="389" priority="278" operator="equal">
      <formula>"SL"</formula>
    </cfRule>
    <cfRule type="cellIs" dxfId="388" priority="279" stopIfTrue="1" operator="equal">
      <formula>"X"</formula>
    </cfRule>
    <cfRule type="cellIs" dxfId="387" priority="280" operator="equal">
      <formula>"H"</formula>
    </cfRule>
  </conditionalFormatting>
  <conditionalFormatting sqref="D120:AH120">
    <cfRule type="cellIs" dxfId="386" priority="274" operator="equal">
      <formula>"SP"</formula>
    </cfRule>
    <cfRule type="cellIs" dxfId="385" priority="275" operator="equal">
      <formula>"."</formula>
    </cfRule>
  </conditionalFormatting>
  <conditionalFormatting sqref="D122:AH122">
    <cfRule type="cellIs" dxfId="384" priority="269" operator="equal">
      <formula>"AL"</formula>
    </cfRule>
    <cfRule type="cellIs" dxfId="383" priority="270" operator="equal">
      <formula>"NA"</formula>
    </cfRule>
    <cfRule type="cellIs" dxfId="382" priority="271" operator="equal">
      <formula>"SL"</formula>
    </cfRule>
    <cfRule type="cellIs" dxfId="381" priority="272" stopIfTrue="1" operator="equal">
      <formula>"X"</formula>
    </cfRule>
    <cfRule type="cellIs" dxfId="380" priority="273" operator="equal">
      <formula>"H"</formula>
    </cfRule>
  </conditionalFormatting>
  <conditionalFormatting sqref="D122:AH122">
    <cfRule type="cellIs" dxfId="379" priority="267" operator="equal">
      <formula>"SP"</formula>
    </cfRule>
    <cfRule type="cellIs" dxfId="378" priority="268" operator="equal">
      <formula>"."</formula>
    </cfRule>
  </conditionalFormatting>
  <conditionalFormatting sqref="D124:AH124">
    <cfRule type="cellIs" dxfId="377" priority="262" operator="equal">
      <formula>"AL"</formula>
    </cfRule>
    <cfRule type="cellIs" dxfId="376" priority="263" operator="equal">
      <formula>"NA"</formula>
    </cfRule>
    <cfRule type="cellIs" dxfId="375" priority="264" operator="equal">
      <formula>"SL"</formula>
    </cfRule>
    <cfRule type="cellIs" dxfId="374" priority="265" stopIfTrue="1" operator="equal">
      <formula>"X"</formula>
    </cfRule>
    <cfRule type="cellIs" dxfId="373" priority="266" operator="equal">
      <formula>"H"</formula>
    </cfRule>
  </conditionalFormatting>
  <conditionalFormatting sqref="D124:AH124">
    <cfRule type="cellIs" dxfId="372" priority="260" operator="equal">
      <formula>"SP"</formula>
    </cfRule>
    <cfRule type="cellIs" dxfId="371" priority="261" operator="equal">
      <formula>"."</formula>
    </cfRule>
  </conditionalFormatting>
  <conditionalFormatting sqref="D126:AH126">
    <cfRule type="cellIs" dxfId="370" priority="255" operator="equal">
      <formula>"AL"</formula>
    </cfRule>
    <cfRule type="cellIs" dxfId="369" priority="256" operator="equal">
      <formula>"NA"</formula>
    </cfRule>
    <cfRule type="cellIs" dxfId="368" priority="257" operator="equal">
      <formula>"SL"</formula>
    </cfRule>
    <cfRule type="cellIs" dxfId="367" priority="258" stopIfTrue="1" operator="equal">
      <formula>"X"</formula>
    </cfRule>
    <cfRule type="cellIs" dxfId="366" priority="259" operator="equal">
      <formula>"H"</formula>
    </cfRule>
  </conditionalFormatting>
  <conditionalFormatting sqref="D126:AH126">
    <cfRule type="cellIs" dxfId="365" priority="253" operator="equal">
      <formula>"SP"</formula>
    </cfRule>
    <cfRule type="cellIs" dxfId="364" priority="254" operator="equal">
      <formula>"."</formula>
    </cfRule>
  </conditionalFormatting>
  <conditionalFormatting sqref="D128:AH128">
    <cfRule type="cellIs" dxfId="363" priority="248" operator="equal">
      <formula>"AL"</formula>
    </cfRule>
    <cfRule type="cellIs" dxfId="362" priority="249" operator="equal">
      <formula>"NA"</formula>
    </cfRule>
    <cfRule type="cellIs" dxfId="361" priority="250" operator="equal">
      <formula>"SL"</formula>
    </cfRule>
    <cfRule type="cellIs" dxfId="360" priority="251" stopIfTrue="1" operator="equal">
      <formula>"X"</formula>
    </cfRule>
    <cfRule type="cellIs" dxfId="359" priority="252" operator="equal">
      <formula>"H"</formula>
    </cfRule>
  </conditionalFormatting>
  <conditionalFormatting sqref="D128:AH128">
    <cfRule type="cellIs" dxfId="358" priority="246" operator="equal">
      <formula>"SP"</formula>
    </cfRule>
    <cfRule type="cellIs" dxfId="357" priority="247" operator="equal">
      <formula>"."</formula>
    </cfRule>
  </conditionalFormatting>
  <conditionalFormatting sqref="D130:AH130">
    <cfRule type="cellIs" dxfId="356" priority="241" operator="equal">
      <formula>"AL"</formula>
    </cfRule>
    <cfRule type="cellIs" dxfId="355" priority="242" operator="equal">
      <formula>"NA"</formula>
    </cfRule>
    <cfRule type="cellIs" dxfId="354" priority="243" operator="equal">
      <formula>"SL"</formula>
    </cfRule>
    <cfRule type="cellIs" dxfId="353" priority="244" stopIfTrue="1" operator="equal">
      <formula>"X"</formula>
    </cfRule>
    <cfRule type="cellIs" dxfId="352" priority="245" operator="equal">
      <formula>"H"</formula>
    </cfRule>
  </conditionalFormatting>
  <conditionalFormatting sqref="D130:AH130">
    <cfRule type="cellIs" dxfId="351" priority="239" operator="equal">
      <formula>"SP"</formula>
    </cfRule>
    <cfRule type="cellIs" dxfId="350" priority="240" operator="equal">
      <formula>"."</formula>
    </cfRule>
  </conditionalFormatting>
  <conditionalFormatting sqref="D132:AH132">
    <cfRule type="cellIs" dxfId="349" priority="234" operator="equal">
      <formula>"AL"</formula>
    </cfRule>
    <cfRule type="cellIs" dxfId="348" priority="235" operator="equal">
      <formula>"NA"</formula>
    </cfRule>
    <cfRule type="cellIs" dxfId="347" priority="236" operator="equal">
      <formula>"SL"</formula>
    </cfRule>
    <cfRule type="cellIs" dxfId="346" priority="237" stopIfTrue="1" operator="equal">
      <formula>"X"</formula>
    </cfRule>
    <cfRule type="cellIs" dxfId="345" priority="238" operator="equal">
      <formula>"H"</formula>
    </cfRule>
  </conditionalFormatting>
  <conditionalFormatting sqref="D132:AH132">
    <cfRule type="cellIs" dxfId="344" priority="232" operator="equal">
      <formula>"SP"</formula>
    </cfRule>
    <cfRule type="cellIs" dxfId="343" priority="233" operator="equal">
      <formula>"."</formula>
    </cfRule>
  </conditionalFormatting>
  <conditionalFormatting sqref="D134:AH134">
    <cfRule type="cellIs" dxfId="342" priority="227" operator="equal">
      <formula>"AL"</formula>
    </cfRule>
    <cfRule type="cellIs" dxfId="341" priority="228" operator="equal">
      <formula>"NA"</formula>
    </cfRule>
    <cfRule type="cellIs" dxfId="340" priority="229" operator="equal">
      <formula>"SL"</formula>
    </cfRule>
    <cfRule type="cellIs" dxfId="339" priority="230" stopIfTrue="1" operator="equal">
      <formula>"X"</formula>
    </cfRule>
    <cfRule type="cellIs" dxfId="338" priority="231" operator="equal">
      <formula>"H"</formula>
    </cfRule>
  </conditionalFormatting>
  <conditionalFormatting sqref="D134:AH134">
    <cfRule type="cellIs" dxfId="337" priority="225" operator="equal">
      <formula>"SP"</formula>
    </cfRule>
    <cfRule type="cellIs" dxfId="336" priority="226" operator="equal">
      <formula>"."</formula>
    </cfRule>
  </conditionalFormatting>
  <conditionalFormatting sqref="D165:AG166">
    <cfRule type="cellIs" dxfId="335" priority="113" operator="equal">
      <formula>"SP"</formula>
    </cfRule>
    <cfRule type="cellIs" dxfId="334" priority="114" operator="equal">
      <formula>"."</formula>
    </cfRule>
  </conditionalFormatting>
  <conditionalFormatting sqref="D150:AG150">
    <cfRule type="cellIs" dxfId="333" priority="220" operator="equal">
      <formula>"AL"</formula>
    </cfRule>
    <cfRule type="cellIs" dxfId="332" priority="221" operator="equal">
      <formula>"NA"</formula>
    </cfRule>
    <cfRule type="cellIs" dxfId="331" priority="222" operator="equal">
      <formula>"SL"</formula>
    </cfRule>
    <cfRule type="cellIs" dxfId="330" priority="223" stopIfTrue="1" operator="equal">
      <formula>"X"</formula>
    </cfRule>
    <cfRule type="cellIs" dxfId="329" priority="224" operator="equal">
      <formula>"H"</formula>
    </cfRule>
  </conditionalFormatting>
  <conditionalFormatting sqref="D150:AG150">
    <cfRule type="cellIs" dxfId="328" priority="218" operator="equal">
      <formula>"SP"</formula>
    </cfRule>
    <cfRule type="cellIs" dxfId="327" priority="219" operator="equal">
      <formula>"."</formula>
    </cfRule>
  </conditionalFormatting>
  <conditionalFormatting sqref="D152:AG152">
    <cfRule type="cellIs" dxfId="326" priority="213" operator="equal">
      <formula>"AL"</formula>
    </cfRule>
    <cfRule type="cellIs" dxfId="325" priority="214" operator="equal">
      <formula>"NA"</formula>
    </cfRule>
    <cfRule type="cellIs" dxfId="324" priority="215" operator="equal">
      <formula>"SL"</formula>
    </cfRule>
    <cfRule type="cellIs" dxfId="323" priority="216" stopIfTrue="1" operator="equal">
      <formula>"X"</formula>
    </cfRule>
    <cfRule type="cellIs" dxfId="322" priority="217" operator="equal">
      <formula>"H"</formula>
    </cfRule>
  </conditionalFormatting>
  <conditionalFormatting sqref="D152:AG152">
    <cfRule type="cellIs" dxfId="321" priority="211" operator="equal">
      <formula>"SP"</formula>
    </cfRule>
    <cfRule type="cellIs" dxfId="320" priority="212" operator="equal">
      <formula>"."</formula>
    </cfRule>
  </conditionalFormatting>
  <conditionalFormatting sqref="D154:AG154">
    <cfRule type="cellIs" dxfId="319" priority="206" operator="equal">
      <formula>"AL"</formula>
    </cfRule>
    <cfRule type="cellIs" dxfId="318" priority="207" operator="equal">
      <formula>"NA"</formula>
    </cfRule>
    <cfRule type="cellIs" dxfId="317" priority="208" operator="equal">
      <formula>"SL"</formula>
    </cfRule>
    <cfRule type="cellIs" dxfId="316" priority="209" stopIfTrue="1" operator="equal">
      <formula>"X"</formula>
    </cfRule>
    <cfRule type="cellIs" dxfId="315" priority="210" operator="equal">
      <formula>"H"</formula>
    </cfRule>
  </conditionalFormatting>
  <conditionalFormatting sqref="D154:AG154">
    <cfRule type="cellIs" dxfId="314" priority="204" operator="equal">
      <formula>"SP"</formula>
    </cfRule>
    <cfRule type="cellIs" dxfId="313" priority="205" operator="equal">
      <formula>"."</formula>
    </cfRule>
  </conditionalFormatting>
  <conditionalFormatting sqref="D156:AG156">
    <cfRule type="cellIs" dxfId="312" priority="199" operator="equal">
      <formula>"AL"</formula>
    </cfRule>
    <cfRule type="cellIs" dxfId="311" priority="200" operator="equal">
      <formula>"NA"</formula>
    </cfRule>
    <cfRule type="cellIs" dxfId="310" priority="201" operator="equal">
      <formula>"SL"</formula>
    </cfRule>
    <cfRule type="cellIs" dxfId="309" priority="202" stopIfTrue="1" operator="equal">
      <formula>"X"</formula>
    </cfRule>
    <cfRule type="cellIs" dxfId="308" priority="203" operator="equal">
      <formula>"H"</formula>
    </cfRule>
  </conditionalFormatting>
  <conditionalFormatting sqref="D156:AG156">
    <cfRule type="cellIs" dxfId="307" priority="197" operator="equal">
      <formula>"SP"</formula>
    </cfRule>
    <cfRule type="cellIs" dxfId="306" priority="198" operator="equal">
      <formula>"."</formula>
    </cfRule>
  </conditionalFormatting>
  <conditionalFormatting sqref="D158:AG158">
    <cfRule type="cellIs" dxfId="305" priority="192" operator="equal">
      <formula>"AL"</formula>
    </cfRule>
    <cfRule type="cellIs" dxfId="304" priority="193" operator="equal">
      <formula>"NA"</formula>
    </cfRule>
    <cfRule type="cellIs" dxfId="303" priority="194" operator="equal">
      <formula>"SL"</formula>
    </cfRule>
    <cfRule type="cellIs" dxfId="302" priority="195" stopIfTrue="1" operator="equal">
      <formula>"X"</formula>
    </cfRule>
    <cfRule type="cellIs" dxfId="301" priority="196" operator="equal">
      <formula>"H"</formula>
    </cfRule>
  </conditionalFormatting>
  <conditionalFormatting sqref="D158:AG158">
    <cfRule type="cellIs" dxfId="300" priority="190" operator="equal">
      <formula>"SP"</formula>
    </cfRule>
    <cfRule type="cellIs" dxfId="299" priority="191" operator="equal">
      <formula>"."</formula>
    </cfRule>
  </conditionalFormatting>
  <conditionalFormatting sqref="D160:AG160">
    <cfRule type="cellIs" dxfId="298" priority="185" operator="equal">
      <formula>"AL"</formula>
    </cfRule>
    <cfRule type="cellIs" dxfId="297" priority="186" operator="equal">
      <formula>"NA"</formula>
    </cfRule>
    <cfRule type="cellIs" dxfId="296" priority="187" operator="equal">
      <formula>"SL"</formula>
    </cfRule>
    <cfRule type="cellIs" dxfId="295" priority="188" stopIfTrue="1" operator="equal">
      <formula>"X"</formula>
    </cfRule>
    <cfRule type="cellIs" dxfId="294" priority="189" operator="equal">
      <formula>"H"</formula>
    </cfRule>
  </conditionalFormatting>
  <conditionalFormatting sqref="D160:AG160">
    <cfRule type="cellIs" dxfId="293" priority="183" operator="equal">
      <formula>"SP"</formula>
    </cfRule>
    <cfRule type="cellIs" dxfId="292" priority="184" operator="equal">
      <formula>"."</formula>
    </cfRule>
  </conditionalFormatting>
  <conditionalFormatting sqref="D162:AG162">
    <cfRule type="cellIs" dxfId="291" priority="178" operator="equal">
      <formula>"AL"</formula>
    </cfRule>
    <cfRule type="cellIs" dxfId="290" priority="179" operator="equal">
      <formula>"NA"</formula>
    </cfRule>
    <cfRule type="cellIs" dxfId="289" priority="180" operator="equal">
      <formula>"SL"</formula>
    </cfRule>
    <cfRule type="cellIs" dxfId="288" priority="181" stopIfTrue="1" operator="equal">
      <formula>"X"</formula>
    </cfRule>
    <cfRule type="cellIs" dxfId="287" priority="182" operator="equal">
      <formula>"H"</formula>
    </cfRule>
  </conditionalFormatting>
  <conditionalFormatting sqref="D162:AG162">
    <cfRule type="cellIs" dxfId="286" priority="176" operator="equal">
      <formula>"SP"</formula>
    </cfRule>
    <cfRule type="cellIs" dxfId="285" priority="177" operator="equal">
      <formula>"."</formula>
    </cfRule>
  </conditionalFormatting>
  <conditionalFormatting sqref="D164:AG164">
    <cfRule type="cellIs" dxfId="284" priority="171" operator="equal">
      <formula>"AL"</formula>
    </cfRule>
    <cfRule type="cellIs" dxfId="283" priority="172" operator="equal">
      <formula>"NA"</formula>
    </cfRule>
    <cfRule type="cellIs" dxfId="282" priority="173" operator="equal">
      <formula>"SL"</formula>
    </cfRule>
    <cfRule type="cellIs" dxfId="281" priority="174" stopIfTrue="1" operator="equal">
      <formula>"X"</formula>
    </cfRule>
    <cfRule type="cellIs" dxfId="280" priority="175" operator="equal">
      <formula>"H"</formula>
    </cfRule>
  </conditionalFormatting>
  <conditionalFormatting sqref="D164:AG164">
    <cfRule type="cellIs" dxfId="279" priority="169" operator="equal">
      <formula>"SP"</formula>
    </cfRule>
    <cfRule type="cellIs" dxfId="278" priority="170" operator="equal">
      <formula>"."</formula>
    </cfRule>
  </conditionalFormatting>
  <conditionalFormatting sqref="D151:AG151">
    <cfRule type="cellIs" dxfId="277" priority="164" operator="equal">
      <formula>"AL"</formula>
    </cfRule>
    <cfRule type="cellIs" dxfId="276" priority="165" operator="equal">
      <formula>"NA"</formula>
    </cfRule>
    <cfRule type="cellIs" dxfId="275" priority="166" operator="equal">
      <formula>"SL"</formula>
    </cfRule>
    <cfRule type="cellIs" dxfId="274" priority="167" stopIfTrue="1" operator="equal">
      <formula>"X"</formula>
    </cfRule>
    <cfRule type="cellIs" dxfId="273" priority="168" operator="equal">
      <formula>"H"</formula>
    </cfRule>
  </conditionalFormatting>
  <conditionalFormatting sqref="D151:AG151">
    <cfRule type="cellIs" dxfId="272" priority="162" operator="equal">
      <formula>"SP"</formula>
    </cfRule>
    <cfRule type="cellIs" dxfId="271" priority="163" operator="equal">
      <formula>"."</formula>
    </cfRule>
  </conditionalFormatting>
  <conditionalFormatting sqref="D153:AG153">
    <cfRule type="cellIs" dxfId="270" priority="157" operator="equal">
      <formula>"AL"</formula>
    </cfRule>
    <cfRule type="cellIs" dxfId="269" priority="158" operator="equal">
      <formula>"NA"</formula>
    </cfRule>
    <cfRule type="cellIs" dxfId="268" priority="159" operator="equal">
      <formula>"SL"</formula>
    </cfRule>
    <cfRule type="cellIs" dxfId="267" priority="160" stopIfTrue="1" operator="equal">
      <formula>"X"</formula>
    </cfRule>
    <cfRule type="cellIs" dxfId="266" priority="161" operator="equal">
      <formula>"H"</formula>
    </cfRule>
  </conditionalFormatting>
  <conditionalFormatting sqref="D153:AG153">
    <cfRule type="cellIs" dxfId="265" priority="155" operator="equal">
      <formula>"SP"</formula>
    </cfRule>
    <cfRule type="cellIs" dxfId="264" priority="156" operator="equal">
      <formula>"."</formula>
    </cfRule>
  </conditionalFormatting>
  <conditionalFormatting sqref="D155:AG155">
    <cfRule type="cellIs" dxfId="263" priority="150" operator="equal">
      <formula>"AL"</formula>
    </cfRule>
    <cfRule type="cellIs" dxfId="262" priority="151" operator="equal">
      <formula>"NA"</formula>
    </cfRule>
    <cfRule type="cellIs" dxfId="261" priority="152" operator="equal">
      <formula>"SL"</formula>
    </cfRule>
    <cfRule type="cellIs" dxfId="260" priority="153" stopIfTrue="1" operator="equal">
      <formula>"X"</formula>
    </cfRule>
    <cfRule type="cellIs" dxfId="259" priority="154" operator="equal">
      <formula>"H"</formula>
    </cfRule>
  </conditionalFormatting>
  <conditionalFormatting sqref="D155:AG155">
    <cfRule type="cellIs" dxfId="258" priority="148" operator="equal">
      <formula>"SP"</formula>
    </cfRule>
    <cfRule type="cellIs" dxfId="257" priority="149" operator="equal">
      <formula>"."</formula>
    </cfRule>
  </conditionalFormatting>
  <conditionalFormatting sqref="D157:AG157">
    <cfRule type="cellIs" dxfId="256" priority="143" operator="equal">
      <formula>"AL"</formula>
    </cfRule>
    <cfRule type="cellIs" dxfId="255" priority="144" operator="equal">
      <formula>"NA"</formula>
    </cfRule>
    <cfRule type="cellIs" dxfId="254" priority="145" operator="equal">
      <formula>"SL"</formula>
    </cfRule>
    <cfRule type="cellIs" dxfId="253" priority="146" stopIfTrue="1" operator="equal">
      <formula>"X"</formula>
    </cfRule>
    <cfRule type="cellIs" dxfId="252" priority="147" operator="equal">
      <formula>"H"</formula>
    </cfRule>
  </conditionalFormatting>
  <conditionalFormatting sqref="D157:AG157">
    <cfRule type="cellIs" dxfId="251" priority="141" operator="equal">
      <formula>"SP"</formula>
    </cfRule>
    <cfRule type="cellIs" dxfId="250" priority="142" operator="equal">
      <formula>"."</formula>
    </cfRule>
  </conditionalFormatting>
  <conditionalFormatting sqref="D159:AG159">
    <cfRule type="cellIs" dxfId="249" priority="136" operator="equal">
      <formula>"AL"</formula>
    </cfRule>
    <cfRule type="cellIs" dxfId="248" priority="137" operator="equal">
      <formula>"NA"</formula>
    </cfRule>
    <cfRule type="cellIs" dxfId="247" priority="138" operator="equal">
      <formula>"SL"</formula>
    </cfRule>
    <cfRule type="cellIs" dxfId="246" priority="139" stopIfTrue="1" operator="equal">
      <formula>"X"</formula>
    </cfRule>
    <cfRule type="cellIs" dxfId="245" priority="140" operator="equal">
      <formula>"H"</formula>
    </cfRule>
  </conditionalFormatting>
  <conditionalFormatting sqref="D159:AG159">
    <cfRule type="cellIs" dxfId="244" priority="134" operator="equal">
      <formula>"SP"</formula>
    </cfRule>
    <cfRule type="cellIs" dxfId="243" priority="135" operator="equal">
      <formula>"."</formula>
    </cfRule>
  </conditionalFormatting>
  <conditionalFormatting sqref="D161:AG161">
    <cfRule type="cellIs" dxfId="242" priority="129" operator="equal">
      <formula>"AL"</formula>
    </cfRule>
    <cfRule type="cellIs" dxfId="241" priority="130" operator="equal">
      <formula>"NA"</formula>
    </cfRule>
    <cfRule type="cellIs" dxfId="240" priority="131" operator="equal">
      <formula>"SL"</formula>
    </cfRule>
    <cfRule type="cellIs" dxfId="239" priority="132" stopIfTrue="1" operator="equal">
      <formula>"X"</formula>
    </cfRule>
    <cfRule type="cellIs" dxfId="238" priority="133" operator="equal">
      <formula>"H"</formula>
    </cfRule>
  </conditionalFormatting>
  <conditionalFormatting sqref="D161:AG161">
    <cfRule type="cellIs" dxfId="237" priority="127" operator="equal">
      <formula>"SP"</formula>
    </cfRule>
    <cfRule type="cellIs" dxfId="236" priority="128" operator="equal">
      <formula>"."</formula>
    </cfRule>
  </conditionalFormatting>
  <conditionalFormatting sqref="D163:AG163">
    <cfRule type="cellIs" dxfId="235" priority="122" operator="equal">
      <formula>"AL"</formula>
    </cfRule>
    <cfRule type="cellIs" dxfId="234" priority="123" operator="equal">
      <formula>"NA"</formula>
    </cfRule>
    <cfRule type="cellIs" dxfId="233" priority="124" operator="equal">
      <formula>"SL"</formula>
    </cfRule>
    <cfRule type="cellIs" dxfId="232" priority="125" stopIfTrue="1" operator="equal">
      <formula>"X"</formula>
    </cfRule>
    <cfRule type="cellIs" dxfId="231" priority="126" operator="equal">
      <formula>"H"</formula>
    </cfRule>
  </conditionalFormatting>
  <conditionalFormatting sqref="D163:AG163">
    <cfRule type="cellIs" dxfId="230" priority="120" operator="equal">
      <formula>"SP"</formula>
    </cfRule>
    <cfRule type="cellIs" dxfId="229" priority="121" operator="equal">
      <formula>"."</formula>
    </cfRule>
  </conditionalFormatting>
  <conditionalFormatting sqref="D165:AG166">
    <cfRule type="cellIs" dxfId="228" priority="115" operator="equal">
      <formula>"AL"</formula>
    </cfRule>
    <cfRule type="cellIs" dxfId="227" priority="116" operator="equal">
      <formula>"NA"</formula>
    </cfRule>
    <cfRule type="cellIs" dxfId="226" priority="117" operator="equal">
      <formula>"SL"</formula>
    </cfRule>
    <cfRule type="cellIs" dxfId="225" priority="118" stopIfTrue="1" operator="equal">
      <formula>"X"</formula>
    </cfRule>
    <cfRule type="cellIs" dxfId="224" priority="119" operator="equal">
      <formula>"H"</formula>
    </cfRule>
  </conditionalFormatting>
  <conditionalFormatting sqref="D181:AH181">
    <cfRule type="cellIs" dxfId="223" priority="108" operator="equal">
      <formula>"AL"</formula>
    </cfRule>
    <cfRule type="cellIs" dxfId="222" priority="109" operator="equal">
      <formula>"NA"</formula>
    </cfRule>
    <cfRule type="cellIs" dxfId="221" priority="110" operator="equal">
      <formula>"SL"</formula>
    </cfRule>
    <cfRule type="cellIs" dxfId="220" priority="111" stopIfTrue="1" operator="equal">
      <formula>"X"</formula>
    </cfRule>
    <cfRule type="cellIs" dxfId="219" priority="112" operator="equal">
      <formula>"H"</formula>
    </cfRule>
  </conditionalFormatting>
  <conditionalFormatting sqref="D181:AH181">
    <cfRule type="cellIs" dxfId="213" priority="106" operator="equal">
      <formula>"SP"</formula>
    </cfRule>
    <cfRule type="cellIs" dxfId="212" priority="107" operator="equal">
      <formula>"."</formula>
    </cfRule>
  </conditionalFormatting>
  <conditionalFormatting sqref="D183:AH183">
    <cfRule type="cellIs" dxfId="209" priority="101" operator="equal">
      <formula>"AL"</formula>
    </cfRule>
    <cfRule type="cellIs" dxfId="208" priority="102" operator="equal">
      <formula>"NA"</formula>
    </cfRule>
    <cfRule type="cellIs" dxfId="207" priority="103" operator="equal">
      <formula>"SL"</formula>
    </cfRule>
    <cfRule type="cellIs" dxfId="206" priority="104" stopIfTrue="1" operator="equal">
      <formula>"X"</formula>
    </cfRule>
    <cfRule type="cellIs" dxfId="205" priority="105" operator="equal">
      <formula>"H"</formula>
    </cfRule>
  </conditionalFormatting>
  <conditionalFormatting sqref="D183:AH183">
    <cfRule type="cellIs" dxfId="199" priority="99" operator="equal">
      <formula>"SP"</formula>
    </cfRule>
    <cfRule type="cellIs" dxfId="198" priority="100" operator="equal">
      <formula>"."</formula>
    </cfRule>
  </conditionalFormatting>
  <conditionalFormatting sqref="D185:AH185">
    <cfRule type="cellIs" dxfId="195" priority="94" operator="equal">
      <formula>"AL"</formula>
    </cfRule>
    <cfRule type="cellIs" dxfId="194" priority="95" operator="equal">
      <formula>"NA"</formula>
    </cfRule>
    <cfRule type="cellIs" dxfId="193" priority="96" operator="equal">
      <formula>"SL"</formula>
    </cfRule>
    <cfRule type="cellIs" dxfId="192" priority="97" stopIfTrue="1" operator="equal">
      <formula>"X"</formula>
    </cfRule>
    <cfRule type="cellIs" dxfId="191" priority="98" operator="equal">
      <formula>"H"</formula>
    </cfRule>
  </conditionalFormatting>
  <conditionalFormatting sqref="D185:AH185">
    <cfRule type="cellIs" dxfId="185" priority="92" operator="equal">
      <formula>"SP"</formula>
    </cfRule>
    <cfRule type="cellIs" dxfId="184" priority="93" operator="equal">
      <formula>"."</formula>
    </cfRule>
  </conditionalFormatting>
  <conditionalFormatting sqref="D187:AH187">
    <cfRule type="cellIs" dxfId="181" priority="87" operator="equal">
      <formula>"AL"</formula>
    </cfRule>
    <cfRule type="cellIs" dxfId="180" priority="88" operator="equal">
      <formula>"NA"</formula>
    </cfRule>
    <cfRule type="cellIs" dxfId="179" priority="89" operator="equal">
      <formula>"SL"</formula>
    </cfRule>
    <cfRule type="cellIs" dxfId="178" priority="90" stopIfTrue="1" operator="equal">
      <formula>"X"</formula>
    </cfRule>
    <cfRule type="cellIs" dxfId="177" priority="91" operator="equal">
      <formula>"H"</formula>
    </cfRule>
  </conditionalFormatting>
  <conditionalFormatting sqref="D187:AH187">
    <cfRule type="cellIs" dxfId="171" priority="85" operator="equal">
      <formula>"SP"</formula>
    </cfRule>
    <cfRule type="cellIs" dxfId="170" priority="86" operator="equal">
      <formula>"."</formula>
    </cfRule>
  </conditionalFormatting>
  <conditionalFormatting sqref="D189:AH189">
    <cfRule type="cellIs" dxfId="167" priority="80" operator="equal">
      <formula>"AL"</formula>
    </cfRule>
    <cfRule type="cellIs" dxfId="166" priority="81" operator="equal">
      <formula>"NA"</formula>
    </cfRule>
    <cfRule type="cellIs" dxfId="165" priority="82" operator="equal">
      <formula>"SL"</formula>
    </cfRule>
    <cfRule type="cellIs" dxfId="164" priority="83" stopIfTrue="1" operator="equal">
      <formula>"X"</formula>
    </cfRule>
    <cfRule type="cellIs" dxfId="163" priority="84" operator="equal">
      <formula>"H"</formula>
    </cfRule>
  </conditionalFormatting>
  <conditionalFormatting sqref="D189:AH189">
    <cfRule type="cellIs" dxfId="157" priority="78" operator="equal">
      <formula>"SP"</formula>
    </cfRule>
    <cfRule type="cellIs" dxfId="156" priority="79" operator="equal">
      <formula>"."</formula>
    </cfRule>
  </conditionalFormatting>
  <conditionalFormatting sqref="D191:AH191">
    <cfRule type="cellIs" dxfId="153" priority="73" operator="equal">
      <formula>"AL"</formula>
    </cfRule>
    <cfRule type="cellIs" dxfId="152" priority="74" operator="equal">
      <formula>"NA"</formula>
    </cfRule>
    <cfRule type="cellIs" dxfId="151" priority="75" operator="equal">
      <formula>"SL"</formula>
    </cfRule>
    <cfRule type="cellIs" dxfId="150" priority="76" stopIfTrue="1" operator="equal">
      <formula>"X"</formula>
    </cfRule>
    <cfRule type="cellIs" dxfId="149" priority="77" operator="equal">
      <formula>"H"</formula>
    </cfRule>
  </conditionalFormatting>
  <conditionalFormatting sqref="D191:AH191">
    <cfRule type="cellIs" dxfId="143" priority="71" operator="equal">
      <formula>"SP"</formula>
    </cfRule>
    <cfRule type="cellIs" dxfId="142" priority="72" operator="equal">
      <formula>"."</formula>
    </cfRule>
  </conditionalFormatting>
  <conditionalFormatting sqref="D193:AH193">
    <cfRule type="cellIs" dxfId="139" priority="66" operator="equal">
      <formula>"AL"</formula>
    </cfRule>
    <cfRule type="cellIs" dxfId="138" priority="67" operator="equal">
      <formula>"NA"</formula>
    </cfRule>
    <cfRule type="cellIs" dxfId="137" priority="68" operator="equal">
      <formula>"SL"</formula>
    </cfRule>
    <cfRule type="cellIs" dxfId="136" priority="69" stopIfTrue="1" operator="equal">
      <formula>"X"</formula>
    </cfRule>
    <cfRule type="cellIs" dxfId="135" priority="70" operator="equal">
      <formula>"H"</formula>
    </cfRule>
  </conditionalFormatting>
  <conditionalFormatting sqref="D193:AH193">
    <cfRule type="cellIs" dxfId="129" priority="64" operator="equal">
      <formula>"SP"</formula>
    </cfRule>
    <cfRule type="cellIs" dxfId="128" priority="65" operator="equal">
      <formula>"."</formula>
    </cfRule>
  </conditionalFormatting>
  <conditionalFormatting sqref="D195:AH195">
    <cfRule type="cellIs" dxfId="125" priority="59" operator="equal">
      <formula>"AL"</formula>
    </cfRule>
    <cfRule type="cellIs" dxfId="124" priority="60" operator="equal">
      <formula>"NA"</formula>
    </cfRule>
    <cfRule type="cellIs" dxfId="123" priority="61" operator="equal">
      <formula>"SL"</formula>
    </cfRule>
    <cfRule type="cellIs" dxfId="122" priority="62" stopIfTrue="1" operator="equal">
      <formula>"X"</formula>
    </cfRule>
    <cfRule type="cellIs" dxfId="121" priority="63" operator="equal">
      <formula>"H"</formula>
    </cfRule>
  </conditionalFormatting>
  <conditionalFormatting sqref="D195:AH195">
    <cfRule type="cellIs" dxfId="115" priority="57" operator="equal">
      <formula>"SP"</formula>
    </cfRule>
    <cfRule type="cellIs" dxfId="114" priority="58" operator="equal">
      <formula>"."</formula>
    </cfRule>
  </conditionalFormatting>
  <conditionalFormatting sqref="D182:AH182">
    <cfRule type="cellIs" dxfId="111" priority="52" operator="equal">
      <formula>"AL"</formula>
    </cfRule>
    <cfRule type="cellIs" dxfId="110" priority="53" operator="equal">
      <formula>"NA"</formula>
    </cfRule>
    <cfRule type="cellIs" dxfId="109" priority="54" operator="equal">
      <formula>"SL"</formula>
    </cfRule>
    <cfRule type="cellIs" dxfId="108" priority="55" stopIfTrue="1" operator="equal">
      <formula>"X"</formula>
    </cfRule>
    <cfRule type="cellIs" dxfId="107" priority="56" operator="equal">
      <formula>"H"</formula>
    </cfRule>
  </conditionalFormatting>
  <conditionalFormatting sqref="D182:AH182">
    <cfRule type="cellIs" dxfId="101" priority="50" operator="equal">
      <formula>"SP"</formula>
    </cfRule>
    <cfRule type="cellIs" dxfId="100" priority="51" operator="equal">
      <formula>"."</formula>
    </cfRule>
  </conditionalFormatting>
  <conditionalFormatting sqref="D184:AH184">
    <cfRule type="cellIs" dxfId="97" priority="45" operator="equal">
      <formula>"AL"</formula>
    </cfRule>
    <cfRule type="cellIs" dxfId="96" priority="46" operator="equal">
      <formula>"NA"</formula>
    </cfRule>
    <cfRule type="cellIs" dxfId="95" priority="47" operator="equal">
      <formula>"SL"</formula>
    </cfRule>
    <cfRule type="cellIs" dxfId="94" priority="48" stopIfTrue="1" operator="equal">
      <formula>"X"</formula>
    </cfRule>
    <cfRule type="cellIs" dxfId="93" priority="49" operator="equal">
      <formula>"H"</formula>
    </cfRule>
  </conditionalFormatting>
  <conditionalFormatting sqref="D184:AH184">
    <cfRule type="cellIs" dxfId="87" priority="43" operator="equal">
      <formula>"SP"</formula>
    </cfRule>
    <cfRule type="cellIs" dxfId="86" priority="44" operator="equal">
      <formula>"."</formula>
    </cfRule>
  </conditionalFormatting>
  <conditionalFormatting sqref="D186:AH186">
    <cfRule type="cellIs" dxfId="83" priority="38" operator="equal">
      <formula>"AL"</formula>
    </cfRule>
    <cfRule type="cellIs" dxfId="82" priority="39" operator="equal">
      <formula>"NA"</formula>
    </cfRule>
    <cfRule type="cellIs" dxfId="81" priority="40" operator="equal">
      <formula>"SL"</formula>
    </cfRule>
    <cfRule type="cellIs" dxfId="80" priority="41" stopIfTrue="1" operator="equal">
      <formula>"X"</formula>
    </cfRule>
    <cfRule type="cellIs" dxfId="79" priority="42" operator="equal">
      <formula>"H"</formula>
    </cfRule>
  </conditionalFormatting>
  <conditionalFormatting sqref="D186:AH186">
    <cfRule type="cellIs" dxfId="73" priority="36" operator="equal">
      <formula>"SP"</formula>
    </cfRule>
    <cfRule type="cellIs" dxfId="72" priority="37" operator="equal">
      <formula>"."</formula>
    </cfRule>
  </conditionalFormatting>
  <conditionalFormatting sqref="D188:AH188">
    <cfRule type="cellIs" dxfId="69" priority="31" operator="equal">
      <formula>"AL"</formula>
    </cfRule>
    <cfRule type="cellIs" dxfId="68" priority="32" operator="equal">
      <formula>"NA"</formula>
    </cfRule>
    <cfRule type="cellIs" dxfId="67" priority="33" operator="equal">
      <formula>"SL"</formula>
    </cfRule>
    <cfRule type="cellIs" dxfId="66" priority="34" stopIfTrue="1" operator="equal">
      <formula>"X"</formula>
    </cfRule>
    <cfRule type="cellIs" dxfId="65" priority="35" operator="equal">
      <formula>"H"</formula>
    </cfRule>
  </conditionalFormatting>
  <conditionalFormatting sqref="D188:AH188">
    <cfRule type="cellIs" dxfId="59" priority="29" operator="equal">
      <formula>"SP"</formula>
    </cfRule>
    <cfRule type="cellIs" dxfId="58" priority="30" operator="equal">
      <formula>"."</formula>
    </cfRule>
  </conditionalFormatting>
  <conditionalFormatting sqref="D190:AH190">
    <cfRule type="cellIs" dxfId="55" priority="24" operator="equal">
      <formula>"AL"</formula>
    </cfRule>
    <cfRule type="cellIs" dxfId="54" priority="25" operator="equal">
      <formula>"NA"</formula>
    </cfRule>
    <cfRule type="cellIs" dxfId="53" priority="26" operator="equal">
      <formula>"SL"</formula>
    </cfRule>
    <cfRule type="cellIs" dxfId="52" priority="27" stopIfTrue="1" operator="equal">
      <formula>"X"</formula>
    </cfRule>
    <cfRule type="cellIs" dxfId="51" priority="28" operator="equal">
      <formula>"H"</formula>
    </cfRule>
  </conditionalFormatting>
  <conditionalFormatting sqref="D190:AH190">
    <cfRule type="cellIs" dxfId="45" priority="22" operator="equal">
      <formula>"SP"</formula>
    </cfRule>
    <cfRule type="cellIs" dxfId="44" priority="23" operator="equal">
      <formula>"."</formula>
    </cfRule>
  </conditionalFormatting>
  <conditionalFormatting sqref="D192:AH192">
    <cfRule type="cellIs" dxfId="41" priority="17" operator="equal">
      <formula>"AL"</formula>
    </cfRule>
    <cfRule type="cellIs" dxfId="40" priority="18" operator="equal">
      <formula>"NA"</formula>
    </cfRule>
    <cfRule type="cellIs" dxfId="39" priority="19" operator="equal">
      <formula>"SL"</formula>
    </cfRule>
    <cfRule type="cellIs" dxfId="38" priority="20" stopIfTrue="1" operator="equal">
      <formula>"X"</formula>
    </cfRule>
    <cfRule type="cellIs" dxfId="37" priority="21" operator="equal">
      <formula>"H"</formula>
    </cfRule>
  </conditionalFormatting>
  <conditionalFormatting sqref="D192:AH192">
    <cfRule type="cellIs" dxfId="31" priority="15" operator="equal">
      <formula>"SP"</formula>
    </cfRule>
    <cfRule type="cellIs" dxfId="30" priority="16" operator="equal">
      <formula>"."</formula>
    </cfRule>
  </conditionalFormatting>
  <conditionalFormatting sqref="D194:AH194">
    <cfRule type="cellIs" dxfId="27" priority="10" operator="equal">
      <formula>"AL"</formula>
    </cfRule>
    <cfRule type="cellIs" dxfId="26" priority="11" operator="equal">
      <formula>"NA"</formula>
    </cfRule>
    <cfRule type="cellIs" dxfId="25" priority="12" operator="equal">
      <formula>"SL"</formula>
    </cfRule>
    <cfRule type="cellIs" dxfId="24" priority="13" stopIfTrue="1" operator="equal">
      <formula>"X"</formula>
    </cfRule>
    <cfRule type="cellIs" dxfId="23" priority="14" operator="equal">
      <formula>"H"</formula>
    </cfRule>
  </conditionalFormatting>
  <conditionalFormatting sqref="D194:AH194">
    <cfRule type="cellIs" dxfId="17" priority="8" operator="equal">
      <formula>"SP"</formula>
    </cfRule>
    <cfRule type="cellIs" dxfId="16" priority="9" operator="equal">
      <formula>"."</formula>
    </cfRule>
  </conditionalFormatting>
  <conditionalFormatting sqref="D196:AH196">
    <cfRule type="cellIs" dxfId="13" priority="3" operator="equal">
      <formula>"AL"</formula>
    </cfRule>
    <cfRule type="cellIs" dxfId="12" priority="4" operator="equal">
      <formula>"NA"</formula>
    </cfRule>
    <cfRule type="cellIs" dxfId="11" priority="5" operator="equal">
      <formula>"SL"</formula>
    </cfRule>
    <cfRule type="cellIs" dxfId="10" priority="6" stopIfTrue="1" operator="equal">
      <formula>"X"</formula>
    </cfRule>
    <cfRule type="cellIs" dxfId="9" priority="7" operator="equal">
      <formula>"H"</formula>
    </cfRule>
  </conditionalFormatting>
  <conditionalFormatting sqref="D196:AH196">
    <cfRule type="cellIs" dxfId="3" priority="1" operator="equal">
      <formula>"SP"</formula>
    </cfRule>
    <cfRule type="cellIs" dxfId="2" priority="2" operator="equal">
      <formula>"."</formula>
    </cfRule>
  </conditionalFormatting>
  <dataValidations count="5">
    <dataValidation type="list" allowBlank="1" showInputMessage="1" showErrorMessage="1" sqref="AH245:AH256 AH275:AH286 AG215:AH227">
      <formula1>Shifts</formula1>
    </dataValidation>
    <dataValidation type="list" allowBlank="1" showInputMessage="1" showErrorMessage="1" errorTitle="Invalid Entry" error="Entry can be D,A,N,RO,SL,AL or blank only!" sqref="D242:AH242">
      <formula1>Shifts</formula1>
    </dataValidation>
    <dataValidation type="list" allowBlank="1" showDropDown="1" showInputMessage="1" showErrorMessage="1" sqref="D227:AF227 D212:AH212">
      <formula1>Shifts</formula1>
    </dataValidation>
    <dataValidation type="list" allowBlank="1" showInputMessage="1" showErrorMessage="1" errorTitle="Invalid Entry" error="Entry can be D,A,N,H,RO,SL,AL,NA or blank only!" sqref="D26:AH41 D57:AH72 D88:AG104 D119:AH134 D150:AG166 D181:AH196">
      <formula1>Shifts</formula1>
    </dataValidation>
    <dataValidation type="list" allowBlank="1" showDropDown="1" showInputMessage="1" showErrorMessage="1" errorTitle="Invalid Entry" error="Entry can be D,A,N,H,RO,SL,AL,NA or blank only!" sqref="D200:AH211 D215:AF226 D230:AH241 D245:AG256 D260:AH271 D275:AG286 D14:AH25 D45:AH56 D107:AH118 D76:AG87 D138:AG149 D169:AH180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1" r:id="rId5" name="optSpecial">
          <controlPr defaultSize="0" autoLine="0" r:id="rId6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111" r:id="rId5" name="optSpecial"/>
      </mc:Fallback>
    </mc:AlternateContent>
    <mc:AlternateContent xmlns:mc="http://schemas.openxmlformats.org/markup-compatibility/2006">
      <mc:Choice Requires="x14">
        <control shapeId="1110" r:id="rId7" name="optHeatPolicy">
          <controlPr defaultSize="0" autoLine="0" r:id="rId8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30480</xdr:rowOff>
              </to>
            </anchor>
          </controlPr>
        </control>
      </mc:Choice>
      <mc:Fallback>
        <control shapeId="1110" r:id="rId7" name="optHeatPolicy"/>
      </mc:Fallback>
    </mc:AlternateContent>
    <mc:AlternateContent xmlns:mc="http://schemas.openxmlformats.org/markup-compatibility/2006">
      <mc:Choice Requires="x14">
        <control shapeId="1026" r:id="rId9" name="optDay">
          <controlPr defaultSize="0" print="0" autoLine="0" r:id="rId10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18</xdr:col>
                <xdr:colOff>7620</xdr:colOff>
                <xdr:row>11</xdr:row>
                <xdr:rowOff>53340</xdr:rowOff>
              </to>
            </anchor>
          </controlPr>
        </control>
      </mc:Choice>
      <mc:Fallback>
        <control shapeId="1026" r:id="rId9" name="optDay"/>
      </mc:Fallback>
    </mc:AlternateContent>
    <mc:AlternateContent xmlns:mc="http://schemas.openxmlformats.org/markup-compatibility/2006">
      <mc:Choice Requires="x14">
        <control shapeId="1027" r:id="rId11" name="optAfterNoon">
          <controlPr defaultSize="0" print="0" autoLine="0" r:id="rId12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027" r:id="rId11" name="optAfterNoon"/>
      </mc:Fallback>
    </mc:AlternateContent>
    <mc:AlternateContent xmlns:mc="http://schemas.openxmlformats.org/markup-compatibility/2006">
      <mc:Choice Requires="x14">
        <control shapeId="1028" r:id="rId13" name="optNight">
          <controlPr defaultSize="0" autoLine="0" r:id="rId14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12</xdr:col>
                <xdr:colOff>160020</xdr:colOff>
                <xdr:row>11</xdr:row>
                <xdr:rowOff>38100</xdr:rowOff>
              </to>
            </anchor>
          </controlPr>
        </control>
      </mc:Choice>
      <mc:Fallback>
        <control shapeId="1028" r:id="rId13" name="optNight"/>
      </mc:Fallback>
    </mc:AlternateContent>
    <mc:AlternateContent xmlns:mc="http://schemas.openxmlformats.org/markup-compatibility/2006">
      <mc:Choice Requires="x14">
        <control shapeId="1029" r:id="rId15" name="optRDO">
          <controlPr defaultSize="0" print="0" autoLine="0" r:id="rId16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60960</xdr:colOff>
                <xdr:row>11</xdr:row>
                <xdr:rowOff>38100</xdr:rowOff>
              </to>
            </anchor>
          </controlPr>
        </control>
      </mc:Choice>
      <mc:Fallback>
        <control shapeId="1029" r:id="rId15" name="optRDO"/>
      </mc:Fallback>
    </mc:AlternateContent>
    <mc:AlternateContent xmlns:mc="http://schemas.openxmlformats.org/markup-compatibility/2006">
      <mc:Choice Requires="x14">
        <control shapeId="1030" r:id="rId17" name="chkUseAutoMark">
          <controlPr defaultSize="0" autoLine="0" r:id="rId18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3</xdr:col>
                <xdr:colOff>60960</xdr:colOff>
                <xdr:row>11</xdr:row>
                <xdr:rowOff>45720</xdr:rowOff>
              </to>
            </anchor>
          </controlPr>
        </control>
      </mc:Choice>
      <mc:Fallback>
        <control shapeId="1030" r:id="rId17" name="chkUseAutoMark"/>
      </mc:Fallback>
    </mc:AlternateContent>
    <mc:AlternateContent xmlns:mc="http://schemas.openxmlformats.org/markup-compatibility/2006">
      <mc:Choice Requires="x14">
        <control shapeId="1047" r:id="rId19" name="optClear">
          <controlPr defaultSize="0" print="0" autoLine="0" r:id="rId20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121920</xdr:colOff>
                <xdr:row>11</xdr:row>
                <xdr:rowOff>38100</xdr:rowOff>
              </to>
            </anchor>
          </controlPr>
        </control>
      </mc:Choice>
      <mc:Fallback>
        <control shapeId="1047" r:id="rId19" name="optClear"/>
      </mc:Fallback>
    </mc:AlternateContent>
    <mc:AlternateContent xmlns:mc="http://schemas.openxmlformats.org/markup-compatibility/2006">
      <mc:Choice Requires="x14">
        <control shapeId="1095" r:id="rId21" name="optSickLeave">
          <controlPr defaultSize="0" print="0" autoLine="0" r:id="rId22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13</xdr:col>
                <xdr:colOff>220980</xdr:colOff>
                <xdr:row>11</xdr:row>
                <xdr:rowOff>38100</xdr:rowOff>
              </to>
            </anchor>
          </controlPr>
        </control>
      </mc:Choice>
      <mc:Fallback>
        <control shapeId="1095" r:id="rId21" name="optSickLeave"/>
      </mc:Fallback>
    </mc:AlternateContent>
    <mc:AlternateContent xmlns:mc="http://schemas.openxmlformats.org/markup-compatibility/2006">
      <mc:Choice Requires="x14">
        <control shapeId="1104" r:id="rId23" name="optAnnualLeave">
          <controlPr defaultSize="0" print="0" autoLine="0" r:id="rId24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20</xdr:col>
                <xdr:colOff>129540</xdr:colOff>
                <xdr:row>11</xdr:row>
                <xdr:rowOff>38100</xdr:rowOff>
              </to>
            </anchor>
          </controlPr>
        </control>
      </mc:Choice>
      <mc:Fallback>
        <control shapeId="1104" r:id="rId23" name="optAnnualLeave"/>
      </mc:Fallback>
    </mc:AlternateContent>
    <mc:AlternateContent xmlns:mc="http://schemas.openxmlformats.org/markup-compatibility/2006">
      <mc:Choice Requires="x14">
        <control shapeId="1105" r:id="rId25" name="cboYears">
          <controlPr defaultSize="0" autoLine="0" linkedCell="$B$4" listFillRange="Years" r:id="rId26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2</xdr:col>
                <xdr:colOff>800100</xdr:colOff>
                <xdr:row>11</xdr:row>
                <xdr:rowOff>99060</xdr:rowOff>
              </to>
            </anchor>
          </controlPr>
        </control>
      </mc:Choice>
      <mc:Fallback>
        <control shapeId="1105" r:id="rId25" name="cboYears"/>
      </mc:Fallback>
    </mc:AlternateContent>
    <mc:AlternateContent xmlns:mc="http://schemas.openxmlformats.org/markup-compatibility/2006">
      <mc:Choice Requires="x14">
        <control shapeId="1114" r:id="rId27" name="optNA">
          <controlPr defaultSize="0" autoLine="0" r:id="rId28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38100</xdr:rowOff>
              </to>
            </anchor>
          </controlPr>
        </control>
      </mc:Choice>
      <mc:Fallback>
        <control shapeId="1114" r:id="rId27" name="optN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M35"/>
  <sheetViews>
    <sheetView topLeftCell="A8" workbookViewId="0">
      <selection activeCell="G8" sqref="G8"/>
    </sheetView>
  </sheetViews>
  <sheetFormatPr defaultRowHeight="13.2"/>
  <cols>
    <col min="1" max="1" width="5.44140625" customWidth="1"/>
    <col min="2" max="2" width="7.44140625" customWidth="1"/>
    <col min="3" max="4" width="16.6640625" customWidth="1"/>
    <col min="7" max="7" width="14.5546875" customWidth="1"/>
    <col min="9" max="9" width="12" customWidth="1"/>
    <col min="11" max="11" width="17.21875" customWidth="1"/>
    <col min="13" max="13" width="13.5546875" customWidth="1"/>
  </cols>
  <sheetData>
    <row r="2" spans="2:13" ht="39" customHeight="1"/>
    <row r="3" spans="2:13" ht="17.399999999999999">
      <c r="C3" s="146" t="s">
        <v>24</v>
      </c>
      <c r="D3" s="147" t="s">
        <v>53</v>
      </c>
    </row>
    <row r="4" spans="2:13">
      <c r="G4" s="20" t="s">
        <v>52</v>
      </c>
    </row>
    <row r="5" spans="2:13" ht="13.8" thickBot="1"/>
    <row r="6" spans="2:13" ht="14.4" customHeight="1" thickBot="1">
      <c r="B6" s="186" t="s">
        <v>0</v>
      </c>
      <c r="C6" s="187"/>
      <c r="D6" s="187"/>
      <c r="E6" s="188"/>
      <c r="G6" s="184" t="s">
        <v>7</v>
      </c>
      <c r="I6" s="184" t="s">
        <v>12</v>
      </c>
      <c r="K6" s="184" t="s">
        <v>72</v>
      </c>
      <c r="M6" s="189" t="s">
        <v>73</v>
      </c>
    </row>
    <row r="7" spans="2:13" ht="14.4" customHeight="1" thickBot="1">
      <c r="B7" s="64"/>
      <c r="C7" s="65" t="s">
        <v>1</v>
      </c>
      <c r="D7" s="65" t="s">
        <v>2</v>
      </c>
      <c r="E7" s="65" t="s">
        <v>3</v>
      </c>
      <c r="G7" s="185"/>
      <c r="I7" s="185"/>
      <c r="K7" s="185"/>
      <c r="M7" s="189"/>
    </row>
    <row r="8" spans="2:13" ht="14.4" thickBot="1">
      <c r="B8" s="50" t="s">
        <v>30</v>
      </c>
      <c r="C8" s="58" t="s">
        <v>4</v>
      </c>
      <c r="D8" s="58" t="s">
        <v>28</v>
      </c>
      <c r="E8" s="63" t="str">
        <f>LEFT(EmpGName01)&amp;" " &amp; LEFT(EmpSName01)</f>
        <v>L M</v>
      </c>
      <c r="G8" s="59">
        <v>2016</v>
      </c>
      <c r="I8" s="168" t="s">
        <v>10</v>
      </c>
      <c r="K8" s="172">
        <v>43287</v>
      </c>
      <c r="M8" s="171">
        <f>InitialPeriodEnding</f>
        <v>43287</v>
      </c>
    </row>
    <row r="9" spans="2:13" ht="14.4" thickBot="1">
      <c r="B9" s="50" t="s">
        <v>31</v>
      </c>
      <c r="C9" s="58" t="s">
        <v>6</v>
      </c>
      <c r="D9" s="58" t="s">
        <v>26</v>
      </c>
      <c r="E9" s="63" t="str">
        <f>LEFT(EmpGName02)&amp;" " &amp; LEFT(EmpSName02)</f>
        <v>K S</v>
      </c>
      <c r="G9" s="60">
        <v>2017</v>
      </c>
      <c r="I9" s="169" t="s">
        <v>11</v>
      </c>
      <c r="M9" s="171">
        <f>M8+7*2</f>
        <v>43301</v>
      </c>
    </row>
    <row r="10" spans="2:13" ht="14.4" thickBot="1">
      <c r="B10" s="50" t="s">
        <v>32</v>
      </c>
      <c r="C10" s="58" t="s">
        <v>5</v>
      </c>
      <c r="D10" s="58" t="s">
        <v>27</v>
      </c>
      <c r="E10" s="63" t="str">
        <f>LEFT(EmpGName03)&amp;" " &amp; LEFT(EmpSName03)</f>
        <v>I T</v>
      </c>
      <c r="G10" s="60">
        <v>2018</v>
      </c>
      <c r="I10" s="169" t="s">
        <v>9</v>
      </c>
      <c r="M10" s="171">
        <f t="shared" ref="M10:M34" si="0">M9+7*2</f>
        <v>43315</v>
      </c>
    </row>
    <row r="11" spans="2:13" ht="14.4" thickBot="1">
      <c r="B11" s="50" t="s">
        <v>33</v>
      </c>
      <c r="C11" s="58" t="s">
        <v>42</v>
      </c>
      <c r="D11" s="58" t="s">
        <v>41</v>
      </c>
      <c r="E11" s="63" t="str">
        <f>LEFT(EmpGName04)&amp;" " &amp; LEFT(EmpSName04)</f>
        <v>L K</v>
      </c>
      <c r="G11" s="60">
        <v>2019</v>
      </c>
      <c r="I11" s="169" t="s">
        <v>58</v>
      </c>
      <c r="M11" s="171">
        <f t="shared" si="0"/>
        <v>43329</v>
      </c>
    </row>
    <row r="12" spans="2:13" ht="14.4" thickBot="1">
      <c r="B12" s="50" t="s">
        <v>34</v>
      </c>
      <c r="C12" s="58" t="s">
        <v>44</v>
      </c>
      <c r="D12" s="58" t="s">
        <v>43</v>
      </c>
      <c r="E12" s="63" t="str">
        <f>LEFT(EmpGName05)&amp;" " &amp; LEFT(EmpSName05)</f>
        <v>D C</v>
      </c>
      <c r="G12" s="60">
        <v>2020</v>
      </c>
      <c r="I12" s="169" t="s">
        <v>39</v>
      </c>
      <c r="M12" s="171">
        <f t="shared" si="0"/>
        <v>43343</v>
      </c>
    </row>
    <row r="13" spans="2:13" ht="14.4" thickBot="1">
      <c r="B13" s="50" t="s">
        <v>35</v>
      </c>
      <c r="C13" s="58" t="s">
        <v>56</v>
      </c>
      <c r="D13" s="58" t="s">
        <v>57</v>
      </c>
      <c r="E13" s="63" t="str">
        <f>LEFT(EmpGName06)&amp;" " &amp; LEFT(EmpSName06)</f>
        <v>R F</v>
      </c>
      <c r="G13" s="60">
        <v>2021</v>
      </c>
      <c r="I13" s="169" t="s">
        <v>40</v>
      </c>
      <c r="M13" s="171">
        <f t="shared" si="0"/>
        <v>43357</v>
      </c>
    </row>
    <row r="14" spans="2:13" ht="14.4" thickBot="1">
      <c r="B14" s="50" t="s">
        <v>36</v>
      </c>
      <c r="C14" s="58" t="s">
        <v>54</v>
      </c>
      <c r="D14" s="58" t="s">
        <v>55</v>
      </c>
      <c r="E14" s="63" t="str">
        <f>LEFT(EmpGName07)&amp;" " &amp; LEFT(EmpSName07)</f>
        <v>T S</v>
      </c>
      <c r="G14" s="61">
        <v>2022</v>
      </c>
      <c r="I14" s="169" t="s">
        <v>45</v>
      </c>
      <c r="M14" s="171">
        <f t="shared" si="0"/>
        <v>43371</v>
      </c>
    </row>
    <row r="15" spans="2:13" ht="14.4" thickBot="1">
      <c r="B15" s="50" t="s">
        <v>37</v>
      </c>
      <c r="C15" s="58" t="s">
        <v>91</v>
      </c>
      <c r="D15" s="58" t="s">
        <v>92</v>
      </c>
      <c r="E15" s="63" t="str">
        <f>LEFT(EmpGName08)&amp;" " &amp; LEFT(EmpSName08)</f>
        <v>B O</v>
      </c>
      <c r="I15" s="169" t="s">
        <v>46</v>
      </c>
      <c r="M15" s="171">
        <f t="shared" si="0"/>
        <v>43385</v>
      </c>
    </row>
    <row r="16" spans="2:13" ht="14.4" thickBot="1">
      <c r="B16" s="50" t="s">
        <v>38</v>
      </c>
      <c r="C16" s="58" t="s">
        <v>93</v>
      </c>
      <c r="D16" s="58" t="s">
        <v>113</v>
      </c>
      <c r="E16" s="63" t="str">
        <f>LEFT(EmpGName09)&amp;" " &amp; LEFT(EmpSName09)</f>
        <v>1 O</v>
      </c>
      <c r="I16" s="169" t="s">
        <v>51</v>
      </c>
      <c r="M16" s="171">
        <f t="shared" si="0"/>
        <v>43399</v>
      </c>
    </row>
    <row r="17" spans="2:13" ht="14.4" thickBot="1">
      <c r="B17" s="66" t="s">
        <v>47</v>
      </c>
      <c r="C17" s="58" t="s">
        <v>94</v>
      </c>
      <c r="D17" s="58" t="s">
        <v>114</v>
      </c>
      <c r="E17" s="63" t="str">
        <f>LEFT(EmpGName10)&amp;" " &amp; LEFT(EmpSName10)</f>
        <v>2 O</v>
      </c>
      <c r="I17" s="169" t="s">
        <v>62</v>
      </c>
      <c r="M17" s="171">
        <f t="shared" si="0"/>
        <v>43413</v>
      </c>
    </row>
    <row r="18" spans="2:13" ht="14.4" thickBot="1">
      <c r="B18" s="66" t="s">
        <v>48</v>
      </c>
      <c r="C18" s="58" t="s">
        <v>95</v>
      </c>
      <c r="D18" s="58" t="s">
        <v>114</v>
      </c>
      <c r="E18" s="63" t="str">
        <f>LEFT(EmpGName11)&amp;" " &amp; LEFT(EmpSName11)</f>
        <v>2 O</v>
      </c>
      <c r="I18" s="170"/>
      <c r="M18" s="171">
        <f t="shared" si="0"/>
        <v>43427</v>
      </c>
    </row>
    <row r="19" spans="2:13" ht="14.4" thickBot="1">
      <c r="B19" s="66" t="s">
        <v>49</v>
      </c>
      <c r="C19" s="177" t="s">
        <v>96</v>
      </c>
      <c r="D19" s="177" t="s">
        <v>115</v>
      </c>
      <c r="E19" s="63" t="str">
        <f>LEFT(EmpGName12)&amp;" " &amp; LEFT(EmpSName12)</f>
        <v>4 O</v>
      </c>
      <c r="M19" s="171">
        <f>M18+7*2</f>
        <v>43441</v>
      </c>
    </row>
    <row r="20" spans="2:13" ht="14.4" thickBot="1">
      <c r="B20" s="66" t="s">
        <v>75</v>
      </c>
      <c r="C20" s="177" t="s">
        <v>97</v>
      </c>
      <c r="D20" s="177" t="s">
        <v>116</v>
      </c>
      <c r="E20" s="63" t="str">
        <f>LEFT(EmpGName13)&amp;" " &amp; LEFT(EmpSName13)</f>
        <v>A O</v>
      </c>
      <c r="M20" s="171">
        <f t="shared" si="0"/>
        <v>43455</v>
      </c>
    </row>
    <row r="21" spans="2:13" ht="14.4" thickBot="1">
      <c r="B21" s="66" t="s">
        <v>76</v>
      </c>
      <c r="C21" s="177" t="s">
        <v>98</v>
      </c>
      <c r="D21" s="177" t="s">
        <v>117</v>
      </c>
      <c r="E21" s="63" t="str">
        <f>LEFT(EmpGName14)&amp;" " &amp; LEFT(EmpSName14)</f>
        <v>B O</v>
      </c>
      <c r="M21" s="171">
        <f t="shared" si="0"/>
        <v>43469</v>
      </c>
    </row>
    <row r="22" spans="2:13" ht="14.4" thickBot="1">
      <c r="B22" s="66" t="s">
        <v>77</v>
      </c>
      <c r="C22" s="177" t="s">
        <v>99</v>
      </c>
      <c r="D22" s="177" t="s">
        <v>118</v>
      </c>
      <c r="E22" s="63" t="str">
        <f>LEFT(EmpGName15)&amp;" " &amp; LEFT(EmpSName15)</f>
        <v>C O</v>
      </c>
      <c r="M22" s="171">
        <f t="shared" si="0"/>
        <v>43483</v>
      </c>
    </row>
    <row r="23" spans="2:13" ht="14.4" thickBot="1">
      <c r="B23" s="66" t="s">
        <v>78</v>
      </c>
      <c r="C23" s="177" t="s">
        <v>100</v>
      </c>
      <c r="D23" s="177" t="s">
        <v>119</v>
      </c>
      <c r="E23" s="63" t="str">
        <f>LEFT(EmpGName16)&amp;" " &amp; LEFT(EmpSName16)</f>
        <v>D O</v>
      </c>
      <c r="M23" s="171">
        <f t="shared" si="0"/>
        <v>43497</v>
      </c>
    </row>
    <row r="24" spans="2:13" ht="14.4" thickBot="1">
      <c r="B24" s="66" t="s">
        <v>79</v>
      </c>
      <c r="C24" s="177" t="s">
        <v>101</v>
      </c>
      <c r="D24" s="177" t="s">
        <v>120</v>
      </c>
      <c r="E24" s="63" t="str">
        <f>LEFT(EmpGName17)&amp;" " &amp; LEFT(EmpSName17)</f>
        <v>E O</v>
      </c>
      <c r="M24" s="171">
        <f t="shared" si="0"/>
        <v>43511</v>
      </c>
    </row>
    <row r="25" spans="2:13" ht="14.4" thickBot="1">
      <c r="B25" s="66" t="s">
        <v>80</v>
      </c>
      <c r="C25" s="177" t="s">
        <v>102</v>
      </c>
      <c r="D25" s="177" t="s">
        <v>121</v>
      </c>
      <c r="E25" s="63" t="str">
        <f>LEFT(EmpGName18)&amp;" " &amp; LEFT(EmpSName18)</f>
        <v>F O</v>
      </c>
      <c r="M25" s="171">
        <f t="shared" si="0"/>
        <v>43525</v>
      </c>
    </row>
    <row r="26" spans="2:13" ht="14.4" thickBot="1">
      <c r="B26" s="66" t="s">
        <v>81</v>
      </c>
      <c r="C26" s="177" t="s">
        <v>103</v>
      </c>
      <c r="D26" s="177" t="s">
        <v>122</v>
      </c>
      <c r="E26" s="63" t="str">
        <f>LEFT(EmpGName19)&amp;" " &amp; LEFT(EmpSName19)</f>
        <v>G O</v>
      </c>
      <c r="M26" s="171">
        <f t="shared" si="0"/>
        <v>43539</v>
      </c>
    </row>
    <row r="27" spans="2:13" ht="14.4" thickBot="1">
      <c r="B27" s="66" t="s">
        <v>82</v>
      </c>
      <c r="C27" s="177" t="s">
        <v>104</v>
      </c>
      <c r="D27" s="177" t="s">
        <v>123</v>
      </c>
      <c r="E27" s="63" t="str">
        <f>LEFT(EmpGName20)&amp;" " &amp; LEFT(EmpSName20)</f>
        <v>H O</v>
      </c>
      <c r="M27" s="171">
        <f t="shared" si="0"/>
        <v>43553</v>
      </c>
    </row>
    <row r="28" spans="2:13" ht="14.4" thickBot="1">
      <c r="B28" s="66" t="s">
        <v>83</v>
      </c>
      <c r="C28" s="177" t="s">
        <v>105</v>
      </c>
      <c r="D28" s="177" t="s">
        <v>124</v>
      </c>
      <c r="E28" s="63" t="str">
        <f>LEFT(EmpGName21)&amp;" " &amp; LEFT(EmpSName21)</f>
        <v>I O</v>
      </c>
      <c r="M28" s="171">
        <f t="shared" si="0"/>
        <v>43567</v>
      </c>
    </row>
    <row r="29" spans="2:13" ht="14.4" thickBot="1">
      <c r="B29" s="66" t="s">
        <v>84</v>
      </c>
      <c r="C29" s="177" t="s">
        <v>106</v>
      </c>
      <c r="D29" s="177" t="s">
        <v>125</v>
      </c>
      <c r="E29" s="63" t="str">
        <f>LEFT(EmpGName22)&amp;" " &amp; LEFT(EmpSName22)</f>
        <v>J O</v>
      </c>
      <c r="M29" s="171">
        <f t="shared" si="0"/>
        <v>43581</v>
      </c>
    </row>
    <row r="30" spans="2:13" ht="14.4" thickBot="1">
      <c r="B30" s="66" t="s">
        <v>85</v>
      </c>
      <c r="C30" s="177" t="s">
        <v>107</v>
      </c>
      <c r="D30" s="177" t="s">
        <v>126</v>
      </c>
      <c r="E30" s="63" t="str">
        <f>LEFT(EmpGName23)&amp;" " &amp; LEFT(EmpSName23)</f>
        <v>K O</v>
      </c>
      <c r="M30" s="171">
        <f t="shared" si="0"/>
        <v>43595</v>
      </c>
    </row>
    <row r="31" spans="2:13" ht="14.4" thickBot="1">
      <c r="B31" s="66" t="s">
        <v>86</v>
      </c>
      <c r="C31" s="177" t="s">
        <v>108</v>
      </c>
      <c r="D31" s="177" t="s">
        <v>127</v>
      </c>
      <c r="E31" s="63" t="str">
        <f>LEFT(EmpGName24)&amp;" " &amp; LEFT(EmpSName24)</f>
        <v>L O</v>
      </c>
      <c r="M31" s="171">
        <f t="shared" si="0"/>
        <v>43609</v>
      </c>
    </row>
    <row r="32" spans="2:13" ht="14.4" thickBot="1">
      <c r="B32" s="66" t="s">
        <v>87</v>
      </c>
      <c r="C32" s="177" t="s">
        <v>109</v>
      </c>
      <c r="D32" s="177" t="s">
        <v>128</v>
      </c>
      <c r="E32" s="63" t="str">
        <f>LEFT(EmpGName25)&amp;" " &amp; LEFT(EmpSName25)</f>
        <v>M O</v>
      </c>
      <c r="M32" s="171">
        <f t="shared" si="0"/>
        <v>43623</v>
      </c>
    </row>
    <row r="33" spans="2:13" ht="14.4" thickBot="1">
      <c r="B33" s="66" t="s">
        <v>88</v>
      </c>
      <c r="C33" s="177" t="s">
        <v>110</v>
      </c>
      <c r="D33" s="177" t="s">
        <v>129</v>
      </c>
      <c r="E33" s="63" t="str">
        <f>LEFT(EmpGName26)&amp;" " &amp; LEFT(EmpSName26)</f>
        <v>N O</v>
      </c>
      <c r="M33" s="171">
        <f t="shared" si="0"/>
        <v>43637</v>
      </c>
    </row>
    <row r="34" spans="2:13" ht="14.4" thickBot="1">
      <c r="B34" s="66" t="s">
        <v>89</v>
      </c>
      <c r="C34" s="177" t="s">
        <v>111</v>
      </c>
      <c r="D34" s="177" t="s">
        <v>130</v>
      </c>
      <c r="E34" s="63" t="str">
        <f>LEFT(EmpGName27)&amp;" " &amp; LEFT(EmpSName27)</f>
        <v>O O</v>
      </c>
      <c r="M34" s="171">
        <f t="shared" si="0"/>
        <v>43651</v>
      </c>
    </row>
    <row r="35" spans="2:13" ht="14.4" thickBot="1">
      <c r="B35" s="67" t="s">
        <v>90</v>
      </c>
      <c r="C35" s="178" t="s">
        <v>112</v>
      </c>
      <c r="D35" s="178" t="s">
        <v>131</v>
      </c>
      <c r="E35" s="93" t="str">
        <f>LEFT(EmpGName28)&amp;" " &amp; LEFT(EmpSName28)</f>
        <v>P O</v>
      </c>
    </row>
  </sheetData>
  <sheetProtection sheet="1" objects="1" scenarios="1" selectLockedCells="1"/>
  <customSheetViews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howGridLines="0" showRowCol="0" showRuler="0">
      <selection activeCell="D14" sqref="D14"/>
    </customSheetView>
  </customSheetViews>
  <mergeCells count="5">
    <mergeCell ref="G6:G7"/>
    <mergeCell ref="I6:I7"/>
    <mergeCell ref="B6:E6"/>
    <mergeCell ref="K6:K7"/>
    <mergeCell ref="M6:M7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ColWidth="9.109375" defaultRowHeight="13.2"/>
  <cols>
    <col min="1" max="1" width="4.44140625" style="20" customWidth="1"/>
    <col min="2" max="2" width="10.109375" style="46" customWidth="1"/>
    <col min="3" max="33" width="4.109375" style="20" customWidth="1"/>
    <col min="34" max="16384" width="9.109375" style="20"/>
  </cols>
  <sheetData>
    <row r="1" spans="2:33" s="26" customFormat="1">
      <c r="B1" s="47"/>
    </row>
    <row r="2" spans="2:33" s="26" customFormat="1" ht="24.75" customHeight="1">
      <c r="B2" s="47"/>
      <c r="I2" s="126" t="str">
        <f>Location</f>
        <v>Oodlawirra Quarantine Station</v>
      </c>
      <c r="J2" s="109"/>
      <c r="K2" s="109"/>
      <c r="L2" s="109"/>
      <c r="M2" s="109"/>
      <c r="N2" s="109"/>
      <c r="O2" s="109"/>
      <c r="P2" s="109"/>
      <c r="Q2" s="109"/>
      <c r="R2" s="126" t="str">
        <f xml:space="preserve"> "Financial Year Commencing 1st July, " &amp; CurYear -1</f>
        <v>Financial Year Commencing 1st July, 2018</v>
      </c>
      <c r="S2" s="34"/>
      <c r="T2" s="109"/>
      <c r="U2" s="109"/>
      <c r="V2" s="34"/>
      <c r="W2" s="109"/>
      <c r="X2" s="109"/>
      <c r="Y2" s="109"/>
      <c r="Z2" s="109"/>
      <c r="AA2" s="109"/>
      <c r="AB2" s="109"/>
      <c r="AC2" s="109"/>
      <c r="AD2" s="109"/>
      <c r="AE2" s="109"/>
      <c r="AF2" s="109"/>
    </row>
    <row r="3" spans="2:33" s="26" customFormat="1" ht="27" customHeight="1">
      <c r="B3" s="47"/>
      <c r="I3" s="127" t="s">
        <v>25</v>
      </c>
      <c r="R3" s="127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106" customFormat="1" ht="13.8" thickBot="1">
      <c r="B4" s="107"/>
      <c r="C4" s="28" t="str">
        <f>LEFT(TEXT(C5&amp;"-"&amp;$B5&amp;"-"&amp;CurYear-1,"ddd"),2)</f>
        <v>Su</v>
      </c>
      <c r="D4" s="28" t="str">
        <f t="shared" ref="D4:AG4" si="0">LEFT(TEXT(D5&amp;"-"&amp;$B5&amp;"-"&amp;CurYear-1,"ddd"),2)</f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106" t="str">
        <f t="shared" si="0"/>
        <v>Tu</v>
      </c>
    </row>
    <row r="5" spans="2:33" ht="14.4" thickTop="1" thickBot="1">
      <c r="B5" s="110" t="str">
        <f>Roster!C13</f>
        <v>July</v>
      </c>
      <c r="C5" s="111">
        <v>1</v>
      </c>
      <c r="D5" s="112">
        <v>2</v>
      </c>
      <c r="E5" s="112">
        <v>3</v>
      </c>
      <c r="F5" s="112">
        <v>4</v>
      </c>
      <c r="G5" s="112">
        <v>5</v>
      </c>
      <c r="H5" s="112">
        <v>6</v>
      </c>
      <c r="I5" s="112">
        <v>7</v>
      </c>
      <c r="J5" s="112">
        <v>8</v>
      </c>
      <c r="K5" s="112">
        <v>9</v>
      </c>
      <c r="L5" s="112">
        <v>10</v>
      </c>
      <c r="M5" s="112">
        <v>11</v>
      </c>
      <c r="N5" s="112">
        <v>12</v>
      </c>
      <c r="O5" s="112">
        <v>13</v>
      </c>
      <c r="P5" s="112">
        <v>14</v>
      </c>
      <c r="Q5" s="112">
        <v>15</v>
      </c>
      <c r="R5" s="112">
        <v>16</v>
      </c>
      <c r="S5" s="112">
        <v>17</v>
      </c>
      <c r="T5" s="112">
        <v>18</v>
      </c>
      <c r="U5" s="112">
        <v>19</v>
      </c>
      <c r="V5" s="112">
        <v>20</v>
      </c>
      <c r="W5" s="112">
        <v>21</v>
      </c>
      <c r="X5" s="112">
        <v>22</v>
      </c>
      <c r="Y5" s="112">
        <v>23</v>
      </c>
      <c r="Z5" s="112">
        <v>24</v>
      </c>
      <c r="AA5" s="112">
        <v>25</v>
      </c>
      <c r="AB5" s="112">
        <v>26</v>
      </c>
      <c r="AC5" s="112">
        <v>27</v>
      </c>
      <c r="AD5" s="112">
        <v>28</v>
      </c>
      <c r="AE5" s="112">
        <v>29</v>
      </c>
      <c r="AF5" s="112">
        <v>30</v>
      </c>
      <c r="AG5" s="113">
        <v>31</v>
      </c>
    </row>
    <row r="6" spans="2:33" ht="14.4" thickTop="1" thickBot="1">
      <c r="B6" s="110">
        <f>CurYear-1</f>
        <v>2018</v>
      </c>
      <c r="C6" s="36" t="str">
        <f>Roster!D14</f>
        <v>.</v>
      </c>
      <c r="D6" s="37" t="str">
        <f>Roster!E14</f>
        <v>.</v>
      </c>
      <c r="E6" s="37" t="str">
        <f>Roster!F14</f>
        <v>.</v>
      </c>
      <c r="F6" s="37" t="str">
        <f>Roster!G14</f>
        <v>.</v>
      </c>
      <c r="G6" s="37" t="str">
        <f>Roster!H14</f>
        <v>.</v>
      </c>
      <c r="H6" s="37" t="str">
        <f>Roster!I14</f>
        <v>.</v>
      </c>
      <c r="I6" s="37" t="str">
        <f>Roster!J14</f>
        <v>.</v>
      </c>
      <c r="J6" s="37" t="str">
        <f>Roster!K14</f>
        <v>.</v>
      </c>
      <c r="K6" s="37" t="str">
        <f>Roster!L14</f>
        <v>.</v>
      </c>
      <c r="L6" s="37" t="str">
        <f>Roster!M14</f>
        <v>.</v>
      </c>
      <c r="M6" s="37" t="str">
        <f>Roster!N14</f>
        <v>.</v>
      </c>
      <c r="N6" s="37" t="str">
        <f>Roster!O14</f>
        <v>.</v>
      </c>
      <c r="O6" s="37" t="str">
        <f>Roster!P14</f>
        <v>.</v>
      </c>
      <c r="P6" s="37" t="str">
        <f>Roster!Q14</f>
        <v>.</v>
      </c>
      <c r="Q6" s="37" t="str">
        <f>Roster!R14</f>
        <v>.</v>
      </c>
      <c r="R6" s="37" t="str">
        <f>Roster!S14</f>
        <v>.</v>
      </c>
      <c r="S6" s="37" t="str">
        <f>Roster!T14</f>
        <v>.</v>
      </c>
      <c r="T6" s="37" t="str">
        <f>Roster!U14</f>
        <v>.</v>
      </c>
      <c r="U6" s="37" t="str">
        <f>Roster!V14</f>
        <v>.</v>
      </c>
      <c r="V6" s="37" t="str">
        <f>Roster!W14</f>
        <v>.</v>
      </c>
      <c r="W6" s="37" t="str">
        <f>Roster!X14</f>
        <v>.</v>
      </c>
      <c r="X6" s="37" t="str">
        <f>Roster!Y14</f>
        <v>.</v>
      </c>
      <c r="Y6" s="37" t="str">
        <f>Roster!Z14</f>
        <v>.</v>
      </c>
      <c r="Z6" s="37" t="str">
        <f>Roster!AA14</f>
        <v>.</v>
      </c>
      <c r="AA6" s="37" t="str">
        <f>Roster!AB14</f>
        <v>.</v>
      </c>
      <c r="AB6" s="37" t="str">
        <f>Roster!AC14</f>
        <v>.</v>
      </c>
      <c r="AC6" s="37" t="str">
        <f>Roster!AD14</f>
        <v>.</v>
      </c>
      <c r="AD6" s="37" t="str">
        <f>Roster!AE14</f>
        <v>.</v>
      </c>
      <c r="AE6" s="37" t="str">
        <f>Roster!AF14</f>
        <v>.</v>
      </c>
      <c r="AF6" s="37" t="str">
        <f>Roster!AG14</f>
        <v>.</v>
      </c>
      <c r="AG6" s="38" t="str">
        <f>Roster!AH14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110" t="str">
        <f>Roster!C44</f>
        <v>August</v>
      </c>
      <c r="C8" s="111">
        <v>1</v>
      </c>
      <c r="D8" s="112">
        <v>2</v>
      </c>
      <c r="E8" s="112">
        <v>3</v>
      </c>
      <c r="F8" s="112">
        <v>4</v>
      </c>
      <c r="G8" s="112">
        <v>5</v>
      </c>
      <c r="H8" s="112">
        <v>6</v>
      </c>
      <c r="I8" s="112">
        <v>7</v>
      </c>
      <c r="J8" s="112">
        <v>8</v>
      </c>
      <c r="K8" s="112">
        <v>9</v>
      </c>
      <c r="L8" s="112">
        <v>10</v>
      </c>
      <c r="M8" s="112">
        <v>11</v>
      </c>
      <c r="N8" s="112">
        <v>12</v>
      </c>
      <c r="O8" s="112">
        <v>13</v>
      </c>
      <c r="P8" s="112">
        <v>14</v>
      </c>
      <c r="Q8" s="112">
        <v>15</v>
      </c>
      <c r="R8" s="112">
        <v>16</v>
      </c>
      <c r="S8" s="112">
        <v>17</v>
      </c>
      <c r="T8" s="112">
        <v>18</v>
      </c>
      <c r="U8" s="112">
        <v>19</v>
      </c>
      <c r="V8" s="112">
        <v>20</v>
      </c>
      <c r="W8" s="112">
        <v>21</v>
      </c>
      <c r="X8" s="112">
        <v>22</v>
      </c>
      <c r="Y8" s="112">
        <v>23</v>
      </c>
      <c r="Z8" s="112">
        <v>24</v>
      </c>
      <c r="AA8" s="112">
        <v>25</v>
      </c>
      <c r="AB8" s="112">
        <v>26</v>
      </c>
      <c r="AC8" s="112">
        <v>27</v>
      </c>
      <c r="AD8" s="115">
        <v>28</v>
      </c>
      <c r="AE8" s="112">
        <v>29</v>
      </c>
      <c r="AF8" s="116">
        <v>30</v>
      </c>
      <c r="AG8" s="113">
        <v>31</v>
      </c>
    </row>
    <row r="9" spans="2:33" ht="14.4" thickTop="1" thickBot="1">
      <c r="B9" s="110">
        <f>CurYear-1</f>
        <v>2018</v>
      </c>
      <c r="C9" s="36" t="str">
        <f>Roster!D45</f>
        <v>.</v>
      </c>
      <c r="D9" s="39" t="str">
        <f>Roster!E45</f>
        <v>.</v>
      </c>
      <c r="E9" s="37" t="str">
        <f>Roster!F45</f>
        <v>.</v>
      </c>
      <c r="F9" s="37" t="str">
        <f>Roster!G45</f>
        <v>.</v>
      </c>
      <c r="G9" s="37" t="str">
        <f>Roster!H45</f>
        <v>.</v>
      </c>
      <c r="H9" s="37" t="str">
        <f>Roster!I45</f>
        <v>.</v>
      </c>
      <c r="I9" s="37" t="str">
        <f>Roster!J45</f>
        <v>.</v>
      </c>
      <c r="J9" s="37" t="str">
        <f>Roster!K45</f>
        <v>.</v>
      </c>
      <c r="K9" s="37" t="str">
        <f>Roster!L45</f>
        <v>.</v>
      </c>
      <c r="L9" s="37" t="str">
        <f>Roster!M45</f>
        <v>.</v>
      </c>
      <c r="M9" s="37" t="str">
        <f>Roster!N45</f>
        <v>.</v>
      </c>
      <c r="N9" s="37" t="str">
        <f>Roster!O45</f>
        <v>.</v>
      </c>
      <c r="O9" s="37" t="str">
        <f>Roster!P45</f>
        <v>.</v>
      </c>
      <c r="P9" s="37" t="str">
        <f>Roster!Q45</f>
        <v>.</v>
      </c>
      <c r="Q9" s="37" t="str">
        <f>Roster!R45</f>
        <v>.</v>
      </c>
      <c r="R9" s="37" t="str">
        <f>Roster!S45</f>
        <v>.</v>
      </c>
      <c r="S9" s="37" t="str">
        <f>Roster!T45</f>
        <v>.</v>
      </c>
      <c r="T9" s="37" t="str">
        <f>Roster!U45</f>
        <v>.</v>
      </c>
      <c r="U9" s="37" t="str">
        <f>Roster!V45</f>
        <v>.</v>
      </c>
      <c r="V9" s="37" t="str">
        <f>Roster!W45</f>
        <v>.</v>
      </c>
      <c r="W9" s="37" t="str">
        <f>Roster!X45</f>
        <v>.</v>
      </c>
      <c r="X9" s="37" t="str">
        <f>Roster!Y45</f>
        <v>.</v>
      </c>
      <c r="Y9" s="37" t="str">
        <f>Roster!Z45</f>
        <v>.</v>
      </c>
      <c r="Z9" s="37" t="str">
        <f>Roster!AA45</f>
        <v>.</v>
      </c>
      <c r="AA9" s="37" t="str">
        <f>Roster!AB45</f>
        <v>.</v>
      </c>
      <c r="AB9" s="37" t="str">
        <f>Roster!AC45</f>
        <v>.</v>
      </c>
      <c r="AC9" s="37" t="str">
        <f>Roster!AD45</f>
        <v>.</v>
      </c>
      <c r="AD9" s="43" t="str">
        <f>Roster!AE45</f>
        <v>.</v>
      </c>
      <c r="AE9" s="37" t="str">
        <f>Roster!AF45</f>
        <v>.</v>
      </c>
      <c r="AF9" s="39" t="str">
        <f>Roster!AG45</f>
        <v>.</v>
      </c>
      <c r="AG9" s="38" t="str">
        <f>Roster!AH45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8" t="str">
        <f t="shared" si="2"/>
        <v>Sa</v>
      </c>
      <c r="AF10" s="21" t="str">
        <f t="shared" si="2"/>
        <v>Su</v>
      </c>
      <c r="AG10" s="117"/>
    </row>
    <row r="11" spans="2:33" ht="14.4" thickTop="1" thickBot="1">
      <c r="B11" s="110" t="str">
        <f>Roster!C75</f>
        <v>September</v>
      </c>
      <c r="C11" s="118">
        <v>1</v>
      </c>
      <c r="D11" s="119">
        <v>2</v>
      </c>
      <c r="E11" s="119">
        <v>3</v>
      </c>
      <c r="F11" s="119">
        <v>4</v>
      </c>
      <c r="G11" s="119">
        <v>5</v>
      </c>
      <c r="H11" s="119">
        <v>6</v>
      </c>
      <c r="I11" s="119">
        <v>7</v>
      </c>
      <c r="J11" s="119">
        <v>8</v>
      </c>
      <c r="K11" s="119">
        <v>9</v>
      </c>
      <c r="L11" s="119">
        <v>10</v>
      </c>
      <c r="M11" s="119">
        <v>11</v>
      </c>
      <c r="N11" s="119">
        <v>12</v>
      </c>
      <c r="O11" s="119">
        <v>13</v>
      </c>
      <c r="P11" s="119">
        <v>14</v>
      </c>
      <c r="Q11" s="119">
        <v>15</v>
      </c>
      <c r="R11" s="119">
        <v>16</v>
      </c>
      <c r="S11" s="119">
        <v>17</v>
      </c>
      <c r="T11" s="119">
        <v>18</v>
      </c>
      <c r="U11" s="119">
        <v>19</v>
      </c>
      <c r="V11" s="119">
        <v>20</v>
      </c>
      <c r="W11" s="119">
        <v>21</v>
      </c>
      <c r="X11" s="119">
        <v>22</v>
      </c>
      <c r="Y11" s="119">
        <v>23</v>
      </c>
      <c r="Z11" s="119">
        <v>24</v>
      </c>
      <c r="AA11" s="119">
        <v>25</v>
      </c>
      <c r="AB11" s="119">
        <v>26</v>
      </c>
      <c r="AC11" s="119">
        <v>27</v>
      </c>
      <c r="AD11" s="119">
        <v>28</v>
      </c>
      <c r="AE11" s="119">
        <v>29</v>
      </c>
      <c r="AF11" s="120">
        <v>30</v>
      </c>
    </row>
    <row r="12" spans="2:33" ht="14.4" thickTop="1" thickBot="1">
      <c r="B12" s="110">
        <f>CurYear-1</f>
        <v>2018</v>
      </c>
      <c r="C12" s="36" t="str">
        <f>Roster!D76</f>
        <v>.</v>
      </c>
      <c r="D12" s="37" t="str">
        <f>Roster!E76</f>
        <v>.</v>
      </c>
      <c r="E12" s="37" t="str">
        <f>Roster!F76</f>
        <v>.</v>
      </c>
      <c r="F12" s="37" t="str">
        <f>Roster!G76</f>
        <v>.</v>
      </c>
      <c r="G12" s="37" t="str">
        <f>Roster!H76</f>
        <v>.</v>
      </c>
      <c r="H12" s="37" t="str">
        <f>Roster!I76</f>
        <v>.</v>
      </c>
      <c r="I12" s="37" t="str">
        <f>Roster!J76</f>
        <v>.</v>
      </c>
      <c r="J12" s="37" t="str">
        <f>Roster!K76</f>
        <v>.</v>
      </c>
      <c r="K12" s="37" t="str">
        <f>Roster!L76</f>
        <v>.</v>
      </c>
      <c r="L12" s="37" t="str">
        <f>Roster!M76</f>
        <v>.</v>
      </c>
      <c r="M12" s="37" t="str">
        <f>Roster!N76</f>
        <v>.</v>
      </c>
      <c r="N12" s="37" t="str">
        <f>Roster!O76</f>
        <v>.</v>
      </c>
      <c r="O12" s="37" t="str">
        <f>Roster!P76</f>
        <v>.</v>
      </c>
      <c r="P12" s="37" t="str">
        <f>Roster!Q76</f>
        <v>.</v>
      </c>
      <c r="Q12" s="37" t="str">
        <f>Roster!R76</f>
        <v>.</v>
      </c>
      <c r="R12" s="37" t="str">
        <f>Roster!S76</f>
        <v>.</v>
      </c>
      <c r="S12" s="37" t="str">
        <f>Roster!T76</f>
        <v>.</v>
      </c>
      <c r="T12" s="37" t="str">
        <f>Roster!U76</f>
        <v>.</v>
      </c>
      <c r="U12" s="37" t="str">
        <f>Roster!V76</f>
        <v>.</v>
      </c>
      <c r="V12" s="37" t="str">
        <f>Roster!W76</f>
        <v>.</v>
      </c>
      <c r="W12" s="37" t="str">
        <f>Roster!X76</f>
        <v>.</v>
      </c>
      <c r="X12" s="37" t="str">
        <f>Roster!Y76</f>
        <v>.</v>
      </c>
      <c r="Y12" s="37" t="str">
        <f>Roster!Z76</f>
        <v>.</v>
      </c>
      <c r="Z12" s="37" t="str">
        <f>Roster!AA76</f>
        <v>.</v>
      </c>
      <c r="AA12" s="37" t="str">
        <f>Roster!AB76</f>
        <v>.</v>
      </c>
      <c r="AB12" s="37" t="str">
        <f>Roster!AC76</f>
        <v>.</v>
      </c>
      <c r="AC12" s="37" t="str">
        <f>Roster!AD76</f>
        <v>.</v>
      </c>
      <c r="AD12" s="37" t="str">
        <f>Roster!AE76</f>
        <v>.</v>
      </c>
      <c r="AE12" s="37" t="str">
        <f>Roster!AF76</f>
        <v>.</v>
      </c>
      <c r="AF12" s="38" t="str">
        <f>Roster!AG76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20" t="str">
        <f t="shared" si="3"/>
        <v>We</v>
      </c>
    </row>
    <row r="14" spans="2:33" ht="14.4" thickTop="1" thickBot="1">
      <c r="B14" s="110" t="str">
        <f>Roster!C106</f>
        <v>October</v>
      </c>
      <c r="C14" s="111">
        <v>1</v>
      </c>
      <c r="D14" s="112">
        <v>2</v>
      </c>
      <c r="E14" s="112">
        <v>3</v>
      </c>
      <c r="F14" s="112">
        <v>4</v>
      </c>
      <c r="G14" s="112">
        <v>5</v>
      </c>
      <c r="H14" s="112">
        <v>6</v>
      </c>
      <c r="I14" s="112">
        <v>7</v>
      </c>
      <c r="J14" s="112">
        <v>8</v>
      </c>
      <c r="K14" s="112">
        <v>9</v>
      </c>
      <c r="L14" s="112">
        <v>10</v>
      </c>
      <c r="M14" s="112">
        <v>11</v>
      </c>
      <c r="N14" s="112">
        <v>12</v>
      </c>
      <c r="O14" s="112">
        <v>13</v>
      </c>
      <c r="P14" s="112">
        <v>14</v>
      </c>
      <c r="Q14" s="112">
        <v>15</v>
      </c>
      <c r="R14" s="112">
        <v>16</v>
      </c>
      <c r="S14" s="112">
        <v>17</v>
      </c>
      <c r="T14" s="112">
        <v>18</v>
      </c>
      <c r="U14" s="112">
        <v>19</v>
      </c>
      <c r="V14" s="112">
        <v>20</v>
      </c>
      <c r="W14" s="112">
        <v>21</v>
      </c>
      <c r="X14" s="112">
        <v>22</v>
      </c>
      <c r="Y14" s="112">
        <v>23</v>
      </c>
      <c r="Z14" s="112">
        <v>24</v>
      </c>
      <c r="AA14" s="112">
        <v>25</v>
      </c>
      <c r="AB14" s="112">
        <v>26</v>
      </c>
      <c r="AC14" s="112">
        <v>27</v>
      </c>
      <c r="AD14" s="112">
        <v>28</v>
      </c>
      <c r="AE14" s="112">
        <v>29</v>
      </c>
      <c r="AF14" s="112">
        <v>30</v>
      </c>
      <c r="AG14" s="113">
        <v>31</v>
      </c>
    </row>
    <row r="15" spans="2:33" ht="14.4" thickTop="1" thickBot="1">
      <c r="B15" s="110">
        <f>CurYear-1</f>
        <v>2018</v>
      </c>
      <c r="C15" s="36" t="str">
        <f>Roster!D107</f>
        <v>.</v>
      </c>
      <c r="D15" s="37" t="str">
        <f>Roster!E107</f>
        <v>.</v>
      </c>
      <c r="E15" s="37" t="str">
        <f>Roster!F107</f>
        <v>.</v>
      </c>
      <c r="F15" s="37" t="str">
        <f>Roster!G107</f>
        <v>.</v>
      </c>
      <c r="G15" s="37" t="str">
        <f>Roster!H107</f>
        <v>.</v>
      </c>
      <c r="H15" s="37" t="str">
        <f>Roster!I107</f>
        <v>.</v>
      </c>
      <c r="I15" s="37" t="str">
        <f>Roster!J107</f>
        <v>.</v>
      </c>
      <c r="J15" s="37" t="str">
        <f>Roster!K107</f>
        <v>.</v>
      </c>
      <c r="K15" s="37" t="str">
        <f>Roster!L107</f>
        <v>.</v>
      </c>
      <c r="L15" s="37" t="str">
        <f>Roster!M107</f>
        <v>.</v>
      </c>
      <c r="M15" s="37" t="str">
        <f>Roster!N107</f>
        <v>.</v>
      </c>
      <c r="N15" s="37" t="str">
        <f>Roster!O107</f>
        <v>.</v>
      </c>
      <c r="O15" s="37" t="str">
        <f>Roster!P107</f>
        <v>.</v>
      </c>
      <c r="P15" s="37" t="str">
        <f>Roster!Q107</f>
        <v>.</v>
      </c>
      <c r="Q15" s="37" t="str">
        <f>Roster!R107</f>
        <v>.</v>
      </c>
      <c r="R15" s="37" t="str">
        <f>Roster!S107</f>
        <v>.</v>
      </c>
      <c r="S15" s="37" t="str">
        <f>Roster!T107</f>
        <v>.</v>
      </c>
      <c r="T15" s="37" t="str">
        <f>Roster!U107</f>
        <v>.</v>
      </c>
      <c r="U15" s="37" t="str">
        <f>Roster!V107</f>
        <v>.</v>
      </c>
      <c r="V15" s="37" t="str">
        <f>Roster!W107</f>
        <v>.</v>
      </c>
      <c r="W15" s="37" t="str">
        <f>Roster!X107</f>
        <v>.</v>
      </c>
      <c r="X15" s="37" t="str">
        <f>Roster!Y107</f>
        <v>.</v>
      </c>
      <c r="Y15" s="37" t="str">
        <f>Roster!Z107</f>
        <v>.</v>
      </c>
      <c r="Z15" s="37" t="str">
        <f>Roster!AA107</f>
        <v>.</v>
      </c>
      <c r="AA15" s="37" t="str">
        <f>Roster!AB107</f>
        <v>.</v>
      </c>
      <c r="AB15" s="37" t="str">
        <f>Roster!AC107</f>
        <v>.</v>
      </c>
      <c r="AC15" s="37" t="str">
        <f>Roster!AD107</f>
        <v>.</v>
      </c>
      <c r="AD15" s="37" t="str">
        <f>Roster!AE107</f>
        <v>.</v>
      </c>
      <c r="AE15" s="37" t="str">
        <f>Roster!AF107</f>
        <v>.</v>
      </c>
      <c r="AF15" s="37" t="str">
        <f>Roster!AG107</f>
        <v>.</v>
      </c>
      <c r="AG15" s="38" t="str">
        <f>Roster!AH107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17"/>
    </row>
    <row r="17" spans="2:33" ht="14.4" thickTop="1" thickBot="1">
      <c r="B17" s="110" t="str">
        <f>Roster!C137</f>
        <v>November</v>
      </c>
      <c r="C17" s="118">
        <v>1</v>
      </c>
      <c r="D17" s="119">
        <v>2</v>
      </c>
      <c r="E17" s="119">
        <v>3</v>
      </c>
      <c r="F17" s="119">
        <v>4</v>
      </c>
      <c r="G17" s="119">
        <v>5</v>
      </c>
      <c r="H17" s="119">
        <v>6</v>
      </c>
      <c r="I17" s="119">
        <v>7</v>
      </c>
      <c r="J17" s="119">
        <v>8</v>
      </c>
      <c r="K17" s="119">
        <v>9</v>
      </c>
      <c r="L17" s="119">
        <v>10</v>
      </c>
      <c r="M17" s="119">
        <v>11</v>
      </c>
      <c r="N17" s="119">
        <v>12</v>
      </c>
      <c r="O17" s="119">
        <v>13</v>
      </c>
      <c r="P17" s="119">
        <v>14</v>
      </c>
      <c r="Q17" s="119">
        <v>15</v>
      </c>
      <c r="R17" s="119">
        <v>16</v>
      </c>
      <c r="S17" s="119">
        <v>17</v>
      </c>
      <c r="T17" s="119">
        <v>18</v>
      </c>
      <c r="U17" s="119">
        <v>19</v>
      </c>
      <c r="V17" s="119">
        <v>20</v>
      </c>
      <c r="W17" s="119">
        <v>21</v>
      </c>
      <c r="X17" s="119">
        <v>22</v>
      </c>
      <c r="Y17" s="119">
        <v>23</v>
      </c>
      <c r="Z17" s="119">
        <v>24</v>
      </c>
      <c r="AA17" s="119">
        <v>25</v>
      </c>
      <c r="AB17" s="119">
        <v>26</v>
      </c>
      <c r="AC17" s="119">
        <v>27</v>
      </c>
      <c r="AD17" s="119">
        <v>28</v>
      </c>
      <c r="AE17" s="119">
        <v>29</v>
      </c>
      <c r="AF17" s="120">
        <v>30</v>
      </c>
    </row>
    <row r="18" spans="2:33" ht="14.4" thickTop="1" thickBot="1">
      <c r="B18" s="110">
        <f>CurYear-1</f>
        <v>2018</v>
      </c>
      <c r="C18" s="36" t="str">
        <f>Roster!D138</f>
        <v>.</v>
      </c>
      <c r="D18" s="37" t="str">
        <f>Roster!E138</f>
        <v>.</v>
      </c>
      <c r="E18" s="37" t="str">
        <f>Roster!F138</f>
        <v>.</v>
      </c>
      <c r="F18" s="37" t="str">
        <f>Roster!G138</f>
        <v>.</v>
      </c>
      <c r="G18" s="37" t="str">
        <f>Roster!H138</f>
        <v>.</v>
      </c>
      <c r="H18" s="37" t="str">
        <f>Roster!I138</f>
        <v>.</v>
      </c>
      <c r="I18" s="37" t="str">
        <f>Roster!J138</f>
        <v>.</v>
      </c>
      <c r="J18" s="37" t="str">
        <f>Roster!K138</f>
        <v>.</v>
      </c>
      <c r="K18" s="37" t="str">
        <f>Roster!L138</f>
        <v>.</v>
      </c>
      <c r="L18" s="37" t="str">
        <f>Roster!M138</f>
        <v>.</v>
      </c>
      <c r="M18" s="37" t="str">
        <f>Roster!N138</f>
        <v>.</v>
      </c>
      <c r="N18" s="37" t="str">
        <f>Roster!O138</f>
        <v>.</v>
      </c>
      <c r="O18" s="37" t="str">
        <f>Roster!P138</f>
        <v>.</v>
      </c>
      <c r="P18" s="37" t="str">
        <f>Roster!Q138</f>
        <v>.</v>
      </c>
      <c r="Q18" s="37" t="str">
        <f>Roster!R138</f>
        <v>.</v>
      </c>
      <c r="R18" s="37" t="str">
        <f>Roster!S138</f>
        <v>.</v>
      </c>
      <c r="S18" s="37" t="str">
        <f>Roster!T138</f>
        <v>.</v>
      </c>
      <c r="T18" s="37" t="str">
        <f>Roster!U138</f>
        <v>.</v>
      </c>
      <c r="U18" s="37" t="str">
        <f>Roster!V138</f>
        <v>.</v>
      </c>
      <c r="V18" s="37" t="str">
        <f>Roster!W138</f>
        <v>.</v>
      </c>
      <c r="W18" s="37" t="str">
        <f>Roster!X138</f>
        <v>.</v>
      </c>
      <c r="X18" s="37" t="str">
        <f>Roster!Y138</f>
        <v>.</v>
      </c>
      <c r="Y18" s="37" t="str">
        <f>Roster!Z138</f>
        <v>.</v>
      </c>
      <c r="Z18" s="37" t="str">
        <f>Roster!AA138</f>
        <v>.</v>
      </c>
      <c r="AA18" s="37" t="str">
        <f>Roster!AB138</f>
        <v>.</v>
      </c>
      <c r="AB18" s="37" t="str">
        <f>Roster!AC138</f>
        <v>.</v>
      </c>
      <c r="AC18" s="37" t="str">
        <f>Roster!AD138</f>
        <v>.</v>
      </c>
      <c r="AD18" s="37" t="str">
        <f>Roster!AE138</f>
        <v>.</v>
      </c>
      <c r="AE18" s="37" t="str">
        <f>Roster!AF138</f>
        <v>.</v>
      </c>
      <c r="AF18" s="38" t="str">
        <f>Roster!AG138</f>
        <v>.</v>
      </c>
      <c r="AG18" s="121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110" t="str">
        <f>Roster!C168</f>
        <v>December</v>
      </c>
      <c r="C20" s="111">
        <v>1</v>
      </c>
      <c r="D20" s="112">
        <v>2</v>
      </c>
      <c r="E20" s="112">
        <v>3</v>
      </c>
      <c r="F20" s="112">
        <v>4</v>
      </c>
      <c r="G20" s="112">
        <v>5</v>
      </c>
      <c r="H20" s="112">
        <v>6</v>
      </c>
      <c r="I20" s="112">
        <v>7</v>
      </c>
      <c r="J20" s="112">
        <v>8</v>
      </c>
      <c r="K20" s="112">
        <v>9</v>
      </c>
      <c r="L20" s="112">
        <v>10</v>
      </c>
      <c r="M20" s="112">
        <v>11</v>
      </c>
      <c r="N20" s="112">
        <v>12</v>
      </c>
      <c r="O20" s="112">
        <v>13</v>
      </c>
      <c r="P20" s="112">
        <v>14</v>
      </c>
      <c r="Q20" s="112">
        <v>15</v>
      </c>
      <c r="R20" s="112">
        <v>16</v>
      </c>
      <c r="S20" s="112">
        <v>17</v>
      </c>
      <c r="T20" s="112">
        <v>18</v>
      </c>
      <c r="U20" s="112">
        <v>19</v>
      </c>
      <c r="V20" s="112">
        <v>20</v>
      </c>
      <c r="W20" s="112">
        <v>21</v>
      </c>
      <c r="X20" s="112">
        <v>22</v>
      </c>
      <c r="Y20" s="112">
        <v>23</v>
      </c>
      <c r="Z20" s="112">
        <v>24</v>
      </c>
      <c r="AA20" s="112">
        <v>25</v>
      </c>
      <c r="AB20" s="112">
        <v>26</v>
      </c>
      <c r="AC20" s="112">
        <v>27</v>
      </c>
      <c r="AD20" s="112">
        <v>28</v>
      </c>
      <c r="AE20" s="112">
        <v>29</v>
      </c>
      <c r="AF20" s="112">
        <v>30</v>
      </c>
      <c r="AG20" s="113">
        <v>31</v>
      </c>
    </row>
    <row r="21" spans="2:33" ht="14.4" thickTop="1" thickBot="1">
      <c r="B21" s="110">
        <f>CurYear-1</f>
        <v>2018</v>
      </c>
      <c r="C21" s="36" t="str">
        <f>Roster!D169</f>
        <v>.</v>
      </c>
      <c r="D21" s="37" t="str">
        <f>Roster!E169</f>
        <v>.</v>
      </c>
      <c r="E21" s="37" t="str">
        <f>Roster!F169</f>
        <v>.</v>
      </c>
      <c r="F21" s="37" t="str">
        <f>Roster!G169</f>
        <v>.</v>
      </c>
      <c r="G21" s="37" t="str">
        <f>Roster!H169</f>
        <v>.</v>
      </c>
      <c r="H21" s="37" t="str">
        <f>Roster!I169</f>
        <v>.</v>
      </c>
      <c r="I21" s="37" t="str">
        <f>Roster!J169</f>
        <v>.</v>
      </c>
      <c r="J21" s="37" t="str">
        <f>Roster!K169</f>
        <v>.</v>
      </c>
      <c r="K21" s="37" t="str">
        <f>Roster!L169</f>
        <v>.</v>
      </c>
      <c r="L21" s="37" t="str">
        <f>Roster!M169</f>
        <v>.</v>
      </c>
      <c r="M21" s="37" t="str">
        <f>Roster!N169</f>
        <v>.</v>
      </c>
      <c r="N21" s="37" t="str">
        <f>Roster!O169</f>
        <v>.</v>
      </c>
      <c r="O21" s="37" t="str">
        <f>Roster!P169</f>
        <v>.</v>
      </c>
      <c r="P21" s="37" t="str">
        <f>Roster!Q169</f>
        <v>.</v>
      </c>
      <c r="Q21" s="37" t="str">
        <f>Roster!R169</f>
        <v>.</v>
      </c>
      <c r="R21" s="37" t="str">
        <f>Roster!S169</f>
        <v>.</v>
      </c>
      <c r="S21" s="37" t="str">
        <f>Roster!T169</f>
        <v>.</v>
      </c>
      <c r="T21" s="37" t="str">
        <f>Roster!U169</f>
        <v>.</v>
      </c>
      <c r="U21" s="37" t="str">
        <f>Roster!V169</f>
        <v>.</v>
      </c>
      <c r="V21" s="37" t="str">
        <f>Roster!W169</f>
        <v>.</v>
      </c>
      <c r="W21" s="37" t="str">
        <f>Roster!X169</f>
        <v>.</v>
      </c>
      <c r="X21" s="37" t="str">
        <f>Roster!Y169</f>
        <v>.</v>
      </c>
      <c r="Y21" s="37" t="str">
        <f>Roster!Z169</f>
        <v>.</v>
      </c>
      <c r="Z21" s="37" t="str">
        <f>Roster!AA169</f>
        <v>.</v>
      </c>
      <c r="AA21" s="37" t="str">
        <f>Roster!AB169</f>
        <v>.</v>
      </c>
      <c r="AB21" s="37" t="str">
        <f>Roster!AC169</f>
        <v>.</v>
      </c>
      <c r="AC21" s="37" t="str">
        <f>Roster!AD169</f>
        <v>.</v>
      </c>
      <c r="AD21" s="37" t="str">
        <f>Roster!AE169</f>
        <v>.</v>
      </c>
      <c r="AE21" s="37" t="str">
        <f>Roster!AF169</f>
        <v>.</v>
      </c>
      <c r="AF21" s="37" t="str">
        <f>Roster!AG169</f>
        <v>.</v>
      </c>
      <c r="AG21" s="38" t="str">
        <f>Roster!AH169</f>
        <v>.</v>
      </c>
    </row>
    <row r="22" spans="2:33" s="26" customFormat="1" ht="14.4" thickTop="1" thickBot="1">
      <c r="B22" s="47"/>
      <c r="C22" s="47" t="str">
        <f t="shared" ref="C22:AG22" si="6">LEFT(TEXT(C23&amp;"-"&amp;$B23&amp;"-"&amp;CurYear,"ddd"),2)</f>
        <v>Tu</v>
      </c>
      <c r="D22" s="47" t="str">
        <f t="shared" si="6"/>
        <v>We</v>
      </c>
      <c r="E22" s="47" t="str">
        <f t="shared" si="6"/>
        <v>Th</v>
      </c>
      <c r="F22" s="47" t="str">
        <f t="shared" si="6"/>
        <v>Fr</v>
      </c>
      <c r="G22" s="47" t="str">
        <f t="shared" si="6"/>
        <v>Sa</v>
      </c>
      <c r="H22" s="47" t="str">
        <f t="shared" si="6"/>
        <v>Su</v>
      </c>
      <c r="I22" s="47" t="str">
        <f t="shared" si="6"/>
        <v>Mo</v>
      </c>
      <c r="J22" s="47" t="str">
        <f t="shared" si="6"/>
        <v>Tu</v>
      </c>
      <c r="K22" s="47" t="str">
        <f t="shared" si="6"/>
        <v>We</v>
      </c>
      <c r="L22" s="47" t="str">
        <f t="shared" si="6"/>
        <v>Th</v>
      </c>
      <c r="M22" s="47" t="str">
        <f t="shared" si="6"/>
        <v>Fr</v>
      </c>
      <c r="N22" s="47" t="str">
        <f t="shared" si="6"/>
        <v>Sa</v>
      </c>
      <c r="O22" s="47" t="str">
        <f t="shared" si="6"/>
        <v>Su</v>
      </c>
      <c r="P22" s="47" t="str">
        <f t="shared" si="6"/>
        <v>Mo</v>
      </c>
      <c r="Q22" s="47" t="str">
        <f t="shared" si="6"/>
        <v>Tu</v>
      </c>
      <c r="R22" s="47" t="str">
        <f t="shared" si="6"/>
        <v>We</v>
      </c>
      <c r="S22" s="47" t="str">
        <f t="shared" si="6"/>
        <v>Th</v>
      </c>
      <c r="T22" s="47" t="str">
        <f t="shared" si="6"/>
        <v>Fr</v>
      </c>
      <c r="U22" s="47" t="str">
        <f t="shared" si="6"/>
        <v>Sa</v>
      </c>
      <c r="V22" s="47" t="str">
        <f t="shared" si="6"/>
        <v>Su</v>
      </c>
      <c r="W22" s="47" t="str">
        <f t="shared" si="6"/>
        <v>Mo</v>
      </c>
      <c r="X22" s="47" t="str">
        <f t="shared" si="6"/>
        <v>Tu</v>
      </c>
      <c r="Y22" s="47" t="str">
        <f t="shared" si="6"/>
        <v>We</v>
      </c>
      <c r="Z22" s="47" t="str">
        <f t="shared" si="6"/>
        <v>Th</v>
      </c>
      <c r="AA22" s="47" t="str">
        <f t="shared" si="6"/>
        <v>Fr</v>
      </c>
      <c r="AB22" s="47" t="str">
        <f t="shared" si="6"/>
        <v>Sa</v>
      </c>
      <c r="AC22" s="47" t="str">
        <f t="shared" si="6"/>
        <v>Su</v>
      </c>
      <c r="AD22" s="47" t="str">
        <f t="shared" si="6"/>
        <v>Mo</v>
      </c>
      <c r="AE22" s="47" t="str">
        <f t="shared" si="6"/>
        <v>Tu</v>
      </c>
      <c r="AF22" s="47" t="str">
        <f t="shared" si="6"/>
        <v>We</v>
      </c>
      <c r="AG22" s="47" t="str">
        <f t="shared" si="6"/>
        <v>Th</v>
      </c>
    </row>
    <row r="23" spans="2:33" ht="14.4" thickTop="1" thickBot="1">
      <c r="B23" s="110" t="str">
        <f>Roster!$C$199</f>
        <v>January</v>
      </c>
      <c r="C23" s="111">
        <v>1</v>
      </c>
      <c r="D23" s="112">
        <v>2</v>
      </c>
      <c r="E23" s="112">
        <v>3</v>
      </c>
      <c r="F23" s="112">
        <v>4</v>
      </c>
      <c r="G23" s="112">
        <v>5</v>
      </c>
      <c r="H23" s="112">
        <v>6</v>
      </c>
      <c r="I23" s="112">
        <v>7</v>
      </c>
      <c r="J23" s="112">
        <v>8</v>
      </c>
      <c r="K23" s="112">
        <v>9</v>
      </c>
      <c r="L23" s="112">
        <v>10</v>
      </c>
      <c r="M23" s="112">
        <v>11</v>
      </c>
      <c r="N23" s="112">
        <v>12</v>
      </c>
      <c r="O23" s="112">
        <v>13</v>
      </c>
      <c r="P23" s="112">
        <v>14</v>
      </c>
      <c r="Q23" s="112">
        <v>15</v>
      </c>
      <c r="R23" s="112">
        <v>16</v>
      </c>
      <c r="S23" s="112">
        <v>17</v>
      </c>
      <c r="T23" s="112">
        <v>18</v>
      </c>
      <c r="U23" s="112">
        <v>19</v>
      </c>
      <c r="V23" s="112">
        <v>20</v>
      </c>
      <c r="W23" s="112">
        <v>21</v>
      </c>
      <c r="X23" s="112">
        <v>22</v>
      </c>
      <c r="Y23" s="112">
        <v>23</v>
      </c>
      <c r="Z23" s="112">
        <v>24</v>
      </c>
      <c r="AA23" s="112">
        <v>25</v>
      </c>
      <c r="AB23" s="112">
        <v>26</v>
      </c>
      <c r="AC23" s="112">
        <v>27</v>
      </c>
      <c r="AD23" s="112">
        <v>28</v>
      </c>
      <c r="AE23" s="112">
        <v>29</v>
      </c>
      <c r="AF23" s="112">
        <v>30</v>
      </c>
      <c r="AG23" s="113">
        <v>31</v>
      </c>
    </row>
    <row r="24" spans="2:33" ht="14.4" thickTop="1" thickBot="1">
      <c r="B24" s="110" t="str">
        <f>CurYear</f>
        <v>2019</v>
      </c>
      <c r="C24" s="36" t="str">
        <f>Roster!D$200</f>
        <v>.</v>
      </c>
      <c r="D24" s="37" t="str">
        <f>Roster!E$200</f>
        <v>.</v>
      </c>
      <c r="E24" s="37" t="str">
        <f>Roster!F$200</f>
        <v>.</v>
      </c>
      <c r="F24" s="37" t="str">
        <f>Roster!G$200</f>
        <v>.</v>
      </c>
      <c r="G24" s="37" t="str">
        <f>Roster!H$200</f>
        <v>.</v>
      </c>
      <c r="H24" s="37" t="str">
        <f>Roster!I200</f>
        <v>.</v>
      </c>
      <c r="I24" s="37" t="str">
        <f>Roster!J200</f>
        <v>.</v>
      </c>
      <c r="J24" s="37" t="str">
        <f>Roster!K200</f>
        <v>.</v>
      </c>
      <c r="K24" s="37" t="str">
        <f>Roster!L200</f>
        <v>.</v>
      </c>
      <c r="L24" s="37" t="str">
        <f>Roster!M200</f>
        <v>.</v>
      </c>
      <c r="M24" s="37" t="str">
        <f>Roster!N200</f>
        <v>.</v>
      </c>
      <c r="N24" s="37" t="str">
        <f>Roster!O200</f>
        <v>.</v>
      </c>
      <c r="O24" s="37" t="str">
        <f>Roster!P200</f>
        <v>.</v>
      </c>
      <c r="P24" s="37" t="str">
        <f>Roster!Q200</f>
        <v>.</v>
      </c>
      <c r="Q24" s="37" t="str">
        <f>Roster!R200</f>
        <v>.</v>
      </c>
      <c r="R24" s="37" t="str">
        <f>Roster!S200</f>
        <v>.</v>
      </c>
      <c r="S24" s="37" t="str">
        <f>Roster!T200</f>
        <v>.</v>
      </c>
      <c r="T24" s="37" t="str">
        <f>Roster!U200</f>
        <v>.</v>
      </c>
      <c r="U24" s="37" t="str">
        <f>Roster!V200</f>
        <v>.</v>
      </c>
      <c r="V24" s="37" t="str">
        <f>Roster!W200</f>
        <v>.</v>
      </c>
      <c r="W24" s="37" t="str">
        <f>Roster!X200</f>
        <v>.</v>
      </c>
      <c r="X24" s="37" t="str">
        <f>Roster!Y200</f>
        <v>.</v>
      </c>
      <c r="Y24" s="37" t="str">
        <f>Roster!Z200</f>
        <v>.</v>
      </c>
      <c r="Z24" s="37" t="str">
        <f>Roster!AA200</f>
        <v>.</v>
      </c>
      <c r="AA24" s="37" t="str">
        <f>Roster!AB200</f>
        <v>.</v>
      </c>
      <c r="AB24" s="37" t="str">
        <f>Roster!AC200</f>
        <v>.</v>
      </c>
      <c r="AC24" s="37" t="str">
        <f>Roster!AD200</f>
        <v>.</v>
      </c>
      <c r="AD24" s="37" t="str">
        <f>Roster!AE200</f>
        <v>.</v>
      </c>
      <c r="AE24" s="37" t="str">
        <f>Roster!AF200</f>
        <v>.</v>
      </c>
      <c r="AF24" s="37" t="str">
        <f>Roster!AG200</f>
        <v>.</v>
      </c>
      <c r="AG24" s="38" t="str">
        <f>Roster!AH200</f>
        <v>.</v>
      </c>
    </row>
    <row r="25" spans="2:33" s="26" customFormat="1" ht="14.4" thickTop="1" thickBot="1">
      <c r="B25" s="47"/>
      <c r="C25" s="47" t="str">
        <f t="shared" ref="C25:AE25" si="7">LEFT(TEXT(C26&amp;"-"&amp;$B26&amp;"-"&amp;CurYear,"ddd"),2)</f>
        <v>Fr</v>
      </c>
      <c r="D25" s="128" t="str">
        <f t="shared" si="7"/>
        <v>Sa</v>
      </c>
      <c r="E25" s="128" t="str">
        <f t="shared" si="7"/>
        <v>Su</v>
      </c>
      <c r="F25" s="128" t="str">
        <f t="shared" si="7"/>
        <v>Mo</v>
      </c>
      <c r="G25" s="128" t="str">
        <f t="shared" si="7"/>
        <v>Tu</v>
      </c>
      <c r="H25" s="128" t="str">
        <f t="shared" si="7"/>
        <v>We</v>
      </c>
      <c r="I25" s="128" t="str">
        <f t="shared" si="7"/>
        <v>Th</v>
      </c>
      <c r="J25" s="128" t="str">
        <f t="shared" si="7"/>
        <v>Fr</v>
      </c>
      <c r="K25" s="128" t="str">
        <f t="shared" si="7"/>
        <v>Sa</v>
      </c>
      <c r="L25" s="128" t="str">
        <f t="shared" si="7"/>
        <v>Su</v>
      </c>
      <c r="M25" s="128" t="str">
        <f t="shared" si="7"/>
        <v>Mo</v>
      </c>
      <c r="N25" s="128" t="str">
        <f t="shared" si="7"/>
        <v>Tu</v>
      </c>
      <c r="O25" s="128" t="str">
        <f t="shared" si="7"/>
        <v>We</v>
      </c>
      <c r="P25" s="128" t="str">
        <f t="shared" si="7"/>
        <v>Th</v>
      </c>
      <c r="Q25" s="128" t="str">
        <f t="shared" si="7"/>
        <v>Fr</v>
      </c>
      <c r="R25" s="128" t="str">
        <f t="shared" si="7"/>
        <v>Sa</v>
      </c>
      <c r="S25" s="128" t="str">
        <f t="shared" si="7"/>
        <v>Su</v>
      </c>
      <c r="T25" s="128" t="str">
        <f t="shared" si="7"/>
        <v>Mo</v>
      </c>
      <c r="U25" s="128" t="str">
        <f t="shared" si="7"/>
        <v>Tu</v>
      </c>
      <c r="V25" s="128" t="str">
        <f t="shared" si="7"/>
        <v>We</v>
      </c>
      <c r="W25" s="128" t="str">
        <f t="shared" si="7"/>
        <v>Th</v>
      </c>
      <c r="X25" s="128" t="str">
        <f t="shared" si="7"/>
        <v>Fr</v>
      </c>
      <c r="Y25" s="128" t="str">
        <f t="shared" si="7"/>
        <v>Sa</v>
      </c>
      <c r="Z25" s="128" t="str">
        <f t="shared" si="7"/>
        <v>Su</v>
      </c>
      <c r="AA25" s="128" t="str">
        <f t="shared" si="7"/>
        <v>Mo</v>
      </c>
      <c r="AB25" s="128" t="str">
        <f t="shared" si="7"/>
        <v>Tu</v>
      </c>
      <c r="AC25" s="128" t="str">
        <f t="shared" si="7"/>
        <v>We</v>
      </c>
      <c r="AD25" s="128" t="str">
        <f t="shared" si="7"/>
        <v>Th</v>
      </c>
      <c r="AE25" s="144" t="str">
        <f t="shared" si="7"/>
        <v>29</v>
      </c>
      <c r="AF25" s="123"/>
      <c r="AG25" s="123"/>
    </row>
    <row r="26" spans="2:33" ht="14.4" thickTop="1" thickBot="1">
      <c r="B26" s="110" t="str">
        <f>Roster!$C$214</f>
        <v>February</v>
      </c>
      <c r="C26" s="111">
        <v>1</v>
      </c>
      <c r="D26" s="119">
        <v>2</v>
      </c>
      <c r="E26" s="119">
        <v>3</v>
      </c>
      <c r="F26" s="119">
        <v>4</v>
      </c>
      <c r="G26" s="119">
        <v>5</v>
      </c>
      <c r="H26" s="119">
        <v>6</v>
      </c>
      <c r="I26" s="119">
        <v>7</v>
      </c>
      <c r="J26" s="119">
        <v>8</v>
      </c>
      <c r="K26" s="119">
        <v>9</v>
      </c>
      <c r="L26" s="119">
        <v>10</v>
      </c>
      <c r="M26" s="119">
        <v>11</v>
      </c>
      <c r="N26" s="119">
        <v>12</v>
      </c>
      <c r="O26" s="119">
        <v>13</v>
      </c>
      <c r="P26" s="119">
        <v>14</v>
      </c>
      <c r="Q26" s="119">
        <v>15</v>
      </c>
      <c r="R26" s="119">
        <v>16</v>
      </c>
      <c r="S26" s="119">
        <v>17</v>
      </c>
      <c r="T26" s="119">
        <v>18</v>
      </c>
      <c r="U26" s="119">
        <v>19</v>
      </c>
      <c r="V26" s="119">
        <v>20</v>
      </c>
      <c r="W26" s="119">
        <v>21</v>
      </c>
      <c r="X26" s="119">
        <v>22</v>
      </c>
      <c r="Y26" s="119">
        <v>23</v>
      </c>
      <c r="Z26" s="119">
        <v>24</v>
      </c>
      <c r="AA26" s="119">
        <v>25</v>
      </c>
      <c r="AB26" s="119">
        <v>26</v>
      </c>
      <c r="AC26" s="119">
        <v>27</v>
      </c>
      <c r="AD26" s="124">
        <v>28</v>
      </c>
      <c r="AE26" s="129">
        <v>29</v>
      </c>
      <c r="AF26" s="106"/>
    </row>
    <row r="27" spans="2:33" ht="14.4" thickTop="1" thickBot="1">
      <c r="B27" s="110" t="str">
        <f>CurYear</f>
        <v>2019</v>
      </c>
      <c r="C27" s="36" t="str">
        <f>Roster!$D$215</f>
        <v>.</v>
      </c>
      <c r="D27" s="37" t="str">
        <f>Roster!E215</f>
        <v>.</v>
      </c>
      <c r="E27" s="37" t="str">
        <f>Roster!F215</f>
        <v>.</v>
      </c>
      <c r="F27" s="37" t="str">
        <f>Roster!G215</f>
        <v>.</v>
      </c>
      <c r="G27" s="37" t="str">
        <f>Roster!H215</f>
        <v>.</v>
      </c>
      <c r="H27" s="37" t="str">
        <f>Roster!I215</f>
        <v>.</v>
      </c>
      <c r="I27" s="37" t="str">
        <f>Roster!J215</f>
        <v>.</v>
      </c>
      <c r="J27" s="37" t="str">
        <f>Roster!K215</f>
        <v>.</v>
      </c>
      <c r="K27" s="37" t="str">
        <f>Roster!L215</f>
        <v>.</v>
      </c>
      <c r="L27" s="37" t="str">
        <f>Roster!M215</f>
        <v>.</v>
      </c>
      <c r="M27" s="37" t="str">
        <f>Roster!N215</f>
        <v>.</v>
      </c>
      <c r="N27" s="37" t="str">
        <f>Roster!O215</f>
        <v>.</v>
      </c>
      <c r="O27" s="37" t="str">
        <f>Roster!P215</f>
        <v>.</v>
      </c>
      <c r="P27" s="37" t="str">
        <f>Roster!Q215</f>
        <v>.</v>
      </c>
      <c r="Q27" s="37" t="str">
        <f>Roster!R215</f>
        <v>.</v>
      </c>
      <c r="R27" s="37" t="str">
        <f>Roster!S215</f>
        <v>.</v>
      </c>
      <c r="S27" s="37" t="str">
        <f>Roster!T215</f>
        <v>.</v>
      </c>
      <c r="T27" s="37" t="str">
        <f>Roster!U215</f>
        <v>.</v>
      </c>
      <c r="U27" s="37" t="str">
        <f>Roster!V215</f>
        <v>.</v>
      </c>
      <c r="V27" s="37" t="str">
        <f>Roster!W215</f>
        <v>.</v>
      </c>
      <c r="W27" s="37" t="str">
        <f>Roster!X215</f>
        <v>.</v>
      </c>
      <c r="X27" s="37" t="str">
        <f>Roster!Y215</f>
        <v>.</v>
      </c>
      <c r="Y27" s="37" t="str">
        <f>Roster!Z215</f>
        <v>.</v>
      </c>
      <c r="Z27" s="37" t="str">
        <f>Roster!AA215</f>
        <v>.</v>
      </c>
      <c r="AA27" s="37" t="str">
        <f>Roster!AB215</f>
        <v>.</v>
      </c>
      <c r="AB27" s="37" t="str">
        <f>Roster!AC215</f>
        <v>.</v>
      </c>
      <c r="AC27" s="37" t="str">
        <f>Roster!AD215</f>
        <v>.</v>
      </c>
      <c r="AD27" s="43" t="str">
        <f>Roster!AE215</f>
        <v>.</v>
      </c>
      <c r="AE27" s="130">
        <f>Roster!AF215</f>
        <v>0</v>
      </c>
    </row>
    <row r="28" spans="2:33" s="26" customFormat="1" ht="14.4" thickTop="1" thickBot="1">
      <c r="B28" s="47"/>
      <c r="C28" s="47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26" t="str">
        <f t="shared" si="8"/>
        <v>Su</v>
      </c>
    </row>
    <row r="29" spans="2:33" ht="14.4" thickTop="1" thickBot="1">
      <c r="B29" s="110" t="str">
        <f>Roster!$C$229</f>
        <v>March</v>
      </c>
      <c r="C29" s="111">
        <v>1</v>
      </c>
      <c r="D29" s="112">
        <v>2</v>
      </c>
      <c r="E29" s="112">
        <v>3</v>
      </c>
      <c r="F29" s="112">
        <v>4</v>
      </c>
      <c r="G29" s="112">
        <v>5</v>
      </c>
      <c r="H29" s="112">
        <v>6</v>
      </c>
      <c r="I29" s="112">
        <v>7</v>
      </c>
      <c r="J29" s="112">
        <v>8</v>
      </c>
      <c r="K29" s="112">
        <v>9</v>
      </c>
      <c r="L29" s="112">
        <v>10</v>
      </c>
      <c r="M29" s="112">
        <v>11</v>
      </c>
      <c r="N29" s="112">
        <v>12</v>
      </c>
      <c r="O29" s="112">
        <v>13</v>
      </c>
      <c r="P29" s="112">
        <v>14</v>
      </c>
      <c r="Q29" s="112">
        <v>15</v>
      </c>
      <c r="R29" s="112">
        <v>16</v>
      </c>
      <c r="S29" s="112">
        <v>17</v>
      </c>
      <c r="T29" s="112">
        <v>18</v>
      </c>
      <c r="U29" s="112">
        <v>19</v>
      </c>
      <c r="V29" s="112">
        <v>20</v>
      </c>
      <c r="W29" s="112">
        <v>21</v>
      </c>
      <c r="X29" s="112">
        <v>22</v>
      </c>
      <c r="Y29" s="112">
        <v>23</v>
      </c>
      <c r="Z29" s="112">
        <v>24</v>
      </c>
      <c r="AA29" s="112">
        <v>25</v>
      </c>
      <c r="AB29" s="112">
        <v>26</v>
      </c>
      <c r="AC29" s="112">
        <v>27</v>
      </c>
      <c r="AD29" s="112">
        <v>28</v>
      </c>
      <c r="AE29" s="112">
        <v>29</v>
      </c>
      <c r="AF29" s="112">
        <v>30</v>
      </c>
      <c r="AG29" s="113">
        <v>31</v>
      </c>
    </row>
    <row r="30" spans="2:33" ht="14.4" thickTop="1" thickBot="1">
      <c r="B30" s="110" t="str">
        <f>CurYear</f>
        <v>2019</v>
      </c>
      <c r="C30" s="36" t="str">
        <f>Roster!D230</f>
        <v>.</v>
      </c>
      <c r="D30" s="37" t="str">
        <f>Roster!E230</f>
        <v>.</v>
      </c>
      <c r="E30" s="37" t="str">
        <f>Roster!F230</f>
        <v>.</v>
      </c>
      <c r="F30" s="37" t="str">
        <f>Roster!G230</f>
        <v>.</v>
      </c>
      <c r="G30" s="37" t="str">
        <f>Roster!H230</f>
        <v>.</v>
      </c>
      <c r="H30" s="37" t="str">
        <f>Roster!I230</f>
        <v>.</v>
      </c>
      <c r="I30" s="37" t="str">
        <f>Roster!J230</f>
        <v>.</v>
      </c>
      <c r="J30" s="37" t="str">
        <f>Roster!K230</f>
        <v>.</v>
      </c>
      <c r="K30" s="37" t="str">
        <f>Roster!L230</f>
        <v>.</v>
      </c>
      <c r="L30" s="37" t="str">
        <f>Roster!M230</f>
        <v>.</v>
      </c>
      <c r="M30" s="37" t="str">
        <f>Roster!N230</f>
        <v>.</v>
      </c>
      <c r="N30" s="37" t="str">
        <f>Roster!O230</f>
        <v>.</v>
      </c>
      <c r="O30" s="37" t="str">
        <f>Roster!P230</f>
        <v>.</v>
      </c>
      <c r="P30" s="37" t="str">
        <f>Roster!Q230</f>
        <v>.</v>
      </c>
      <c r="Q30" s="37" t="str">
        <f>Roster!R230</f>
        <v>.</v>
      </c>
      <c r="R30" s="37" t="str">
        <f>Roster!S230</f>
        <v>.</v>
      </c>
      <c r="S30" s="37" t="str">
        <f>Roster!T230</f>
        <v>.</v>
      </c>
      <c r="T30" s="37" t="str">
        <f>Roster!U230</f>
        <v>.</v>
      </c>
      <c r="U30" s="37" t="str">
        <f>Roster!V230</f>
        <v>.</v>
      </c>
      <c r="V30" s="37" t="str">
        <f>Roster!W230</f>
        <v>.</v>
      </c>
      <c r="W30" s="37" t="str">
        <f>Roster!X230</f>
        <v>.</v>
      </c>
      <c r="X30" s="37" t="str">
        <f>Roster!Y230</f>
        <v>.</v>
      </c>
      <c r="Y30" s="37" t="str">
        <f>Roster!Z230</f>
        <v>.</v>
      </c>
      <c r="Z30" s="37" t="str">
        <f>Roster!AA230</f>
        <v>.</v>
      </c>
      <c r="AA30" s="37" t="str">
        <f>Roster!AB230</f>
        <v>.</v>
      </c>
      <c r="AB30" s="37" t="str">
        <f>Roster!AC230</f>
        <v>.</v>
      </c>
      <c r="AC30" s="37" t="str">
        <f>Roster!AD230</f>
        <v>.</v>
      </c>
      <c r="AD30" s="37" t="str">
        <f>Roster!AE230</f>
        <v>.</v>
      </c>
      <c r="AE30" s="37" t="str">
        <f>Roster!AF230</f>
        <v>.</v>
      </c>
      <c r="AF30" s="37" t="str">
        <f>Roster!AG230</f>
        <v>.</v>
      </c>
      <c r="AG30" s="38" t="str">
        <f>Roster!AH230</f>
        <v>.</v>
      </c>
    </row>
    <row r="31" spans="2:33" s="26" customFormat="1" ht="14.4" thickTop="1" thickBot="1">
      <c r="B31" s="47"/>
      <c r="C31" s="47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125"/>
    </row>
    <row r="32" spans="2:33" ht="14.4" thickTop="1" thickBot="1">
      <c r="B32" s="110" t="str">
        <f>Roster!$C$244</f>
        <v>April</v>
      </c>
      <c r="C32" s="111">
        <v>1</v>
      </c>
      <c r="D32" s="112">
        <v>2</v>
      </c>
      <c r="E32" s="112">
        <v>3</v>
      </c>
      <c r="F32" s="112">
        <v>4</v>
      </c>
      <c r="G32" s="112">
        <v>5</v>
      </c>
      <c r="H32" s="112">
        <v>6</v>
      </c>
      <c r="I32" s="112">
        <v>7</v>
      </c>
      <c r="J32" s="112">
        <v>8</v>
      </c>
      <c r="K32" s="112">
        <v>9</v>
      </c>
      <c r="L32" s="112">
        <v>10</v>
      </c>
      <c r="M32" s="112">
        <v>11</v>
      </c>
      <c r="N32" s="112">
        <v>12</v>
      </c>
      <c r="O32" s="112">
        <v>13</v>
      </c>
      <c r="P32" s="112">
        <v>14</v>
      </c>
      <c r="Q32" s="112">
        <v>15</v>
      </c>
      <c r="R32" s="112">
        <v>16</v>
      </c>
      <c r="S32" s="112">
        <v>17</v>
      </c>
      <c r="T32" s="112">
        <v>18</v>
      </c>
      <c r="U32" s="112">
        <v>19</v>
      </c>
      <c r="V32" s="112">
        <v>20</v>
      </c>
      <c r="W32" s="112">
        <v>21</v>
      </c>
      <c r="X32" s="112">
        <v>22</v>
      </c>
      <c r="Y32" s="112">
        <v>23</v>
      </c>
      <c r="Z32" s="112">
        <v>24</v>
      </c>
      <c r="AA32" s="112">
        <v>25</v>
      </c>
      <c r="AB32" s="112">
        <v>26</v>
      </c>
      <c r="AC32" s="112">
        <v>27</v>
      </c>
      <c r="AD32" s="112">
        <v>28</v>
      </c>
      <c r="AE32" s="112">
        <v>29</v>
      </c>
      <c r="AF32" s="113">
        <v>30</v>
      </c>
    </row>
    <row r="33" spans="2:33" ht="14.4" thickTop="1" thickBot="1">
      <c r="B33" s="110" t="str">
        <f>CurYear</f>
        <v>2019</v>
      </c>
      <c r="C33" s="36" t="str">
        <f>Roster!D245</f>
        <v>.</v>
      </c>
      <c r="D33" s="37" t="str">
        <f>Roster!E245</f>
        <v>.</v>
      </c>
      <c r="E33" s="37" t="str">
        <f>Roster!F245</f>
        <v>.</v>
      </c>
      <c r="F33" s="37" t="str">
        <f>Roster!G245</f>
        <v>.</v>
      </c>
      <c r="G33" s="37" t="str">
        <f>Roster!H245</f>
        <v>.</v>
      </c>
      <c r="H33" s="37" t="str">
        <f>Roster!I245</f>
        <v>.</v>
      </c>
      <c r="I33" s="37" t="str">
        <f>Roster!J245</f>
        <v>.</v>
      </c>
      <c r="J33" s="37" t="str">
        <f>Roster!K245</f>
        <v>.</v>
      </c>
      <c r="K33" s="37" t="str">
        <f>Roster!L245</f>
        <v>.</v>
      </c>
      <c r="L33" s="37" t="str">
        <f>Roster!M245</f>
        <v>.</v>
      </c>
      <c r="M33" s="37" t="str">
        <f>Roster!N245</f>
        <v>.</v>
      </c>
      <c r="N33" s="37" t="str">
        <f>Roster!O245</f>
        <v>.</v>
      </c>
      <c r="O33" s="37" t="str">
        <f>Roster!P245</f>
        <v>.</v>
      </c>
      <c r="P33" s="37" t="str">
        <f>Roster!Q245</f>
        <v>.</v>
      </c>
      <c r="Q33" s="37" t="str">
        <f>Roster!R245</f>
        <v>.</v>
      </c>
      <c r="R33" s="37" t="str">
        <f>Roster!S245</f>
        <v>.</v>
      </c>
      <c r="S33" s="37" t="str">
        <f>Roster!T245</f>
        <v>.</v>
      </c>
      <c r="T33" s="37" t="str">
        <f>Roster!U245</f>
        <v>.</v>
      </c>
      <c r="U33" s="37" t="str">
        <f>Roster!V245</f>
        <v>.</v>
      </c>
      <c r="V33" s="37" t="str">
        <f>Roster!W245</f>
        <v>.</v>
      </c>
      <c r="W33" s="37" t="str">
        <f>Roster!X245</f>
        <v>.</v>
      </c>
      <c r="X33" s="37" t="str">
        <f>Roster!Y245</f>
        <v>.</v>
      </c>
      <c r="Y33" s="37" t="str">
        <f>Roster!Z245</f>
        <v>.</v>
      </c>
      <c r="Z33" s="37" t="str">
        <f>Roster!AA245</f>
        <v>.</v>
      </c>
      <c r="AA33" s="37" t="str">
        <f>Roster!AB245</f>
        <v>.</v>
      </c>
      <c r="AB33" s="37" t="str">
        <f>Roster!AC245</f>
        <v>.</v>
      </c>
      <c r="AC33" s="37" t="str">
        <f>Roster!AD245</f>
        <v>.</v>
      </c>
      <c r="AD33" s="37" t="str">
        <f>Roster!AE245</f>
        <v>.</v>
      </c>
      <c r="AE33" s="37" t="str">
        <f>Roster!AF245</f>
        <v>.</v>
      </c>
      <c r="AF33" s="38" t="str">
        <f>Roster!AG245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20" t="str">
        <f t="shared" si="10"/>
        <v>Fr</v>
      </c>
    </row>
    <row r="35" spans="2:33" ht="14.4" thickTop="1" thickBot="1">
      <c r="B35" s="110" t="str">
        <f>Roster!$C$259</f>
        <v>May</v>
      </c>
      <c r="C35" s="111">
        <v>1</v>
      </c>
      <c r="D35" s="112">
        <v>2</v>
      </c>
      <c r="E35" s="112">
        <v>3</v>
      </c>
      <c r="F35" s="112">
        <v>4</v>
      </c>
      <c r="G35" s="112">
        <v>5</v>
      </c>
      <c r="H35" s="112">
        <v>6</v>
      </c>
      <c r="I35" s="112">
        <v>7</v>
      </c>
      <c r="J35" s="112">
        <v>8</v>
      </c>
      <c r="K35" s="112">
        <v>9</v>
      </c>
      <c r="L35" s="112">
        <v>10</v>
      </c>
      <c r="M35" s="112">
        <v>11</v>
      </c>
      <c r="N35" s="112">
        <v>12</v>
      </c>
      <c r="O35" s="112">
        <v>13</v>
      </c>
      <c r="P35" s="112">
        <v>14</v>
      </c>
      <c r="Q35" s="112">
        <v>15</v>
      </c>
      <c r="R35" s="112">
        <v>16</v>
      </c>
      <c r="S35" s="112">
        <v>17</v>
      </c>
      <c r="T35" s="112">
        <v>18</v>
      </c>
      <c r="U35" s="112">
        <v>19</v>
      </c>
      <c r="V35" s="112">
        <v>20</v>
      </c>
      <c r="W35" s="112">
        <v>21</v>
      </c>
      <c r="X35" s="112">
        <v>22</v>
      </c>
      <c r="Y35" s="112">
        <v>23</v>
      </c>
      <c r="Z35" s="112">
        <v>24</v>
      </c>
      <c r="AA35" s="112">
        <v>25</v>
      </c>
      <c r="AB35" s="112">
        <v>26</v>
      </c>
      <c r="AC35" s="112">
        <v>27</v>
      </c>
      <c r="AD35" s="112">
        <v>28</v>
      </c>
      <c r="AE35" s="112">
        <v>29</v>
      </c>
      <c r="AF35" s="112">
        <v>30</v>
      </c>
      <c r="AG35" s="113">
        <v>31</v>
      </c>
    </row>
    <row r="36" spans="2:33" ht="14.4" thickTop="1" thickBot="1">
      <c r="B36" s="110" t="str">
        <f>CurYear</f>
        <v>2019</v>
      </c>
      <c r="C36" s="36" t="str">
        <f>Roster!D260</f>
        <v>.</v>
      </c>
      <c r="D36" s="37" t="str">
        <f>Roster!E260</f>
        <v>.</v>
      </c>
      <c r="E36" s="37" t="str">
        <f>Roster!F260</f>
        <v>.</v>
      </c>
      <c r="F36" s="37" t="str">
        <f>Roster!G260</f>
        <v>.</v>
      </c>
      <c r="G36" s="37" t="str">
        <f>Roster!H260</f>
        <v>.</v>
      </c>
      <c r="H36" s="37" t="str">
        <f>Roster!I260</f>
        <v>.</v>
      </c>
      <c r="I36" s="37" t="str">
        <f>Roster!J260</f>
        <v>.</v>
      </c>
      <c r="J36" s="37" t="str">
        <f>Roster!K260</f>
        <v>.</v>
      </c>
      <c r="K36" s="37" t="str">
        <f>Roster!L260</f>
        <v>.</v>
      </c>
      <c r="L36" s="37" t="str">
        <f>Roster!M260</f>
        <v>.</v>
      </c>
      <c r="M36" s="37" t="str">
        <f>Roster!N260</f>
        <v>.</v>
      </c>
      <c r="N36" s="37" t="str">
        <f>Roster!O260</f>
        <v>.</v>
      </c>
      <c r="O36" s="37" t="str">
        <f>Roster!P260</f>
        <v>.</v>
      </c>
      <c r="P36" s="37" t="str">
        <f>Roster!Q260</f>
        <v>.</v>
      </c>
      <c r="Q36" s="37" t="str">
        <f>Roster!R260</f>
        <v>.</v>
      </c>
      <c r="R36" s="37" t="str">
        <f>Roster!S260</f>
        <v>.</v>
      </c>
      <c r="S36" s="37" t="str">
        <f>Roster!T260</f>
        <v>.</v>
      </c>
      <c r="T36" s="37" t="str">
        <f>Roster!U260</f>
        <v>.</v>
      </c>
      <c r="U36" s="37" t="str">
        <f>Roster!V260</f>
        <v>.</v>
      </c>
      <c r="V36" s="37" t="str">
        <f>Roster!W260</f>
        <v>.</v>
      </c>
      <c r="W36" s="37" t="str">
        <f>Roster!X260</f>
        <v>.</v>
      </c>
      <c r="X36" s="37" t="str">
        <f>Roster!Y260</f>
        <v>.</v>
      </c>
      <c r="Y36" s="37" t="str">
        <f>Roster!Z260</f>
        <v>.</v>
      </c>
      <c r="Z36" s="37" t="str">
        <f>Roster!AA260</f>
        <v>.</v>
      </c>
      <c r="AA36" s="37" t="str">
        <f>Roster!AB260</f>
        <v>.</v>
      </c>
      <c r="AB36" s="37" t="str">
        <f>Roster!AC260</f>
        <v>.</v>
      </c>
      <c r="AC36" s="37" t="str">
        <f>Roster!AD260</f>
        <v>.</v>
      </c>
      <c r="AD36" s="37" t="str">
        <f>Roster!AE260</f>
        <v>.</v>
      </c>
      <c r="AE36" s="37" t="str">
        <f>Roster!AF260</f>
        <v>.</v>
      </c>
      <c r="AF36" s="37" t="str">
        <f>Roster!AG260</f>
        <v>.</v>
      </c>
      <c r="AG36" s="38" t="str">
        <f>Roster!AH260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17"/>
    </row>
    <row r="38" spans="2:33" ht="14.4" thickTop="1" thickBot="1">
      <c r="B38" s="110" t="str">
        <f>Roster!C274</f>
        <v>June</v>
      </c>
      <c r="C38" s="111">
        <v>1</v>
      </c>
      <c r="D38" s="112">
        <v>2</v>
      </c>
      <c r="E38" s="112">
        <v>3</v>
      </c>
      <c r="F38" s="112">
        <v>4</v>
      </c>
      <c r="G38" s="112">
        <v>5</v>
      </c>
      <c r="H38" s="112">
        <v>6</v>
      </c>
      <c r="I38" s="112">
        <v>7</v>
      </c>
      <c r="J38" s="112">
        <v>8</v>
      </c>
      <c r="K38" s="112">
        <v>9</v>
      </c>
      <c r="L38" s="112">
        <v>10</v>
      </c>
      <c r="M38" s="112">
        <v>11</v>
      </c>
      <c r="N38" s="112">
        <v>12</v>
      </c>
      <c r="O38" s="112">
        <v>13</v>
      </c>
      <c r="P38" s="112">
        <v>14</v>
      </c>
      <c r="Q38" s="112">
        <v>15</v>
      </c>
      <c r="R38" s="112">
        <v>16</v>
      </c>
      <c r="S38" s="112">
        <v>17</v>
      </c>
      <c r="T38" s="112">
        <v>18</v>
      </c>
      <c r="U38" s="112">
        <v>19</v>
      </c>
      <c r="V38" s="112">
        <v>20</v>
      </c>
      <c r="W38" s="112">
        <v>21</v>
      </c>
      <c r="X38" s="112">
        <v>22</v>
      </c>
      <c r="Y38" s="112">
        <v>23</v>
      </c>
      <c r="Z38" s="112">
        <v>24</v>
      </c>
      <c r="AA38" s="112">
        <v>25</v>
      </c>
      <c r="AB38" s="112">
        <v>26</v>
      </c>
      <c r="AC38" s="112">
        <v>27</v>
      </c>
      <c r="AD38" s="112">
        <v>28</v>
      </c>
      <c r="AE38" s="112">
        <v>29</v>
      </c>
      <c r="AF38" s="113">
        <v>30</v>
      </c>
    </row>
    <row r="39" spans="2:33" ht="14.4" thickTop="1" thickBot="1">
      <c r="B39" s="110" t="str">
        <f>CurYear</f>
        <v>2019</v>
      </c>
      <c r="C39" s="36" t="str">
        <f>Roster!D275</f>
        <v>.</v>
      </c>
      <c r="D39" s="37" t="str">
        <f>Roster!E275</f>
        <v>.</v>
      </c>
      <c r="E39" s="37" t="str">
        <f>Roster!F275</f>
        <v>.</v>
      </c>
      <c r="F39" s="37" t="str">
        <f>Roster!G275</f>
        <v>.</v>
      </c>
      <c r="G39" s="37" t="str">
        <f>Roster!H275</f>
        <v>.</v>
      </c>
      <c r="H39" s="37" t="str">
        <f>Roster!I275</f>
        <v>.</v>
      </c>
      <c r="I39" s="37" t="str">
        <f>Roster!J275</f>
        <v>.</v>
      </c>
      <c r="J39" s="37" t="str">
        <f>Roster!K275</f>
        <v>.</v>
      </c>
      <c r="K39" s="37" t="str">
        <f>Roster!L275</f>
        <v>.</v>
      </c>
      <c r="L39" s="37" t="str">
        <f>Roster!M275</f>
        <v>.</v>
      </c>
      <c r="M39" s="37" t="str">
        <f>Roster!N275</f>
        <v>.</v>
      </c>
      <c r="N39" s="37" t="str">
        <f>Roster!O275</f>
        <v>.</v>
      </c>
      <c r="O39" s="37" t="str">
        <f>Roster!P275</f>
        <v>.</v>
      </c>
      <c r="P39" s="37" t="str">
        <f>Roster!Q275</f>
        <v>.</v>
      </c>
      <c r="Q39" s="37" t="str">
        <f>Roster!R275</f>
        <v>.</v>
      </c>
      <c r="R39" s="37" t="str">
        <f>Roster!S275</f>
        <v>.</v>
      </c>
      <c r="S39" s="37" t="str">
        <f>Roster!T275</f>
        <v>.</v>
      </c>
      <c r="T39" s="37" t="str">
        <f>Roster!U275</f>
        <v>.</v>
      </c>
      <c r="U39" s="37" t="str">
        <f>Roster!V275</f>
        <v>.</v>
      </c>
      <c r="V39" s="37" t="str">
        <f>Roster!W275</f>
        <v>.</v>
      </c>
      <c r="W39" s="37" t="str">
        <f>Roster!X275</f>
        <v>.</v>
      </c>
      <c r="X39" s="37" t="str">
        <f>Roster!Y275</f>
        <v>.</v>
      </c>
      <c r="Y39" s="37" t="str">
        <f>Roster!Z275</f>
        <v>.</v>
      </c>
      <c r="Z39" s="37" t="str">
        <f>Roster!AA275</f>
        <v>.</v>
      </c>
      <c r="AA39" s="37" t="str">
        <f>Roster!AB275</f>
        <v>.</v>
      </c>
      <c r="AB39" s="37" t="str">
        <f>Roster!AC275</f>
        <v>.</v>
      </c>
      <c r="AC39" s="37" t="str">
        <f>Roster!AD275</f>
        <v>.</v>
      </c>
      <c r="AD39" s="37" t="str">
        <f>Roster!AE275</f>
        <v>.</v>
      </c>
      <c r="AE39" s="37" t="str">
        <f>Roster!AF275</f>
        <v>.</v>
      </c>
      <c r="AF39" s="38" t="str">
        <f>Roster!AG275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5" s="134" customFormat="1" ht="17.399999999999999">
      <c r="B1" s="133"/>
    </row>
    <row r="2" spans="2:35" s="134" customFormat="1" ht="24.75" customHeight="1">
      <c r="B2" s="133"/>
      <c r="I2" s="138" t="str">
        <f>Location</f>
        <v>Oodlawirra Quarantine Station</v>
      </c>
      <c r="J2" s="136"/>
      <c r="K2" s="136"/>
      <c r="L2" s="136"/>
      <c r="M2" s="136"/>
      <c r="N2" s="136"/>
      <c r="O2" s="136"/>
      <c r="P2" s="136"/>
      <c r="Q2" s="136"/>
      <c r="R2" s="138" t="str">
        <f xml:space="preserve"> "Financial Year Commencing 1st July, " &amp; CurYear -1</f>
        <v>Financial Year Commencing 1st July, 2018</v>
      </c>
      <c r="S2" s="135"/>
      <c r="T2" s="136"/>
      <c r="U2" s="136"/>
      <c r="V2" s="135"/>
      <c r="W2" s="136"/>
      <c r="X2" s="136"/>
      <c r="Y2" s="136"/>
      <c r="Z2" s="136"/>
      <c r="AA2" s="136"/>
      <c r="AB2" s="136"/>
      <c r="AC2" s="136"/>
      <c r="AD2" s="136"/>
      <c r="AE2" s="136"/>
      <c r="AF2" s="136"/>
    </row>
    <row r="3" spans="2:35" s="134" customFormat="1" ht="27" customHeight="1">
      <c r="B3" s="133"/>
      <c r="I3" s="139" t="s">
        <v>25</v>
      </c>
      <c r="R3" s="139" t="str">
        <f>EmpGName02 &amp;" " &amp; EmpSName02</f>
        <v>Kevin Stone</v>
      </c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</row>
    <row r="4" spans="2:35" s="44" customFormat="1" ht="13.8" thickBot="1">
      <c r="B4" s="107"/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107" t="str">
        <f t="shared" si="0"/>
        <v>Tu</v>
      </c>
    </row>
    <row r="5" spans="2:35" ht="14.4" thickTop="1" thickBot="1">
      <c r="B5" s="110" t="str">
        <f>Roster!C13</f>
        <v>July</v>
      </c>
      <c r="C5" s="111">
        <v>1</v>
      </c>
      <c r="D5" s="112">
        <v>2</v>
      </c>
      <c r="E5" s="112">
        <v>3</v>
      </c>
      <c r="F5" s="112">
        <v>4</v>
      </c>
      <c r="G5" s="112">
        <v>5</v>
      </c>
      <c r="H5" s="112">
        <v>6</v>
      </c>
      <c r="I5" s="112">
        <v>7</v>
      </c>
      <c r="J5" s="112">
        <v>8</v>
      </c>
      <c r="K5" s="112">
        <v>9</v>
      </c>
      <c r="L5" s="112">
        <v>10</v>
      </c>
      <c r="M5" s="112">
        <v>11</v>
      </c>
      <c r="N5" s="112">
        <v>12</v>
      </c>
      <c r="O5" s="112">
        <v>13</v>
      </c>
      <c r="P5" s="112">
        <v>14</v>
      </c>
      <c r="Q5" s="112">
        <v>15</v>
      </c>
      <c r="R5" s="112">
        <v>16</v>
      </c>
      <c r="S5" s="112">
        <v>17</v>
      </c>
      <c r="T5" s="112">
        <v>18</v>
      </c>
      <c r="U5" s="112">
        <v>19</v>
      </c>
      <c r="V5" s="112">
        <v>20</v>
      </c>
      <c r="W5" s="112">
        <v>21</v>
      </c>
      <c r="X5" s="112">
        <v>22</v>
      </c>
      <c r="Y5" s="112">
        <v>23</v>
      </c>
      <c r="Z5" s="112">
        <v>24</v>
      </c>
      <c r="AA5" s="112">
        <v>25</v>
      </c>
      <c r="AB5" s="112">
        <v>26</v>
      </c>
      <c r="AC5" s="112">
        <v>27</v>
      </c>
      <c r="AD5" s="112">
        <v>28</v>
      </c>
      <c r="AE5" s="112">
        <v>29</v>
      </c>
      <c r="AF5" s="112">
        <v>30</v>
      </c>
      <c r="AG5" s="113">
        <v>31</v>
      </c>
    </row>
    <row r="6" spans="2:35" ht="14.4" thickTop="1" thickBot="1">
      <c r="B6" s="110">
        <f>CurYear-1</f>
        <v>2018</v>
      </c>
      <c r="C6" s="36" t="str">
        <f>Roster!D15</f>
        <v>.</v>
      </c>
      <c r="D6" s="37" t="str">
        <f>Roster!E15</f>
        <v>.</v>
      </c>
      <c r="E6" s="37" t="str">
        <f>Roster!F15</f>
        <v>.</v>
      </c>
      <c r="F6" s="37" t="str">
        <f>Roster!G15</f>
        <v>.</v>
      </c>
      <c r="G6" s="37" t="str">
        <f>Roster!H15</f>
        <v>.</v>
      </c>
      <c r="H6" s="37" t="str">
        <f>Roster!I15</f>
        <v>.</v>
      </c>
      <c r="I6" s="37" t="str">
        <f>Roster!J15</f>
        <v>.</v>
      </c>
      <c r="J6" s="37" t="str">
        <f>Roster!K15</f>
        <v>.</v>
      </c>
      <c r="K6" s="37" t="str">
        <f>Roster!L15</f>
        <v>.</v>
      </c>
      <c r="L6" s="37" t="str">
        <f>Roster!M15</f>
        <v>.</v>
      </c>
      <c r="M6" s="37" t="str">
        <f>Roster!N15</f>
        <v>.</v>
      </c>
      <c r="N6" s="37" t="str">
        <f>Roster!O15</f>
        <v>.</v>
      </c>
      <c r="O6" s="37" t="str">
        <f>Roster!P15</f>
        <v>.</v>
      </c>
      <c r="P6" s="37" t="str">
        <f>Roster!Q15</f>
        <v>.</v>
      </c>
      <c r="Q6" s="37" t="str">
        <f>Roster!R15</f>
        <v>.</v>
      </c>
      <c r="R6" s="37" t="str">
        <f>Roster!S15</f>
        <v>.</v>
      </c>
      <c r="S6" s="37" t="str">
        <f>Roster!T15</f>
        <v>.</v>
      </c>
      <c r="T6" s="37" t="str">
        <f>Roster!U15</f>
        <v>.</v>
      </c>
      <c r="U6" s="37" t="str">
        <f>Roster!V15</f>
        <v>.</v>
      </c>
      <c r="V6" s="37" t="str">
        <f>Roster!W15</f>
        <v>.</v>
      </c>
      <c r="W6" s="37" t="str">
        <f>Roster!X15</f>
        <v>.</v>
      </c>
      <c r="X6" s="37" t="str">
        <f>Roster!Y15</f>
        <v>.</v>
      </c>
      <c r="Y6" s="37" t="str">
        <f>Roster!Z15</f>
        <v>.</v>
      </c>
      <c r="Z6" s="37" t="str">
        <f>Roster!AA15</f>
        <v>.</v>
      </c>
      <c r="AA6" s="37" t="str">
        <f>Roster!AB15</f>
        <v>.</v>
      </c>
      <c r="AB6" s="37" t="str">
        <f>Roster!AC15</f>
        <v>.</v>
      </c>
      <c r="AC6" s="37" t="str">
        <f>Roster!AD15</f>
        <v>.</v>
      </c>
      <c r="AD6" s="37" t="str">
        <f>Roster!AE15</f>
        <v>.</v>
      </c>
      <c r="AE6" s="37" t="str">
        <f>Roster!AF15</f>
        <v>.</v>
      </c>
      <c r="AF6" s="37" t="str">
        <f>Roster!AG15</f>
        <v>.</v>
      </c>
      <c r="AG6" s="38" t="str">
        <f>Roster!AH15</f>
        <v>.</v>
      </c>
    </row>
    <row r="7" spans="2:35" ht="14.4" thickTop="1" thickBot="1">
      <c r="B7" s="46"/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114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5" ht="14.4" thickTop="1" thickBot="1">
      <c r="B8" s="110" t="str">
        <f>Roster!C44</f>
        <v>August</v>
      </c>
      <c r="C8" s="111">
        <v>1</v>
      </c>
      <c r="D8" s="112">
        <v>2</v>
      </c>
      <c r="E8" s="112">
        <v>3</v>
      </c>
      <c r="F8" s="112">
        <v>4</v>
      </c>
      <c r="G8" s="112">
        <v>5</v>
      </c>
      <c r="H8" s="112">
        <v>6</v>
      </c>
      <c r="I8" s="112">
        <v>7</v>
      </c>
      <c r="J8" s="112">
        <v>8</v>
      </c>
      <c r="K8" s="112">
        <v>9</v>
      </c>
      <c r="L8" s="112">
        <v>10</v>
      </c>
      <c r="M8" s="112">
        <v>11</v>
      </c>
      <c r="N8" s="112">
        <v>12</v>
      </c>
      <c r="O8" s="112">
        <v>13</v>
      </c>
      <c r="P8" s="112">
        <v>14</v>
      </c>
      <c r="Q8" s="112">
        <v>15</v>
      </c>
      <c r="R8" s="112">
        <v>16</v>
      </c>
      <c r="S8" s="112">
        <v>17</v>
      </c>
      <c r="T8" s="112">
        <v>18</v>
      </c>
      <c r="U8" s="112">
        <v>19</v>
      </c>
      <c r="V8" s="112">
        <v>20</v>
      </c>
      <c r="W8" s="112">
        <v>21</v>
      </c>
      <c r="X8" s="112">
        <v>22</v>
      </c>
      <c r="Y8" s="112">
        <v>23</v>
      </c>
      <c r="Z8" s="112">
        <v>24</v>
      </c>
      <c r="AA8" s="112">
        <v>25</v>
      </c>
      <c r="AB8" s="112">
        <v>26</v>
      </c>
      <c r="AC8" s="112">
        <v>27</v>
      </c>
      <c r="AD8" s="115">
        <v>28</v>
      </c>
      <c r="AE8" s="112">
        <v>29</v>
      </c>
      <c r="AF8" s="116">
        <v>30</v>
      </c>
      <c r="AG8" s="113">
        <v>31</v>
      </c>
    </row>
    <row r="9" spans="2:35" ht="14.4" thickTop="1" thickBot="1">
      <c r="B9" s="110">
        <f>CurYear-1</f>
        <v>2018</v>
      </c>
      <c r="C9" s="36" t="str">
        <f>Roster!D46</f>
        <v>.</v>
      </c>
      <c r="D9" s="39" t="str">
        <f>Roster!E46</f>
        <v>.</v>
      </c>
      <c r="E9" s="37" t="str">
        <f>Roster!F46</f>
        <v>.</v>
      </c>
      <c r="F9" s="37" t="str">
        <f>Roster!G46</f>
        <v>.</v>
      </c>
      <c r="G9" s="37" t="str">
        <f>Roster!H46</f>
        <v>.</v>
      </c>
      <c r="H9" s="37" t="str">
        <f>Roster!I46</f>
        <v>.</v>
      </c>
      <c r="I9" s="37" t="str">
        <f>Roster!J46</f>
        <v>.</v>
      </c>
      <c r="J9" s="37" t="str">
        <f>Roster!K46</f>
        <v>.</v>
      </c>
      <c r="K9" s="37" t="str">
        <f>Roster!L46</f>
        <v>.</v>
      </c>
      <c r="L9" s="37" t="str">
        <f>Roster!M46</f>
        <v>.</v>
      </c>
      <c r="M9" s="37" t="str">
        <f>Roster!N46</f>
        <v>.</v>
      </c>
      <c r="N9" s="37" t="str">
        <f>Roster!O46</f>
        <v>.</v>
      </c>
      <c r="O9" s="37" t="str">
        <f>Roster!P46</f>
        <v>.</v>
      </c>
      <c r="P9" s="37" t="str">
        <f>Roster!Q46</f>
        <v>.</v>
      </c>
      <c r="Q9" s="37" t="str">
        <f>Roster!R46</f>
        <v>.</v>
      </c>
      <c r="R9" s="37" t="str">
        <f>Roster!S46</f>
        <v>.</v>
      </c>
      <c r="S9" s="37" t="str">
        <f>Roster!T46</f>
        <v>.</v>
      </c>
      <c r="T9" s="37" t="str">
        <f>Roster!U46</f>
        <v>.</v>
      </c>
      <c r="U9" s="37" t="str">
        <f>Roster!V46</f>
        <v>.</v>
      </c>
      <c r="V9" s="37" t="str">
        <f>Roster!W46</f>
        <v>.</v>
      </c>
      <c r="W9" s="37" t="str">
        <f>Roster!X46</f>
        <v>.</v>
      </c>
      <c r="X9" s="37" t="str">
        <f>Roster!Y46</f>
        <v>.</v>
      </c>
      <c r="Y9" s="37" t="str">
        <f>Roster!Z46</f>
        <v>.</v>
      </c>
      <c r="Z9" s="37" t="str">
        <f>Roster!AA46</f>
        <v>.</v>
      </c>
      <c r="AA9" s="37" t="str">
        <f>Roster!AB46</f>
        <v>.</v>
      </c>
      <c r="AB9" s="37" t="str">
        <f>Roster!AC46</f>
        <v>.</v>
      </c>
      <c r="AC9" s="37" t="str">
        <f>Roster!AD46</f>
        <v>.</v>
      </c>
      <c r="AD9" s="43" t="str">
        <f>Roster!AE46</f>
        <v>.</v>
      </c>
      <c r="AE9" s="37" t="str">
        <f>Roster!AF46</f>
        <v>.</v>
      </c>
      <c r="AF9" s="39" t="str">
        <f>Roster!AG46</f>
        <v>.</v>
      </c>
      <c r="AG9" s="38" t="str">
        <f>Roster!AH46</f>
        <v>.</v>
      </c>
    </row>
    <row r="10" spans="2:35" ht="14.4" thickTop="1" thickBot="1">
      <c r="B10" s="46"/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8" t="str">
        <f t="shared" si="2"/>
        <v>Sa</v>
      </c>
      <c r="AF10" s="21" t="str">
        <f t="shared" si="2"/>
        <v>Su</v>
      </c>
      <c r="AG10" s="117"/>
      <c r="AI10" s="108"/>
    </row>
    <row r="11" spans="2:35" ht="14.4" thickTop="1" thickBot="1">
      <c r="B11" s="110" t="str">
        <f>Roster!C75</f>
        <v>September</v>
      </c>
      <c r="C11" s="118">
        <v>1</v>
      </c>
      <c r="D11" s="119">
        <v>2</v>
      </c>
      <c r="E11" s="119">
        <v>3</v>
      </c>
      <c r="F11" s="119">
        <v>4</v>
      </c>
      <c r="G11" s="119">
        <v>5</v>
      </c>
      <c r="H11" s="119">
        <v>6</v>
      </c>
      <c r="I11" s="119">
        <v>7</v>
      </c>
      <c r="J11" s="119">
        <v>8</v>
      </c>
      <c r="K11" s="119">
        <v>9</v>
      </c>
      <c r="L11" s="119">
        <v>10</v>
      </c>
      <c r="M11" s="119">
        <v>11</v>
      </c>
      <c r="N11" s="119">
        <v>12</v>
      </c>
      <c r="O11" s="119">
        <v>13</v>
      </c>
      <c r="P11" s="119">
        <v>14</v>
      </c>
      <c r="Q11" s="119">
        <v>15</v>
      </c>
      <c r="R11" s="119">
        <v>16</v>
      </c>
      <c r="S11" s="119">
        <v>17</v>
      </c>
      <c r="T11" s="119">
        <v>18</v>
      </c>
      <c r="U11" s="119">
        <v>19</v>
      </c>
      <c r="V11" s="119">
        <v>20</v>
      </c>
      <c r="W11" s="119">
        <v>21</v>
      </c>
      <c r="X11" s="119">
        <v>22</v>
      </c>
      <c r="Y11" s="119">
        <v>23</v>
      </c>
      <c r="Z11" s="119">
        <v>24</v>
      </c>
      <c r="AA11" s="119">
        <v>25</v>
      </c>
      <c r="AB11" s="119">
        <v>26</v>
      </c>
      <c r="AC11" s="119">
        <v>27</v>
      </c>
      <c r="AD11" s="119">
        <v>28</v>
      </c>
      <c r="AE11" s="119">
        <v>29</v>
      </c>
      <c r="AF11" s="120">
        <v>30</v>
      </c>
      <c r="AG11" s="20"/>
    </row>
    <row r="12" spans="2:35" ht="14.4" thickTop="1" thickBot="1">
      <c r="B12" s="110">
        <f>CurYear-1</f>
        <v>2018</v>
      </c>
      <c r="C12" s="36" t="str">
        <f>Roster!D77</f>
        <v>.</v>
      </c>
      <c r="D12" s="37" t="str">
        <f>Roster!E77</f>
        <v>.</v>
      </c>
      <c r="E12" s="37" t="str">
        <f>Roster!F77</f>
        <v>.</v>
      </c>
      <c r="F12" s="37" t="str">
        <f>Roster!G77</f>
        <v>.</v>
      </c>
      <c r="G12" s="37" t="str">
        <f>Roster!H77</f>
        <v>.</v>
      </c>
      <c r="H12" s="37" t="str">
        <f>Roster!I77</f>
        <v>.</v>
      </c>
      <c r="I12" s="37" t="str">
        <f>Roster!J77</f>
        <v>.</v>
      </c>
      <c r="J12" s="37" t="str">
        <f>Roster!K77</f>
        <v>.</v>
      </c>
      <c r="K12" s="37" t="str">
        <f>Roster!L77</f>
        <v>.</v>
      </c>
      <c r="L12" s="37" t="str">
        <f>Roster!M77</f>
        <v>.</v>
      </c>
      <c r="M12" s="37" t="str">
        <f>Roster!N77</f>
        <v>.</v>
      </c>
      <c r="N12" s="37" t="str">
        <f>Roster!O77</f>
        <v>.</v>
      </c>
      <c r="O12" s="37" t="str">
        <f>Roster!P77</f>
        <v>.</v>
      </c>
      <c r="P12" s="37" t="str">
        <f>Roster!Q77</f>
        <v>.</v>
      </c>
      <c r="Q12" s="37" t="str">
        <f>Roster!R77</f>
        <v>.</v>
      </c>
      <c r="R12" s="37" t="str">
        <f>Roster!S77</f>
        <v>.</v>
      </c>
      <c r="S12" s="37" t="str">
        <f>Roster!T77</f>
        <v>.</v>
      </c>
      <c r="T12" s="37" t="str">
        <f>Roster!U77</f>
        <v>.</v>
      </c>
      <c r="U12" s="37" t="str">
        <f>Roster!V77</f>
        <v>.</v>
      </c>
      <c r="V12" s="37" t="str">
        <f>Roster!W77</f>
        <v>.</v>
      </c>
      <c r="W12" s="37" t="str">
        <f>Roster!X77</f>
        <v>.</v>
      </c>
      <c r="X12" s="37" t="str">
        <f>Roster!Y77</f>
        <v>.</v>
      </c>
      <c r="Y12" s="37" t="str">
        <f>Roster!Z77</f>
        <v>.</v>
      </c>
      <c r="Z12" s="37" t="str">
        <f>Roster!AA77</f>
        <v>.</v>
      </c>
      <c r="AA12" s="37" t="str">
        <f>Roster!AB77</f>
        <v>.</v>
      </c>
      <c r="AB12" s="37" t="str">
        <f>Roster!AC77</f>
        <v>.</v>
      </c>
      <c r="AC12" s="37" t="str">
        <f>Roster!AD77</f>
        <v>.</v>
      </c>
      <c r="AD12" s="37" t="str">
        <f>Roster!AE77</f>
        <v>.</v>
      </c>
      <c r="AE12" s="37" t="str">
        <f>Roster!AF77</f>
        <v>.</v>
      </c>
      <c r="AF12" s="38" t="str">
        <f>Roster!AG77</f>
        <v>.</v>
      </c>
      <c r="AG12" s="20"/>
    </row>
    <row r="13" spans="2:35" ht="14.4" thickTop="1" thickBot="1">
      <c r="B13" s="46"/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46" t="str">
        <f t="shared" si="3"/>
        <v>We</v>
      </c>
    </row>
    <row r="14" spans="2:35" ht="14.4" thickTop="1" thickBot="1">
      <c r="B14" s="110" t="str">
        <f>Roster!C106</f>
        <v>October</v>
      </c>
      <c r="C14" s="111">
        <v>1</v>
      </c>
      <c r="D14" s="112">
        <v>2</v>
      </c>
      <c r="E14" s="112">
        <v>3</v>
      </c>
      <c r="F14" s="112">
        <v>4</v>
      </c>
      <c r="G14" s="112">
        <v>5</v>
      </c>
      <c r="H14" s="112">
        <v>6</v>
      </c>
      <c r="I14" s="112">
        <v>7</v>
      </c>
      <c r="J14" s="112">
        <v>8</v>
      </c>
      <c r="K14" s="112">
        <v>9</v>
      </c>
      <c r="L14" s="112">
        <v>10</v>
      </c>
      <c r="M14" s="112">
        <v>11</v>
      </c>
      <c r="N14" s="112">
        <v>12</v>
      </c>
      <c r="O14" s="112">
        <v>13</v>
      </c>
      <c r="P14" s="112">
        <v>14</v>
      </c>
      <c r="Q14" s="112">
        <v>15</v>
      </c>
      <c r="R14" s="112">
        <v>16</v>
      </c>
      <c r="S14" s="112">
        <v>17</v>
      </c>
      <c r="T14" s="112">
        <v>18</v>
      </c>
      <c r="U14" s="112">
        <v>19</v>
      </c>
      <c r="V14" s="112">
        <v>20</v>
      </c>
      <c r="W14" s="112">
        <v>21</v>
      </c>
      <c r="X14" s="112">
        <v>22</v>
      </c>
      <c r="Y14" s="112">
        <v>23</v>
      </c>
      <c r="Z14" s="112">
        <v>24</v>
      </c>
      <c r="AA14" s="112">
        <v>25</v>
      </c>
      <c r="AB14" s="112">
        <v>26</v>
      </c>
      <c r="AC14" s="112">
        <v>27</v>
      </c>
      <c r="AD14" s="112">
        <v>28</v>
      </c>
      <c r="AE14" s="112">
        <v>29</v>
      </c>
      <c r="AF14" s="112">
        <v>30</v>
      </c>
      <c r="AG14" s="113">
        <v>31</v>
      </c>
    </row>
    <row r="15" spans="2:35" ht="14.4" thickTop="1" thickBot="1">
      <c r="B15" s="110">
        <f>CurYear-1</f>
        <v>2018</v>
      </c>
      <c r="C15" s="36" t="str">
        <f>Roster!D108</f>
        <v>.</v>
      </c>
      <c r="D15" s="37" t="str">
        <f>Roster!E108</f>
        <v>.</v>
      </c>
      <c r="E15" s="37" t="str">
        <f>Roster!F108</f>
        <v>.</v>
      </c>
      <c r="F15" s="37" t="str">
        <f>Roster!G108</f>
        <v>.</v>
      </c>
      <c r="G15" s="37" t="str">
        <f>Roster!H108</f>
        <v>.</v>
      </c>
      <c r="H15" s="37" t="str">
        <f>Roster!I108</f>
        <v>.</v>
      </c>
      <c r="I15" s="37" t="str">
        <f>Roster!J108</f>
        <v>.</v>
      </c>
      <c r="J15" s="37" t="str">
        <f>Roster!K108</f>
        <v>.</v>
      </c>
      <c r="K15" s="37" t="str">
        <f>Roster!L108</f>
        <v>.</v>
      </c>
      <c r="L15" s="37" t="str">
        <f>Roster!M108</f>
        <v>.</v>
      </c>
      <c r="M15" s="37" t="str">
        <f>Roster!N108</f>
        <v>.</v>
      </c>
      <c r="N15" s="37" t="str">
        <f>Roster!O108</f>
        <v>.</v>
      </c>
      <c r="O15" s="37" t="str">
        <f>Roster!P108</f>
        <v>.</v>
      </c>
      <c r="P15" s="37" t="str">
        <f>Roster!Q108</f>
        <v>.</v>
      </c>
      <c r="Q15" s="37" t="str">
        <f>Roster!R108</f>
        <v>.</v>
      </c>
      <c r="R15" s="37" t="str">
        <f>Roster!S108</f>
        <v>.</v>
      </c>
      <c r="S15" s="37" t="str">
        <f>Roster!T108</f>
        <v>.</v>
      </c>
      <c r="T15" s="37" t="str">
        <f>Roster!U108</f>
        <v>.</v>
      </c>
      <c r="U15" s="37" t="str">
        <f>Roster!V108</f>
        <v>.</v>
      </c>
      <c r="V15" s="37" t="str">
        <f>Roster!W108</f>
        <v>.</v>
      </c>
      <c r="W15" s="37" t="str">
        <f>Roster!X108</f>
        <v>.</v>
      </c>
      <c r="X15" s="37" t="str">
        <f>Roster!Y108</f>
        <v>.</v>
      </c>
      <c r="Y15" s="37" t="str">
        <f>Roster!Z108</f>
        <v>.</v>
      </c>
      <c r="Z15" s="37" t="str">
        <f>Roster!AA108</f>
        <v>.</v>
      </c>
      <c r="AA15" s="37" t="str">
        <f>Roster!AB108</f>
        <v>.</v>
      </c>
      <c r="AB15" s="37" t="str">
        <f>Roster!AC108</f>
        <v>.</v>
      </c>
      <c r="AC15" s="37" t="str">
        <f>Roster!AD108</f>
        <v>.</v>
      </c>
      <c r="AD15" s="37" t="str">
        <f>Roster!AE108</f>
        <v>.</v>
      </c>
      <c r="AE15" s="37" t="str">
        <f>Roster!AF108</f>
        <v>.</v>
      </c>
      <c r="AF15" s="37" t="str">
        <f>Roster!AG108</f>
        <v>.</v>
      </c>
      <c r="AG15" s="38" t="str">
        <f>Roster!AH108</f>
        <v>.</v>
      </c>
    </row>
    <row r="16" spans="2:35" ht="14.4" thickTop="1" thickBot="1">
      <c r="B16" s="46"/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17"/>
    </row>
    <row r="17" spans="2:33" ht="14.4" thickTop="1" thickBot="1">
      <c r="B17" s="110" t="str">
        <f>Roster!C137</f>
        <v>November</v>
      </c>
      <c r="C17" s="118">
        <v>1</v>
      </c>
      <c r="D17" s="119">
        <v>2</v>
      </c>
      <c r="E17" s="119">
        <v>3</v>
      </c>
      <c r="F17" s="119">
        <v>4</v>
      </c>
      <c r="G17" s="119">
        <v>5</v>
      </c>
      <c r="H17" s="119">
        <v>6</v>
      </c>
      <c r="I17" s="119">
        <v>7</v>
      </c>
      <c r="J17" s="119">
        <v>8</v>
      </c>
      <c r="K17" s="119">
        <v>9</v>
      </c>
      <c r="L17" s="119">
        <v>10</v>
      </c>
      <c r="M17" s="119">
        <v>11</v>
      </c>
      <c r="N17" s="119">
        <v>12</v>
      </c>
      <c r="O17" s="119">
        <v>13</v>
      </c>
      <c r="P17" s="119">
        <v>14</v>
      </c>
      <c r="Q17" s="119">
        <v>15</v>
      </c>
      <c r="R17" s="119">
        <v>16</v>
      </c>
      <c r="S17" s="119">
        <v>17</v>
      </c>
      <c r="T17" s="119">
        <v>18</v>
      </c>
      <c r="U17" s="119">
        <v>19</v>
      </c>
      <c r="V17" s="119">
        <v>20</v>
      </c>
      <c r="W17" s="119">
        <v>21</v>
      </c>
      <c r="X17" s="119">
        <v>22</v>
      </c>
      <c r="Y17" s="119">
        <v>23</v>
      </c>
      <c r="Z17" s="119">
        <v>24</v>
      </c>
      <c r="AA17" s="119">
        <v>25</v>
      </c>
      <c r="AB17" s="119">
        <v>26</v>
      </c>
      <c r="AC17" s="119">
        <v>27</v>
      </c>
      <c r="AD17" s="119">
        <v>28</v>
      </c>
      <c r="AE17" s="119">
        <v>29</v>
      </c>
      <c r="AF17" s="120">
        <v>30</v>
      </c>
      <c r="AG17" s="20"/>
    </row>
    <row r="18" spans="2:33" ht="14.4" thickTop="1" thickBot="1">
      <c r="B18" s="110">
        <f>CurYear-1</f>
        <v>2018</v>
      </c>
      <c r="C18" s="36" t="str">
        <f>Roster!D139</f>
        <v>.</v>
      </c>
      <c r="D18" s="37" t="str">
        <f>Roster!E139</f>
        <v>.</v>
      </c>
      <c r="E18" s="37" t="str">
        <f>Roster!F139</f>
        <v>.</v>
      </c>
      <c r="F18" s="37" t="str">
        <f>Roster!G139</f>
        <v>.</v>
      </c>
      <c r="G18" s="37" t="str">
        <f>Roster!H139</f>
        <v>.</v>
      </c>
      <c r="H18" s="37" t="str">
        <f>Roster!I139</f>
        <v>.</v>
      </c>
      <c r="I18" s="37" t="str">
        <f>Roster!J139</f>
        <v>.</v>
      </c>
      <c r="J18" s="37" t="str">
        <f>Roster!K139</f>
        <v>.</v>
      </c>
      <c r="K18" s="37" t="str">
        <f>Roster!L139</f>
        <v>.</v>
      </c>
      <c r="L18" s="37" t="str">
        <f>Roster!M139</f>
        <v>.</v>
      </c>
      <c r="M18" s="37" t="str">
        <f>Roster!N139</f>
        <v>.</v>
      </c>
      <c r="N18" s="37" t="str">
        <f>Roster!O139</f>
        <v>.</v>
      </c>
      <c r="O18" s="37" t="str">
        <f>Roster!P139</f>
        <v>.</v>
      </c>
      <c r="P18" s="37" t="str">
        <f>Roster!Q139</f>
        <v>.</v>
      </c>
      <c r="Q18" s="37" t="str">
        <f>Roster!R139</f>
        <v>.</v>
      </c>
      <c r="R18" s="37" t="str">
        <f>Roster!S139</f>
        <v>.</v>
      </c>
      <c r="S18" s="37" t="str">
        <f>Roster!T139</f>
        <v>.</v>
      </c>
      <c r="T18" s="37" t="str">
        <f>Roster!U139</f>
        <v>.</v>
      </c>
      <c r="U18" s="37" t="str">
        <f>Roster!V139</f>
        <v>.</v>
      </c>
      <c r="V18" s="37" t="str">
        <f>Roster!W139</f>
        <v>.</v>
      </c>
      <c r="W18" s="37" t="str">
        <f>Roster!X139</f>
        <v>.</v>
      </c>
      <c r="X18" s="37" t="str">
        <f>Roster!Y139</f>
        <v>.</v>
      </c>
      <c r="Y18" s="37" t="str">
        <f>Roster!Z139</f>
        <v>.</v>
      </c>
      <c r="Z18" s="37" t="str">
        <f>Roster!AA139</f>
        <v>.</v>
      </c>
      <c r="AA18" s="37" t="str">
        <f>Roster!AB139</f>
        <v>.</v>
      </c>
      <c r="AB18" s="37" t="str">
        <f>Roster!AC139</f>
        <v>.</v>
      </c>
      <c r="AC18" s="37" t="str">
        <f>Roster!AD139</f>
        <v>.</v>
      </c>
      <c r="AD18" s="37" t="str">
        <f>Roster!AE139</f>
        <v>.</v>
      </c>
      <c r="AE18" s="37" t="str">
        <f>Roster!AF139</f>
        <v>.</v>
      </c>
      <c r="AF18" s="38" t="str">
        <f>Roster!AG139</f>
        <v>.</v>
      </c>
      <c r="AG18" s="121"/>
    </row>
    <row r="19" spans="2:33" ht="14.4" thickTop="1" thickBot="1">
      <c r="B19" s="46"/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110" t="str">
        <f>Roster!C168</f>
        <v>December</v>
      </c>
      <c r="C20" s="111">
        <v>1</v>
      </c>
      <c r="D20" s="112">
        <v>2</v>
      </c>
      <c r="E20" s="112">
        <v>3</v>
      </c>
      <c r="F20" s="112">
        <v>4</v>
      </c>
      <c r="G20" s="112">
        <v>5</v>
      </c>
      <c r="H20" s="112">
        <v>6</v>
      </c>
      <c r="I20" s="112">
        <v>7</v>
      </c>
      <c r="J20" s="112">
        <v>8</v>
      </c>
      <c r="K20" s="112">
        <v>9</v>
      </c>
      <c r="L20" s="112">
        <v>10</v>
      </c>
      <c r="M20" s="112">
        <v>11</v>
      </c>
      <c r="N20" s="112">
        <v>12</v>
      </c>
      <c r="O20" s="112">
        <v>13</v>
      </c>
      <c r="P20" s="112">
        <v>14</v>
      </c>
      <c r="Q20" s="112">
        <v>15</v>
      </c>
      <c r="R20" s="112">
        <v>16</v>
      </c>
      <c r="S20" s="112">
        <v>17</v>
      </c>
      <c r="T20" s="112">
        <v>18</v>
      </c>
      <c r="U20" s="112">
        <v>19</v>
      </c>
      <c r="V20" s="112">
        <v>20</v>
      </c>
      <c r="W20" s="112">
        <v>21</v>
      </c>
      <c r="X20" s="112">
        <v>22</v>
      </c>
      <c r="Y20" s="112">
        <v>23</v>
      </c>
      <c r="Z20" s="112">
        <v>24</v>
      </c>
      <c r="AA20" s="112">
        <v>25</v>
      </c>
      <c r="AB20" s="112">
        <v>26</v>
      </c>
      <c r="AC20" s="112">
        <v>27</v>
      </c>
      <c r="AD20" s="112">
        <v>28</v>
      </c>
      <c r="AE20" s="112">
        <v>29</v>
      </c>
      <c r="AF20" s="112">
        <v>30</v>
      </c>
      <c r="AG20" s="113">
        <v>31</v>
      </c>
    </row>
    <row r="21" spans="2:33" ht="14.4" thickTop="1" thickBot="1">
      <c r="B21" s="110">
        <f>CurYear-1</f>
        <v>2018</v>
      </c>
      <c r="C21" s="36" t="str">
        <f>Roster!D170</f>
        <v>.</v>
      </c>
      <c r="D21" s="37" t="str">
        <f>Roster!E170</f>
        <v>.</v>
      </c>
      <c r="E21" s="37" t="str">
        <f>Roster!F170</f>
        <v>.</v>
      </c>
      <c r="F21" s="37" t="str">
        <f>Roster!G170</f>
        <v>.</v>
      </c>
      <c r="G21" s="37" t="str">
        <f>Roster!H170</f>
        <v>.</v>
      </c>
      <c r="H21" s="37" t="str">
        <f>Roster!I170</f>
        <v>.</v>
      </c>
      <c r="I21" s="37" t="str">
        <f>Roster!J170</f>
        <v>.</v>
      </c>
      <c r="J21" s="37" t="str">
        <f>Roster!K170</f>
        <v>.</v>
      </c>
      <c r="K21" s="37" t="str">
        <f>Roster!L170</f>
        <v>.</v>
      </c>
      <c r="L21" s="37" t="str">
        <f>Roster!M170</f>
        <v>.</v>
      </c>
      <c r="M21" s="37" t="str">
        <f>Roster!N170</f>
        <v>.</v>
      </c>
      <c r="N21" s="37" t="str">
        <f>Roster!O170</f>
        <v>.</v>
      </c>
      <c r="O21" s="37" t="str">
        <f>Roster!P170</f>
        <v>.</v>
      </c>
      <c r="P21" s="37" t="str">
        <f>Roster!Q170</f>
        <v>.</v>
      </c>
      <c r="Q21" s="37" t="str">
        <f>Roster!R170</f>
        <v>.</v>
      </c>
      <c r="R21" s="37" t="str">
        <f>Roster!S170</f>
        <v>.</v>
      </c>
      <c r="S21" s="37" t="str">
        <f>Roster!T170</f>
        <v>.</v>
      </c>
      <c r="T21" s="37" t="str">
        <f>Roster!U170</f>
        <v>.</v>
      </c>
      <c r="U21" s="37" t="str">
        <f>Roster!V170</f>
        <v>.</v>
      </c>
      <c r="V21" s="37" t="str">
        <f>Roster!W170</f>
        <v>.</v>
      </c>
      <c r="W21" s="37" t="str">
        <f>Roster!X170</f>
        <v>.</v>
      </c>
      <c r="X21" s="37" t="str">
        <f>Roster!Y170</f>
        <v>.</v>
      </c>
      <c r="Y21" s="37" t="str">
        <f>Roster!Z170</f>
        <v>.</v>
      </c>
      <c r="Z21" s="37" t="str">
        <f>Roster!AA170</f>
        <v>.</v>
      </c>
      <c r="AA21" s="37" t="str">
        <f>Roster!AB170</f>
        <v>.</v>
      </c>
      <c r="AB21" s="37" t="str">
        <f>Roster!AC170</f>
        <v>.</v>
      </c>
      <c r="AC21" s="37" t="str">
        <f>Roster!AD170</f>
        <v>.</v>
      </c>
      <c r="AD21" s="37" t="str">
        <f>Roster!AE170</f>
        <v>.</v>
      </c>
      <c r="AE21" s="37" t="str">
        <f>Roster!AF170</f>
        <v>.</v>
      </c>
      <c r="AF21" s="37" t="str">
        <f>Roster!AG170</f>
        <v>.</v>
      </c>
      <c r="AG21" s="38" t="str">
        <f>Roster!AH170</f>
        <v>.</v>
      </c>
    </row>
    <row r="22" spans="2:33" s="10" customFormat="1" ht="14.4" thickTop="1" thickBot="1">
      <c r="B22" s="47"/>
      <c r="C22" s="47" t="str">
        <f t="shared" ref="C22:AG22" si="6">LEFT(TEXT(C23&amp;"-"&amp;$B23&amp;"-"&amp;CurYear,"ddd"),2)</f>
        <v>Tu</v>
      </c>
      <c r="D22" s="47" t="str">
        <f t="shared" si="6"/>
        <v>We</v>
      </c>
      <c r="E22" s="47" t="str">
        <f t="shared" si="6"/>
        <v>Th</v>
      </c>
      <c r="F22" s="47" t="str">
        <f t="shared" si="6"/>
        <v>Fr</v>
      </c>
      <c r="G22" s="47" t="str">
        <f t="shared" si="6"/>
        <v>Sa</v>
      </c>
      <c r="H22" s="47" t="str">
        <f t="shared" si="6"/>
        <v>Su</v>
      </c>
      <c r="I22" s="47" t="str">
        <f t="shared" si="6"/>
        <v>Mo</v>
      </c>
      <c r="J22" s="47" t="str">
        <f t="shared" si="6"/>
        <v>Tu</v>
      </c>
      <c r="K22" s="47" t="str">
        <f t="shared" si="6"/>
        <v>We</v>
      </c>
      <c r="L22" s="47" t="str">
        <f t="shared" si="6"/>
        <v>Th</v>
      </c>
      <c r="M22" s="47" t="str">
        <f t="shared" si="6"/>
        <v>Fr</v>
      </c>
      <c r="N22" s="47" t="str">
        <f t="shared" si="6"/>
        <v>Sa</v>
      </c>
      <c r="O22" s="47" t="str">
        <f t="shared" si="6"/>
        <v>Su</v>
      </c>
      <c r="P22" s="47" t="str">
        <f t="shared" si="6"/>
        <v>Mo</v>
      </c>
      <c r="Q22" s="47" t="str">
        <f t="shared" si="6"/>
        <v>Tu</v>
      </c>
      <c r="R22" s="47" t="str">
        <f t="shared" si="6"/>
        <v>We</v>
      </c>
      <c r="S22" s="47" t="str">
        <f t="shared" si="6"/>
        <v>Th</v>
      </c>
      <c r="T22" s="47" t="str">
        <f t="shared" si="6"/>
        <v>Fr</v>
      </c>
      <c r="U22" s="47" t="str">
        <f t="shared" si="6"/>
        <v>Sa</v>
      </c>
      <c r="V22" s="47" t="str">
        <f t="shared" si="6"/>
        <v>Su</v>
      </c>
      <c r="W22" s="47" t="str">
        <f t="shared" si="6"/>
        <v>Mo</v>
      </c>
      <c r="X22" s="47" t="str">
        <f t="shared" si="6"/>
        <v>Tu</v>
      </c>
      <c r="Y22" s="47" t="str">
        <f t="shared" si="6"/>
        <v>We</v>
      </c>
      <c r="Z22" s="47" t="str">
        <f t="shared" si="6"/>
        <v>Th</v>
      </c>
      <c r="AA22" s="47" t="str">
        <f t="shared" si="6"/>
        <v>Fr</v>
      </c>
      <c r="AB22" s="47" t="str">
        <f t="shared" si="6"/>
        <v>Sa</v>
      </c>
      <c r="AC22" s="47" t="str">
        <f t="shared" si="6"/>
        <v>Su</v>
      </c>
      <c r="AD22" s="47" t="str">
        <f t="shared" si="6"/>
        <v>Mo</v>
      </c>
      <c r="AE22" s="47" t="str">
        <f t="shared" si="6"/>
        <v>Tu</v>
      </c>
      <c r="AF22" s="47" t="str">
        <f t="shared" si="6"/>
        <v>We</v>
      </c>
      <c r="AG22" s="47" t="str">
        <f t="shared" si="6"/>
        <v>Th</v>
      </c>
    </row>
    <row r="23" spans="2:33" ht="14.4" thickTop="1" thickBot="1">
      <c r="B23" s="110" t="str">
        <f>Roster!$C$199</f>
        <v>January</v>
      </c>
      <c r="C23" s="111">
        <v>1</v>
      </c>
      <c r="D23" s="112">
        <v>2</v>
      </c>
      <c r="E23" s="112">
        <v>3</v>
      </c>
      <c r="F23" s="112">
        <v>4</v>
      </c>
      <c r="G23" s="112">
        <v>5</v>
      </c>
      <c r="H23" s="112">
        <v>6</v>
      </c>
      <c r="I23" s="112">
        <v>7</v>
      </c>
      <c r="J23" s="112">
        <v>8</v>
      </c>
      <c r="K23" s="112">
        <v>9</v>
      </c>
      <c r="L23" s="112">
        <v>10</v>
      </c>
      <c r="M23" s="112">
        <v>11</v>
      </c>
      <c r="N23" s="112">
        <v>12</v>
      </c>
      <c r="O23" s="112">
        <v>13</v>
      </c>
      <c r="P23" s="112">
        <v>14</v>
      </c>
      <c r="Q23" s="112">
        <v>15</v>
      </c>
      <c r="R23" s="112">
        <v>16</v>
      </c>
      <c r="S23" s="112">
        <v>17</v>
      </c>
      <c r="T23" s="112">
        <v>18</v>
      </c>
      <c r="U23" s="112">
        <v>19</v>
      </c>
      <c r="V23" s="112">
        <v>20</v>
      </c>
      <c r="W23" s="112">
        <v>21</v>
      </c>
      <c r="X23" s="112">
        <v>22</v>
      </c>
      <c r="Y23" s="112">
        <v>23</v>
      </c>
      <c r="Z23" s="112">
        <v>24</v>
      </c>
      <c r="AA23" s="112">
        <v>25</v>
      </c>
      <c r="AB23" s="112">
        <v>26</v>
      </c>
      <c r="AC23" s="112">
        <v>27</v>
      </c>
      <c r="AD23" s="112">
        <v>28</v>
      </c>
      <c r="AE23" s="112">
        <v>29</v>
      </c>
      <c r="AF23" s="112">
        <v>30</v>
      </c>
      <c r="AG23" s="113">
        <v>31</v>
      </c>
    </row>
    <row r="24" spans="2:33" ht="14.4" thickTop="1" thickBot="1">
      <c r="B24" s="110" t="str">
        <f>CurYear</f>
        <v>2019</v>
      </c>
      <c r="C24" s="48" t="str">
        <f>Roster!D201</f>
        <v>.</v>
      </c>
      <c r="D24" s="49" t="str">
        <f>Roster!E201</f>
        <v>.</v>
      </c>
      <c r="E24" s="40" t="str">
        <f>Roster!F201</f>
        <v>.</v>
      </c>
      <c r="F24" s="40" t="str">
        <f>Roster!G201</f>
        <v>.</v>
      </c>
      <c r="G24" s="40" t="str">
        <f>Roster!H201</f>
        <v>.</v>
      </c>
      <c r="H24" s="40" t="str">
        <f>Roster!I201</f>
        <v>.</v>
      </c>
      <c r="I24" s="40" t="str">
        <f>Roster!J201</f>
        <v>.</v>
      </c>
      <c r="J24" s="40" t="str">
        <f>Roster!K201</f>
        <v>.</v>
      </c>
      <c r="K24" s="40" t="str">
        <f>Roster!L201</f>
        <v>.</v>
      </c>
      <c r="L24" s="40" t="str">
        <f>Roster!M201</f>
        <v>.</v>
      </c>
      <c r="M24" s="40" t="str">
        <f>Roster!N201</f>
        <v>.</v>
      </c>
      <c r="N24" s="40" t="str">
        <f>Roster!O201</f>
        <v>.</v>
      </c>
      <c r="O24" s="40" t="str">
        <f>Roster!P201</f>
        <v>.</v>
      </c>
      <c r="P24" s="40" t="str">
        <f>Roster!Q201</f>
        <v>.</v>
      </c>
      <c r="Q24" s="40" t="str">
        <f>Roster!R201</f>
        <v>.</v>
      </c>
      <c r="R24" s="40" t="str">
        <f>Roster!S201</f>
        <v>.</v>
      </c>
      <c r="S24" s="40" t="str">
        <f>Roster!T201</f>
        <v>.</v>
      </c>
      <c r="T24" s="40" t="str">
        <f>Roster!U201</f>
        <v>.</v>
      </c>
      <c r="U24" s="40" t="str">
        <f>Roster!V201</f>
        <v>.</v>
      </c>
      <c r="V24" s="40" t="str">
        <f>Roster!W201</f>
        <v>.</v>
      </c>
      <c r="W24" s="40" t="str">
        <f>Roster!X201</f>
        <v>.</v>
      </c>
      <c r="X24" s="40" t="str">
        <f>Roster!Y201</f>
        <v>.</v>
      </c>
      <c r="Y24" s="40" t="str">
        <f>Roster!Z201</f>
        <v>.</v>
      </c>
      <c r="Z24" s="40" t="str">
        <f>Roster!AA201</f>
        <v>.</v>
      </c>
      <c r="AA24" s="40" t="str">
        <f>Roster!AB201</f>
        <v>.</v>
      </c>
      <c r="AB24" s="40" t="str">
        <f>Roster!AC201</f>
        <v>.</v>
      </c>
      <c r="AC24" s="40" t="str">
        <f>Roster!AD201</f>
        <v>.</v>
      </c>
      <c r="AD24" s="40" t="str">
        <f>Roster!AE201</f>
        <v>.</v>
      </c>
      <c r="AE24" s="40" t="str">
        <f>Roster!AF201</f>
        <v>.</v>
      </c>
      <c r="AF24" s="40" t="str">
        <f>Roster!AG201</f>
        <v>.</v>
      </c>
      <c r="AG24" s="41" t="str">
        <f>Roster!AH201</f>
        <v>.</v>
      </c>
    </row>
    <row r="25" spans="2:33" s="10" customFormat="1" ht="14.4" thickTop="1" thickBot="1">
      <c r="B25" s="47"/>
      <c r="C25" s="47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122"/>
      <c r="AG25" s="123"/>
    </row>
    <row r="26" spans="2:33" ht="14.4" thickTop="1" thickBot="1">
      <c r="B26" s="110" t="str">
        <f>Roster!$C$214</f>
        <v>February</v>
      </c>
      <c r="C26" s="111">
        <v>1</v>
      </c>
      <c r="D26" s="119">
        <v>2</v>
      </c>
      <c r="E26" s="119">
        <v>3</v>
      </c>
      <c r="F26" s="119">
        <v>4</v>
      </c>
      <c r="G26" s="119">
        <v>5</v>
      </c>
      <c r="H26" s="119">
        <v>6</v>
      </c>
      <c r="I26" s="119">
        <v>7</v>
      </c>
      <c r="J26" s="119">
        <v>8</v>
      </c>
      <c r="K26" s="119">
        <v>9</v>
      </c>
      <c r="L26" s="119">
        <v>10</v>
      </c>
      <c r="M26" s="119">
        <v>11</v>
      </c>
      <c r="N26" s="119">
        <v>12</v>
      </c>
      <c r="O26" s="119">
        <v>13</v>
      </c>
      <c r="P26" s="119">
        <v>14</v>
      </c>
      <c r="Q26" s="119">
        <v>15</v>
      </c>
      <c r="R26" s="119">
        <v>16</v>
      </c>
      <c r="S26" s="119">
        <v>17</v>
      </c>
      <c r="T26" s="119">
        <v>18</v>
      </c>
      <c r="U26" s="119">
        <v>19</v>
      </c>
      <c r="V26" s="119">
        <v>20</v>
      </c>
      <c r="W26" s="119">
        <v>21</v>
      </c>
      <c r="X26" s="119">
        <v>22</v>
      </c>
      <c r="Y26" s="119">
        <v>23</v>
      </c>
      <c r="Z26" s="119">
        <v>24</v>
      </c>
      <c r="AA26" s="119">
        <v>25</v>
      </c>
      <c r="AB26" s="119">
        <v>26</v>
      </c>
      <c r="AC26" s="119">
        <v>27</v>
      </c>
      <c r="AD26" s="124">
        <v>28</v>
      </c>
      <c r="AE26" s="129">
        <v>29</v>
      </c>
      <c r="AF26" s="106"/>
      <c r="AG26" s="20"/>
    </row>
    <row r="27" spans="2:33" ht="14.4" thickTop="1" thickBot="1">
      <c r="B27" s="110" t="str">
        <f>CurYear</f>
        <v>2019</v>
      </c>
      <c r="C27" s="36" t="str">
        <f>Roster!D216</f>
        <v>.</v>
      </c>
      <c r="D27" s="37" t="str">
        <f>Roster!E216</f>
        <v>.</v>
      </c>
      <c r="E27" s="37" t="str">
        <f>Roster!F216</f>
        <v>.</v>
      </c>
      <c r="F27" s="37" t="str">
        <f>Roster!G216</f>
        <v>.</v>
      </c>
      <c r="G27" s="37" t="str">
        <f>Roster!H216</f>
        <v>.</v>
      </c>
      <c r="H27" s="37" t="str">
        <f>Roster!I216</f>
        <v>.</v>
      </c>
      <c r="I27" s="37" t="str">
        <f>Roster!J216</f>
        <v>.</v>
      </c>
      <c r="J27" s="37" t="str">
        <f>Roster!K216</f>
        <v>.</v>
      </c>
      <c r="K27" s="37" t="str">
        <f>Roster!L216</f>
        <v>.</v>
      </c>
      <c r="L27" s="37" t="str">
        <f>Roster!M216</f>
        <v>.</v>
      </c>
      <c r="M27" s="37" t="str">
        <f>Roster!N216</f>
        <v>.</v>
      </c>
      <c r="N27" s="37" t="str">
        <f>Roster!O216</f>
        <v>.</v>
      </c>
      <c r="O27" s="37" t="str">
        <f>Roster!P216</f>
        <v>.</v>
      </c>
      <c r="P27" s="37" t="str">
        <f>Roster!Q216</f>
        <v>.</v>
      </c>
      <c r="Q27" s="37" t="str">
        <f>Roster!R216</f>
        <v>.</v>
      </c>
      <c r="R27" s="37" t="str">
        <f>Roster!S216</f>
        <v>.</v>
      </c>
      <c r="S27" s="37" t="str">
        <f>Roster!T216</f>
        <v>.</v>
      </c>
      <c r="T27" s="37" t="str">
        <f>Roster!U216</f>
        <v>.</v>
      </c>
      <c r="U27" s="37" t="str">
        <f>Roster!V216</f>
        <v>.</v>
      </c>
      <c r="V27" s="37" t="str">
        <f>Roster!W216</f>
        <v>.</v>
      </c>
      <c r="W27" s="37" t="str">
        <f>Roster!X216</f>
        <v>.</v>
      </c>
      <c r="X27" s="37" t="str">
        <f>Roster!Y216</f>
        <v>.</v>
      </c>
      <c r="Y27" s="37" t="str">
        <f>Roster!Z216</f>
        <v>.</v>
      </c>
      <c r="Z27" s="37" t="str">
        <f>Roster!AA216</f>
        <v>.</v>
      </c>
      <c r="AA27" s="37" t="str">
        <f>Roster!AB216</f>
        <v>.</v>
      </c>
      <c r="AB27" s="37" t="str">
        <f>Roster!AC216</f>
        <v>.</v>
      </c>
      <c r="AC27" s="37" t="str">
        <f>Roster!AD216</f>
        <v>.</v>
      </c>
      <c r="AD27" s="43" t="str">
        <f>Roster!AE216</f>
        <v>.</v>
      </c>
      <c r="AE27" s="130">
        <f>Roster!AF216</f>
        <v>0</v>
      </c>
      <c r="AF27" s="20"/>
      <c r="AG27" s="20"/>
    </row>
    <row r="28" spans="2:33" s="10" customFormat="1" ht="14.4" thickTop="1" thickBot="1">
      <c r="B28" s="47"/>
      <c r="C28" s="47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47" t="str">
        <f t="shared" si="8"/>
        <v>Su</v>
      </c>
    </row>
    <row r="29" spans="2:33" ht="14.4" thickTop="1" thickBot="1">
      <c r="B29" s="110" t="str">
        <f>Roster!$C$229</f>
        <v>March</v>
      </c>
      <c r="C29" s="111">
        <v>1</v>
      </c>
      <c r="D29" s="112">
        <v>2</v>
      </c>
      <c r="E29" s="112">
        <v>3</v>
      </c>
      <c r="F29" s="112">
        <v>4</v>
      </c>
      <c r="G29" s="112">
        <v>5</v>
      </c>
      <c r="H29" s="112">
        <v>6</v>
      </c>
      <c r="I29" s="112">
        <v>7</v>
      </c>
      <c r="J29" s="112">
        <v>8</v>
      </c>
      <c r="K29" s="112">
        <v>9</v>
      </c>
      <c r="L29" s="112">
        <v>10</v>
      </c>
      <c r="M29" s="112">
        <v>11</v>
      </c>
      <c r="N29" s="112">
        <v>12</v>
      </c>
      <c r="O29" s="112">
        <v>13</v>
      </c>
      <c r="P29" s="112">
        <v>14</v>
      </c>
      <c r="Q29" s="112">
        <v>15</v>
      </c>
      <c r="R29" s="112">
        <v>16</v>
      </c>
      <c r="S29" s="112">
        <v>17</v>
      </c>
      <c r="T29" s="112">
        <v>18</v>
      </c>
      <c r="U29" s="112">
        <v>19</v>
      </c>
      <c r="V29" s="112">
        <v>20</v>
      </c>
      <c r="W29" s="112">
        <v>21</v>
      </c>
      <c r="X29" s="112">
        <v>22</v>
      </c>
      <c r="Y29" s="112">
        <v>23</v>
      </c>
      <c r="Z29" s="112">
        <v>24</v>
      </c>
      <c r="AA29" s="112">
        <v>25</v>
      </c>
      <c r="AB29" s="112">
        <v>26</v>
      </c>
      <c r="AC29" s="112">
        <v>27</v>
      </c>
      <c r="AD29" s="112">
        <v>28</v>
      </c>
      <c r="AE29" s="112">
        <v>29</v>
      </c>
      <c r="AF29" s="112">
        <v>30</v>
      </c>
      <c r="AG29" s="113">
        <v>31</v>
      </c>
    </row>
    <row r="30" spans="2:33" ht="14.4" thickTop="1" thickBot="1">
      <c r="B30" s="110" t="str">
        <f>CurYear</f>
        <v>2019</v>
      </c>
      <c r="C30" s="36" t="str">
        <f>Roster!D231</f>
        <v>.</v>
      </c>
      <c r="D30" s="37" t="str">
        <f>Roster!E231</f>
        <v>.</v>
      </c>
      <c r="E30" s="37" t="str">
        <f>Roster!F231</f>
        <v>.</v>
      </c>
      <c r="F30" s="37" t="str">
        <f>Roster!G231</f>
        <v>.</v>
      </c>
      <c r="G30" s="37" t="str">
        <f>Roster!H231</f>
        <v>.</v>
      </c>
      <c r="H30" s="37" t="str">
        <f>Roster!I231</f>
        <v>.</v>
      </c>
      <c r="I30" s="37" t="str">
        <f>Roster!J231</f>
        <v>.</v>
      </c>
      <c r="J30" s="37" t="str">
        <f>Roster!K231</f>
        <v>.</v>
      </c>
      <c r="K30" s="37" t="str">
        <f>Roster!L231</f>
        <v>.</v>
      </c>
      <c r="L30" s="37" t="str">
        <f>Roster!M231</f>
        <v>.</v>
      </c>
      <c r="M30" s="37" t="str">
        <f>Roster!N231</f>
        <v>.</v>
      </c>
      <c r="N30" s="37" t="str">
        <f>Roster!O231</f>
        <v>.</v>
      </c>
      <c r="O30" s="37" t="str">
        <f>Roster!P231</f>
        <v>.</v>
      </c>
      <c r="P30" s="37" t="str">
        <f>Roster!Q231</f>
        <v>.</v>
      </c>
      <c r="Q30" s="37" t="str">
        <f>Roster!R231</f>
        <v>.</v>
      </c>
      <c r="R30" s="37" t="str">
        <f>Roster!S231</f>
        <v>.</v>
      </c>
      <c r="S30" s="37" t="str">
        <f>Roster!T231</f>
        <v>.</v>
      </c>
      <c r="T30" s="37" t="str">
        <f>Roster!U231</f>
        <v>.</v>
      </c>
      <c r="U30" s="37" t="str">
        <f>Roster!V231</f>
        <v>.</v>
      </c>
      <c r="V30" s="37" t="str">
        <f>Roster!W231</f>
        <v>.</v>
      </c>
      <c r="W30" s="37" t="str">
        <f>Roster!X231</f>
        <v>.</v>
      </c>
      <c r="X30" s="37" t="str">
        <f>Roster!Y231</f>
        <v>.</v>
      </c>
      <c r="Y30" s="37" t="str">
        <f>Roster!Z231</f>
        <v>.</v>
      </c>
      <c r="Z30" s="37" t="str">
        <f>Roster!AA231</f>
        <v>.</v>
      </c>
      <c r="AA30" s="37" t="str">
        <f>Roster!AB231</f>
        <v>.</v>
      </c>
      <c r="AB30" s="37" t="str">
        <f>Roster!AC231</f>
        <v>.</v>
      </c>
      <c r="AC30" s="37" t="str">
        <f>Roster!AD231</f>
        <v>.</v>
      </c>
      <c r="AD30" s="37" t="str">
        <f>Roster!AE231</f>
        <v>.</v>
      </c>
      <c r="AE30" s="37" t="str">
        <f>Roster!AF231</f>
        <v>.</v>
      </c>
      <c r="AF30" s="37" t="str">
        <f>Roster!AG231</f>
        <v>.</v>
      </c>
      <c r="AG30" s="38" t="str">
        <f>Roster!AH231</f>
        <v>.</v>
      </c>
    </row>
    <row r="31" spans="2:33" s="10" customFormat="1" ht="14.4" thickTop="1" thickBot="1">
      <c r="B31" s="47"/>
      <c r="C31" s="47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125"/>
    </row>
    <row r="32" spans="2:33" ht="14.4" thickTop="1" thickBot="1">
      <c r="B32" s="110" t="str">
        <f>Roster!$C$244</f>
        <v>April</v>
      </c>
      <c r="C32" s="111">
        <v>1</v>
      </c>
      <c r="D32" s="112">
        <v>2</v>
      </c>
      <c r="E32" s="112">
        <v>3</v>
      </c>
      <c r="F32" s="112">
        <v>4</v>
      </c>
      <c r="G32" s="112">
        <v>5</v>
      </c>
      <c r="H32" s="112">
        <v>6</v>
      </c>
      <c r="I32" s="112">
        <v>7</v>
      </c>
      <c r="J32" s="112">
        <v>8</v>
      </c>
      <c r="K32" s="112">
        <v>9</v>
      </c>
      <c r="L32" s="112">
        <v>10</v>
      </c>
      <c r="M32" s="112">
        <v>11</v>
      </c>
      <c r="N32" s="112">
        <v>12</v>
      </c>
      <c r="O32" s="112">
        <v>13</v>
      </c>
      <c r="P32" s="112">
        <v>14</v>
      </c>
      <c r="Q32" s="112">
        <v>15</v>
      </c>
      <c r="R32" s="112">
        <v>16</v>
      </c>
      <c r="S32" s="112">
        <v>17</v>
      </c>
      <c r="T32" s="112">
        <v>18</v>
      </c>
      <c r="U32" s="112">
        <v>19</v>
      </c>
      <c r="V32" s="112">
        <v>20</v>
      </c>
      <c r="W32" s="112">
        <v>21</v>
      </c>
      <c r="X32" s="112">
        <v>22</v>
      </c>
      <c r="Y32" s="112">
        <v>23</v>
      </c>
      <c r="Z32" s="112">
        <v>24</v>
      </c>
      <c r="AA32" s="112">
        <v>25</v>
      </c>
      <c r="AB32" s="112">
        <v>26</v>
      </c>
      <c r="AC32" s="112">
        <v>27</v>
      </c>
      <c r="AD32" s="112">
        <v>28</v>
      </c>
      <c r="AE32" s="112">
        <v>29</v>
      </c>
      <c r="AF32" s="113">
        <v>30</v>
      </c>
      <c r="AG32" s="20"/>
    </row>
    <row r="33" spans="2:33" ht="14.4" thickTop="1" thickBot="1">
      <c r="B33" s="110" t="str">
        <f>CurYear</f>
        <v>2019</v>
      </c>
      <c r="C33" s="36" t="str">
        <f>Roster!D246</f>
        <v>.</v>
      </c>
      <c r="D33" s="37" t="str">
        <f>Roster!E246</f>
        <v>.</v>
      </c>
      <c r="E33" s="37" t="str">
        <f>Roster!F246</f>
        <v>.</v>
      </c>
      <c r="F33" s="37" t="str">
        <f>Roster!G246</f>
        <v>.</v>
      </c>
      <c r="G33" s="37" t="str">
        <f>Roster!H246</f>
        <v>.</v>
      </c>
      <c r="H33" s="37" t="str">
        <f>Roster!I246</f>
        <v>.</v>
      </c>
      <c r="I33" s="37" t="str">
        <f>Roster!J246</f>
        <v>.</v>
      </c>
      <c r="J33" s="37" t="str">
        <f>Roster!K246</f>
        <v>.</v>
      </c>
      <c r="K33" s="37" t="str">
        <f>Roster!L246</f>
        <v>.</v>
      </c>
      <c r="L33" s="37" t="str">
        <f>Roster!M246</f>
        <v>.</v>
      </c>
      <c r="M33" s="37" t="str">
        <f>Roster!N246</f>
        <v>.</v>
      </c>
      <c r="N33" s="37" t="str">
        <f>Roster!O246</f>
        <v>.</v>
      </c>
      <c r="O33" s="37" t="str">
        <f>Roster!P246</f>
        <v>.</v>
      </c>
      <c r="P33" s="37" t="str">
        <f>Roster!Q246</f>
        <v>.</v>
      </c>
      <c r="Q33" s="37" t="str">
        <f>Roster!R246</f>
        <v>.</v>
      </c>
      <c r="R33" s="37" t="str">
        <f>Roster!S246</f>
        <v>.</v>
      </c>
      <c r="S33" s="37" t="str">
        <f>Roster!T246</f>
        <v>.</v>
      </c>
      <c r="T33" s="37" t="str">
        <f>Roster!U246</f>
        <v>.</v>
      </c>
      <c r="U33" s="37" t="str">
        <f>Roster!V246</f>
        <v>.</v>
      </c>
      <c r="V33" s="37" t="str">
        <f>Roster!W246</f>
        <v>.</v>
      </c>
      <c r="W33" s="37" t="str">
        <f>Roster!X246</f>
        <v>.</v>
      </c>
      <c r="X33" s="37" t="str">
        <f>Roster!Y246</f>
        <v>.</v>
      </c>
      <c r="Y33" s="37" t="str">
        <f>Roster!Z246</f>
        <v>.</v>
      </c>
      <c r="Z33" s="37" t="str">
        <f>Roster!AA246</f>
        <v>.</v>
      </c>
      <c r="AA33" s="37" t="str">
        <f>Roster!AB246</f>
        <v>.</v>
      </c>
      <c r="AB33" s="37" t="str">
        <f>Roster!AC246</f>
        <v>.</v>
      </c>
      <c r="AC33" s="37" t="str">
        <f>Roster!AD246</f>
        <v>.</v>
      </c>
      <c r="AD33" s="37" t="str">
        <f>Roster!AE246</f>
        <v>.</v>
      </c>
      <c r="AE33" s="37" t="str">
        <f>Roster!AF246</f>
        <v>.</v>
      </c>
      <c r="AF33" s="38" t="str">
        <f>Roster!AG246</f>
        <v>.</v>
      </c>
      <c r="AG33" s="20"/>
    </row>
    <row r="34" spans="2:33" ht="14.4" thickTop="1" thickBot="1">
      <c r="B34" s="46"/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46" t="str">
        <f t="shared" si="10"/>
        <v>Fr</v>
      </c>
    </row>
    <row r="35" spans="2:33" ht="14.4" thickTop="1" thickBot="1">
      <c r="B35" s="110" t="str">
        <f>Roster!$C$259</f>
        <v>May</v>
      </c>
      <c r="C35" s="111">
        <v>1</v>
      </c>
      <c r="D35" s="112">
        <v>2</v>
      </c>
      <c r="E35" s="112">
        <v>3</v>
      </c>
      <c r="F35" s="112">
        <v>4</v>
      </c>
      <c r="G35" s="112">
        <v>5</v>
      </c>
      <c r="H35" s="112">
        <v>6</v>
      </c>
      <c r="I35" s="112">
        <v>7</v>
      </c>
      <c r="J35" s="112">
        <v>8</v>
      </c>
      <c r="K35" s="112">
        <v>9</v>
      </c>
      <c r="L35" s="112">
        <v>10</v>
      </c>
      <c r="M35" s="112">
        <v>11</v>
      </c>
      <c r="N35" s="112">
        <v>12</v>
      </c>
      <c r="O35" s="112">
        <v>13</v>
      </c>
      <c r="P35" s="112">
        <v>14</v>
      </c>
      <c r="Q35" s="112">
        <v>15</v>
      </c>
      <c r="R35" s="112">
        <v>16</v>
      </c>
      <c r="S35" s="112">
        <v>17</v>
      </c>
      <c r="T35" s="112">
        <v>18</v>
      </c>
      <c r="U35" s="112">
        <v>19</v>
      </c>
      <c r="V35" s="112">
        <v>20</v>
      </c>
      <c r="W35" s="112">
        <v>21</v>
      </c>
      <c r="X35" s="112">
        <v>22</v>
      </c>
      <c r="Y35" s="112">
        <v>23</v>
      </c>
      <c r="Z35" s="112">
        <v>24</v>
      </c>
      <c r="AA35" s="112">
        <v>25</v>
      </c>
      <c r="AB35" s="112">
        <v>26</v>
      </c>
      <c r="AC35" s="112">
        <v>27</v>
      </c>
      <c r="AD35" s="112">
        <v>28</v>
      </c>
      <c r="AE35" s="112">
        <v>29</v>
      </c>
      <c r="AF35" s="112">
        <v>30</v>
      </c>
      <c r="AG35" s="113">
        <v>31</v>
      </c>
    </row>
    <row r="36" spans="2:33" ht="14.4" thickTop="1" thickBot="1">
      <c r="B36" s="110" t="str">
        <f>CurYear</f>
        <v>2019</v>
      </c>
      <c r="C36" s="36" t="str">
        <f>Roster!D261</f>
        <v>.</v>
      </c>
      <c r="D36" s="37" t="str">
        <f>Roster!E261</f>
        <v>.</v>
      </c>
      <c r="E36" s="37" t="str">
        <f>Roster!F261</f>
        <v>.</v>
      </c>
      <c r="F36" s="37" t="str">
        <f>Roster!G261</f>
        <v>.</v>
      </c>
      <c r="G36" s="37" t="str">
        <f>Roster!H261</f>
        <v>.</v>
      </c>
      <c r="H36" s="37" t="str">
        <f>Roster!I261</f>
        <v>.</v>
      </c>
      <c r="I36" s="37" t="str">
        <f>Roster!J261</f>
        <v>.</v>
      </c>
      <c r="J36" s="37" t="str">
        <f>Roster!K261</f>
        <v>.</v>
      </c>
      <c r="K36" s="37" t="str">
        <f>Roster!L261</f>
        <v>.</v>
      </c>
      <c r="L36" s="37" t="str">
        <f>Roster!M261</f>
        <v>.</v>
      </c>
      <c r="M36" s="37" t="str">
        <f>Roster!N261</f>
        <v>.</v>
      </c>
      <c r="N36" s="37" t="str">
        <f>Roster!O261</f>
        <v>.</v>
      </c>
      <c r="O36" s="37" t="str">
        <f>Roster!P261</f>
        <v>.</v>
      </c>
      <c r="P36" s="37" t="str">
        <f>Roster!Q261</f>
        <v>.</v>
      </c>
      <c r="Q36" s="37" t="str">
        <f>Roster!R261</f>
        <v>.</v>
      </c>
      <c r="R36" s="37" t="str">
        <f>Roster!S261</f>
        <v>.</v>
      </c>
      <c r="S36" s="37" t="str">
        <f>Roster!T261</f>
        <v>.</v>
      </c>
      <c r="T36" s="37" t="str">
        <f>Roster!U261</f>
        <v>.</v>
      </c>
      <c r="U36" s="37" t="str">
        <f>Roster!V261</f>
        <v>.</v>
      </c>
      <c r="V36" s="37" t="str">
        <f>Roster!W261</f>
        <v>.</v>
      </c>
      <c r="W36" s="37" t="str">
        <f>Roster!X261</f>
        <v>.</v>
      </c>
      <c r="X36" s="37" t="str">
        <f>Roster!Y261</f>
        <v>.</v>
      </c>
      <c r="Y36" s="37" t="str">
        <f>Roster!Z261</f>
        <v>.</v>
      </c>
      <c r="Z36" s="37" t="str">
        <f>Roster!AA261</f>
        <v>.</v>
      </c>
      <c r="AA36" s="37" t="str">
        <f>Roster!AB261</f>
        <v>.</v>
      </c>
      <c r="AB36" s="37" t="str">
        <f>Roster!AC261</f>
        <v>.</v>
      </c>
      <c r="AC36" s="37" t="str">
        <f>Roster!AD261</f>
        <v>.</v>
      </c>
      <c r="AD36" s="37" t="str">
        <f>Roster!AE261</f>
        <v>.</v>
      </c>
      <c r="AE36" s="37" t="str">
        <f>Roster!AF261</f>
        <v>.</v>
      </c>
      <c r="AF36" s="37" t="str">
        <f>Roster!AG261</f>
        <v>.</v>
      </c>
      <c r="AG36" s="38" t="str">
        <f>Roster!AH261</f>
        <v>.</v>
      </c>
    </row>
    <row r="37" spans="2:33" ht="14.4" thickTop="1" thickBot="1">
      <c r="B37" s="46"/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17"/>
    </row>
    <row r="38" spans="2:33" ht="14.4" thickTop="1" thickBot="1">
      <c r="B38" s="110" t="str">
        <f>Roster!C274</f>
        <v>June</v>
      </c>
      <c r="C38" s="111">
        <v>1</v>
      </c>
      <c r="D38" s="112">
        <v>2</v>
      </c>
      <c r="E38" s="112">
        <v>3</v>
      </c>
      <c r="F38" s="112">
        <v>4</v>
      </c>
      <c r="G38" s="112">
        <v>5</v>
      </c>
      <c r="H38" s="112">
        <v>6</v>
      </c>
      <c r="I38" s="112">
        <v>7</v>
      </c>
      <c r="J38" s="112">
        <v>8</v>
      </c>
      <c r="K38" s="112">
        <v>9</v>
      </c>
      <c r="L38" s="112">
        <v>10</v>
      </c>
      <c r="M38" s="112">
        <v>11</v>
      </c>
      <c r="N38" s="112">
        <v>12</v>
      </c>
      <c r="O38" s="112">
        <v>13</v>
      </c>
      <c r="P38" s="112">
        <v>14</v>
      </c>
      <c r="Q38" s="112">
        <v>15</v>
      </c>
      <c r="R38" s="112">
        <v>16</v>
      </c>
      <c r="S38" s="112">
        <v>17</v>
      </c>
      <c r="T38" s="112">
        <v>18</v>
      </c>
      <c r="U38" s="112">
        <v>19</v>
      </c>
      <c r="V38" s="112">
        <v>20</v>
      </c>
      <c r="W38" s="112">
        <v>21</v>
      </c>
      <c r="X38" s="112">
        <v>22</v>
      </c>
      <c r="Y38" s="112">
        <v>23</v>
      </c>
      <c r="Z38" s="112">
        <v>24</v>
      </c>
      <c r="AA38" s="112">
        <v>25</v>
      </c>
      <c r="AB38" s="112">
        <v>26</v>
      </c>
      <c r="AC38" s="112">
        <v>27</v>
      </c>
      <c r="AD38" s="112">
        <v>28</v>
      </c>
      <c r="AE38" s="112">
        <v>29</v>
      </c>
      <c r="AF38" s="113">
        <v>30</v>
      </c>
      <c r="AG38" s="20"/>
    </row>
    <row r="39" spans="2:33" ht="14.4" thickTop="1" thickBot="1">
      <c r="B39" s="110" t="str">
        <f>CurYear</f>
        <v>2019</v>
      </c>
      <c r="C39" s="36" t="str">
        <f>Roster!D276</f>
        <v>.</v>
      </c>
      <c r="D39" s="37" t="str">
        <f>Roster!E276</f>
        <v>.</v>
      </c>
      <c r="E39" s="37" t="str">
        <f>Roster!F276</f>
        <v>.</v>
      </c>
      <c r="F39" s="37" t="str">
        <f>Roster!G276</f>
        <v>.</v>
      </c>
      <c r="G39" s="37" t="str">
        <f>Roster!H276</f>
        <v>.</v>
      </c>
      <c r="H39" s="37" t="str">
        <f>Roster!I276</f>
        <v>.</v>
      </c>
      <c r="I39" s="37" t="str">
        <f>Roster!J276</f>
        <v>.</v>
      </c>
      <c r="J39" s="37" t="str">
        <f>Roster!K276</f>
        <v>.</v>
      </c>
      <c r="K39" s="37" t="str">
        <f>Roster!L276</f>
        <v>.</v>
      </c>
      <c r="L39" s="37" t="str">
        <f>Roster!M276</f>
        <v>.</v>
      </c>
      <c r="M39" s="37" t="str">
        <f>Roster!N276</f>
        <v>.</v>
      </c>
      <c r="N39" s="37" t="str">
        <f>Roster!O276</f>
        <v>.</v>
      </c>
      <c r="O39" s="37" t="str">
        <f>Roster!P276</f>
        <v>.</v>
      </c>
      <c r="P39" s="37" t="str">
        <f>Roster!Q276</f>
        <v>.</v>
      </c>
      <c r="Q39" s="37" t="str">
        <f>Roster!R276</f>
        <v>.</v>
      </c>
      <c r="R39" s="37" t="str">
        <f>Roster!S276</f>
        <v>.</v>
      </c>
      <c r="S39" s="37" t="str">
        <f>Roster!T276</f>
        <v>.</v>
      </c>
      <c r="T39" s="37" t="str">
        <f>Roster!U276</f>
        <v>.</v>
      </c>
      <c r="U39" s="37" t="str">
        <f>Roster!V276</f>
        <v>.</v>
      </c>
      <c r="V39" s="37" t="str">
        <f>Roster!W276</f>
        <v>.</v>
      </c>
      <c r="W39" s="37" t="str">
        <f>Roster!X276</f>
        <v>.</v>
      </c>
      <c r="X39" s="37" t="str">
        <f>Roster!Y276</f>
        <v>.</v>
      </c>
      <c r="Y39" s="37" t="str">
        <f>Roster!Z276</f>
        <v>.</v>
      </c>
      <c r="Z39" s="37" t="str">
        <f>Roster!AA276</f>
        <v>.</v>
      </c>
      <c r="AA39" s="37" t="str">
        <f>Roster!AB276</f>
        <v>.</v>
      </c>
      <c r="AB39" s="37" t="str">
        <f>Roster!AC276</f>
        <v>.</v>
      </c>
      <c r="AC39" s="37" t="str">
        <f>Roster!AD276</f>
        <v>.</v>
      </c>
      <c r="AD39" s="37" t="str">
        <f>Roster!AE276</f>
        <v>.</v>
      </c>
      <c r="AE39" s="37" t="str">
        <f>Roster!AF276</f>
        <v>.</v>
      </c>
      <c r="AF39" s="38" t="str">
        <f>Roster!AG276</f>
        <v>.</v>
      </c>
      <c r="AG39" s="20"/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132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0"/>
      <c r="I3" s="142" t="s">
        <v>25</v>
      </c>
      <c r="R3" s="142" t="str">
        <f>EmpGName03 &amp;" " &amp; EmpSName03</f>
        <v>Ian Thelning</v>
      </c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46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Roster!D16</f>
        <v>.</v>
      </c>
      <c r="D6" s="37" t="str">
        <f>Roster!E16</f>
        <v>.</v>
      </c>
      <c r="E6" s="37" t="str">
        <f>Roster!F16</f>
        <v>.</v>
      </c>
      <c r="F6" s="37" t="str">
        <f>Roster!G16</f>
        <v>.</v>
      </c>
      <c r="G6" s="37" t="str">
        <f>Roster!H16</f>
        <v>.</v>
      </c>
      <c r="H6" s="37" t="str">
        <f>Roster!I16</f>
        <v>.</v>
      </c>
      <c r="I6" s="37" t="str">
        <f>Roster!J16</f>
        <v>.</v>
      </c>
      <c r="J6" s="37" t="str">
        <f>Roster!K16</f>
        <v>.</v>
      </c>
      <c r="K6" s="37" t="str">
        <f>Roster!L16</f>
        <v>.</v>
      </c>
      <c r="L6" s="37" t="str">
        <f>Roster!M16</f>
        <v>.</v>
      </c>
      <c r="M6" s="37" t="str">
        <f>Roster!N16</f>
        <v>.</v>
      </c>
      <c r="N6" s="37" t="str">
        <f>Roster!O16</f>
        <v>.</v>
      </c>
      <c r="O6" s="37" t="str">
        <f>Roster!P16</f>
        <v>.</v>
      </c>
      <c r="P6" s="37" t="str">
        <f>Roster!Q16</f>
        <v>.</v>
      </c>
      <c r="Q6" s="37" t="str">
        <f>Roster!R16</f>
        <v>.</v>
      </c>
      <c r="R6" s="37" t="str">
        <f>Roster!S16</f>
        <v>.</v>
      </c>
      <c r="S6" s="37" t="str">
        <f>Roster!T16</f>
        <v>.</v>
      </c>
      <c r="T6" s="37" t="str">
        <f>Roster!U16</f>
        <v>.</v>
      </c>
      <c r="U6" s="37" t="str">
        <f>Roster!V16</f>
        <v>.</v>
      </c>
      <c r="V6" s="37" t="str">
        <f>Roster!W16</f>
        <v>.</v>
      </c>
      <c r="W6" s="37" t="str">
        <f>Roster!X16</f>
        <v>.</v>
      </c>
      <c r="X6" s="37" t="str">
        <f>Roster!Y16</f>
        <v>.</v>
      </c>
      <c r="Y6" s="37" t="str">
        <f>Roster!Z16</f>
        <v>.</v>
      </c>
      <c r="Z6" s="37" t="str">
        <f>Roster!AA16</f>
        <v>.</v>
      </c>
      <c r="AA6" s="37" t="str">
        <f>Roster!AB16</f>
        <v>.</v>
      </c>
      <c r="AB6" s="37" t="str">
        <f>Roster!AC16</f>
        <v>.</v>
      </c>
      <c r="AC6" s="37" t="str">
        <f>Roster!AD16</f>
        <v>.</v>
      </c>
      <c r="AD6" s="37" t="str">
        <f>Roster!AE16</f>
        <v>.</v>
      </c>
      <c r="AE6" s="37" t="str">
        <f>Roster!AF16</f>
        <v>.</v>
      </c>
      <c r="AF6" s="37" t="str">
        <f>Roster!AG16</f>
        <v>.</v>
      </c>
      <c r="AG6" s="38" t="str">
        <f>Roster!AH16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Roster!D47</f>
        <v>.</v>
      </c>
      <c r="D9" s="39" t="str">
        <f>Roster!E47</f>
        <v>.</v>
      </c>
      <c r="E9" s="37" t="str">
        <f>Roster!F47</f>
        <v>.</v>
      </c>
      <c r="F9" s="37" t="str">
        <f>Roster!G47</f>
        <v>.</v>
      </c>
      <c r="G9" s="37" t="str">
        <f>Roster!H47</f>
        <v>.</v>
      </c>
      <c r="H9" s="37" t="str">
        <f>Roster!I47</f>
        <v>.</v>
      </c>
      <c r="I9" s="37" t="str">
        <f>Roster!J47</f>
        <v>.</v>
      </c>
      <c r="J9" s="37" t="str">
        <f>Roster!K47</f>
        <v>.</v>
      </c>
      <c r="K9" s="37" t="str">
        <f>Roster!L47</f>
        <v>.</v>
      </c>
      <c r="L9" s="37" t="str">
        <f>Roster!M47</f>
        <v>.</v>
      </c>
      <c r="M9" s="37" t="str">
        <f>Roster!N47</f>
        <v>.</v>
      </c>
      <c r="N9" s="37" t="str">
        <f>Roster!O47</f>
        <v>.</v>
      </c>
      <c r="O9" s="37" t="str">
        <f>Roster!P47</f>
        <v>.</v>
      </c>
      <c r="P9" s="37" t="str">
        <f>Roster!Q47</f>
        <v>.</v>
      </c>
      <c r="Q9" s="37" t="str">
        <f>Roster!R47</f>
        <v>.</v>
      </c>
      <c r="R9" s="37" t="str">
        <f>Roster!S47</f>
        <v>.</v>
      </c>
      <c r="S9" s="37" t="str">
        <f>Roster!T47</f>
        <v>.</v>
      </c>
      <c r="T9" s="37" t="str">
        <f>Roster!U47</f>
        <v>.</v>
      </c>
      <c r="U9" s="37" t="str">
        <f>Roster!V47</f>
        <v>.</v>
      </c>
      <c r="V9" s="37" t="str">
        <f>Roster!W47</f>
        <v>.</v>
      </c>
      <c r="W9" s="37" t="str">
        <f>Roster!X47</f>
        <v>.</v>
      </c>
      <c r="X9" s="37" t="str">
        <f>Roster!Y47</f>
        <v>.</v>
      </c>
      <c r="Y9" s="37" t="str">
        <f>Roster!Z47</f>
        <v>.</v>
      </c>
      <c r="Z9" s="37" t="str">
        <f>Roster!AA47</f>
        <v>.</v>
      </c>
      <c r="AA9" s="37" t="str">
        <f>Roster!AB47</f>
        <v>.</v>
      </c>
      <c r="AB9" s="37" t="str">
        <f>Roster!AC47</f>
        <v>.</v>
      </c>
      <c r="AC9" s="37" t="str">
        <f>Roster!AD47</f>
        <v>.</v>
      </c>
      <c r="AD9" s="37" t="str">
        <f>Roster!AE47</f>
        <v>.</v>
      </c>
      <c r="AE9" s="37" t="str">
        <f>Roster!AF47</f>
        <v>.</v>
      </c>
      <c r="AF9" s="37" t="str">
        <f>Roster!AG47</f>
        <v>.</v>
      </c>
      <c r="AG9" s="38" t="str">
        <f>Roster!AH47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Roster!D78</f>
        <v>.</v>
      </c>
      <c r="D12" s="37" t="str">
        <f>Roster!E78</f>
        <v>.</v>
      </c>
      <c r="E12" s="37" t="str">
        <f>Roster!F78</f>
        <v>.</v>
      </c>
      <c r="F12" s="37" t="str">
        <f>Roster!G78</f>
        <v>.</v>
      </c>
      <c r="G12" s="37" t="str">
        <f>Roster!H78</f>
        <v>.</v>
      </c>
      <c r="H12" s="37" t="str">
        <f>Roster!I78</f>
        <v>.</v>
      </c>
      <c r="I12" s="37" t="str">
        <f>Roster!J78</f>
        <v>.</v>
      </c>
      <c r="J12" s="37" t="str">
        <f>Roster!K78</f>
        <v>.</v>
      </c>
      <c r="K12" s="37" t="str">
        <f>Roster!L78</f>
        <v>.</v>
      </c>
      <c r="L12" s="37" t="str">
        <f>Roster!M78</f>
        <v>.</v>
      </c>
      <c r="M12" s="37" t="str">
        <f>Roster!N78</f>
        <v>.</v>
      </c>
      <c r="N12" s="37" t="str">
        <f>Roster!O78</f>
        <v>.</v>
      </c>
      <c r="O12" s="37" t="str">
        <f>Roster!P78</f>
        <v>.</v>
      </c>
      <c r="P12" s="37" t="str">
        <f>Roster!Q78</f>
        <v>.</v>
      </c>
      <c r="Q12" s="37" t="str">
        <f>Roster!R78</f>
        <v>.</v>
      </c>
      <c r="R12" s="37" t="str">
        <f>Roster!S78</f>
        <v>.</v>
      </c>
      <c r="S12" s="37" t="str">
        <f>Roster!T78</f>
        <v>.</v>
      </c>
      <c r="T12" s="37" t="str">
        <f>Roster!U78</f>
        <v>.</v>
      </c>
      <c r="U12" s="37" t="str">
        <f>Roster!V78</f>
        <v>.</v>
      </c>
      <c r="V12" s="37" t="str">
        <f>Roster!W78</f>
        <v>.</v>
      </c>
      <c r="W12" s="37" t="str">
        <f>Roster!X78</f>
        <v>.</v>
      </c>
      <c r="X12" s="37" t="str">
        <f>Roster!Y78</f>
        <v>.</v>
      </c>
      <c r="Y12" s="37" t="str">
        <f>Roster!Z78</f>
        <v>.</v>
      </c>
      <c r="Z12" s="37" t="str">
        <f>Roster!AA78</f>
        <v>.</v>
      </c>
      <c r="AA12" s="37" t="str">
        <f>Roster!AB78</f>
        <v>.</v>
      </c>
      <c r="AB12" s="37" t="str">
        <f>Roster!AC78</f>
        <v>.</v>
      </c>
      <c r="AC12" s="37" t="str">
        <f>Roster!AD78</f>
        <v>.</v>
      </c>
      <c r="AD12" s="37" t="str">
        <f>Roster!AE78</f>
        <v>.</v>
      </c>
      <c r="AE12" s="37" t="str">
        <f>Roster!AF78</f>
        <v>.</v>
      </c>
      <c r="AF12" s="38" t="str">
        <f>Roster!AG78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46" t="str">
        <f t="shared" si="3"/>
        <v>We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Roster!D109</f>
        <v>.</v>
      </c>
      <c r="D15" s="37" t="str">
        <f>Roster!E109</f>
        <v>.</v>
      </c>
      <c r="E15" s="37" t="str">
        <f>Roster!F109</f>
        <v>.</v>
      </c>
      <c r="F15" s="37" t="str">
        <f>Roster!G109</f>
        <v>.</v>
      </c>
      <c r="G15" s="37" t="str">
        <f>Roster!H109</f>
        <v>.</v>
      </c>
      <c r="H15" s="37" t="str">
        <f>Roster!I109</f>
        <v>.</v>
      </c>
      <c r="I15" s="37" t="str">
        <f>Roster!J109</f>
        <v>.</v>
      </c>
      <c r="J15" s="37" t="str">
        <f>Roster!K109</f>
        <v>.</v>
      </c>
      <c r="K15" s="37" t="str">
        <f>Roster!L109</f>
        <v>.</v>
      </c>
      <c r="L15" s="37" t="str">
        <f>Roster!M109</f>
        <v>.</v>
      </c>
      <c r="M15" s="37" t="str">
        <f>Roster!N109</f>
        <v>.</v>
      </c>
      <c r="N15" s="37" t="str">
        <f>Roster!O109</f>
        <v>.</v>
      </c>
      <c r="O15" s="37" t="str">
        <f>Roster!P109</f>
        <v>.</v>
      </c>
      <c r="P15" s="37" t="str">
        <f>Roster!Q109</f>
        <v>.</v>
      </c>
      <c r="Q15" s="37" t="str">
        <f>Roster!R109</f>
        <v>.</v>
      </c>
      <c r="R15" s="37" t="str">
        <f>Roster!S109</f>
        <v>.</v>
      </c>
      <c r="S15" s="37" t="str">
        <f>Roster!T109</f>
        <v>.</v>
      </c>
      <c r="T15" s="37" t="str">
        <f>Roster!U109</f>
        <v>.</v>
      </c>
      <c r="U15" s="37" t="str">
        <f>Roster!V109</f>
        <v>.</v>
      </c>
      <c r="V15" s="37" t="str">
        <f>Roster!W109</f>
        <v>.</v>
      </c>
      <c r="W15" s="37" t="str">
        <f>Roster!X109</f>
        <v>.</v>
      </c>
      <c r="X15" s="37" t="str">
        <f>Roster!Y109</f>
        <v>.</v>
      </c>
      <c r="Y15" s="37" t="str">
        <f>Roster!Z109</f>
        <v>.</v>
      </c>
      <c r="Z15" s="37" t="str">
        <f>Roster!AA109</f>
        <v>.</v>
      </c>
      <c r="AA15" s="37" t="str">
        <f>Roster!AB109</f>
        <v>.</v>
      </c>
      <c r="AB15" s="37" t="str">
        <f>Roster!AC109</f>
        <v>.</v>
      </c>
      <c r="AC15" s="37" t="str">
        <f>Roster!AD109</f>
        <v>.</v>
      </c>
      <c r="AD15" s="37" t="str">
        <f>Roster!AE109</f>
        <v>.</v>
      </c>
      <c r="AE15" s="37" t="str">
        <f>Roster!AF109</f>
        <v>.</v>
      </c>
      <c r="AF15" s="37" t="str">
        <f>Roster!AG109</f>
        <v>.</v>
      </c>
      <c r="AG15" s="38" t="str">
        <f>Roster!AH109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Roster!D140</f>
        <v>.</v>
      </c>
      <c r="D18" s="37" t="str">
        <f>Roster!E140</f>
        <v>.</v>
      </c>
      <c r="E18" s="37" t="str">
        <f>Roster!F140</f>
        <v>.</v>
      </c>
      <c r="F18" s="37" t="str">
        <f>Roster!G140</f>
        <v>.</v>
      </c>
      <c r="G18" s="37" t="str">
        <f>Roster!H140</f>
        <v>.</v>
      </c>
      <c r="H18" s="37" t="str">
        <f>Roster!I140</f>
        <v>.</v>
      </c>
      <c r="I18" s="37" t="str">
        <f>Roster!J140</f>
        <v>.</v>
      </c>
      <c r="J18" s="37" t="str">
        <f>Roster!K140</f>
        <v>.</v>
      </c>
      <c r="K18" s="37" t="str">
        <f>Roster!L140</f>
        <v>.</v>
      </c>
      <c r="L18" s="37" t="str">
        <f>Roster!M140</f>
        <v>.</v>
      </c>
      <c r="M18" s="37" t="str">
        <f>Roster!N140</f>
        <v>.</v>
      </c>
      <c r="N18" s="37" t="str">
        <f>Roster!O140</f>
        <v>.</v>
      </c>
      <c r="O18" s="37" t="str">
        <f>Roster!P140</f>
        <v>.</v>
      </c>
      <c r="P18" s="37" t="str">
        <f>Roster!Q140</f>
        <v>.</v>
      </c>
      <c r="Q18" s="37" t="str">
        <f>Roster!R140</f>
        <v>.</v>
      </c>
      <c r="R18" s="37" t="str">
        <f>Roster!S140</f>
        <v>.</v>
      </c>
      <c r="S18" s="37" t="str">
        <f>Roster!T140</f>
        <v>.</v>
      </c>
      <c r="T18" s="37" t="str">
        <f>Roster!U140</f>
        <v>.</v>
      </c>
      <c r="U18" s="37" t="str">
        <f>Roster!V140</f>
        <v>.</v>
      </c>
      <c r="V18" s="37" t="str">
        <f>Roster!W140</f>
        <v>.</v>
      </c>
      <c r="W18" s="37" t="str">
        <f>Roster!X140</f>
        <v>.</v>
      </c>
      <c r="X18" s="37" t="str">
        <f>Roster!Y140</f>
        <v>.</v>
      </c>
      <c r="Y18" s="37" t="str">
        <f>Roster!Z140</f>
        <v>.</v>
      </c>
      <c r="Z18" s="37" t="str">
        <f>Roster!AA140</f>
        <v>.</v>
      </c>
      <c r="AA18" s="37" t="str">
        <f>Roster!AB140</f>
        <v>.</v>
      </c>
      <c r="AB18" s="37" t="str">
        <f>Roster!AC140</f>
        <v>.</v>
      </c>
      <c r="AC18" s="37" t="str">
        <f>Roster!AD140</f>
        <v>.</v>
      </c>
      <c r="AD18" s="37" t="str">
        <f>Roster!AE140</f>
        <v>.</v>
      </c>
      <c r="AE18" s="37" t="str">
        <f>Roster!AF140</f>
        <v>.</v>
      </c>
      <c r="AF18" s="38" t="str">
        <f>Roster!AG140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Roster!D171</f>
        <v>.</v>
      </c>
      <c r="D21" s="37" t="str">
        <f>Roster!E171</f>
        <v>.</v>
      </c>
      <c r="E21" s="37" t="str">
        <f>Roster!F171</f>
        <v>.</v>
      </c>
      <c r="F21" s="37" t="str">
        <f>Roster!G171</f>
        <v>.</v>
      </c>
      <c r="G21" s="37" t="str">
        <f>Roster!H171</f>
        <v>.</v>
      </c>
      <c r="H21" s="37" t="str">
        <f>Roster!I171</f>
        <v>.</v>
      </c>
      <c r="I21" s="37" t="str">
        <f>Roster!J171</f>
        <v>.</v>
      </c>
      <c r="J21" s="37" t="str">
        <f>Roster!K171</f>
        <v>.</v>
      </c>
      <c r="K21" s="37" t="str">
        <f>Roster!L171</f>
        <v>.</v>
      </c>
      <c r="L21" s="37" t="str">
        <f>Roster!M171</f>
        <v>.</v>
      </c>
      <c r="M21" s="37" t="str">
        <f>Roster!N171</f>
        <v>.</v>
      </c>
      <c r="N21" s="37" t="str">
        <f>Roster!O171</f>
        <v>.</v>
      </c>
      <c r="O21" s="37" t="str">
        <f>Roster!P171</f>
        <v>.</v>
      </c>
      <c r="P21" s="37" t="str">
        <f>Roster!Q171</f>
        <v>.</v>
      </c>
      <c r="Q21" s="37" t="str">
        <f>Roster!R171</f>
        <v>.</v>
      </c>
      <c r="R21" s="37" t="str">
        <f>Roster!S171</f>
        <v>.</v>
      </c>
      <c r="S21" s="37" t="str">
        <f>Roster!T171</f>
        <v>.</v>
      </c>
      <c r="T21" s="37" t="str">
        <f>Roster!U171</f>
        <v>.</v>
      </c>
      <c r="U21" s="37" t="str">
        <f>Roster!V171</f>
        <v>.</v>
      </c>
      <c r="V21" s="37" t="str">
        <f>Roster!W171</f>
        <v>.</v>
      </c>
      <c r="W21" s="37" t="str">
        <f>Roster!X171</f>
        <v>.</v>
      </c>
      <c r="X21" s="37" t="str">
        <f>Roster!Y171</f>
        <v>.</v>
      </c>
      <c r="Y21" s="37" t="str">
        <f>Roster!Z171</f>
        <v>.</v>
      </c>
      <c r="Z21" s="37" t="str">
        <f>Roster!AA171</f>
        <v>.</v>
      </c>
      <c r="AA21" s="37" t="str">
        <f>Roster!AB171</f>
        <v>.</v>
      </c>
      <c r="AB21" s="37" t="str">
        <f>Roster!AC171</f>
        <v>.</v>
      </c>
      <c r="AC21" s="37" t="str">
        <f>Roster!AD171</f>
        <v>.</v>
      </c>
      <c r="AD21" s="37" t="str">
        <f>Roster!AE171</f>
        <v>.</v>
      </c>
      <c r="AE21" s="37" t="str">
        <f>Roster!AF171</f>
        <v>.</v>
      </c>
      <c r="AF21" s="37" t="str">
        <f>Roster!AG171</f>
        <v>.</v>
      </c>
      <c r="AG21" s="38" t="str">
        <f>Roster!AH171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48" t="str">
        <f>Roster!D202</f>
        <v>.</v>
      </c>
      <c r="D24" s="49" t="str">
        <f>Roster!E202</f>
        <v>.</v>
      </c>
      <c r="E24" s="40" t="str">
        <f>Roster!F202</f>
        <v>.</v>
      </c>
      <c r="F24" s="40" t="str">
        <f>Roster!G202</f>
        <v>.</v>
      </c>
      <c r="G24" s="40" t="str">
        <f>Roster!H202</f>
        <v>.</v>
      </c>
      <c r="H24" s="40" t="str">
        <f>Roster!I202</f>
        <v>.</v>
      </c>
      <c r="I24" s="40" t="str">
        <f>Roster!J202</f>
        <v>.</v>
      </c>
      <c r="J24" s="40" t="str">
        <f>Roster!K202</f>
        <v>.</v>
      </c>
      <c r="K24" s="40" t="str">
        <f>Roster!L202</f>
        <v>.</v>
      </c>
      <c r="L24" s="40" t="str">
        <f>Roster!M202</f>
        <v>.</v>
      </c>
      <c r="M24" s="40" t="str">
        <f>Roster!N202</f>
        <v>.</v>
      </c>
      <c r="N24" s="40" t="str">
        <f>Roster!O202</f>
        <v>.</v>
      </c>
      <c r="O24" s="40" t="str">
        <f>Roster!P202</f>
        <v>.</v>
      </c>
      <c r="P24" s="40" t="str">
        <f>Roster!Q202</f>
        <v>.</v>
      </c>
      <c r="Q24" s="40" t="str">
        <f>Roster!R202</f>
        <v>.</v>
      </c>
      <c r="R24" s="40" t="str">
        <f>Roster!S202</f>
        <v>.</v>
      </c>
      <c r="S24" s="40" t="str">
        <f>Roster!T202</f>
        <v>.</v>
      </c>
      <c r="T24" s="40" t="str">
        <f>Roster!U202</f>
        <v>.</v>
      </c>
      <c r="U24" s="40" t="str">
        <f>Roster!V202</f>
        <v>.</v>
      </c>
      <c r="V24" s="40" t="str">
        <f>Roster!W202</f>
        <v>.</v>
      </c>
      <c r="W24" s="40" t="str">
        <f>Roster!X202</f>
        <v>.</v>
      </c>
      <c r="X24" s="40" t="str">
        <f>Roster!Y202</f>
        <v>.</v>
      </c>
      <c r="Y24" s="40" t="str">
        <f>Roster!Z202</f>
        <v>.</v>
      </c>
      <c r="Z24" s="40" t="str">
        <f>Roster!AA202</f>
        <v>.</v>
      </c>
      <c r="AA24" s="40" t="str">
        <f>Roster!AB202</f>
        <v>.</v>
      </c>
      <c r="AB24" s="40" t="str">
        <f>Roster!AC202</f>
        <v>.</v>
      </c>
      <c r="AC24" s="40" t="str">
        <f>Roster!AD202</f>
        <v>.</v>
      </c>
      <c r="AD24" s="40" t="str">
        <f>Roster!AE202</f>
        <v>.</v>
      </c>
      <c r="AE24" s="40" t="str">
        <f>Roster!AF202</f>
        <v>.</v>
      </c>
      <c r="AF24" s="40" t="str">
        <f>Roster!AG202</f>
        <v>.</v>
      </c>
      <c r="AG24" s="41" t="str">
        <f>Roster!AH202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23"/>
      <c r="AG25" s="24"/>
    </row>
    <row r="26" spans="2:33" ht="14.4" thickTop="1" thickBot="1">
      <c r="B26" s="32" t="str">
        <f>Roster!$C$214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9">
        <v>29</v>
      </c>
      <c r="AF26" s="44"/>
    </row>
    <row r="27" spans="2:33" ht="14.4" thickTop="1" thickBot="1">
      <c r="B27" s="32" t="str">
        <f>CurYear</f>
        <v>2019</v>
      </c>
      <c r="C27" s="36" t="str">
        <f>Roster!D217</f>
        <v>.</v>
      </c>
      <c r="D27" s="37" t="str">
        <f>Roster!E217</f>
        <v>.</v>
      </c>
      <c r="E27" s="37" t="str">
        <f>Roster!F217</f>
        <v>.</v>
      </c>
      <c r="F27" s="37" t="str">
        <f>Roster!G217</f>
        <v>.</v>
      </c>
      <c r="G27" s="37" t="str">
        <f>Roster!H217</f>
        <v>.</v>
      </c>
      <c r="H27" s="37" t="str">
        <f>Roster!I217</f>
        <v>.</v>
      </c>
      <c r="I27" s="37" t="str">
        <f>Roster!J217</f>
        <v>.</v>
      </c>
      <c r="J27" s="37" t="str">
        <f>Roster!K217</f>
        <v>.</v>
      </c>
      <c r="K27" s="37" t="str">
        <f>Roster!L217</f>
        <v>.</v>
      </c>
      <c r="L27" s="37" t="str">
        <f>Roster!M217</f>
        <v>.</v>
      </c>
      <c r="M27" s="37" t="str">
        <f>Roster!N217</f>
        <v>.</v>
      </c>
      <c r="N27" s="37" t="str">
        <f>Roster!O217</f>
        <v>.</v>
      </c>
      <c r="O27" s="37" t="str">
        <f>Roster!P217</f>
        <v>.</v>
      </c>
      <c r="P27" s="37" t="str">
        <f>Roster!Q217</f>
        <v>.</v>
      </c>
      <c r="Q27" s="37" t="str">
        <f>Roster!R217</f>
        <v>.</v>
      </c>
      <c r="R27" s="37" t="str">
        <f>Roster!S217</f>
        <v>.</v>
      </c>
      <c r="S27" s="37" t="str">
        <f>Roster!T217</f>
        <v>.</v>
      </c>
      <c r="T27" s="37" t="str">
        <f>Roster!U217</f>
        <v>.</v>
      </c>
      <c r="U27" s="37" t="str">
        <f>Roster!V217</f>
        <v>.</v>
      </c>
      <c r="V27" s="37" t="str">
        <f>Roster!W217</f>
        <v>.</v>
      </c>
      <c r="W27" s="37" t="str">
        <f>Roster!X217</f>
        <v>.</v>
      </c>
      <c r="X27" s="37" t="str">
        <f>Roster!Y217</f>
        <v>.</v>
      </c>
      <c r="Y27" s="37" t="str">
        <f>Roster!Z217</f>
        <v>.</v>
      </c>
      <c r="Z27" s="37" t="str">
        <f>Roster!AA217</f>
        <v>.</v>
      </c>
      <c r="AA27" s="37" t="str">
        <f>Roster!AB217</f>
        <v>.</v>
      </c>
      <c r="AB27" s="37" t="str">
        <f>Roster!AC217</f>
        <v>.</v>
      </c>
      <c r="AC27" s="37" t="str">
        <f>Roster!AD217</f>
        <v>.</v>
      </c>
      <c r="AD27" s="43" t="str">
        <f>Roster!AE217</f>
        <v>.</v>
      </c>
      <c r="AE27" s="130">
        <f>Roster!AF217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47" t="str">
        <f t="shared" si="8"/>
        <v>Sa</v>
      </c>
      <c r="AG28" s="47" t="str">
        <f t="shared" si="8"/>
        <v>Su</v>
      </c>
    </row>
    <row r="29" spans="2:33" ht="14.4" thickTop="1" thickBot="1">
      <c r="B29" s="32" t="str">
        <f>Roster!$C$229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Roster!D232</f>
        <v>.</v>
      </c>
      <c r="D30" s="37" t="str">
        <f>Roster!E232</f>
        <v>.</v>
      </c>
      <c r="E30" s="37" t="str">
        <f>Roster!F232</f>
        <v>.</v>
      </c>
      <c r="F30" s="37" t="str">
        <f>Roster!G232</f>
        <v>.</v>
      </c>
      <c r="G30" s="37" t="str">
        <f>Roster!H232</f>
        <v>.</v>
      </c>
      <c r="H30" s="37" t="str">
        <f>Roster!I232</f>
        <v>.</v>
      </c>
      <c r="I30" s="37" t="str">
        <f>Roster!J232</f>
        <v>.</v>
      </c>
      <c r="J30" s="37" t="str">
        <f>Roster!K232</f>
        <v>.</v>
      </c>
      <c r="K30" s="37" t="str">
        <f>Roster!L232</f>
        <v>.</v>
      </c>
      <c r="L30" s="37" t="str">
        <f>Roster!M232</f>
        <v>.</v>
      </c>
      <c r="M30" s="37" t="str">
        <f>Roster!N232</f>
        <v>.</v>
      </c>
      <c r="N30" s="37" t="str">
        <f>Roster!O232</f>
        <v>.</v>
      </c>
      <c r="O30" s="37" t="str">
        <f>Roster!P232</f>
        <v>.</v>
      </c>
      <c r="P30" s="37" t="str">
        <f>Roster!Q232</f>
        <v>.</v>
      </c>
      <c r="Q30" s="37" t="str">
        <f>Roster!R232</f>
        <v>.</v>
      </c>
      <c r="R30" s="37" t="str">
        <f>Roster!S232</f>
        <v>.</v>
      </c>
      <c r="S30" s="37" t="str">
        <f>Roster!T232</f>
        <v>.</v>
      </c>
      <c r="T30" s="37" t="str">
        <f>Roster!U232</f>
        <v>.</v>
      </c>
      <c r="U30" s="37" t="str">
        <f>Roster!V232</f>
        <v>.</v>
      </c>
      <c r="V30" s="37" t="str">
        <f>Roster!W232</f>
        <v>.</v>
      </c>
      <c r="W30" s="37" t="str">
        <f>Roster!X232</f>
        <v>.</v>
      </c>
      <c r="X30" s="37" t="str">
        <f>Roster!Y232</f>
        <v>.</v>
      </c>
      <c r="Y30" s="37" t="str">
        <f>Roster!Z232</f>
        <v>.</v>
      </c>
      <c r="Z30" s="37" t="str">
        <f>Roster!AA232</f>
        <v>.</v>
      </c>
      <c r="AA30" s="37" t="str">
        <f>Roster!AB232</f>
        <v>.</v>
      </c>
      <c r="AB30" s="37" t="str">
        <f>Roster!AC232</f>
        <v>.</v>
      </c>
      <c r="AC30" s="37" t="str">
        <f>Roster!AD232</f>
        <v>.</v>
      </c>
      <c r="AD30" s="37" t="str">
        <f>Roster!AE232</f>
        <v>.</v>
      </c>
      <c r="AE30" s="37" t="str">
        <f>Roster!AF232</f>
        <v>.</v>
      </c>
      <c r="AF30" s="37" t="str">
        <f>Roster!AG232</f>
        <v>.</v>
      </c>
      <c r="AG30" s="41" t="str">
        <f>Roster!AH232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Roster!$C$244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Roster!D247</f>
        <v>.</v>
      </c>
      <c r="D33" s="37" t="str">
        <f>Roster!E247</f>
        <v>.</v>
      </c>
      <c r="E33" s="37" t="str">
        <f>Roster!F247</f>
        <v>.</v>
      </c>
      <c r="F33" s="37" t="str">
        <f>Roster!G247</f>
        <v>.</v>
      </c>
      <c r="G33" s="37" t="str">
        <f>Roster!H247</f>
        <v>.</v>
      </c>
      <c r="H33" s="37" t="str">
        <f>Roster!I247</f>
        <v>.</v>
      </c>
      <c r="I33" s="37" t="str">
        <f>Roster!J247</f>
        <v>.</v>
      </c>
      <c r="J33" s="37" t="str">
        <f>Roster!K247</f>
        <v>.</v>
      </c>
      <c r="K33" s="37" t="str">
        <f>Roster!L247</f>
        <v>.</v>
      </c>
      <c r="L33" s="37" t="str">
        <f>Roster!M247</f>
        <v>.</v>
      </c>
      <c r="M33" s="37" t="str">
        <f>Roster!N247</f>
        <v>.</v>
      </c>
      <c r="N33" s="37" t="str">
        <f>Roster!O247</f>
        <v>.</v>
      </c>
      <c r="O33" s="37" t="str">
        <f>Roster!P247</f>
        <v>.</v>
      </c>
      <c r="P33" s="37" t="str">
        <f>Roster!Q247</f>
        <v>.</v>
      </c>
      <c r="Q33" s="37" t="str">
        <f>Roster!R247</f>
        <v>.</v>
      </c>
      <c r="R33" s="37" t="str">
        <f>Roster!S247</f>
        <v>.</v>
      </c>
      <c r="S33" s="37" t="str">
        <f>Roster!T247</f>
        <v>.</v>
      </c>
      <c r="T33" s="37" t="str">
        <f>Roster!U247</f>
        <v>.</v>
      </c>
      <c r="U33" s="37" t="str">
        <f>Roster!V247</f>
        <v>.</v>
      </c>
      <c r="V33" s="37" t="str">
        <f>Roster!W247</f>
        <v>.</v>
      </c>
      <c r="W33" s="37" t="str">
        <f>Roster!X247</f>
        <v>.</v>
      </c>
      <c r="X33" s="37" t="str">
        <f>Roster!Y247</f>
        <v>.</v>
      </c>
      <c r="Y33" s="37" t="str">
        <f>Roster!Z247</f>
        <v>.</v>
      </c>
      <c r="Z33" s="37" t="str">
        <f>Roster!AA247</f>
        <v>.</v>
      </c>
      <c r="AA33" s="37" t="str">
        <f>Roster!AB247</f>
        <v>.</v>
      </c>
      <c r="AB33" s="37" t="str">
        <f>Roster!AC247</f>
        <v>.</v>
      </c>
      <c r="AC33" s="37" t="str">
        <f>Roster!AD247</f>
        <v>.</v>
      </c>
      <c r="AD33" s="37" t="str">
        <f>Roster!AE247</f>
        <v>.</v>
      </c>
      <c r="AE33" s="37" t="str">
        <f>Roster!AF247</f>
        <v>.</v>
      </c>
      <c r="AF33" s="38" t="str">
        <f>Roster!AG247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46" t="str">
        <f t="shared" si="10"/>
        <v>Fr</v>
      </c>
    </row>
    <row r="35" spans="2:33" ht="14.4" thickTop="1" thickBot="1">
      <c r="B35" s="32" t="str">
        <f>Roster!$C$259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Roster!D262</f>
        <v>.</v>
      </c>
      <c r="D36" s="37" t="str">
        <f>Roster!E262</f>
        <v>.</v>
      </c>
      <c r="E36" s="37" t="str">
        <f>Roster!F262</f>
        <v>.</v>
      </c>
      <c r="F36" s="37" t="str">
        <f>Roster!G262</f>
        <v>.</v>
      </c>
      <c r="G36" s="37" t="str">
        <f>Roster!H262</f>
        <v>.</v>
      </c>
      <c r="H36" s="37" t="str">
        <f>Roster!I262</f>
        <v>.</v>
      </c>
      <c r="I36" s="37" t="str">
        <f>Roster!J262</f>
        <v>.</v>
      </c>
      <c r="J36" s="37" t="str">
        <f>Roster!K262</f>
        <v>.</v>
      </c>
      <c r="K36" s="37" t="str">
        <f>Roster!L262</f>
        <v>.</v>
      </c>
      <c r="L36" s="37" t="str">
        <f>Roster!M262</f>
        <v>.</v>
      </c>
      <c r="M36" s="37" t="str">
        <f>Roster!N262</f>
        <v>.</v>
      </c>
      <c r="N36" s="37" t="str">
        <f>Roster!O262</f>
        <v>.</v>
      </c>
      <c r="O36" s="37" t="str">
        <f>Roster!P262</f>
        <v>.</v>
      </c>
      <c r="P36" s="37" t="str">
        <f>Roster!Q262</f>
        <v>.</v>
      </c>
      <c r="Q36" s="37" t="str">
        <f>Roster!R262</f>
        <v>.</v>
      </c>
      <c r="R36" s="37" t="str">
        <f>Roster!S262</f>
        <v>.</v>
      </c>
      <c r="S36" s="37" t="str">
        <f>Roster!T262</f>
        <v>.</v>
      </c>
      <c r="T36" s="37" t="str">
        <f>Roster!U262</f>
        <v>.</v>
      </c>
      <c r="U36" s="37" t="str">
        <f>Roster!V262</f>
        <v>.</v>
      </c>
      <c r="V36" s="37" t="str">
        <f>Roster!W262</f>
        <v>.</v>
      </c>
      <c r="W36" s="37" t="str">
        <f>Roster!X262</f>
        <v>.</v>
      </c>
      <c r="X36" s="37" t="str">
        <f>Roster!Y262</f>
        <v>.</v>
      </c>
      <c r="Y36" s="37" t="str">
        <f>Roster!Z262</f>
        <v>.</v>
      </c>
      <c r="Z36" s="37" t="str">
        <f>Roster!AA262</f>
        <v>.</v>
      </c>
      <c r="AA36" s="37" t="str">
        <f>Roster!AB262</f>
        <v>.</v>
      </c>
      <c r="AB36" s="37" t="str">
        <f>Roster!AC262</f>
        <v>.</v>
      </c>
      <c r="AC36" s="37" t="str">
        <f>Roster!AD262</f>
        <v>.</v>
      </c>
      <c r="AD36" s="37" t="str">
        <f>Roster!AE262</f>
        <v>.</v>
      </c>
      <c r="AE36" s="37" t="str">
        <f>Roster!AF262</f>
        <v>.</v>
      </c>
      <c r="AF36" s="37" t="str">
        <f>Roster!AG262</f>
        <v>.</v>
      </c>
      <c r="AG36" s="38" t="str">
        <f>Roster!AH262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Roster!C274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Roster!D277</f>
        <v>.</v>
      </c>
      <c r="D39" s="37" t="str">
        <f>Roster!E277</f>
        <v>.</v>
      </c>
      <c r="E39" s="37" t="str">
        <f>Roster!F277</f>
        <v>.</v>
      </c>
      <c r="F39" s="37" t="str">
        <f>Roster!G277</f>
        <v>.</v>
      </c>
      <c r="G39" s="37" t="str">
        <f>Roster!H277</f>
        <v>.</v>
      </c>
      <c r="H39" s="37" t="str">
        <f>Roster!I277</f>
        <v>.</v>
      </c>
      <c r="I39" s="37" t="str">
        <f>Roster!J277</f>
        <v>.</v>
      </c>
      <c r="J39" s="37" t="str">
        <f>Roster!K277</f>
        <v>.</v>
      </c>
      <c r="K39" s="37" t="str">
        <f>Roster!L277</f>
        <v>.</v>
      </c>
      <c r="L39" s="37" t="str">
        <f>Roster!M277</f>
        <v>.</v>
      </c>
      <c r="M39" s="37" t="str">
        <f>Roster!N277</f>
        <v>.</v>
      </c>
      <c r="N39" s="37" t="str">
        <f>Roster!O277</f>
        <v>.</v>
      </c>
      <c r="O39" s="37" t="str">
        <f>Roster!P277</f>
        <v>.</v>
      </c>
      <c r="P39" s="37" t="str">
        <f>Roster!Q277</f>
        <v>.</v>
      </c>
      <c r="Q39" s="37" t="str">
        <f>Roster!R277</f>
        <v>.</v>
      </c>
      <c r="R39" s="37" t="str">
        <f>Roster!S277</f>
        <v>.</v>
      </c>
      <c r="S39" s="37" t="str">
        <f>Roster!T277</f>
        <v>.</v>
      </c>
      <c r="T39" s="37" t="str">
        <f>Roster!U277</f>
        <v>.</v>
      </c>
      <c r="U39" s="37" t="str">
        <f>Roster!V277</f>
        <v>.</v>
      </c>
      <c r="V39" s="37" t="str">
        <f>Roster!W277</f>
        <v>.</v>
      </c>
      <c r="W39" s="37" t="str">
        <f>Roster!X277</f>
        <v>.</v>
      </c>
      <c r="X39" s="37" t="str">
        <f>Roster!Y277</f>
        <v>.</v>
      </c>
      <c r="Y39" s="37" t="str">
        <f>Roster!Z277</f>
        <v>.</v>
      </c>
      <c r="Z39" s="37" t="str">
        <f>Roster!AA277</f>
        <v>.</v>
      </c>
      <c r="AA39" s="37" t="str">
        <f>Roster!AB277</f>
        <v>.</v>
      </c>
      <c r="AB39" s="37" t="str">
        <f>Roster!AC277</f>
        <v>.</v>
      </c>
      <c r="AC39" s="37" t="str">
        <f>Roster!AD277</f>
        <v>.</v>
      </c>
      <c r="AD39" s="37" t="str">
        <f>Roster!AE277</f>
        <v>.</v>
      </c>
      <c r="AE39" s="37" t="str">
        <f>Roster!AF277</f>
        <v>.</v>
      </c>
      <c r="AF39" s="38" t="str">
        <f>Roster!AG277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9" t="s">
        <v>25</v>
      </c>
      <c r="R3" s="139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46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Roster!D17</f>
        <v>.</v>
      </c>
      <c r="D6" s="37" t="str">
        <f>Roster!E17</f>
        <v>.</v>
      </c>
      <c r="E6" s="37" t="str">
        <f>Roster!F17</f>
        <v>.</v>
      </c>
      <c r="F6" s="37" t="str">
        <f>Roster!G17</f>
        <v>.</v>
      </c>
      <c r="G6" s="37" t="str">
        <f>Roster!H17</f>
        <v>.</v>
      </c>
      <c r="H6" s="37" t="str">
        <f>Roster!I17</f>
        <v>.</v>
      </c>
      <c r="I6" s="37" t="str">
        <f>Roster!J17</f>
        <v>.</v>
      </c>
      <c r="J6" s="37" t="str">
        <f>Roster!K17</f>
        <v>.</v>
      </c>
      <c r="K6" s="37" t="str">
        <f>Roster!L17</f>
        <v>.</v>
      </c>
      <c r="L6" s="37" t="str">
        <f>Roster!M17</f>
        <v>.</v>
      </c>
      <c r="M6" s="37" t="str">
        <f>Roster!N17</f>
        <v>.</v>
      </c>
      <c r="N6" s="37" t="str">
        <f>Roster!O17</f>
        <v>.</v>
      </c>
      <c r="O6" s="37" t="str">
        <f>Roster!P17</f>
        <v>.</v>
      </c>
      <c r="P6" s="37" t="str">
        <f>Roster!Q17</f>
        <v>.</v>
      </c>
      <c r="Q6" s="37" t="str">
        <f>Roster!R17</f>
        <v>.</v>
      </c>
      <c r="R6" s="37" t="str">
        <f>Roster!S17</f>
        <v>.</v>
      </c>
      <c r="S6" s="37" t="str">
        <f>Roster!T17</f>
        <v>.</v>
      </c>
      <c r="T6" s="37" t="str">
        <f>Roster!U17</f>
        <v>.</v>
      </c>
      <c r="U6" s="37" t="str">
        <f>Roster!V17</f>
        <v>.</v>
      </c>
      <c r="V6" s="37" t="str">
        <f>Roster!W17</f>
        <v>.</v>
      </c>
      <c r="W6" s="37" t="str">
        <f>Roster!X17</f>
        <v>.</v>
      </c>
      <c r="X6" s="37" t="str">
        <f>Roster!Y17</f>
        <v>.</v>
      </c>
      <c r="Y6" s="37" t="str">
        <f>Roster!Z17</f>
        <v>.</v>
      </c>
      <c r="Z6" s="37" t="str">
        <f>Roster!AA17</f>
        <v>.</v>
      </c>
      <c r="AA6" s="37" t="str">
        <f>Roster!AB17</f>
        <v>.</v>
      </c>
      <c r="AB6" s="37" t="str">
        <f>Roster!AC17</f>
        <v>.</v>
      </c>
      <c r="AC6" s="37" t="str">
        <f>Roster!AD17</f>
        <v>.</v>
      </c>
      <c r="AD6" s="37" t="str">
        <f>Roster!AE17</f>
        <v>.</v>
      </c>
      <c r="AE6" s="37" t="str">
        <f>Roster!AF17</f>
        <v>.</v>
      </c>
      <c r="AF6" s="37" t="str">
        <f>Roster!AG17</f>
        <v>.</v>
      </c>
      <c r="AG6" s="38" t="str">
        <f>Roster!AH17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Roster!D48</f>
        <v>.</v>
      </c>
      <c r="D9" s="39" t="str">
        <f>Roster!E48</f>
        <v>.</v>
      </c>
      <c r="E9" s="37" t="str">
        <f>Roster!F48</f>
        <v>.</v>
      </c>
      <c r="F9" s="37" t="str">
        <f>Roster!G48</f>
        <v>.</v>
      </c>
      <c r="G9" s="37" t="str">
        <f>Roster!H48</f>
        <v>.</v>
      </c>
      <c r="H9" s="37" t="str">
        <f>Roster!I48</f>
        <v>.</v>
      </c>
      <c r="I9" s="37" t="str">
        <f>Roster!J48</f>
        <v>.</v>
      </c>
      <c r="J9" s="37" t="str">
        <f>Roster!K48</f>
        <v>.</v>
      </c>
      <c r="K9" s="37" t="str">
        <f>Roster!L48</f>
        <v>.</v>
      </c>
      <c r="L9" s="37" t="str">
        <f>Roster!M48</f>
        <v>.</v>
      </c>
      <c r="M9" s="37" t="str">
        <f>Roster!N48</f>
        <v>.</v>
      </c>
      <c r="N9" s="37" t="str">
        <f>Roster!O48</f>
        <v>.</v>
      </c>
      <c r="O9" s="37" t="str">
        <f>Roster!P48</f>
        <v>.</v>
      </c>
      <c r="P9" s="37" t="str">
        <f>Roster!Q48</f>
        <v>.</v>
      </c>
      <c r="Q9" s="37" t="str">
        <f>Roster!R48</f>
        <v>.</v>
      </c>
      <c r="R9" s="37" t="str">
        <f>Roster!S48</f>
        <v>.</v>
      </c>
      <c r="S9" s="37" t="str">
        <f>Roster!T48</f>
        <v>.</v>
      </c>
      <c r="T9" s="37" t="str">
        <f>Roster!U48</f>
        <v>.</v>
      </c>
      <c r="U9" s="37" t="str">
        <f>Roster!V48</f>
        <v>.</v>
      </c>
      <c r="V9" s="37" t="str">
        <f>Roster!W48</f>
        <v>.</v>
      </c>
      <c r="W9" s="37" t="str">
        <f>Roster!X48</f>
        <v>.</v>
      </c>
      <c r="X9" s="37" t="str">
        <f>Roster!Y48</f>
        <v>.</v>
      </c>
      <c r="Y9" s="37" t="str">
        <f>Roster!Z48</f>
        <v>.</v>
      </c>
      <c r="Z9" s="37" t="str">
        <f>Roster!AA48</f>
        <v>.</v>
      </c>
      <c r="AA9" s="37" t="str">
        <f>Roster!AB48</f>
        <v>.</v>
      </c>
      <c r="AB9" s="37" t="str">
        <f>Roster!AC48</f>
        <v>.</v>
      </c>
      <c r="AC9" s="37" t="str">
        <f>Roster!AD48</f>
        <v>.</v>
      </c>
      <c r="AD9" s="37" t="str">
        <f>Roster!AE48</f>
        <v>.</v>
      </c>
      <c r="AE9" s="37" t="str">
        <f>Roster!AF48</f>
        <v>.</v>
      </c>
      <c r="AF9" s="37" t="str">
        <f>Roster!AG48</f>
        <v>.</v>
      </c>
      <c r="AG9" s="38" t="str">
        <f>Roster!AH48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Roster!D79</f>
        <v>.</v>
      </c>
      <c r="D12" s="37" t="str">
        <f>Roster!E79</f>
        <v>.</v>
      </c>
      <c r="E12" s="37" t="str">
        <f>Roster!F79</f>
        <v>.</v>
      </c>
      <c r="F12" s="37" t="str">
        <f>Roster!G79</f>
        <v>.</v>
      </c>
      <c r="G12" s="37" t="str">
        <f>Roster!H79</f>
        <v>.</v>
      </c>
      <c r="H12" s="37" t="str">
        <f>Roster!I79</f>
        <v>.</v>
      </c>
      <c r="I12" s="37" t="str">
        <f>Roster!J79</f>
        <v>.</v>
      </c>
      <c r="J12" s="37" t="str">
        <f>Roster!K79</f>
        <v>.</v>
      </c>
      <c r="K12" s="37" t="str">
        <f>Roster!L79</f>
        <v>.</v>
      </c>
      <c r="L12" s="37" t="str">
        <f>Roster!M79</f>
        <v>.</v>
      </c>
      <c r="M12" s="37" t="str">
        <f>Roster!N79</f>
        <v>.</v>
      </c>
      <c r="N12" s="37" t="str">
        <f>Roster!O79</f>
        <v>.</v>
      </c>
      <c r="O12" s="37" t="str">
        <f>Roster!P79</f>
        <v>.</v>
      </c>
      <c r="P12" s="37" t="str">
        <f>Roster!Q79</f>
        <v>.</v>
      </c>
      <c r="Q12" s="37" t="str">
        <f>Roster!R79</f>
        <v>.</v>
      </c>
      <c r="R12" s="37" t="str">
        <f>Roster!S79</f>
        <v>.</v>
      </c>
      <c r="S12" s="37" t="str">
        <f>Roster!T79</f>
        <v>.</v>
      </c>
      <c r="T12" s="37" t="str">
        <f>Roster!U79</f>
        <v>.</v>
      </c>
      <c r="U12" s="37" t="str">
        <f>Roster!V79</f>
        <v>.</v>
      </c>
      <c r="V12" s="37" t="str">
        <f>Roster!W79</f>
        <v>.</v>
      </c>
      <c r="W12" s="37" t="str">
        <f>Roster!X79</f>
        <v>.</v>
      </c>
      <c r="X12" s="37" t="str">
        <f>Roster!Y79</f>
        <v>.</v>
      </c>
      <c r="Y12" s="37" t="str">
        <f>Roster!Z79</f>
        <v>.</v>
      </c>
      <c r="Z12" s="37" t="str">
        <f>Roster!AA79</f>
        <v>.</v>
      </c>
      <c r="AA12" s="37" t="str">
        <f>Roster!AB79</f>
        <v>.</v>
      </c>
      <c r="AB12" s="37" t="str">
        <f>Roster!AC79</f>
        <v>.</v>
      </c>
      <c r="AC12" s="37" t="str">
        <f>Roster!AD79</f>
        <v>.</v>
      </c>
      <c r="AD12" s="37" t="str">
        <f>Roster!AE79</f>
        <v>.</v>
      </c>
      <c r="AE12" s="37" t="str">
        <f>Roster!AF79</f>
        <v>.</v>
      </c>
      <c r="AF12" s="38" t="str">
        <f>Roster!AG79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46" t="str">
        <f t="shared" si="3"/>
        <v>We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Roster!D110</f>
        <v>.</v>
      </c>
      <c r="D15" s="37" t="str">
        <f>Roster!E110</f>
        <v>.</v>
      </c>
      <c r="E15" s="37" t="str">
        <f>Roster!F110</f>
        <v>.</v>
      </c>
      <c r="F15" s="37" t="str">
        <f>Roster!L110</f>
        <v>.</v>
      </c>
      <c r="G15" s="37" t="str">
        <f>Roster!H110</f>
        <v>.</v>
      </c>
      <c r="H15" s="37" t="str">
        <f>Roster!I110</f>
        <v>.</v>
      </c>
      <c r="I15" s="37" t="str">
        <f>Roster!J110</f>
        <v>.</v>
      </c>
      <c r="J15" s="37" t="str">
        <f>Roster!K110</f>
        <v>.</v>
      </c>
      <c r="K15" s="37" t="str">
        <f>Roster!L110</f>
        <v>.</v>
      </c>
      <c r="L15" s="37" t="str">
        <f>Roster!M110</f>
        <v>.</v>
      </c>
      <c r="M15" s="37" t="str">
        <f>Roster!N110</f>
        <v>.</v>
      </c>
      <c r="N15" s="37" t="str">
        <f>Roster!O110</f>
        <v>.</v>
      </c>
      <c r="O15" s="37" t="str">
        <f>Roster!P110</f>
        <v>.</v>
      </c>
      <c r="P15" s="37" t="str">
        <f>Roster!Q110</f>
        <v>.</v>
      </c>
      <c r="Q15" s="37" t="str">
        <f>Roster!R110</f>
        <v>.</v>
      </c>
      <c r="R15" s="37" t="str">
        <f>Roster!S110</f>
        <v>.</v>
      </c>
      <c r="S15" s="37" t="str">
        <f>Roster!T110</f>
        <v>.</v>
      </c>
      <c r="T15" s="37" t="str">
        <f>Roster!U110</f>
        <v>.</v>
      </c>
      <c r="U15" s="37" t="str">
        <f>Roster!V110</f>
        <v>.</v>
      </c>
      <c r="V15" s="37" t="str">
        <f>Roster!W110</f>
        <v>.</v>
      </c>
      <c r="W15" s="37" t="str">
        <f>Roster!X110</f>
        <v>.</v>
      </c>
      <c r="X15" s="37" t="str">
        <f>Roster!Y110</f>
        <v>.</v>
      </c>
      <c r="Y15" s="37" t="str">
        <f>Roster!Z110</f>
        <v>.</v>
      </c>
      <c r="Z15" s="37" t="str">
        <f>Roster!AA110</f>
        <v>.</v>
      </c>
      <c r="AA15" s="37" t="str">
        <f>Roster!AB110</f>
        <v>.</v>
      </c>
      <c r="AB15" s="37" t="str">
        <f>Roster!AC110</f>
        <v>.</v>
      </c>
      <c r="AC15" s="37" t="str">
        <f>Roster!AD110</f>
        <v>.</v>
      </c>
      <c r="AD15" s="37" t="str">
        <f>Roster!AE110</f>
        <v>.</v>
      </c>
      <c r="AE15" s="37" t="str">
        <f>Roster!AF110</f>
        <v>.</v>
      </c>
      <c r="AF15" s="37" t="str">
        <f>Roster!AG110</f>
        <v>.</v>
      </c>
      <c r="AG15" s="38" t="str">
        <f>Roster!AH110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Roster!D141</f>
        <v>.</v>
      </c>
      <c r="D18" s="37" t="str">
        <f>Roster!E141</f>
        <v>.</v>
      </c>
      <c r="E18" s="37" t="str">
        <f>Roster!F141</f>
        <v>.</v>
      </c>
      <c r="F18" s="37" t="str">
        <f>Roster!G141</f>
        <v>.</v>
      </c>
      <c r="G18" s="37" t="str">
        <f>Roster!H141</f>
        <v>.</v>
      </c>
      <c r="H18" s="37" t="str">
        <f>Roster!I141</f>
        <v>.</v>
      </c>
      <c r="I18" s="37" t="str">
        <f>Roster!J141</f>
        <v>.</v>
      </c>
      <c r="J18" s="37" t="str">
        <f>Roster!K141</f>
        <v>.</v>
      </c>
      <c r="K18" s="37" t="str">
        <f>Roster!L141</f>
        <v>.</v>
      </c>
      <c r="L18" s="37" t="str">
        <f>Roster!M141</f>
        <v>.</v>
      </c>
      <c r="M18" s="37" t="str">
        <f>Roster!N141</f>
        <v>.</v>
      </c>
      <c r="N18" s="37" t="str">
        <f>Roster!O141</f>
        <v>.</v>
      </c>
      <c r="O18" s="37" t="str">
        <f>Roster!P141</f>
        <v>.</v>
      </c>
      <c r="P18" s="37" t="str">
        <f>Roster!Q141</f>
        <v>.</v>
      </c>
      <c r="Q18" s="37" t="str">
        <f>Roster!R141</f>
        <v>.</v>
      </c>
      <c r="R18" s="37" t="str">
        <f>Roster!S141</f>
        <v>.</v>
      </c>
      <c r="S18" s="37" t="str">
        <f>Roster!T141</f>
        <v>.</v>
      </c>
      <c r="T18" s="37" t="str">
        <f>Roster!U141</f>
        <v>.</v>
      </c>
      <c r="U18" s="37" t="str">
        <f>Roster!V141</f>
        <v>.</v>
      </c>
      <c r="V18" s="37" t="str">
        <f>Roster!W141</f>
        <v>.</v>
      </c>
      <c r="W18" s="37" t="str">
        <f>Roster!X141</f>
        <v>.</v>
      </c>
      <c r="X18" s="37" t="str">
        <f>Roster!Y141</f>
        <v>.</v>
      </c>
      <c r="Y18" s="37" t="str">
        <f>Roster!Z141</f>
        <v>.</v>
      </c>
      <c r="Z18" s="37" t="str">
        <f>Roster!AA141</f>
        <v>.</v>
      </c>
      <c r="AA18" s="37" t="str">
        <f>Roster!AB141</f>
        <v>.</v>
      </c>
      <c r="AB18" s="37" t="str">
        <f>Roster!AC141</f>
        <v>.</v>
      </c>
      <c r="AC18" s="37" t="str">
        <f>Roster!AD141</f>
        <v>.</v>
      </c>
      <c r="AD18" s="37" t="str">
        <f>Roster!AE141</f>
        <v>.</v>
      </c>
      <c r="AE18" s="37" t="str">
        <f>Roster!AF141</f>
        <v>.</v>
      </c>
      <c r="AF18" s="38" t="str">
        <f>Roster!AG141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Roster!D172</f>
        <v>.</v>
      </c>
      <c r="D21" s="37" t="str">
        <f>Roster!E172</f>
        <v>.</v>
      </c>
      <c r="E21" s="37" t="str">
        <f>Roster!F172</f>
        <v>.</v>
      </c>
      <c r="F21" s="37" t="str">
        <f>Roster!G172</f>
        <v>.</v>
      </c>
      <c r="G21" s="37" t="str">
        <f>Roster!H172</f>
        <v>.</v>
      </c>
      <c r="H21" s="37" t="str">
        <f>Roster!I172</f>
        <v>.</v>
      </c>
      <c r="I21" s="37" t="str">
        <f>Roster!J172</f>
        <v>.</v>
      </c>
      <c r="J21" s="37" t="str">
        <f>Roster!K172</f>
        <v>.</v>
      </c>
      <c r="K21" s="37" t="str">
        <f>Roster!L172</f>
        <v>.</v>
      </c>
      <c r="L21" s="37" t="str">
        <f>Roster!M172</f>
        <v>.</v>
      </c>
      <c r="M21" s="37" t="str">
        <f>Roster!N172</f>
        <v>.</v>
      </c>
      <c r="N21" s="37" t="str">
        <f>Roster!O172</f>
        <v>.</v>
      </c>
      <c r="O21" s="37" t="str">
        <f>Roster!P172</f>
        <v>.</v>
      </c>
      <c r="P21" s="37" t="str">
        <f>Roster!Q172</f>
        <v>.</v>
      </c>
      <c r="Q21" s="37" t="str">
        <f>Roster!R172</f>
        <v>.</v>
      </c>
      <c r="R21" s="37" t="str">
        <f>Roster!S172</f>
        <v>.</v>
      </c>
      <c r="S21" s="37" t="str">
        <f>Roster!T172</f>
        <v>.</v>
      </c>
      <c r="T21" s="37" t="str">
        <f>Roster!U172</f>
        <v>.</v>
      </c>
      <c r="U21" s="37" t="str">
        <f>Roster!V172</f>
        <v>.</v>
      </c>
      <c r="V21" s="37" t="str">
        <f>Roster!W172</f>
        <v>.</v>
      </c>
      <c r="W21" s="37" t="str">
        <f>Roster!X172</f>
        <v>.</v>
      </c>
      <c r="X21" s="37" t="str">
        <f>Roster!Y172</f>
        <v>.</v>
      </c>
      <c r="Y21" s="37" t="str">
        <f>Roster!Z172</f>
        <v>.</v>
      </c>
      <c r="Z21" s="37" t="str">
        <f>Roster!AA172</f>
        <v>.</v>
      </c>
      <c r="AA21" s="37" t="str">
        <f>Roster!AB172</f>
        <v>.</v>
      </c>
      <c r="AB21" s="37" t="str">
        <f>Roster!AC172</f>
        <v>.</v>
      </c>
      <c r="AC21" s="37" t="str">
        <f>Roster!AD172</f>
        <v>.</v>
      </c>
      <c r="AD21" s="37" t="str">
        <f>Roster!AE172</f>
        <v>.</v>
      </c>
      <c r="AE21" s="37" t="str">
        <f>Roster!AF172</f>
        <v>.</v>
      </c>
      <c r="AF21" s="37" t="str">
        <f>Roster!AG172</f>
        <v>.</v>
      </c>
      <c r="AG21" s="38" t="str">
        <f>Roster!AH172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48" t="str">
        <f>Roster!D203</f>
        <v>.</v>
      </c>
      <c r="D24" s="49" t="str">
        <f>Roster!E203</f>
        <v>.</v>
      </c>
      <c r="E24" s="40" t="str">
        <f>Roster!F203</f>
        <v>.</v>
      </c>
      <c r="F24" s="40" t="str">
        <f>Roster!G203</f>
        <v>.</v>
      </c>
      <c r="G24" s="40" t="str">
        <f>Roster!H203</f>
        <v>.</v>
      </c>
      <c r="H24" s="40" t="str">
        <f>Roster!I203</f>
        <v>.</v>
      </c>
      <c r="I24" s="40" t="str">
        <f>Roster!J203</f>
        <v>.</v>
      </c>
      <c r="J24" s="40" t="str">
        <f>Roster!K203</f>
        <v>.</v>
      </c>
      <c r="K24" s="40" t="str">
        <f>Roster!L203</f>
        <v>.</v>
      </c>
      <c r="L24" s="40" t="str">
        <f>Roster!M203</f>
        <v>.</v>
      </c>
      <c r="M24" s="40" t="str">
        <f>Roster!N203</f>
        <v>.</v>
      </c>
      <c r="N24" s="40" t="str">
        <f>Roster!O203</f>
        <v>.</v>
      </c>
      <c r="O24" s="40" t="str">
        <f>Roster!P203</f>
        <v>.</v>
      </c>
      <c r="P24" s="40" t="str">
        <f>Roster!Q203</f>
        <v>.</v>
      </c>
      <c r="Q24" s="40" t="str">
        <f>Roster!R203</f>
        <v>.</v>
      </c>
      <c r="R24" s="40" t="str">
        <f>Roster!S203</f>
        <v>.</v>
      </c>
      <c r="S24" s="40" t="str">
        <f>Roster!T203</f>
        <v>.</v>
      </c>
      <c r="T24" s="40" t="str">
        <f>Roster!U203</f>
        <v>.</v>
      </c>
      <c r="U24" s="40" t="str">
        <f>Roster!V203</f>
        <v>.</v>
      </c>
      <c r="V24" s="40" t="str">
        <f>Roster!W203</f>
        <v>.</v>
      </c>
      <c r="W24" s="40" t="str">
        <f>Roster!X203</f>
        <v>.</v>
      </c>
      <c r="X24" s="40" t="str">
        <f>Roster!Y203</f>
        <v>.</v>
      </c>
      <c r="Y24" s="40" t="str">
        <f>Roster!Z203</f>
        <v>.</v>
      </c>
      <c r="Z24" s="40" t="str">
        <f>Roster!AA203</f>
        <v>.</v>
      </c>
      <c r="AA24" s="40" t="str">
        <f>Roster!AB203</f>
        <v>.</v>
      </c>
      <c r="AB24" s="40" t="str">
        <f>Roster!AC203</f>
        <v>.</v>
      </c>
      <c r="AC24" s="40" t="str">
        <f>Roster!AD203</f>
        <v>.</v>
      </c>
      <c r="AD24" s="40" t="str">
        <f>Roster!AE203</f>
        <v>.</v>
      </c>
      <c r="AE24" s="40" t="str">
        <f>Roster!AF203</f>
        <v>.</v>
      </c>
      <c r="AF24" s="40" t="str">
        <f>Roster!AG203</f>
        <v>.</v>
      </c>
      <c r="AG24" s="41" t="str">
        <f>Roster!AH203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23"/>
      <c r="AG25" s="24"/>
    </row>
    <row r="26" spans="2:33" ht="14.4" thickTop="1" thickBot="1">
      <c r="B26" s="32" t="str">
        <f>Roster!$C$214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9">
        <v>29</v>
      </c>
      <c r="AF26" s="44"/>
    </row>
    <row r="27" spans="2:33" ht="14.4" thickTop="1" thickBot="1">
      <c r="B27" s="32" t="str">
        <f>CurYear</f>
        <v>2019</v>
      </c>
      <c r="C27" s="36" t="str">
        <f>Roster!D218</f>
        <v>.</v>
      </c>
      <c r="D27" s="37" t="str">
        <f>Roster!E218</f>
        <v>.</v>
      </c>
      <c r="E27" s="37" t="str">
        <f>Roster!F218</f>
        <v>.</v>
      </c>
      <c r="F27" s="37" t="str">
        <f>Roster!G218</f>
        <v>.</v>
      </c>
      <c r="G27" s="37" t="str">
        <f>Roster!H218</f>
        <v>.</v>
      </c>
      <c r="H27" s="37" t="str">
        <f>Roster!I218</f>
        <v>.</v>
      </c>
      <c r="I27" s="37" t="str">
        <f>Roster!J218</f>
        <v>.</v>
      </c>
      <c r="J27" s="37" t="str">
        <f>Roster!K218</f>
        <v>.</v>
      </c>
      <c r="K27" s="37" t="str">
        <f>Roster!L218</f>
        <v>.</v>
      </c>
      <c r="L27" s="37" t="str">
        <f>Roster!M218</f>
        <v>.</v>
      </c>
      <c r="M27" s="37" t="str">
        <f>Roster!N218</f>
        <v>.</v>
      </c>
      <c r="N27" s="37" t="str">
        <f>Roster!O218</f>
        <v>.</v>
      </c>
      <c r="O27" s="37" t="str">
        <f>Roster!P218</f>
        <v>.</v>
      </c>
      <c r="P27" s="37" t="str">
        <f>Roster!Q218</f>
        <v>.</v>
      </c>
      <c r="Q27" s="37" t="str">
        <f>Roster!R218</f>
        <v>.</v>
      </c>
      <c r="R27" s="37" t="str">
        <f>Roster!S218</f>
        <v>.</v>
      </c>
      <c r="S27" s="37" t="str">
        <f>Roster!T218</f>
        <v>.</v>
      </c>
      <c r="T27" s="37" t="str">
        <f>Roster!U218</f>
        <v>.</v>
      </c>
      <c r="U27" s="37" t="str">
        <f>Roster!V218</f>
        <v>.</v>
      </c>
      <c r="V27" s="37" t="str">
        <f>Roster!W218</f>
        <v>.</v>
      </c>
      <c r="W27" s="37" t="str">
        <f>Roster!X218</f>
        <v>.</v>
      </c>
      <c r="X27" s="37" t="str">
        <f>Roster!Y218</f>
        <v>.</v>
      </c>
      <c r="Y27" s="37" t="str">
        <f>Roster!Z218</f>
        <v>.</v>
      </c>
      <c r="Z27" s="37" t="str">
        <f>Roster!AA218</f>
        <v>.</v>
      </c>
      <c r="AA27" s="37" t="str">
        <f>Roster!AB218</f>
        <v>.</v>
      </c>
      <c r="AB27" s="37" t="str">
        <f>Roster!AC218</f>
        <v>.</v>
      </c>
      <c r="AC27" s="37" t="str">
        <f>Roster!AD218</f>
        <v>.</v>
      </c>
      <c r="AD27" s="43" t="str">
        <f>Roster!AE218</f>
        <v>.</v>
      </c>
      <c r="AE27" s="130">
        <f>Roster!AF218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47" t="str">
        <f t="shared" si="8"/>
        <v>Sa</v>
      </c>
      <c r="AG28" s="47" t="str">
        <f t="shared" si="8"/>
        <v>Su</v>
      </c>
    </row>
    <row r="29" spans="2:33" ht="14.4" thickTop="1" thickBot="1">
      <c r="B29" s="32" t="str">
        <f>Roster!$C$229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Roster!D233</f>
        <v>.</v>
      </c>
      <c r="D30" s="37" t="str">
        <f>Roster!E233</f>
        <v>.</v>
      </c>
      <c r="E30" s="37" t="str">
        <f>Roster!F233</f>
        <v>.</v>
      </c>
      <c r="F30" s="37" t="str">
        <f>Roster!G233</f>
        <v>.</v>
      </c>
      <c r="G30" s="37" t="str">
        <f>Roster!H233</f>
        <v>.</v>
      </c>
      <c r="H30" s="37" t="str">
        <f>Roster!I233</f>
        <v>.</v>
      </c>
      <c r="I30" s="37" t="str">
        <f>Roster!J233</f>
        <v>.</v>
      </c>
      <c r="J30" s="37" t="str">
        <f>Roster!K233</f>
        <v>.</v>
      </c>
      <c r="K30" s="37" t="str">
        <f>Roster!L233</f>
        <v>.</v>
      </c>
      <c r="L30" s="37" t="str">
        <f>Roster!M233</f>
        <v>.</v>
      </c>
      <c r="M30" s="37" t="str">
        <f>Roster!N233</f>
        <v>.</v>
      </c>
      <c r="N30" s="37" t="str">
        <f>Roster!O233</f>
        <v>.</v>
      </c>
      <c r="O30" s="37" t="str">
        <f>Roster!P233</f>
        <v>.</v>
      </c>
      <c r="P30" s="37" t="str">
        <f>Roster!Q233</f>
        <v>.</v>
      </c>
      <c r="Q30" s="37" t="str">
        <f>Roster!R233</f>
        <v>.</v>
      </c>
      <c r="R30" s="37" t="str">
        <f>Roster!S233</f>
        <v>.</v>
      </c>
      <c r="S30" s="37" t="str">
        <f>Roster!T233</f>
        <v>.</v>
      </c>
      <c r="T30" s="37" t="str">
        <f>Roster!U233</f>
        <v>.</v>
      </c>
      <c r="U30" s="37" t="str">
        <f>Roster!V233</f>
        <v>.</v>
      </c>
      <c r="V30" s="37" t="str">
        <f>Roster!W233</f>
        <v>.</v>
      </c>
      <c r="W30" s="37" t="str">
        <f>Roster!X233</f>
        <v>.</v>
      </c>
      <c r="X30" s="37" t="str">
        <f>Roster!Y233</f>
        <v>.</v>
      </c>
      <c r="Y30" s="37" t="str">
        <f>Roster!Z233</f>
        <v>.</v>
      </c>
      <c r="Z30" s="37" t="str">
        <f>Roster!AA233</f>
        <v>.</v>
      </c>
      <c r="AA30" s="37" t="str">
        <f>Roster!AB233</f>
        <v>.</v>
      </c>
      <c r="AB30" s="37" t="str">
        <f>Roster!AC233</f>
        <v>.</v>
      </c>
      <c r="AC30" s="37" t="str">
        <f>Roster!AD233</f>
        <v>.</v>
      </c>
      <c r="AD30" s="37" t="str">
        <f>Roster!AE233</f>
        <v>.</v>
      </c>
      <c r="AE30" s="37" t="str">
        <f>Roster!AF233</f>
        <v>.</v>
      </c>
      <c r="AF30" s="37" t="str">
        <f>Roster!AG233</f>
        <v>.</v>
      </c>
      <c r="AG30" s="38" t="str">
        <f>Roster!AH233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Roster!$C$244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Roster!D248</f>
        <v>.</v>
      </c>
      <c r="D33" s="37" t="str">
        <f>Roster!E248</f>
        <v>.</v>
      </c>
      <c r="E33" s="37" t="str">
        <f>Roster!F248</f>
        <v>.</v>
      </c>
      <c r="F33" s="37" t="str">
        <f>Roster!G248</f>
        <v>.</v>
      </c>
      <c r="G33" s="37" t="str">
        <f>Roster!H248</f>
        <v>.</v>
      </c>
      <c r="H33" s="37" t="str">
        <f>Roster!I248</f>
        <v>.</v>
      </c>
      <c r="I33" s="37" t="str">
        <f>Roster!J248</f>
        <v>.</v>
      </c>
      <c r="J33" s="37" t="str">
        <f>Roster!K248</f>
        <v>.</v>
      </c>
      <c r="K33" s="37" t="str">
        <f>Roster!L248</f>
        <v>.</v>
      </c>
      <c r="L33" s="37" t="str">
        <f>Roster!M248</f>
        <v>.</v>
      </c>
      <c r="M33" s="37" t="str">
        <f>Roster!N248</f>
        <v>.</v>
      </c>
      <c r="N33" s="37" t="str">
        <f>Roster!O248</f>
        <v>.</v>
      </c>
      <c r="O33" s="37" t="str">
        <f>Roster!P248</f>
        <v>.</v>
      </c>
      <c r="P33" s="37" t="str">
        <f>Roster!Q248</f>
        <v>.</v>
      </c>
      <c r="Q33" s="37" t="str">
        <f>Roster!R248</f>
        <v>.</v>
      </c>
      <c r="R33" s="37" t="str">
        <f>Roster!S248</f>
        <v>.</v>
      </c>
      <c r="S33" s="37" t="str">
        <f>Roster!T248</f>
        <v>.</v>
      </c>
      <c r="T33" s="37" t="str">
        <f>Roster!U248</f>
        <v>.</v>
      </c>
      <c r="U33" s="37" t="str">
        <f>Roster!V248</f>
        <v>.</v>
      </c>
      <c r="V33" s="37" t="str">
        <f>Roster!W248</f>
        <v>.</v>
      </c>
      <c r="W33" s="37" t="str">
        <f>Roster!X248</f>
        <v>.</v>
      </c>
      <c r="X33" s="37" t="str">
        <f>Roster!Y248</f>
        <v>.</v>
      </c>
      <c r="Y33" s="37" t="str">
        <f>Roster!Z248</f>
        <v>.</v>
      </c>
      <c r="Z33" s="37" t="str">
        <f>Roster!AA248</f>
        <v>.</v>
      </c>
      <c r="AA33" s="37" t="str">
        <f>Roster!AB248</f>
        <v>.</v>
      </c>
      <c r="AB33" s="37" t="str">
        <f>Roster!AC248</f>
        <v>.</v>
      </c>
      <c r="AC33" s="37" t="str">
        <f>Roster!AD248</f>
        <v>.</v>
      </c>
      <c r="AD33" s="37" t="str">
        <f>Roster!AE248</f>
        <v>.</v>
      </c>
      <c r="AE33" s="37" t="str">
        <f>Roster!AF248</f>
        <v>.</v>
      </c>
      <c r="AF33" s="38" t="str">
        <f>Roster!AG248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46" t="str">
        <f t="shared" si="10"/>
        <v>Fr</v>
      </c>
    </row>
    <row r="35" spans="2:33" ht="14.4" thickTop="1" thickBot="1">
      <c r="B35" s="32" t="str">
        <f>Roster!$C$259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Roster!D263</f>
        <v>.</v>
      </c>
      <c r="D36" s="37" t="str">
        <f>Roster!E263</f>
        <v>.</v>
      </c>
      <c r="E36" s="37" t="str">
        <f>Roster!F263</f>
        <v>.</v>
      </c>
      <c r="F36" s="37" t="str">
        <f>Roster!G263</f>
        <v>.</v>
      </c>
      <c r="G36" s="37" t="str">
        <f>Roster!H263</f>
        <v>.</v>
      </c>
      <c r="H36" s="37" t="str">
        <f>Roster!I263</f>
        <v>.</v>
      </c>
      <c r="I36" s="37" t="str">
        <f>Roster!J263</f>
        <v>.</v>
      </c>
      <c r="J36" s="37" t="str">
        <f>Roster!K263</f>
        <v>.</v>
      </c>
      <c r="K36" s="37" t="str">
        <f>Roster!L263</f>
        <v>.</v>
      </c>
      <c r="L36" s="37" t="str">
        <f>Roster!M263</f>
        <v>.</v>
      </c>
      <c r="M36" s="37" t="str">
        <f>Roster!N263</f>
        <v>.</v>
      </c>
      <c r="N36" s="37" t="str">
        <f>Roster!O263</f>
        <v>.</v>
      </c>
      <c r="O36" s="37" t="str">
        <f>Roster!P263</f>
        <v>.</v>
      </c>
      <c r="P36" s="37" t="str">
        <f>Roster!Q263</f>
        <v>.</v>
      </c>
      <c r="Q36" s="37" t="str">
        <f>Roster!R263</f>
        <v>.</v>
      </c>
      <c r="R36" s="37" t="str">
        <f>Roster!S263</f>
        <v>.</v>
      </c>
      <c r="S36" s="37" t="str">
        <f>Roster!T263</f>
        <v>.</v>
      </c>
      <c r="T36" s="37" t="str">
        <f>Roster!U263</f>
        <v>.</v>
      </c>
      <c r="U36" s="37" t="str">
        <f>Roster!V263</f>
        <v>.</v>
      </c>
      <c r="V36" s="37" t="str">
        <f>Roster!W263</f>
        <v>.</v>
      </c>
      <c r="W36" s="37" t="str">
        <f>Roster!X263</f>
        <v>.</v>
      </c>
      <c r="X36" s="37" t="str">
        <f>Roster!Y263</f>
        <v>.</v>
      </c>
      <c r="Y36" s="37" t="str">
        <f>Roster!Z263</f>
        <v>.</v>
      </c>
      <c r="Z36" s="37" t="str">
        <f>Roster!AA263</f>
        <v>.</v>
      </c>
      <c r="AA36" s="37" t="str">
        <f>Roster!AB263</f>
        <v>.</v>
      </c>
      <c r="AB36" s="37" t="str">
        <f>Roster!AC263</f>
        <v>.</v>
      </c>
      <c r="AC36" s="37" t="str">
        <f>Roster!AD263</f>
        <v>.</v>
      </c>
      <c r="AD36" s="37" t="str">
        <f>Roster!AE263</f>
        <v>.</v>
      </c>
      <c r="AE36" s="37" t="str">
        <f>Roster!AF263</f>
        <v>.</v>
      </c>
      <c r="AF36" s="37" t="str">
        <f>Roster!AG263</f>
        <v>.</v>
      </c>
      <c r="AG36" s="38" t="str">
        <f>Roster!AH263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Roster!C274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Roster!D278</f>
        <v>.</v>
      </c>
      <c r="D39" s="37" t="str">
        <f>Roster!E278</f>
        <v>.</v>
      </c>
      <c r="E39" s="37" t="str">
        <f>Roster!F278</f>
        <v>.</v>
      </c>
      <c r="F39" s="37" t="str">
        <f>Roster!G278</f>
        <v>.</v>
      </c>
      <c r="G39" s="37" t="str">
        <f>Roster!H278</f>
        <v>.</v>
      </c>
      <c r="H39" s="37" t="str">
        <f>Roster!I278</f>
        <v>.</v>
      </c>
      <c r="I39" s="37" t="str">
        <f>Roster!J278</f>
        <v>.</v>
      </c>
      <c r="J39" s="37" t="str">
        <f>Roster!K278</f>
        <v>.</v>
      </c>
      <c r="K39" s="37" t="str">
        <f>Roster!L278</f>
        <v>.</v>
      </c>
      <c r="L39" s="37" t="str">
        <f>Roster!M278</f>
        <v>.</v>
      </c>
      <c r="M39" s="37" t="str">
        <f>Roster!N278</f>
        <v>.</v>
      </c>
      <c r="N39" s="37" t="str">
        <f>Roster!O278</f>
        <v>.</v>
      </c>
      <c r="O39" s="37" t="str">
        <f>Roster!P278</f>
        <v>.</v>
      </c>
      <c r="P39" s="37" t="str">
        <f>Roster!Q278</f>
        <v>.</v>
      </c>
      <c r="Q39" s="37" t="str">
        <f>Roster!R278</f>
        <v>.</v>
      </c>
      <c r="R39" s="37" t="str">
        <f>Roster!S278</f>
        <v>.</v>
      </c>
      <c r="S39" s="37" t="str">
        <f>Roster!T278</f>
        <v>.</v>
      </c>
      <c r="T39" s="37" t="str">
        <f>Roster!U278</f>
        <v>.</v>
      </c>
      <c r="U39" s="37" t="str">
        <f>Roster!V278</f>
        <v>.</v>
      </c>
      <c r="V39" s="37" t="str">
        <f>Roster!W278</f>
        <v>.</v>
      </c>
      <c r="W39" s="37" t="str">
        <f>Roster!X278</f>
        <v>.</v>
      </c>
      <c r="X39" s="37" t="str">
        <f>Roster!Y278</f>
        <v>.</v>
      </c>
      <c r="Y39" s="37" t="str">
        <f>Roster!Z278</f>
        <v>.</v>
      </c>
      <c r="Z39" s="37" t="str">
        <f>Roster!AA278</f>
        <v>.</v>
      </c>
      <c r="AA39" s="37" t="str">
        <f>Roster!AB278</f>
        <v>.</v>
      </c>
      <c r="AB39" s="37" t="str">
        <f>Roster!AC278</f>
        <v>.</v>
      </c>
      <c r="AC39" s="37" t="str">
        <f>Roster!AD278</f>
        <v>.</v>
      </c>
      <c r="AD39" s="37" t="str">
        <f>Roster!AE278</f>
        <v>.</v>
      </c>
      <c r="AE39" s="37" t="str">
        <f>Roster!AF278</f>
        <v>.</v>
      </c>
      <c r="AF39" s="38" t="str">
        <f>Roster!AG278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0"/>
      <c r="I3" s="142" t="s">
        <v>25</v>
      </c>
      <c r="R3" s="142" t="str">
        <f>EmpGName05 &amp;" " &amp; EmpSName05</f>
        <v>David Castle</v>
      </c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46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Roster!D18</f>
        <v>.</v>
      </c>
      <c r="D6" s="37" t="str">
        <f>Roster!E18</f>
        <v>.</v>
      </c>
      <c r="E6" s="37" t="str">
        <f>Roster!F18</f>
        <v>.</v>
      </c>
      <c r="F6" s="37" t="str">
        <f>Roster!G18</f>
        <v>.</v>
      </c>
      <c r="G6" s="37" t="str">
        <f>Roster!H18</f>
        <v>.</v>
      </c>
      <c r="H6" s="37" t="str">
        <f>Roster!I18</f>
        <v>.</v>
      </c>
      <c r="I6" s="37" t="str">
        <f>Roster!J18</f>
        <v>.</v>
      </c>
      <c r="J6" s="37" t="str">
        <f>Roster!K18</f>
        <v>.</v>
      </c>
      <c r="K6" s="37" t="str">
        <f>Roster!L18</f>
        <v>.</v>
      </c>
      <c r="L6" s="37" t="str">
        <f>Roster!M18</f>
        <v>.</v>
      </c>
      <c r="M6" s="37" t="str">
        <f>Roster!N18</f>
        <v>.</v>
      </c>
      <c r="N6" s="37" t="str">
        <f>Roster!O18</f>
        <v>.</v>
      </c>
      <c r="O6" s="37" t="str">
        <f>Roster!P18</f>
        <v>.</v>
      </c>
      <c r="P6" s="37" t="str">
        <f>Roster!Q18</f>
        <v>.</v>
      </c>
      <c r="Q6" s="37" t="str">
        <f>Roster!R18</f>
        <v>.</v>
      </c>
      <c r="R6" s="37" t="str">
        <f>Roster!S18</f>
        <v>.</v>
      </c>
      <c r="S6" s="37" t="str">
        <f>Roster!T18</f>
        <v>.</v>
      </c>
      <c r="T6" s="37" t="str">
        <f>Roster!U18</f>
        <v>.</v>
      </c>
      <c r="U6" s="37" t="str">
        <f>Roster!V18</f>
        <v>.</v>
      </c>
      <c r="V6" s="37" t="str">
        <f>Roster!W18</f>
        <v>.</v>
      </c>
      <c r="W6" s="37" t="str">
        <f>Roster!X18</f>
        <v>.</v>
      </c>
      <c r="X6" s="37" t="str">
        <f>Roster!Y18</f>
        <v>.</v>
      </c>
      <c r="Y6" s="37" t="str">
        <f>Roster!Z18</f>
        <v>.</v>
      </c>
      <c r="Z6" s="37" t="str">
        <f>Roster!AA18</f>
        <v>.</v>
      </c>
      <c r="AA6" s="37" t="str">
        <f>Roster!AB18</f>
        <v>.</v>
      </c>
      <c r="AB6" s="37" t="str">
        <f>Roster!AC18</f>
        <v>.</v>
      </c>
      <c r="AC6" s="37" t="str">
        <f>Roster!AD18</f>
        <v>.</v>
      </c>
      <c r="AD6" s="37" t="str">
        <f>Roster!AE18</f>
        <v>.</v>
      </c>
      <c r="AE6" s="37" t="str">
        <f>Roster!AF18</f>
        <v>.</v>
      </c>
      <c r="AF6" s="37" t="str">
        <f>Roster!AG18</f>
        <v>.</v>
      </c>
      <c r="AG6" s="38" t="str">
        <f>Roster!AH18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Roster!D49</f>
        <v>.</v>
      </c>
      <c r="D9" s="39" t="str">
        <f>Roster!E49</f>
        <v>.</v>
      </c>
      <c r="E9" s="37" t="str">
        <f>Roster!F49</f>
        <v>.</v>
      </c>
      <c r="F9" s="37" t="str">
        <f>Roster!G49</f>
        <v>.</v>
      </c>
      <c r="G9" s="37" t="str">
        <f>Roster!H49</f>
        <v>.</v>
      </c>
      <c r="H9" s="37" t="str">
        <f>Roster!I49</f>
        <v>.</v>
      </c>
      <c r="I9" s="37" t="str">
        <f>Roster!J49</f>
        <v>.</v>
      </c>
      <c r="J9" s="37" t="str">
        <f>Roster!K49</f>
        <v>.</v>
      </c>
      <c r="K9" s="37" t="str">
        <f>Roster!L49</f>
        <v>.</v>
      </c>
      <c r="L9" s="37" t="str">
        <f>Roster!M49</f>
        <v>.</v>
      </c>
      <c r="M9" s="37" t="str">
        <f>Roster!N49</f>
        <v>.</v>
      </c>
      <c r="N9" s="37" t="str">
        <f>Roster!O49</f>
        <v>.</v>
      </c>
      <c r="O9" s="37" t="str">
        <f>Roster!P49</f>
        <v>.</v>
      </c>
      <c r="P9" s="37" t="str">
        <f>Roster!Q49</f>
        <v>.</v>
      </c>
      <c r="Q9" s="37" t="str">
        <f>Roster!R49</f>
        <v>.</v>
      </c>
      <c r="R9" s="37" t="str">
        <f>Roster!S49</f>
        <v>.</v>
      </c>
      <c r="S9" s="37" t="str">
        <f>Roster!T49</f>
        <v>.</v>
      </c>
      <c r="T9" s="37" t="str">
        <f>Roster!U49</f>
        <v>.</v>
      </c>
      <c r="U9" s="37" t="str">
        <f>Roster!V49</f>
        <v>.</v>
      </c>
      <c r="V9" s="37" t="str">
        <f>Roster!W49</f>
        <v>.</v>
      </c>
      <c r="W9" s="37" t="str">
        <f>Roster!X49</f>
        <v>.</v>
      </c>
      <c r="X9" s="37" t="str">
        <f>Roster!Y49</f>
        <v>.</v>
      </c>
      <c r="Y9" s="37" t="str">
        <f>Roster!Z49</f>
        <v>.</v>
      </c>
      <c r="Z9" s="37" t="str">
        <f>Roster!AA49</f>
        <v>.</v>
      </c>
      <c r="AA9" s="37" t="str">
        <f>Roster!AB49</f>
        <v>.</v>
      </c>
      <c r="AB9" s="37" t="str">
        <f>Roster!AC49</f>
        <v>.</v>
      </c>
      <c r="AC9" s="37" t="str">
        <f>Roster!AD49</f>
        <v>.</v>
      </c>
      <c r="AD9" s="37" t="str">
        <f>Roster!AE49</f>
        <v>.</v>
      </c>
      <c r="AE9" s="37" t="str">
        <f>Roster!AF49</f>
        <v>.</v>
      </c>
      <c r="AF9" s="37" t="str">
        <f>Roster!AG49</f>
        <v>.</v>
      </c>
      <c r="AG9" s="38" t="str">
        <f>Roster!AH49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Roster!D80</f>
        <v>.</v>
      </c>
      <c r="D12" s="37" t="str">
        <f>Roster!E80</f>
        <v>.</v>
      </c>
      <c r="E12" s="37" t="str">
        <f>Roster!F80</f>
        <v>.</v>
      </c>
      <c r="F12" s="37" t="str">
        <f>Roster!G80</f>
        <v>.</v>
      </c>
      <c r="G12" s="37" t="str">
        <f>Roster!H80</f>
        <v>.</v>
      </c>
      <c r="H12" s="37" t="str">
        <f>Roster!I80</f>
        <v>.</v>
      </c>
      <c r="I12" s="37" t="str">
        <f>Roster!J80</f>
        <v>.</v>
      </c>
      <c r="J12" s="37" t="str">
        <f>Roster!K80</f>
        <v>.</v>
      </c>
      <c r="K12" s="37" t="str">
        <f>Roster!L80</f>
        <v>.</v>
      </c>
      <c r="L12" s="37" t="str">
        <f>Roster!M80</f>
        <v>.</v>
      </c>
      <c r="M12" s="37" t="str">
        <f>Roster!N80</f>
        <v>.</v>
      </c>
      <c r="N12" s="37" t="str">
        <f>Roster!O80</f>
        <v>.</v>
      </c>
      <c r="O12" s="37" t="str">
        <f>Roster!P80</f>
        <v>.</v>
      </c>
      <c r="P12" s="37" t="str">
        <f>Roster!Q80</f>
        <v>.</v>
      </c>
      <c r="Q12" s="37" t="str">
        <f>Roster!R80</f>
        <v>.</v>
      </c>
      <c r="R12" s="37" t="str">
        <f>Roster!S80</f>
        <v>.</v>
      </c>
      <c r="S12" s="37" t="str">
        <f>Roster!T80</f>
        <v>.</v>
      </c>
      <c r="T12" s="37" t="str">
        <f>Roster!U80</f>
        <v>.</v>
      </c>
      <c r="U12" s="37" t="str">
        <f>Roster!V80</f>
        <v>.</v>
      </c>
      <c r="V12" s="37" t="str">
        <f>Roster!W80</f>
        <v>.</v>
      </c>
      <c r="W12" s="37" t="str">
        <f>Roster!X80</f>
        <v>.</v>
      </c>
      <c r="X12" s="37" t="str">
        <f>Roster!Y80</f>
        <v>.</v>
      </c>
      <c r="Y12" s="37" t="str">
        <f>Roster!Z80</f>
        <v>.</v>
      </c>
      <c r="Z12" s="37" t="str">
        <f>Roster!AA80</f>
        <v>.</v>
      </c>
      <c r="AA12" s="37" t="str">
        <f>Roster!AB80</f>
        <v>.</v>
      </c>
      <c r="AB12" s="37" t="str">
        <f>Roster!AC80</f>
        <v>.</v>
      </c>
      <c r="AC12" s="37" t="str">
        <f>Roster!AD80</f>
        <v>.</v>
      </c>
      <c r="AD12" s="37" t="str">
        <f>Roster!AE80</f>
        <v>.</v>
      </c>
      <c r="AE12" s="37" t="str">
        <f>Roster!AF80</f>
        <v>.</v>
      </c>
      <c r="AF12" s="38" t="str">
        <f>Roster!AG80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46" t="str">
        <f t="shared" si="3"/>
        <v>We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Roster!D111</f>
        <v>.</v>
      </c>
      <c r="D15" s="37" t="str">
        <f>Roster!E111</f>
        <v>.</v>
      </c>
      <c r="E15" s="37" t="str">
        <f>Roster!F111</f>
        <v>.</v>
      </c>
      <c r="F15" s="37" t="str">
        <f>Roster!G111</f>
        <v>.</v>
      </c>
      <c r="G15" s="37" t="str">
        <f>Roster!H111</f>
        <v>.</v>
      </c>
      <c r="H15" s="37" t="str">
        <f>Roster!I111</f>
        <v>.</v>
      </c>
      <c r="I15" s="37" t="str">
        <f>Roster!J111</f>
        <v>.</v>
      </c>
      <c r="J15" s="37" t="str">
        <f>Roster!K111</f>
        <v>.</v>
      </c>
      <c r="K15" s="37" t="str">
        <f>Roster!L111</f>
        <v>.</v>
      </c>
      <c r="L15" s="37" t="str">
        <f>Roster!M111</f>
        <v>.</v>
      </c>
      <c r="M15" s="37" t="str">
        <f>Roster!N111</f>
        <v>.</v>
      </c>
      <c r="N15" s="37" t="str">
        <f>Roster!O111</f>
        <v>.</v>
      </c>
      <c r="O15" s="37" t="str">
        <f>Roster!P111</f>
        <v>.</v>
      </c>
      <c r="P15" s="37" t="str">
        <f>Roster!Q111</f>
        <v>.</v>
      </c>
      <c r="Q15" s="37" t="str">
        <f>Roster!R111</f>
        <v>.</v>
      </c>
      <c r="R15" s="37" t="str">
        <f>Roster!S111</f>
        <v>.</v>
      </c>
      <c r="S15" s="37" t="str">
        <f>Roster!T111</f>
        <v>.</v>
      </c>
      <c r="T15" s="37" t="str">
        <f>Roster!U111</f>
        <v>.</v>
      </c>
      <c r="U15" s="37" t="str">
        <f>Roster!V111</f>
        <v>.</v>
      </c>
      <c r="V15" s="37" t="str">
        <f>Roster!W111</f>
        <v>.</v>
      </c>
      <c r="W15" s="37" t="str">
        <f>Roster!X111</f>
        <v>.</v>
      </c>
      <c r="X15" s="37" t="str">
        <f>Roster!Y111</f>
        <v>.</v>
      </c>
      <c r="Y15" s="37" t="str">
        <f>Roster!Z111</f>
        <v>.</v>
      </c>
      <c r="Z15" s="37" t="str">
        <f>Roster!AA111</f>
        <v>.</v>
      </c>
      <c r="AA15" s="37" t="str">
        <f>Roster!AB111</f>
        <v>.</v>
      </c>
      <c r="AB15" s="37" t="str">
        <f>Roster!AC111</f>
        <v>.</v>
      </c>
      <c r="AC15" s="37" t="str">
        <f>Roster!AD111</f>
        <v>.</v>
      </c>
      <c r="AD15" s="37" t="str">
        <f>Roster!AE111</f>
        <v>.</v>
      </c>
      <c r="AE15" s="37" t="str">
        <f>Roster!AF111</f>
        <v>.</v>
      </c>
      <c r="AF15" s="37" t="str">
        <f>Roster!AG111</f>
        <v>.</v>
      </c>
      <c r="AG15" s="38" t="str">
        <f>Roster!AH111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Roster!D142</f>
        <v>.</v>
      </c>
      <c r="D18" s="37" t="str">
        <f>Roster!E142</f>
        <v>.</v>
      </c>
      <c r="E18" s="37" t="str">
        <f>Roster!F142</f>
        <v>.</v>
      </c>
      <c r="F18" s="37" t="str">
        <f>Roster!G142</f>
        <v>.</v>
      </c>
      <c r="G18" s="37" t="str">
        <f>Roster!H142</f>
        <v>.</v>
      </c>
      <c r="H18" s="37" t="str">
        <f>Roster!I142</f>
        <v>.</v>
      </c>
      <c r="I18" s="37" t="str">
        <f>Roster!J142</f>
        <v>.</v>
      </c>
      <c r="J18" s="37" t="str">
        <f>Roster!K142</f>
        <v>.</v>
      </c>
      <c r="K18" s="37" t="str">
        <f>Roster!L142</f>
        <v>.</v>
      </c>
      <c r="L18" s="37" t="str">
        <f>Roster!M142</f>
        <v>.</v>
      </c>
      <c r="M18" s="37" t="str">
        <f>Roster!N142</f>
        <v>.</v>
      </c>
      <c r="N18" s="37" t="str">
        <f>Roster!O142</f>
        <v>.</v>
      </c>
      <c r="O18" s="37" t="str">
        <f>Roster!P142</f>
        <v>.</v>
      </c>
      <c r="P18" s="37" t="str">
        <f>Roster!Q142</f>
        <v>.</v>
      </c>
      <c r="Q18" s="37" t="str">
        <f>Roster!R142</f>
        <v>.</v>
      </c>
      <c r="R18" s="37" t="str">
        <f>Roster!S142</f>
        <v>.</v>
      </c>
      <c r="S18" s="37" t="str">
        <f>Roster!T142</f>
        <v>.</v>
      </c>
      <c r="T18" s="37" t="str">
        <f>Roster!U142</f>
        <v>.</v>
      </c>
      <c r="U18" s="37" t="str">
        <f>Roster!V142</f>
        <v>.</v>
      </c>
      <c r="V18" s="37" t="str">
        <f>Roster!W142</f>
        <v>.</v>
      </c>
      <c r="W18" s="37" t="str">
        <f>Roster!X142</f>
        <v>.</v>
      </c>
      <c r="X18" s="37" t="str">
        <f>Roster!Y142</f>
        <v>.</v>
      </c>
      <c r="Y18" s="37" t="str">
        <f>Roster!Z142</f>
        <v>.</v>
      </c>
      <c r="Z18" s="37" t="str">
        <f>Roster!AA142</f>
        <v>.</v>
      </c>
      <c r="AA18" s="37" t="str">
        <f>Roster!AB142</f>
        <v>.</v>
      </c>
      <c r="AB18" s="37" t="str">
        <f>Roster!AC142</f>
        <v>.</v>
      </c>
      <c r="AC18" s="37" t="str">
        <f>Roster!AD142</f>
        <v>.</v>
      </c>
      <c r="AD18" s="37" t="str">
        <f>Roster!AE142</f>
        <v>.</v>
      </c>
      <c r="AE18" s="37" t="str">
        <f>Roster!AF142</f>
        <v>.</v>
      </c>
      <c r="AF18" s="38" t="str">
        <f>Roster!AG142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Roster!D173</f>
        <v>.</v>
      </c>
      <c r="D21" s="37" t="str">
        <f>Roster!E173</f>
        <v>.</v>
      </c>
      <c r="E21" s="37" t="str">
        <f>Roster!F173</f>
        <v>.</v>
      </c>
      <c r="F21" s="37" t="str">
        <f>Roster!G173</f>
        <v>.</v>
      </c>
      <c r="G21" s="37" t="str">
        <f>Roster!H173</f>
        <v>.</v>
      </c>
      <c r="H21" s="37" t="str">
        <f>Roster!I173</f>
        <v>.</v>
      </c>
      <c r="I21" s="37" t="str">
        <f>Roster!J173</f>
        <v>.</v>
      </c>
      <c r="J21" s="37" t="str">
        <f>Roster!K173</f>
        <v>.</v>
      </c>
      <c r="K21" s="37" t="str">
        <f>Roster!L173</f>
        <v>.</v>
      </c>
      <c r="L21" s="37" t="str">
        <f>Roster!M173</f>
        <v>.</v>
      </c>
      <c r="M21" s="37" t="str">
        <f>Roster!N173</f>
        <v>.</v>
      </c>
      <c r="N21" s="37" t="str">
        <f>Roster!O173</f>
        <v>.</v>
      </c>
      <c r="O21" s="37" t="str">
        <f>Roster!P173</f>
        <v>.</v>
      </c>
      <c r="P21" s="37" t="str">
        <f>Roster!Q173</f>
        <v>.</v>
      </c>
      <c r="Q21" s="37" t="str">
        <f>Roster!R173</f>
        <v>.</v>
      </c>
      <c r="R21" s="37" t="str">
        <f>Roster!S173</f>
        <v>.</v>
      </c>
      <c r="S21" s="37" t="str">
        <f>Roster!T173</f>
        <v>.</v>
      </c>
      <c r="T21" s="37" t="str">
        <f>Roster!U173</f>
        <v>.</v>
      </c>
      <c r="U21" s="37" t="str">
        <f>Roster!V173</f>
        <v>.</v>
      </c>
      <c r="V21" s="37" t="str">
        <f>Roster!W173</f>
        <v>.</v>
      </c>
      <c r="W21" s="37" t="str">
        <f>Roster!X173</f>
        <v>.</v>
      </c>
      <c r="X21" s="37" t="str">
        <f>Roster!Y173</f>
        <v>.</v>
      </c>
      <c r="Y21" s="37" t="str">
        <f>Roster!Z173</f>
        <v>.</v>
      </c>
      <c r="Z21" s="37" t="str">
        <f>Roster!AA173</f>
        <v>.</v>
      </c>
      <c r="AA21" s="37" t="str">
        <f>Roster!AB173</f>
        <v>.</v>
      </c>
      <c r="AB21" s="37" t="str">
        <f>Roster!AC173</f>
        <v>.</v>
      </c>
      <c r="AC21" s="37" t="str">
        <f>Roster!AD173</f>
        <v>.</v>
      </c>
      <c r="AD21" s="37" t="str">
        <f>Roster!AE173</f>
        <v>.</v>
      </c>
      <c r="AE21" s="37" t="str">
        <f>Roster!AF173</f>
        <v>.</v>
      </c>
      <c r="AF21" s="37" t="str">
        <f>Roster!AG173</f>
        <v>.</v>
      </c>
      <c r="AG21" s="38" t="str">
        <f>Roster!AH173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48" t="str">
        <f>Roster!D204</f>
        <v>.</v>
      </c>
      <c r="D24" s="49" t="str">
        <f>Roster!E204</f>
        <v>.</v>
      </c>
      <c r="E24" s="40" t="str">
        <f>Roster!F204</f>
        <v>.</v>
      </c>
      <c r="F24" s="40" t="str">
        <f>Roster!G204</f>
        <v>.</v>
      </c>
      <c r="G24" s="40" t="str">
        <f>Roster!H204</f>
        <v>.</v>
      </c>
      <c r="H24" s="40" t="str">
        <f>Roster!I204</f>
        <v>.</v>
      </c>
      <c r="I24" s="40" t="str">
        <f>Roster!J204</f>
        <v>.</v>
      </c>
      <c r="J24" s="40" t="str">
        <f>Roster!K204</f>
        <v>.</v>
      </c>
      <c r="K24" s="40" t="str">
        <f>Roster!L204</f>
        <v>.</v>
      </c>
      <c r="L24" s="40" t="str">
        <f>Roster!M204</f>
        <v>.</v>
      </c>
      <c r="M24" s="40" t="str">
        <f>Roster!N204</f>
        <v>.</v>
      </c>
      <c r="N24" s="40" t="str">
        <f>Roster!O204</f>
        <v>.</v>
      </c>
      <c r="O24" s="40" t="str">
        <f>Roster!P204</f>
        <v>.</v>
      </c>
      <c r="P24" s="40" t="str">
        <f>Roster!Q204</f>
        <v>.</v>
      </c>
      <c r="Q24" s="40" t="str">
        <f>Roster!R204</f>
        <v>.</v>
      </c>
      <c r="R24" s="40" t="str">
        <f>Roster!S204</f>
        <v>.</v>
      </c>
      <c r="S24" s="40" t="str">
        <f>Roster!T204</f>
        <v>.</v>
      </c>
      <c r="T24" s="40" t="str">
        <f>Roster!U204</f>
        <v>.</v>
      </c>
      <c r="U24" s="40" t="str">
        <f>Roster!V204</f>
        <v>.</v>
      </c>
      <c r="V24" s="40" t="str">
        <f>Roster!W204</f>
        <v>.</v>
      </c>
      <c r="W24" s="40" t="str">
        <f>Roster!X204</f>
        <v>.</v>
      </c>
      <c r="X24" s="40" t="str">
        <f>Roster!Y204</f>
        <v>.</v>
      </c>
      <c r="Y24" s="40" t="str">
        <f>Roster!Z204</f>
        <v>.</v>
      </c>
      <c r="Z24" s="40" t="str">
        <f>Roster!AA204</f>
        <v>.</v>
      </c>
      <c r="AA24" s="40" t="str">
        <f>Roster!AB204</f>
        <v>.</v>
      </c>
      <c r="AB24" s="40" t="str">
        <f>Roster!AC204</f>
        <v>.</v>
      </c>
      <c r="AC24" s="40" t="str">
        <f>Roster!AD204</f>
        <v>.</v>
      </c>
      <c r="AD24" s="40" t="str">
        <f>Roster!AE204</f>
        <v>.</v>
      </c>
      <c r="AE24" s="40" t="str">
        <f>Roster!AF204</f>
        <v>.</v>
      </c>
      <c r="AF24" s="40" t="str">
        <f>Roster!AG204</f>
        <v>.</v>
      </c>
      <c r="AG24" s="41" t="str">
        <f>Roster!AH204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23"/>
      <c r="AG25" s="24"/>
    </row>
    <row r="26" spans="2:33" ht="14.4" thickTop="1" thickBot="1">
      <c r="B26" s="32" t="str">
        <f>Roster!$C$214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9">
        <v>29</v>
      </c>
      <c r="AF26" s="44"/>
    </row>
    <row r="27" spans="2:33" ht="14.4" thickTop="1" thickBot="1">
      <c r="B27" s="32" t="str">
        <f>CurYear</f>
        <v>2019</v>
      </c>
      <c r="C27" s="36" t="str">
        <f>Roster!D219</f>
        <v>.</v>
      </c>
      <c r="D27" s="37"/>
      <c r="E27" s="37" t="str">
        <f>Roster!F219</f>
        <v>.</v>
      </c>
      <c r="F27" s="37" t="str">
        <f>Roster!G219</f>
        <v>.</v>
      </c>
      <c r="G27" s="37" t="str">
        <f>Roster!H219</f>
        <v>.</v>
      </c>
      <c r="H27" s="37" t="str">
        <f>Roster!I219</f>
        <v>.</v>
      </c>
      <c r="I27" s="37" t="str">
        <f>Roster!J219</f>
        <v>.</v>
      </c>
      <c r="J27" s="37" t="str">
        <f>Roster!K219</f>
        <v>.</v>
      </c>
      <c r="K27" s="37" t="str">
        <f>Roster!L219</f>
        <v>.</v>
      </c>
      <c r="L27" s="37" t="str">
        <f>Roster!M219</f>
        <v>.</v>
      </c>
      <c r="M27" s="37" t="str">
        <f>Roster!N219</f>
        <v>.</v>
      </c>
      <c r="N27" s="37" t="str">
        <f>Roster!O219</f>
        <v>.</v>
      </c>
      <c r="O27" s="37" t="str">
        <f>Roster!P219</f>
        <v>.</v>
      </c>
      <c r="P27" s="37" t="str">
        <f>Roster!Q219</f>
        <v>.</v>
      </c>
      <c r="Q27" s="37" t="str">
        <f>Roster!R219</f>
        <v>.</v>
      </c>
      <c r="R27" s="37" t="str">
        <f>Roster!S219</f>
        <v>.</v>
      </c>
      <c r="S27" s="37" t="str">
        <f>Roster!T219</f>
        <v>.</v>
      </c>
      <c r="T27" s="37" t="str">
        <f>Roster!U219</f>
        <v>.</v>
      </c>
      <c r="U27" s="37" t="str">
        <f>Roster!V219</f>
        <v>.</v>
      </c>
      <c r="V27" s="37" t="str">
        <f>Roster!W219</f>
        <v>.</v>
      </c>
      <c r="W27" s="37" t="str">
        <f>Roster!X219</f>
        <v>.</v>
      </c>
      <c r="X27" s="37" t="str">
        <f>Roster!Y219</f>
        <v>.</v>
      </c>
      <c r="Y27" s="37" t="str">
        <f>Roster!Z219</f>
        <v>.</v>
      </c>
      <c r="Z27" s="37" t="str">
        <f>Roster!AA219</f>
        <v>.</v>
      </c>
      <c r="AA27" s="37" t="str">
        <f>Roster!AB219</f>
        <v>.</v>
      </c>
      <c r="AB27" s="37" t="str">
        <f>Roster!AC219</f>
        <v>.</v>
      </c>
      <c r="AC27" s="37" t="str">
        <f>Roster!AD219</f>
        <v>.</v>
      </c>
      <c r="AD27" s="43" t="str">
        <f>Roster!AE219</f>
        <v>.</v>
      </c>
      <c r="AE27" s="130">
        <f>Roster!AF219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47" t="str">
        <f t="shared" si="8"/>
        <v>Sa</v>
      </c>
      <c r="AG28" s="47" t="str">
        <f t="shared" si="8"/>
        <v>Su</v>
      </c>
    </row>
    <row r="29" spans="2:33" ht="14.4" thickTop="1" thickBot="1">
      <c r="B29" s="32" t="str">
        <f>Roster!$C$229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Roster!D234</f>
        <v>.</v>
      </c>
      <c r="D30" s="37" t="str">
        <f>Roster!E234</f>
        <v>.</v>
      </c>
      <c r="E30" s="37" t="str">
        <f>Roster!F234</f>
        <v>.</v>
      </c>
      <c r="F30" s="37" t="str">
        <f>Roster!G234</f>
        <v>.</v>
      </c>
      <c r="G30" s="37" t="str">
        <f>Roster!H234</f>
        <v>.</v>
      </c>
      <c r="H30" s="37" t="str">
        <f>Roster!I234</f>
        <v>.</v>
      </c>
      <c r="I30" s="37" t="str">
        <f>Roster!J234</f>
        <v>.</v>
      </c>
      <c r="J30" s="37" t="str">
        <f>Roster!K234</f>
        <v>.</v>
      </c>
      <c r="K30" s="37" t="str">
        <f>Roster!L234</f>
        <v>.</v>
      </c>
      <c r="L30" s="37" t="str">
        <f>Roster!M234</f>
        <v>.</v>
      </c>
      <c r="M30" s="37" t="str">
        <f>Roster!N234</f>
        <v>.</v>
      </c>
      <c r="N30" s="37" t="str">
        <f>Roster!O234</f>
        <v>.</v>
      </c>
      <c r="O30" s="37" t="str">
        <f>Roster!P234</f>
        <v>.</v>
      </c>
      <c r="P30" s="37" t="str">
        <f>Roster!Q234</f>
        <v>.</v>
      </c>
      <c r="Q30" s="37" t="str">
        <f>Roster!R234</f>
        <v>.</v>
      </c>
      <c r="R30" s="37" t="str">
        <f>Roster!S234</f>
        <v>.</v>
      </c>
      <c r="S30" s="37" t="str">
        <f>Roster!T234</f>
        <v>.</v>
      </c>
      <c r="T30" s="37" t="str">
        <f>Roster!U234</f>
        <v>.</v>
      </c>
      <c r="U30" s="37" t="str">
        <f>Roster!V234</f>
        <v>.</v>
      </c>
      <c r="V30" s="37" t="str">
        <f>Roster!W234</f>
        <v>.</v>
      </c>
      <c r="W30" s="37" t="str">
        <f>Roster!X234</f>
        <v>.</v>
      </c>
      <c r="X30" s="37" t="str">
        <f>Roster!Y234</f>
        <v>.</v>
      </c>
      <c r="Y30" s="37" t="str">
        <f>Roster!Z234</f>
        <v>.</v>
      </c>
      <c r="Z30" s="37" t="str">
        <f>Roster!AA234</f>
        <v>.</v>
      </c>
      <c r="AA30" s="37" t="str">
        <f>Roster!AB234</f>
        <v>.</v>
      </c>
      <c r="AB30" s="37" t="str">
        <f>Roster!AC234</f>
        <v>.</v>
      </c>
      <c r="AC30" s="37" t="str">
        <f>Roster!AD234</f>
        <v>.</v>
      </c>
      <c r="AD30" s="37" t="str">
        <f>Roster!AE234</f>
        <v>.</v>
      </c>
      <c r="AE30" s="37" t="str">
        <f>Roster!AF234</f>
        <v>.</v>
      </c>
      <c r="AF30" s="37" t="str">
        <f>Roster!AG234</f>
        <v>.</v>
      </c>
      <c r="AG30" s="38" t="str">
        <f>Roster!AH234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Roster!$C$244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Roster!D249</f>
        <v>.</v>
      </c>
      <c r="D33" s="37" t="str">
        <f>Roster!E249</f>
        <v>.</v>
      </c>
      <c r="E33" s="37" t="str">
        <f>Roster!F249</f>
        <v>.</v>
      </c>
      <c r="F33" s="37" t="str">
        <f>Roster!G249</f>
        <v>.</v>
      </c>
      <c r="G33" s="37" t="str">
        <f>Roster!H249</f>
        <v>.</v>
      </c>
      <c r="H33" s="37" t="str">
        <f>Roster!I249</f>
        <v>.</v>
      </c>
      <c r="I33" s="37" t="str">
        <f>Roster!J249</f>
        <v>.</v>
      </c>
      <c r="J33" s="37" t="str">
        <f>Roster!K249</f>
        <v>.</v>
      </c>
      <c r="K33" s="37" t="str">
        <f>Roster!L249</f>
        <v>.</v>
      </c>
      <c r="L33" s="37" t="str">
        <f>Roster!M249</f>
        <v>.</v>
      </c>
      <c r="M33" s="37" t="str">
        <f>Roster!N249</f>
        <v>.</v>
      </c>
      <c r="N33" s="37" t="str">
        <f>Roster!O249</f>
        <v>.</v>
      </c>
      <c r="O33" s="37" t="str">
        <f>Roster!P249</f>
        <v>.</v>
      </c>
      <c r="P33" s="37" t="str">
        <f>Roster!Q249</f>
        <v>.</v>
      </c>
      <c r="Q33" s="37" t="str">
        <f>Roster!R249</f>
        <v>.</v>
      </c>
      <c r="R33" s="37" t="str">
        <f>Roster!S249</f>
        <v>.</v>
      </c>
      <c r="S33" s="37" t="str">
        <f>Roster!T249</f>
        <v>.</v>
      </c>
      <c r="T33" s="37" t="str">
        <f>Roster!U249</f>
        <v>.</v>
      </c>
      <c r="U33" s="37" t="str">
        <f>Roster!V249</f>
        <v>.</v>
      </c>
      <c r="V33" s="37" t="str">
        <f>Roster!W249</f>
        <v>.</v>
      </c>
      <c r="W33" s="37" t="str">
        <f>Roster!X249</f>
        <v>.</v>
      </c>
      <c r="X33" s="37" t="str">
        <f>Roster!Y249</f>
        <v>.</v>
      </c>
      <c r="Y33" s="37" t="str">
        <f>Roster!Z249</f>
        <v>.</v>
      </c>
      <c r="Z33" s="37" t="str">
        <f>Roster!AA249</f>
        <v>.</v>
      </c>
      <c r="AA33" s="37" t="str">
        <f>Roster!AB249</f>
        <v>.</v>
      </c>
      <c r="AB33" s="37" t="str">
        <f>Roster!AC249</f>
        <v>.</v>
      </c>
      <c r="AC33" s="37" t="str">
        <f>Roster!AD249</f>
        <v>.</v>
      </c>
      <c r="AD33" s="37" t="str">
        <f>Roster!AE249</f>
        <v>.</v>
      </c>
      <c r="AE33" s="37" t="str">
        <f>Roster!AF249</f>
        <v>.</v>
      </c>
      <c r="AF33" s="38" t="str">
        <f>Roster!AG249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46" t="str">
        <f t="shared" si="10"/>
        <v>Fr</v>
      </c>
    </row>
    <row r="35" spans="2:33" ht="14.4" thickTop="1" thickBot="1">
      <c r="B35" s="32" t="str">
        <f>Roster!$C$259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Roster!D264</f>
        <v>.</v>
      </c>
      <c r="D36" s="37" t="str">
        <f>Roster!E264</f>
        <v>.</v>
      </c>
      <c r="E36" s="37" t="str">
        <f>Roster!F264</f>
        <v>.</v>
      </c>
      <c r="F36" s="37" t="str">
        <f>Roster!G264</f>
        <v>.</v>
      </c>
      <c r="G36" s="37" t="str">
        <f>Roster!H264</f>
        <v>.</v>
      </c>
      <c r="H36" s="37" t="str">
        <f>Roster!I264</f>
        <v>.</v>
      </c>
      <c r="I36" s="37" t="str">
        <f>Roster!J264</f>
        <v>.</v>
      </c>
      <c r="J36" s="37" t="str">
        <f>Roster!K264</f>
        <v>.</v>
      </c>
      <c r="K36" s="37" t="str">
        <f>Roster!L264</f>
        <v>.</v>
      </c>
      <c r="L36" s="37" t="str">
        <f>Roster!M264</f>
        <v>.</v>
      </c>
      <c r="M36" s="37" t="str">
        <f>Roster!N264</f>
        <v>.</v>
      </c>
      <c r="N36" s="37" t="str">
        <f>Roster!O264</f>
        <v>.</v>
      </c>
      <c r="O36" s="37" t="str">
        <f>Roster!P264</f>
        <v>.</v>
      </c>
      <c r="P36" s="37" t="str">
        <f>Roster!Q264</f>
        <v>.</v>
      </c>
      <c r="Q36" s="37" t="str">
        <f>Roster!R264</f>
        <v>.</v>
      </c>
      <c r="R36" s="37" t="str">
        <f>Roster!S264</f>
        <v>.</v>
      </c>
      <c r="S36" s="37" t="str">
        <f>Roster!T264</f>
        <v>.</v>
      </c>
      <c r="T36" s="37" t="str">
        <f>Roster!U264</f>
        <v>.</v>
      </c>
      <c r="U36" s="37" t="str">
        <f>Roster!V264</f>
        <v>.</v>
      </c>
      <c r="V36" s="37" t="str">
        <f>Roster!W264</f>
        <v>.</v>
      </c>
      <c r="W36" s="37" t="str">
        <f>Roster!X264</f>
        <v>.</v>
      </c>
      <c r="X36" s="37" t="str">
        <f>Roster!Y264</f>
        <v>.</v>
      </c>
      <c r="Y36" s="37" t="str">
        <f>Roster!Z264</f>
        <v>.</v>
      </c>
      <c r="Z36" s="37" t="str">
        <f>Roster!AA264</f>
        <v>.</v>
      </c>
      <c r="AA36" s="37" t="str">
        <f>Roster!AB264</f>
        <v>.</v>
      </c>
      <c r="AB36" s="37" t="str">
        <f>Roster!AC264</f>
        <v>.</v>
      </c>
      <c r="AC36" s="37" t="str">
        <f>Roster!AD264</f>
        <v>.</v>
      </c>
      <c r="AD36" s="37" t="str">
        <f>Roster!AE264</f>
        <v>.</v>
      </c>
      <c r="AE36" s="37" t="str">
        <f>Roster!AF264</f>
        <v>.</v>
      </c>
      <c r="AF36" s="37" t="str">
        <f>Roster!AG264</f>
        <v>.</v>
      </c>
      <c r="AG36" s="38" t="str">
        <f>Roster!AH264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Roster!C274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Roster!D279</f>
        <v>.</v>
      </c>
      <c r="D39" s="37" t="str">
        <f>Roster!E279</f>
        <v>.</v>
      </c>
      <c r="E39" s="37" t="str">
        <f>Roster!F279</f>
        <v>.</v>
      </c>
      <c r="F39" s="37" t="str">
        <f>Roster!G279</f>
        <v>.</v>
      </c>
      <c r="G39" s="37" t="str">
        <f>Roster!H279</f>
        <v>.</v>
      </c>
      <c r="H39" s="37" t="str">
        <f>Roster!I279</f>
        <v>.</v>
      </c>
      <c r="I39" s="37" t="str">
        <f>Roster!J279</f>
        <v>.</v>
      </c>
      <c r="J39" s="37" t="str">
        <f>Roster!K279</f>
        <v>.</v>
      </c>
      <c r="K39" s="37" t="str">
        <f>Roster!L279</f>
        <v>.</v>
      </c>
      <c r="L39" s="37" t="str">
        <f>Roster!M279</f>
        <v>.</v>
      </c>
      <c r="M39" s="37" t="str">
        <f>Roster!N279</f>
        <v>.</v>
      </c>
      <c r="N39" s="37" t="str">
        <f>Roster!O279</f>
        <v>.</v>
      </c>
      <c r="O39" s="37" t="str">
        <f>Roster!P279</f>
        <v>.</v>
      </c>
      <c r="P39" s="37" t="str">
        <f>Roster!Q279</f>
        <v>.</v>
      </c>
      <c r="Q39" s="37" t="str">
        <f>Roster!R279</f>
        <v>.</v>
      </c>
      <c r="R39" s="37" t="str">
        <f>Roster!S279</f>
        <v>.</v>
      </c>
      <c r="S39" s="37" t="str">
        <f>Roster!T279</f>
        <v>.</v>
      </c>
      <c r="T39" s="37" t="str">
        <f>Roster!U279</f>
        <v>.</v>
      </c>
      <c r="U39" s="37" t="str">
        <f>Roster!V279</f>
        <v>.</v>
      </c>
      <c r="V39" s="37" t="str">
        <f>Roster!W279</f>
        <v>.</v>
      </c>
      <c r="W39" s="37" t="str">
        <f>Roster!X279</f>
        <v>.</v>
      </c>
      <c r="X39" s="37" t="str">
        <f>Roster!Y279</f>
        <v>.</v>
      </c>
      <c r="Y39" s="37" t="str">
        <f>Roster!Z279</f>
        <v>.</v>
      </c>
      <c r="Z39" s="37" t="str">
        <f>Roster!AA279</f>
        <v>.</v>
      </c>
      <c r="AA39" s="37" t="str">
        <f>Roster!AB279</f>
        <v>.</v>
      </c>
      <c r="AB39" s="37" t="str">
        <f>Roster!AC279</f>
        <v>.</v>
      </c>
      <c r="AC39" s="37" t="str">
        <f>Roster!AD279</f>
        <v>.</v>
      </c>
      <c r="AD39" s="37" t="str">
        <f>Roster!AE279</f>
        <v>.</v>
      </c>
      <c r="AE39" s="37" t="str">
        <f>Roster!AF279</f>
        <v>.</v>
      </c>
      <c r="AF39" s="38" t="str">
        <f>Roster!AG279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9" t="s">
        <v>25</v>
      </c>
      <c r="R3" s="139" t="str">
        <f>EmpGName06 &amp;" " &amp; EmpSName06</f>
        <v>Robin Fielding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46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Roster!D19</f>
        <v>.</v>
      </c>
      <c r="D6" s="37" t="str">
        <f>Roster!E19</f>
        <v>.</v>
      </c>
      <c r="E6" s="37" t="str">
        <f>Roster!F19</f>
        <v>.</v>
      </c>
      <c r="F6" s="37" t="str">
        <f>Roster!G19</f>
        <v>.</v>
      </c>
      <c r="G6" s="37" t="str">
        <f>Roster!H19</f>
        <v>.</v>
      </c>
      <c r="H6" s="37" t="str">
        <f>Roster!I19</f>
        <v>.</v>
      </c>
      <c r="I6" s="37" t="str">
        <f>Roster!J19</f>
        <v>.</v>
      </c>
      <c r="J6" s="37" t="str">
        <f>Roster!K19</f>
        <v>.</v>
      </c>
      <c r="K6" s="37" t="str">
        <f>Roster!L19</f>
        <v>.</v>
      </c>
      <c r="L6" s="37" t="str">
        <f>Roster!M19</f>
        <v>.</v>
      </c>
      <c r="M6" s="37" t="str">
        <f>Roster!N19</f>
        <v>.</v>
      </c>
      <c r="N6" s="37" t="str">
        <f>Roster!O19</f>
        <v>.</v>
      </c>
      <c r="O6" s="37" t="str">
        <f>Roster!P19</f>
        <v>.</v>
      </c>
      <c r="P6" s="37" t="str">
        <f>Roster!Q19</f>
        <v>.</v>
      </c>
      <c r="Q6" s="37" t="str">
        <f>Roster!R19</f>
        <v>.</v>
      </c>
      <c r="R6" s="37" t="str">
        <f>Roster!S19</f>
        <v>.</v>
      </c>
      <c r="S6" s="37" t="str">
        <f>Roster!T19</f>
        <v>.</v>
      </c>
      <c r="T6" s="37" t="str">
        <f>Roster!U19</f>
        <v>.</v>
      </c>
      <c r="U6" s="37" t="str">
        <f>Roster!V19</f>
        <v>.</v>
      </c>
      <c r="V6" s="37" t="str">
        <f>Roster!W19</f>
        <v>.</v>
      </c>
      <c r="W6" s="37" t="str">
        <f>Roster!X19</f>
        <v>.</v>
      </c>
      <c r="X6" s="37" t="str">
        <f>Roster!Y19</f>
        <v>.</v>
      </c>
      <c r="Y6" s="37" t="str">
        <f>Roster!Z19</f>
        <v>.</v>
      </c>
      <c r="Z6" s="37" t="str">
        <f>Roster!AA19</f>
        <v>.</v>
      </c>
      <c r="AA6" s="37" t="str">
        <f>Roster!AB19</f>
        <v>.</v>
      </c>
      <c r="AB6" s="37" t="str">
        <f>Roster!AC19</f>
        <v>.</v>
      </c>
      <c r="AC6" s="37" t="str">
        <f>Roster!AD19</f>
        <v>.</v>
      </c>
      <c r="AD6" s="37" t="str">
        <f>Roster!AE19</f>
        <v>.</v>
      </c>
      <c r="AE6" s="37" t="str">
        <f>Roster!AF19</f>
        <v>.</v>
      </c>
      <c r="AF6" s="37" t="str">
        <f>Roster!AG19</f>
        <v>.</v>
      </c>
      <c r="AG6" s="38" t="str">
        <f>Roster!AH19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Roster!D50</f>
        <v>.</v>
      </c>
      <c r="D9" s="39" t="str">
        <f>Roster!E50</f>
        <v>.</v>
      </c>
      <c r="E9" s="37" t="str">
        <f>Roster!F50</f>
        <v>.</v>
      </c>
      <c r="F9" s="37" t="str">
        <f>Roster!G50</f>
        <v>.</v>
      </c>
      <c r="G9" s="37" t="str">
        <f>Roster!H50</f>
        <v>.</v>
      </c>
      <c r="H9" s="37" t="str">
        <f>Roster!I50</f>
        <v>.</v>
      </c>
      <c r="I9" s="37" t="str">
        <f>Roster!J50</f>
        <v>.</v>
      </c>
      <c r="J9" s="37" t="str">
        <f>Roster!K50</f>
        <v>.</v>
      </c>
      <c r="K9" s="37" t="str">
        <f>Roster!L50</f>
        <v>.</v>
      </c>
      <c r="L9" s="37" t="str">
        <f>Roster!M50</f>
        <v>.</v>
      </c>
      <c r="M9" s="37" t="str">
        <f>Roster!N50</f>
        <v>.</v>
      </c>
      <c r="N9" s="37" t="str">
        <f>Roster!O50</f>
        <v>.</v>
      </c>
      <c r="O9" s="37" t="str">
        <f>Roster!P50</f>
        <v>.</v>
      </c>
      <c r="P9" s="37" t="str">
        <f>Roster!Q50</f>
        <v>.</v>
      </c>
      <c r="Q9" s="37" t="str">
        <f>Roster!R50</f>
        <v>.</v>
      </c>
      <c r="R9" s="37" t="str">
        <f>Roster!S50</f>
        <v>.</v>
      </c>
      <c r="S9" s="37" t="str">
        <f>Roster!T50</f>
        <v>.</v>
      </c>
      <c r="T9" s="37" t="str">
        <f>Roster!U50</f>
        <v>.</v>
      </c>
      <c r="U9" s="37" t="str">
        <f>Roster!V50</f>
        <v>.</v>
      </c>
      <c r="V9" s="37" t="str">
        <f>Roster!W50</f>
        <v>.</v>
      </c>
      <c r="W9" s="37" t="str">
        <f>Roster!X50</f>
        <v>.</v>
      </c>
      <c r="X9" s="37" t="str">
        <f>Roster!Y50</f>
        <v>.</v>
      </c>
      <c r="Y9" s="37" t="str">
        <f>Roster!Z50</f>
        <v>.</v>
      </c>
      <c r="Z9" s="37" t="str">
        <f>Roster!AA50</f>
        <v>.</v>
      </c>
      <c r="AA9" s="37" t="str">
        <f>Roster!AB50</f>
        <v>.</v>
      </c>
      <c r="AB9" s="37" t="str">
        <f>Roster!AC50</f>
        <v>.</v>
      </c>
      <c r="AC9" s="37" t="str">
        <f>Roster!AD50</f>
        <v>.</v>
      </c>
      <c r="AD9" s="37" t="str">
        <f>Roster!AE50</f>
        <v>.</v>
      </c>
      <c r="AE9" s="37" t="str">
        <f>Roster!AF50</f>
        <v>.</v>
      </c>
      <c r="AF9" s="37" t="str">
        <f>Roster!AG50</f>
        <v>.</v>
      </c>
      <c r="AG9" s="38" t="str">
        <f>Roster!AH50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Roster!D81</f>
        <v>.</v>
      </c>
      <c r="D12" s="37" t="str">
        <f>Roster!E81</f>
        <v>.</v>
      </c>
      <c r="E12" s="37" t="str">
        <f>Roster!F81</f>
        <v>.</v>
      </c>
      <c r="F12" s="37" t="str">
        <f>Roster!G81</f>
        <v>.</v>
      </c>
      <c r="G12" s="37" t="str">
        <f>Roster!H81</f>
        <v>.</v>
      </c>
      <c r="H12" s="37" t="str">
        <f>Roster!I81</f>
        <v>.</v>
      </c>
      <c r="I12" s="37" t="str">
        <f>Roster!J81</f>
        <v>.</v>
      </c>
      <c r="J12" s="37" t="str">
        <f>Roster!K81</f>
        <v>.</v>
      </c>
      <c r="K12" s="37" t="str">
        <f>Roster!L81</f>
        <v>.</v>
      </c>
      <c r="L12" s="37" t="str">
        <f>Roster!M81</f>
        <v>.</v>
      </c>
      <c r="M12" s="37" t="str">
        <f>Roster!N81</f>
        <v>.</v>
      </c>
      <c r="N12" s="37" t="str">
        <f>Roster!O81</f>
        <v>.</v>
      </c>
      <c r="O12" s="37" t="str">
        <f>Roster!P81</f>
        <v>.</v>
      </c>
      <c r="P12" s="37" t="str">
        <f>Roster!Q81</f>
        <v>.</v>
      </c>
      <c r="Q12" s="37" t="str">
        <f>Roster!R81</f>
        <v>.</v>
      </c>
      <c r="R12" s="37" t="str">
        <f>Roster!S81</f>
        <v>.</v>
      </c>
      <c r="S12" s="37" t="str">
        <f>Roster!T81</f>
        <v>.</v>
      </c>
      <c r="T12" s="37" t="str">
        <f>Roster!U81</f>
        <v>.</v>
      </c>
      <c r="U12" s="37" t="str">
        <f>Roster!V81</f>
        <v>.</v>
      </c>
      <c r="V12" s="37" t="str">
        <f>Roster!W81</f>
        <v>.</v>
      </c>
      <c r="W12" s="37" t="str">
        <f>Roster!X81</f>
        <v>.</v>
      </c>
      <c r="X12" s="37" t="str">
        <f>Roster!Y81</f>
        <v>.</v>
      </c>
      <c r="Y12" s="37" t="str">
        <f>Roster!Z81</f>
        <v>.</v>
      </c>
      <c r="Z12" s="37" t="str">
        <f>Roster!AA81</f>
        <v>.</v>
      </c>
      <c r="AA12" s="37" t="str">
        <f>Roster!AB81</f>
        <v>.</v>
      </c>
      <c r="AB12" s="37" t="str">
        <f>Roster!AC81</f>
        <v>.</v>
      </c>
      <c r="AC12" s="37" t="str">
        <f>Roster!AD81</f>
        <v>.</v>
      </c>
      <c r="AD12" s="37" t="str">
        <f>Roster!AE81</f>
        <v>.</v>
      </c>
      <c r="AE12" s="37" t="str">
        <f>Roster!AF81</f>
        <v>.</v>
      </c>
      <c r="AF12" s="38" t="str">
        <f>Roster!AG81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46" t="str">
        <f t="shared" si="3"/>
        <v>We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Roster!D112</f>
        <v>.</v>
      </c>
      <c r="D15" s="37" t="str">
        <f>Roster!E112</f>
        <v>.</v>
      </c>
      <c r="E15" s="37" t="str">
        <f>Roster!F112</f>
        <v>.</v>
      </c>
      <c r="F15" s="37" t="str">
        <f>Roster!G112</f>
        <v>.</v>
      </c>
      <c r="G15" s="37" t="str">
        <f>Roster!H112</f>
        <v>.</v>
      </c>
      <c r="H15" s="37" t="str">
        <f>Roster!I112</f>
        <v>.</v>
      </c>
      <c r="I15" s="37" t="str">
        <f>Roster!J112</f>
        <v>.</v>
      </c>
      <c r="J15" s="37" t="str">
        <f>Roster!K112</f>
        <v>.</v>
      </c>
      <c r="K15" s="37" t="str">
        <f>Roster!L112</f>
        <v>.</v>
      </c>
      <c r="L15" s="37" t="str">
        <f>Roster!M112</f>
        <v>.</v>
      </c>
      <c r="M15" s="37" t="str">
        <f>Roster!N112</f>
        <v>.</v>
      </c>
      <c r="N15" s="37" t="str">
        <f>Roster!O112</f>
        <v>.</v>
      </c>
      <c r="O15" s="37" t="str">
        <f>Roster!P112</f>
        <v>.</v>
      </c>
      <c r="P15" s="37" t="str">
        <f>Roster!Q112</f>
        <v>.</v>
      </c>
      <c r="Q15" s="37" t="str">
        <f>Roster!R112</f>
        <v>.</v>
      </c>
      <c r="R15" s="37" t="str">
        <f>Roster!S112</f>
        <v>.</v>
      </c>
      <c r="S15" s="37" t="str">
        <f>Roster!T112</f>
        <v>.</v>
      </c>
      <c r="T15" s="37" t="str">
        <f>Roster!U112</f>
        <v>.</v>
      </c>
      <c r="U15" s="37" t="str">
        <f>Roster!V112</f>
        <v>.</v>
      </c>
      <c r="V15" s="37" t="str">
        <f>Roster!W112</f>
        <v>.</v>
      </c>
      <c r="W15" s="37" t="str">
        <f>Roster!X112</f>
        <v>.</v>
      </c>
      <c r="X15" s="37" t="str">
        <f>Roster!Y112</f>
        <v>.</v>
      </c>
      <c r="Y15" s="37" t="str">
        <f>Roster!Z112</f>
        <v>.</v>
      </c>
      <c r="Z15" s="37" t="str">
        <f>Roster!AA112</f>
        <v>.</v>
      </c>
      <c r="AA15" s="37" t="str">
        <f>Roster!AB112</f>
        <v>.</v>
      </c>
      <c r="AB15" s="37" t="str">
        <f>Roster!AC112</f>
        <v>.</v>
      </c>
      <c r="AC15" s="37" t="str">
        <f>Roster!AD112</f>
        <v>.</v>
      </c>
      <c r="AD15" s="37" t="str">
        <f>Roster!AE112</f>
        <v>.</v>
      </c>
      <c r="AE15" s="37" t="str">
        <f>Roster!AF112</f>
        <v>.</v>
      </c>
      <c r="AF15" s="37" t="str">
        <f>Roster!AG112</f>
        <v>.</v>
      </c>
      <c r="AG15" s="38" t="str">
        <f>Roster!AH112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Roster!D143</f>
        <v>.</v>
      </c>
      <c r="D18" s="37" t="str">
        <f>Roster!E143</f>
        <v>.</v>
      </c>
      <c r="E18" s="37" t="str">
        <f>Roster!F143</f>
        <v>.</v>
      </c>
      <c r="F18" s="37" t="str">
        <f>Roster!G143</f>
        <v>.</v>
      </c>
      <c r="G18" s="37" t="str">
        <f>Roster!H143</f>
        <v>.</v>
      </c>
      <c r="H18" s="37" t="str">
        <f>Roster!I143</f>
        <v>.</v>
      </c>
      <c r="I18" s="37" t="str">
        <f>Roster!J143</f>
        <v>.</v>
      </c>
      <c r="J18" s="37" t="str">
        <f>Roster!K143</f>
        <v>.</v>
      </c>
      <c r="K18" s="37" t="str">
        <f>Roster!L143</f>
        <v>.</v>
      </c>
      <c r="L18" s="37" t="str">
        <f>Roster!M143</f>
        <v>.</v>
      </c>
      <c r="M18" s="37" t="str">
        <f>Roster!N143</f>
        <v>.</v>
      </c>
      <c r="N18" s="37" t="str">
        <f>Roster!O143</f>
        <v>.</v>
      </c>
      <c r="O18" s="37" t="str">
        <f>Roster!P143</f>
        <v>.</v>
      </c>
      <c r="P18" s="37" t="str">
        <f>Roster!Q143</f>
        <v>.</v>
      </c>
      <c r="Q18" s="37" t="str">
        <f>Roster!R143</f>
        <v>.</v>
      </c>
      <c r="R18" s="37" t="str">
        <f>Roster!S143</f>
        <v>.</v>
      </c>
      <c r="S18" s="37" t="str">
        <f>Roster!T143</f>
        <v>.</v>
      </c>
      <c r="T18" s="37" t="str">
        <f>Roster!U143</f>
        <v>.</v>
      </c>
      <c r="U18" s="37" t="str">
        <f>Roster!V143</f>
        <v>.</v>
      </c>
      <c r="V18" s="37" t="str">
        <f>Roster!W143</f>
        <v>.</v>
      </c>
      <c r="W18" s="37" t="str">
        <f>Roster!X143</f>
        <v>.</v>
      </c>
      <c r="X18" s="37" t="str">
        <f>Roster!Y143</f>
        <v>.</v>
      </c>
      <c r="Y18" s="37" t="str">
        <f>Roster!Z143</f>
        <v>.</v>
      </c>
      <c r="Z18" s="37" t="str">
        <f>Roster!AA143</f>
        <v>.</v>
      </c>
      <c r="AA18" s="37" t="str">
        <f>Roster!AB143</f>
        <v>.</v>
      </c>
      <c r="AB18" s="37" t="str">
        <f>Roster!AC143</f>
        <v>.</v>
      </c>
      <c r="AC18" s="37" t="str">
        <f>Roster!AD143</f>
        <v>.</v>
      </c>
      <c r="AD18" s="37" t="str">
        <f>Roster!AE143</f>
        <v>.</v>
      </c>
      <c r="AE18" s="37" t="str">
        <f>Roster!AF143</f>
        <v>.</v>
      </c>
      <c r="AF18" s="38" t="str">
        <f>Roster!AG143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Roster!D174</f>
        <v>.</v>
      </c>
      <c r="D21" s="37" t="str">
        <f>Roster!E174</f>
        <v>.</v>
      </c>
      <c r="E21" s="37" t="str">
        <f>Roster!F174</f>
        <v>.</v>
      </c>
      <c r="F21" s="37" t="str">
        <f>Roster!G174</f>
        <v>.</v>
      </c>
      <c r="G21" s="37" t="str">
        <f>Roster!H174</f>
        <v>.</v>
      </c>
      <c r="H21" s="37" t="str">
        <f>Roster!I174</f>
        <v>.</v>
      </c>
      <c r="I21" s="37" t="str">
        <f>Roster!J174</f>
        <v>.</v>
      </c>
      <c r="J21" s="37" t="str">
        <f>Roster!K174</f>
        <v>.</v>
      </c>
      <c r="K21" s="37" t="str">
        <f>Roster!L174</f>
        <v>.</v>
      </c>
      <c r="L21" s="37" t="str">
        <f>Roster!M174</f>
        <v>.</v>
      </c>
      <c r="M21" s="37" t="str">
        <f>Roster!N174</f>
        <v>.</v>
      </c>
      <c r="N21" s="37" t="str">
        <f>Roster!O174</f>
        <v>.</v>
      </c>
      <c r="O21" s="37" t="str">
        <f>Roster!P174</f>
        <v>.</v>
      </c>
      <c r="P21" s="37" t="str">
        <f>Roster!Q174</f>
        <v>.</v>
      </c>
      <c r="Q21" s="37" t="str">
        <f>Roster!R174</f>
        <v>.</v>
      </c>
      <c r="R21" s="37" t="str">
        <f>Roster!S174</f>
        <v>.</v>
      </c>
      <c r="S21" s="37" t="str">
        <f>Roster!T174</f>
        <v>.</v>
      </c>
      <c r="T21" s="37" t="str">
        <f>Roster!U174</f>
        <v>.</v>
      </c>
      <c r="U21" s="37" t="str">
        <f>Roster!V174</f>
        <v>.</v>
      </c>
      <c r="V21" s="37" t="str">
        <f>Roster!W174</f>
        <v>.</v>
      </c>
      <c r="W21" s="37" t="str">
        <f>Roster!X174</f>
        <v>.</v>
      </c>
      <c r="X21" s="37" t="str">
        <f>Roster!Y174</f>
        <v>.</v>
      </c>
      <c r="Y21" s="37" t="str">
        <f>Roster!Z174</f>
        <v>.</v>
      </c>
      <c r="Z21" s="37" t="str">
        <f>Roster!AA174</f>
        <v>.</v>
      </c>
      <c r="AA21" s="37" t="str">
        <f>Roster!AB174</f>
        <v>.</v>
      </c>
      <c r="AB21" s="37" t="str">
        <f>Roster!AC174</f>
        <v>.</v>
      </c>
      <c r="AC21" s="37" t="str">
        <f>Roster!AD174</f>
        <v>.</v>
      </c>
      <c r="AD21" s="37" t="str">
        <f>Roster!AE174</f>
        <v>.</v>
      </c>
      <c r="AE21" s="37" t="str">
        <f>Roster!AF174</f>
        <v>.</v>
      </c>
      <c r="AF21" s="37" t="str">
        <f>Roster!AG174</f>
        <v>.</v>
      </c>
      <c r="AG21" s="38" t="str">
        <f>Roster!AH174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48" t="str">
        <f>Roster!D205</f>
        <v>.</v>
      </c>
      <c r="D24" s="49" t="str">
        <f>Roster!E205</f>
        <v>.</v>
      </c>
      <c r="E24" s="40" t="str">
        <f>Roster!F205</f>
        <v>.</v>
      </c>
      <c r="F24" s="40" t="str">
        <f>Roster!G205</f>
        <v>.</v>
      </c>
      <c r="G24" s="40" t="str">
        <f>Roster!H205</f>
        <v>.</v>
      </c>
      <c r="H24" s="40" t="str">
        <f>Roster!I205</f>
        <v>.</v>
      </c>
      <c r="I24" s="40" t="str">
        <f>Roster!J205</f>
        <v>.</v>
      </c>
      <c r="J24" s="40" t="str">
        <f>Roster!K205</f>
        <v>.</v>
      </c>
      <c r="K24" s="40" t="str">
        <f>Roster!L205</f>
        <v>.</v>
      </c>
      <c r="L24" s="40" t="str">
        <f>Roster!M205</f>
        <v>.</v>
      </c>
      <c r="M24" s="40" t="str">
        <f>Roster!N205</f>
        <v>.</v>
      </c>
      <c r="N24" s="40" t="str">
        <f>Roster!O205</f>
        <v>.</v>
      </c>
      <c r="O24" s="40" t="str">
        <f>Roster!P205</f>
        <v>.</v>
      </c>
      <c r="P24" s="40" t="str">
        <f>Roster!Q205</f>
        <v>.</v>
      </c>
      <c r="Q24" s="40" t="str">
        <f>Roster!R205</f>
        <v>.</v>
      </c>
      <c r="R24" s="40" t="str">
        <f>Roster!S205</f>
        <v>.</v>
      </c>
      <c r="S24" s="40" t="str">
        <f>Roster!T205</f>
        <v>.</v>
      </c>
      <c r="T24" s="40" t="str">
        <f>Roster!U205</f>
        <v>.</v>
      </c>
      <c r="U24" s="40" t="str">
        <f>Roster!V205</f>
        <v>.</v>
      </c>
      <c r="V24" s="40" t="str">
        <f>Roster!W205</f>
        <v>.</v>
      </c>
      <c r="W24" s="40" t="str">
        <f>Roster!X205</f>
        <v>.</v>
      </c>
      <c r="X24" s="40" t="str">
        <f>Roster!Y205</f>
        <v>.</v>
      </c>
      <c r="Y24" s="40" t="str">
        <f>Roster!Z205</f>
        <v>.</v>
      </c>
      <c r="Z24" s="40" t="str">
        <f>Roster!AA205</f>
        <v>.</v>
      </c>
      <c r="AA24" s="40" t="str">
        <f>Roster!AB205</f>
        <v>.</v>
      </c>
      <c r="AB24" s="40" t="str">
        <f>Roster!AC205</f>
        <v>.</v>
      </c>
      <c r="AC24" s="40" t="str">
        <f>Roster!AD205</f>
        <v>.</v>
      </c>
      <c r="AD24" s="40" t="str">
        <f>Roster!AE205</f>
        <v>.</v>
      </c>
      <c r="AE24" s="40" t="str">
        <f>Roster!AF205</f>
        <v>.</v>
      </c>
      <c r="AF24" s="40" t="str">
        <f>Roster!AG205</f>
        <v>.</v>
      </c>
      <c r="AG24" s="41" t="str">
        <f>Roster!AH205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23"/>
      <c r="AG25" s="24"/>
    </row>
    <row r="26" spans="2:33" ht="14.4" thickTop="1" thickBot="1">
      <c r="B26" s="32" t="str">
        <f>Roster!$C$214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9">
        <v>29</v>
      </c>
      <c r="AF26" s="44"/>
    </row>
    <row r="27" spans="2:33" ht="14.4" thickTop="1" thickBot="1">
      <c r="B27" s="32" t="str">
        <f>CurYear</f>
        <v>2019</v>
      </c>
      <c r="C27" s="36" t="str">
        <f>Roster!D220</f>
        <v>.</v>
      </c>
      <c r="D27" s="37" t="str">
        <f>Roster!E220</f>
        <v>.</v>
      </c>
      <c r="E27" s="37" t="str">
        <f>Roster!F220</f>
        <v>.</v>
      </c>
      <c r="F27" s="37" t="str">
        <f>Roster!G220</f>
        <v>.</v>
      </c>
      <c r="G27" s="37" t="str">
        <f>Roster!H220</f>
        <v>.</v>
      </c>
      <c r="H27" s="37" t="str">
        <f>Roster!I220</f>
        <v>.</v>
      </c>
      <c r="I27" s="37" t="str">
        <f>Roster!J220</f>
        <v>.</v>
      </c>
      <c r="J27" s="37" t="str">
        <f>Roster!K220</f>
        <v>.</v>
      </c>
      <c r="K27" s="37" t="str">
        <f>Roster!L220</f>
        <v>.</v>
      </c>
      <c r="L27" s="37" t="str">
        <f>Roster!M220</f>
        <v>.</v>
      </c>
      <c r="M27" s="37" t="str">
        <f>Roster!N220</f>
        <v>.</v>
      </c>
      <c r="N27" s="37" t="str">
        <f>Roster!O220</f>
        <v>.</v>
      </c>
      <c r="O27" s="37" t="str">
        <f>Roster!P220</f>
        <v>.</v>
      </c>
      <c r="P27" s="37" t="str">
        <f>Roster!Q220</f>
        <v>.</v>
      </c>
      <c r="Q27" s="37" t="str">
        <f>Roster!Q219</f>
        <v>.</v>
      </c>
      <c r="R27" s="37" t="str">
        <f>Roster!S220</f>
        <v>.</v>
      </c>
      <c r="S27" s="37" t="str">
        <f>Roster!T220</f>
        <v>.</v>
      </c>
      <c r="T27" s="37" t="str">
        <f>Roster!U220</f>
        <v>.</v>
      </c>
      <c r="U27" s="37" t="str">
        <f>Roster!V220</f>
        <v>.</v>
      </c>
      <c r="V27" s="37" t="str">
        <f>Roster!W220</f>
        <v>.</v>
      </c>
      <c r="W27" s="37" t="str">
        <f>Roster!X220</f>
        <v>.</v>
      </c>
      <c r="X27" s="37" t="str">
        <f>Roster!Y220</f>
        <v>.</v>
      </c>
      <c r="Y27" s="37" t="str">
        <f>Roster!Z220</f>
        <v>.</v>
      </c>
      <c r="Z27" s="37" t="str">
        <f>Roster!AA220</f>
        <v>.</v>
      </c>
      <c r="AA27" s="37" t="str">
        <f>Roster!AB220</f>
        <v>.</v>
      </c>
      <c r="AB27" s="37" t="str">
        <f>Roster!AC220</f>
        <v>.</v>
      </c>
      <c r="AC27" s="37" t="str">
        <f>Roster!AD220</f>
        <v>.</v>
      </c>
      <c r="AD27" s="43" t="str">
        <f>Roster!AE220</f>
        <v>.</v>
      </c>
      <c r="AE27" s="130">
        <f>Roster!AF220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47" t="str">
        <f t="shared" si="8"/>
        <v>Sa</v>
      </c>
      <c r="AG28" s="47" t="str">
        <f t="shared" si="8"/>
        <v>Su</v>
      </c>
    </row>
    <row r="29" spans="2:33" ht="14.4" thickTop="1" thickBot="1">
      <c r="B29" s="32" t="str">
        <f>Roster!$C$229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Roster!D235</f>
        <v>.</v>
      </c>
      <c r="D30" s="37" t="str">
        <f>Roster!E235</f>
        <v>.</v>
      </c>
      <c r="E30" s="37" t="str">
        <f>Roster!F235</f>
        <v>.</v>
      </c>
      <c r="F30" s="37" t="str">
        <f>Roster!G235</f>
        <v>.</v>
      </c>
      <c r="G30" s="37" t="str">
        <f>Roster!H235</f>
        <v>.</v>
      </c>
      <c r="H30" s="37" t="str">
        <f>Roster!I235</f>
        <v>.</v>
      </c>
      <c r="I30" s="37" t="str">
        <f>Roster!J235</f>
        <v>.</v>
      </c>
      <c r="J30" s="37" t="str">
        <f>Roster!K235</f>
        <v>.</v>
      </c>
      <c r="K30" s="37" t="str">
        <f>Roster!L235</f>
        <v>.</v>
      </c>
      <c r="L30" s="37" t="str">
        <f>Roster!M235</f>
        <v>.</v>
      </c>
      <c r="M30" s="37" t="str">
        <f>Roster!N235</f>
        <v>.</v>
      </c>
      <c r="N30" s="37" t="str">
        <f>Roster!O235</f>
        <v>.</v>
      </c>
      <c r="O30" s="37" t="str">
        <f>Roster!P235</f>
        <v>.</v>
      </c>
      <c r="P30" s="37" t="str">
        <f>Roster!Q235</f>
        <v>.</v>
      </c>
      <c r="Q30" s="37" t="str">
        <f>Roster!R235</f>
        <v>.</v>
      </c>
      <c r="R30" s="37" t="str">
        <f>Roster!S235</f>
        <v>.</v>
      </c>
      <c r="S30" s="37" t="str">
        <f>Roster!T235</f>
        <v>.</v>
      </c>
      <c r="T30" s="37" t="str">
        <f>Roster!U235</f>
        <v>.</v>
      </c>
      <c r="U30" s="37" t="str">
        <f>Roster!V235</f>
        <v>.</v>
      </c>
      <c r="V30" s="37" t="str">
        <f>Roster!W235</f>
        <v>.</v>
      </c>
      <c r="W30" s="37" t="str">
        <f>Roster!X235</f>
        <v>.</v>
      </c>
      <c r="X30" s="37" t="str">
        <f>Roster!Y235</f>
        <v>.</v>
      </c>
      <c r="Y30" s="37" t="str">
        <f>Roster!Z235</f>
        <v>.</v>
      </c>
      <c r="Z30" s="37" t="str">
        <f>Roster!AA235</f>
        <v>.</v>
      </c>
      <c r="AA30" s="37" t="str">
        <f>Roster!AB235</f>
        <v>.</v>
      </c>
      <c r="AB30" s="37" t="str">
        <f>Roster!AC235</f>
        <v>.</v>
      </c>
      <c r="AC30" s="37" t="str">
        <f>Roster!AD235</f>
        <v>.</v>
      </c>
      <c r="AD30" s="37" t="str">
        <f>Roster!AE235</f>
        <v>.</v>
      </c>
      <c r="AE30" s="37" t="str">
        <f>Roster!AF235</f>
        <v>.</v>
      </c>
      <c r="AF30" s="37" t="str">
        <f>Roster!AG235</f>
        <v>.</v>
      </c>
      <c r="AG30" s="38" t="str">
        <f>Roster!AH235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Roster!$C$244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Roster!D250</f>
        <v>.</v>
      </c>
      <c r="D33" s="37" t="str">
        <f>Roster!E250</f>
        <v>.</v>
      </c>
      <c r="E33" s="37" t="str">
        <f>Roster!F250</f>
        <v>.</v>
      </c>
      <c r="F33" s="37" t="str">
        <f>Roster!G250</f>
        <v>.</v>
      </c>
      <c r="G33" s="37" t="str">
        <f>Roster!H250</f>
        <v>.</v>
      </c>
      <c r="H33" s="37" t="str">
        <f>Roster!I250</f>
        <v>.</v>
      </c>
      <c r="I33" s="37" t="str">
        <f>Roster!J250</f>
        <v>.</v>
      </c>
      <c r="J33" s="37" t="str">
        <f>Roster!K250</f>
        <v>.</v>
      </c>
      <c r="K33" s="37" t="str">
        <f>Roster!L250</f>
        <v>.</v>
      </c>
      <c r="L33" s="37" t="str">
        <f>Roster!M250</f>
        <v>.</v>
      </c>
      <c r="M33" s="37" t="str">
        <f>Roster!N250</f>
        <v>.</v>
      </c>
      <c r="N33" s="37" t="str">
        <f>Roster!O250</f>
        <v>.</v>
      </c>
      <c r="O33" s="37" t="str">
        <f>Roster!P250</f>
        <v>.</v>
      </c>
      <c r="P33" s="37" t="str">
        <f>Roster!Q250</f>
        <v>.</v>
      </c>
      <c r="Q33" s="37" t="str">
        <f>Roster!R250</f>
        <v>.</v>
      </c>
      <c r="R33" s="37" t="str">
        <f>Roster!S250</f>
        <v>.</v>
      </c>
      <c r="S33" s="37" t="str">
        <f>Roster!T250</f>
        <v>.</v>
      </c>
      <c r="T33" s="37" t="str">
        <f>Roster!U250</f>
        <v>.</v>
      </c>
      <c r="U33" s="37" t="str">
        <f>Roster!V250</f>
        <v>.</v>
      </c>
      <c r="V33" s="37" t="str">
        <f>Roster!W250</f>
        <v>.</v>
      </c>
      <c r="W33" s="37" t="str">
        <f>Roster!X250</f>
        <v>.</v>
      </c>
      <c r="X33" s="37" t="str">
        <f>Roster!Y250</f>
        <v>.</v>
      </c>
      <c r="Y33" s="37" t="str">
        <f>Roster!Z250</f>
        <v>.</v>
      </c>
      <c r="Z33" s="37" t="str">
        <f>Roster!AA250</f>
        <v>.</v>
      </c>
      <c r="AA33" s="37" t="str">
        <f>Roster!AB250</f>
        <v>.</v>
      </c>
      <c r="AB33" s="37" t="str">
        <f>Roster!AC250</f>
        <v>.</v>
      </c>
      <c r="AC33" s="37" t="str">
        <f>Roster!AD250</f>
        <v>.</v>
      </c>
      <c r="AD33" s="37" t="str">
        <f>Roster!AE250</f>
        <v>.</v>
      </c>
      <c r="AE33" s="37" t="str">
        <f>Roster!AF250</f>
        <v>.</v>
      </c>
      <c r="AF33" s="38" t="str">
        <f>Roster!AG250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46" t="str">
        <f t="shared" si="10"/>
        <v>Fr</v>
      </c>
    </row>
    <row r="35" spans="2:33" ht="14.4" thickTop="1" thickBot="1">
      <c r="B35" s="32" t="str">
        <f>Roster!$C$259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Roster!D265</f>
        <v>.</v>
      </c>
      <c r="D36" s="37" t="str">
        <f>Roster!E265</f>
        <v>.</v>
      </c>
      <c r="E36" s="37" t="str">
        <f>Roster!F265</f>
        <v>.</v>
      </c>
      <c r="F36" s="37" t="str">
        <f>Roster!G265</f>
        <v>.</v>
      </c>
      <c r="G36" s="37" t="str">
        <f>Roster!H265</f>
        <v>.</v>
      </c>
      <c r="H36" s="37" t="str">
        <f>Roster!I265</f>
        <v>.</v>
      </c>
      <c r="I36" s="37" t="str">
        <f>Roster!J265</f>
        <v>.</v>
      </c>
      <c r="J36" s="37" t="str">
        <f>Roster!K265</f>
        <v>.</v>
      </c>
      <c r="K36" s="37" t="str">
        <f>Roster!L265</f>
        <v>.</v>
      </c>
      <c r="L36" s="37" t="str">
        <f>Roster!M265</f>
        <v>.</v>
      </c>
      <c r="M36" s="37" t="str">
        <f>Roster!N265</f>
        <v>.</v>
      </c>
      <c r="N36" s="37" t="str">
        <f>Roster!O265</f>
        <v>.</v>
      </c>
      <c r="O36" s="37" t="str">
        <f>Roster!P265</f>
        <v>.</v>
      </c>
      <c r="P36" s="37" t="str">
        <f>Roster!Q265</f>
        <v>.</v>
      </c>
      <c r="Q36" s="37" t="str">
        <f>Roster!R265</f>
        <v>.</v>
      </c>
      <c r="R36" s="37" t="str">
        <f>Roster!S265</f>
        <v>.</v>
      </c>
      <c r="S36" s="37" t="str">
        <f>Roster!T265</f>
        <v>.</v>
      </c>
      <c r="T36" s="37" t="str">
        <f>Roster!U265</f>
        <v>.</v>
      </c>
      <c r="U36" s="37" t="str">
        <f>Roster!V265</f>
        <v>.</v>
      </c>
      <c r="V36" s="37" t="str">
        <f>Roster!W265</f>
        <v>.</v>
      </c>
      <c r="W36" s="37" t="str">
        <f>Roster!X265</f>
        <v>.</v>
      </c>
      <c r="X36" s="37" t="str">
        <f>Roster!Y265</f>
        <v>.</v>
      </c>
      <c r="Y36" s="37" t="str">
        <f>Roster!Z265</f>
        <v>.</v>
      </c>
      <c r="Z36" s="37" t="str">
        <f>Roster!AA265</f>
        <v>.</v>
      </c>
      <c r="AA36" s="37" t="str">
        <f>Roster!AB265</f>
        <v>.</v>
      </c>
      <c r="AB36" s="37" t="str">
        <f>Roster!AC265</f>
        <v>.</v>
      </c>
      <c r="AC36" s="37" t="str">
        <f>Roster!AD265</f>
        <v>.</v>
      </c>
      <c r="AD36" s="37" t="str">
        <f>Roster!AE265</f>
        <v>.</v>
      </c>
      <c r="AE36" s="37" t="str">
        <f>Roster!AF265</f>
        <v>.</v>
      </c>
      <c r="AF36" s="37" t="str">
        <f>Roster!AG265</f>
        <v>.</v>
      </c>
      <c r="AG36" s="38" t="str">
        <f>Roster!AH265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Roster!C274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Roster!D280</f>
        <v>.</v>
      </c>
      <c r="D39" s="37" t="str">
        <f>Roster!E280</f>
        <v>.</v>
      </c>
      <c r="E39" s="37" t="str">
        <f>Roster!F280</f>
        <v>.</v>
      </c>
      <c r="F39" s="37" t="str">
        <f>Roster!G280</f>
        <v>.</v>
      </c>
      <c r="G39" s="37" t="str">
        <f>Roster!H280</f>
        <v>.</v>
      </c>
      <c r="H39" s="37" t="str">
        <f>Roster!I280</f>
        <v>.</v>
      </c>
      <c r="I39" s="37" t="str">
        <f>Roster!J280</f>
        <v>.</v>
      </c>
      <c r="J39" s="37" t="str">
        <f>Roster!K280</f>
        <v>.</v>
      </c>
      <c r="K39" s="37" t="str">
        <f>Roster!L280</f>
        <v>.</v>
      </c>
      <c r="L39" s="37" t="str">
        <f>Roster!M280</f>
        <v>.</v>
      </c>
      <c r="M39" s="37" t="str">
        <f>Roster!N280</f>
        <v>.</v>
      </c>
      <c r="N39" s="37" t="str">
        <f>Roster!O280</f>
        <v>.</v>
      </c>
      <c r="O39" s="37" t="str">
        <f>Roster!P280</f>
        <v>.</v>
      </c>
      <c r="P39" s="37" t="str">
        <f>Roster!Q280</f>
        <v>.</v>
      </c>
      <c r="Q39" s="37" t="str">
        <f>Roster!R280</f>
        <v>.</v>
      </c>
      <c r="R39" s="37" t="str">
        <f>Roster!S280</f>
        <v>.</v>
      </c>
      <c r="S39" s="37" t="str">
        <f>Roster!T280</f>
        <v>.</v>
      </c>
      <c r="T39" s="37" t="str">
        <f>Roster!U280</f>
        <v>.</v>
      </c>
      <c r="U39" s="37" t="str">
        <f>Roster!V280</f>
        <v>.</v>
      </c>
      <c r="V39" s="37" t="str">
        <f>Roster!W280</f>
        <v>.</v>
      </c>
      <c r="W39" s="37" t="str">
        <f>Roster!X280</f>
        <v>.</v>
      </c>
      <c r="X39" s="37" t="str">
        <f>Roster!Y280</f>
        <v>.</v>
      </c>
      <c r="Y39" s="37" t="str">
        <f>Roster!Z280</f>
        <v>.</v>
      </c>
      <c r="Z39" s="37" t="str">
        <f>Roster!AA280</f>
        <v>.</v>
      </c>
      <c r="AA39" s="37" t="str">
        <f>Roster!AB280</f>
        <v>.</v>
      </c>
      <c r="AB39" s="37" t="str">
        <f>Roster!AC280</f>
        <v>.</v>
      </c>
      <c r="AC39" s="37" t="str">
        <f>Roster!AD280</f>
        <v>.</v>
      </c>
      <c r="AD39" s="37" t="str">
        <f>Roster!AE280</f>
        <v>.</v>
      </c>
      <c r="AE39" s="37" t="str">
        <f>Roster!AF280</f>
        <v>.</v>
      </c>
      <c r="AF39" s="38" t="str">
        <f>Roster!AG280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0"/>
      <c r="I3" s="142" t="s">
        <v>25</v>
      </c>
      <c r="R3" s="142" t="str">
        <f>EmpGName07 &amp;" " &amp; EmpSName07</f>
        <v>Troy Sorensen</v>
      </c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20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Roster!D20</f>
        <v>.</v>
      </c>
      <c r="D6" s="37" t="str">
        <f>Roster!E20</f>
        <v>.</v>
      </c>
      <c r="E6" s="37" t="str">
        <f>Roster!F20</f>
        <v>.</v>
      </c>
      <c r="F6" s="37" t="str">
        <f>Roster!G20</f>
        <v>.</v>
      </c>
      <c r="G6" s="37" t="str">
        <f>Roster!H20</f>
        <v>.</v>
      </c>
      <c r="H6" s="37" t="str">
        <f>Roster!I20</f>
        <v>.</v>
      </c>
      <c r="I6" s="37" t="str">
        <f>Roster!J20</f>
        <v>.</v>
      </c>
      <c r="J6" s="37" t="str">
        <f>Roster!K20</f>
        <v>.</v>
      </c>
      <c r="K6" s="37" t="str">
        <f>Roster!L20</f>
        <v>.</v>
      </c>
      <c r="L6" s="37" t="str">
        <f>Roster!M20</f>
        <v>.</v>
      </c>
      <c r="M6" s="37" t="str">
        <f>Roster!N20</f>
        <v>.</v>
      </c>
      <c r="N6" s="37" t="str">
        <f>Roster!O20</f>
        <v>.</v>
      </c>
      <c r="O6" s="37" t="str">
        <f>Roster!P20</f>
        <v>.</v>
      </c>
      <c r="P6" s="37" t="str">
        <f>Roster!Q20</f>
        <v>.</v>
      </c>
      <c r="Q6" s="37" t="str">
        <f>Roster!R20</f>
        <v>.</v>
      </c>
      <c r="R6" s="37" t="str">
        <f>Roster!S20</f>
        <v>.</v>
      </c>
      <c r="S6" s="37" t="str">
        <f>Roster!T20</f>
        <v>.</v>
      </c>
      <c r="T6" s="37" t="str">
        <f>Roster!U20</f>
        <v>.</v>
      </c>
      <c r="U6" s="37" t="str">
        <f>Roster!V20</f>
        <v>.</v>
      </c>
      <c r="V6" s="37" t="str">
        <f>Roster!W20</f>
        <v>.</v>
      </c>
      <c r="W6" s="37" t="str">
        <f>Roster!X20</f>
        <v>.</v>
      </c>
      <c r="X6" s="37" t="str">
        <f>Roster!Y20</f>
        <v>.</v>
      </c>
      <c r="Y6" s="37" t="str">
        <f>Roster!Z20</f>
        <v>.</v>
      </c>
      <c r="Z6" s="37" t="str">
        <f>Roster!AA20</f>
        <v>.</v>
      </c>
      <c r="AA6" s="37" t="str">
        <f>Roster!AB20</f>
        <v>.</v>
      </c>
      <c r="AB6" s="37" t="str">
        <f>Roster!AC20</f>
        <v>.</v>
      </c>
      <c r="AC6" s="37" t="str">
        <f>Roster!AD20</f>
        <v>.</v>
      </c>
      <c r="AD6" s="37" t="str">
        <f>Roster!AE20</f>
        <v>.</v>
      </c>
      <c r="AE6" s="37" t="str">
        <f>Roster!AF20</f>
        <v>.</v>
      </c>
      <c r="AF6" s="37" t="str">
        <f>Roster!AG20</f>
        <v>.</v>
      </c>
      <c r="AG6" s="38" t="str">
        <f>Roster!AH20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Roster!D51</f>
        <v>.</v>
      </c>
      <c r="D9" s="39" t="str">
        <f>Roster!E51</f>
        <v>.</v>
      </c>
      <c r="E9" s="37" t="str">
        <f>Roster!F51</f>
        <v>.</v>
      </c>
      <c r="F9" s="37" t="str">
        <f>Roster!G51</f>
        <v>.</v>
      </c>
      <c r="G9" s="37" t="str">
        <f>Roster!H51</f>
        <v>.</v>
      </c>
      <c r="H9" s="37" t="str">
        <f>Roster!I51</f>
        <v>.</v>
      </c>
      <c r="I9" s="37" t="str">
        <f>Roster!J51</f>
        <v>.</v>
      </c>
      <c r="J9" s="37" t="str">
        <f>Roster!K51</f>
        <v>.</v>
      </c>
      <c r="K9" s="37" t="str">
        <f>Roster!L51</f>
        <v>.</v>
      </c>
      <c r="L9" s="37" t="str">
        <f>Roster!M51</f>
        <v>.</v>
      </c>
      <c r="M9" s="37" t="str">
        <f>Roster!N51</f>
        <v>.</v>
      </c>
      <c r="N9" s="37" t="str">
        <f>Roster!O51</f>
        <v>.</v>
      </c>
      <c r="O9" s="37" t="str">
        <f>Roster!P51</f>
        <v>.</v>
      </c>
      <c r="P9" s="37" t="str">
        <f>Roster!Q51</f>
        <v>.</v>
      </c>
      <c r="Q9" s="37" t="str">
        <f>Roster!R51</f>
        <v>.</v>
      </c>
      <c r="R9" s="37" t="str">
        <f>Roster!S51</f>
        <v>.</v>
      </c>
      <c r="S9" s="37" t="str">
        <f>Roster!T51</f>
        <v>.</v>
      </c>
      <c r="T9" s="37" t="str">
        <f>Roster!U51</f>
        <v>.</v>
      </c>
      <c r="U9" s="37" t="str">
        <f>Roster!V51</f>
        <v>.</v>
      </c>
      <c r="V9" s="37" t="str">
        <f>Roster!W51</f>
        <v>.</v>
      </c>
      <c r="W9" s="37" t="str">
        <f>Roster!X51</f>
        <v>.</v>
      </c>
      <c r="X9" s="37" t="str">
        <f>Roster!Y51</f>
        <v>.</v>
      </c>
      <c r="Y9" s="37" t="str">
        <f>Roster!Z51</f>
        <v>.</v>
      </c>
      <c r="Z9" s="37" t="str">
        <f>Roster!AA51</f>
        <v>.</v>
      </c>
      <c r="AA9" s="37" t="str">
        <f>Roster!AB51</f>
        <v>.</v>
      </c>
      <c r="AB9" s="37" t="str">
        <f>Roster!AC51</f>
        <v>.</v>
      </c>
      <c r="AC9" s="37" t="str">
        <f>Roster!AD51</f>
        <v>.</v>
      </c>
      <c r="AD9" s="37" t="str">
        <f>Roster!AE51</f>
        <v>.</v>
      </c>
      <c r="AE9" s="37" t="str">
        <f>Roster!AF51</f>
        <v>.</v>
      </c>
      <c r="AF9" s="37" t="str">
        <f>Roster!AG51</f>
        <v>.</v>
      </c>
      <c r="AG9" s="38" t="str">
        <f>Roster!AH51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Roster!D82</f>
        <v>.</v>
      </c>
      <c r="D12" s="37" t="str">
        <f>Roster!E82</f>
        <v>.</v>
      </c>
      <c r="E12" s="37" t="str">
        <f>Roster!F82</f>
        <v>.</v>
      </c>
      <c r="F12" s="37" t="str">
        <f>Roster!G82</f>
        <v>.</v>
      </c>
      <c r="G12" s="37" t="str">
        <f>Roster!H82</f>
        <v>.</v>
      </c>
      <c r="H12" s="37" t="str">
        <f>Roster!I82</f>
        <v>.</v>
      </c>
      <c r="I12" s="37" t="str">
        <f>Roster!J82</f>
        <v>.</v>
      </c>
      <c r="J12" s="37" t="str">
        <f>Roster!K82</f>
        <v>.</v>
      </c>
      <c r="K12" s="37" t="str">
        <f>Roster!L82</f>
        <v>.</v>
      </c>
      <c r="L12" s="37" t="str">
        <f>Roster!M82</f>
        <v>.</v>
      </c>
      <c r="M12" s="37" t="str">
        <f>Roster!N82</f>
        <v>.</v>
      </c>
      <c r="N12" s="37" t="str">
        <f>Roster!O82</f>
        <v>.</v>
      </c>
      <c r="O12" s="37" t="str">
        <f>Roster!P82</f>
        <v>.</v>
      </c>
      <c r="P12" s="37" t="str">
        <f>Roster!Q82</f>
        <v>.</v>
      </c>
      <c r="Q12" s="37" t="str">
        <f>Roster!R82</f>
        <v>.</v>
      </c>
      <c r="R12" s="37" t="str">
        <f>Roster!S82</f>
        <v>.</v>
      </c>
      <c r="S12" s="37" t="str">
        <f>Roster!T82</f>
        <v>.</v>
      </c>
      <c r="T12" s="37" t="str">
        <f>Roster!U82</f>
        <v>.</v>
      </c>
      <c r="U12" s="37" t="str">
        <f>Roster!V82</f>
        <v>.</v>
      </c>
      <c r="V12" s="37" t="str">
        <f>Roster!W82</f>
        <v>.</v>
      </c>
      <c r="W12" s="37" t="str">
        <f>Roster!X82</f>
        <v>.</v>
      </c>
      <c r="X12" s="37" t="str">
        <f>Roster!Y82</f>
        <v>.</v>
      </c>
      <c r="Y12" s="37" t="str">
        <f>Roster!Z82</f>
        <v>.</v>
      </c>
      <c r="Z12" s="37" t="str">
        <f>Roster!AA82</f>
        <v>.</v>
      </c>
      <c r="AA12" s="37" t="str">
        <f>Roster!AB82</f>
        <v>.</v>
      </c>
      <c r="AB12" s="37" t="str">
        <f>Roster!AC82</f>
        <v>.</v>
      </c>
      <c r="AC12" s="37" t="str">
        <f>Roster!AD82</f>
        <v>.</v>
      </c>
      <c r="AD12" s="37" t="str">
        <f>Roster!AE82</f>
        <v>.</v>
      </c>
      <c r="AE12" s="37" t="str">
        <f>Roster!AF82</f>
        <v>.</v>
      </c>
      <c r="AF12" s="38" t="str">
        <f>Roster!AG82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20" t="str">
        <f t="shared" si="3"/>
        <v>We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Roster!D113</f>
        <v>.</v>
      </c>
      <c r="D15" s="37" t="str">
        <f>Roster!E113</f>
        <v>.</v>
      </c>
      <c r="E15" s="37" t="str">
        <f>Roster!F113</f>
        <v>.</v>
      </c>
      <c r="F15" s="37" t="str">
        <f>Roster!G113</f>
        <v>.</v>
      </c>
      <c r="G15" s="37" t="str">
        <f>Roster!H113</f>
        <v>.</v>
      </c>
      <c r="H15" s="37" t="str">
        <f>Roster!I113</f>
        <v>.</v>
      </c>
      <c r="I15" s="37" t="str">
        <f>Roster!J113</f>
        <v>.</v>
      </c>
      <c r="J15" s="37" t="str">
        <f>Roster!K113</f>
        <v>.</v>
      </c>
      <c r="K15" s="37" t="str">
        <f>Roster!L113</f>
        <v>.</v>
      </c>
      <c r="L15" s="37" t="str">
        <f>Roster!M113</f>
        <v>.</v>
      </c>
      <c r="M15" s="37" t="str">
        <f>Roster!N113</f>
        <v>.</v>
      </c>
      <c r="N15" s="37" t="str">
        <f>Roster!O113</f>
        <v>.</v>
      </c>
      <c r="O15" s="37" t="str">
        <f>Roster!P113</f>
        <v>.</v>
      </c>
      <c r="P15" s="37" t="str">
        <f>Roster!Q113</f>
        <v>.</v>
      </c>
      <c r="Q15" s="37" t="str">
        <f>Roster!R113</f>
        <v>.</v>
      </c>
      <c r="R15" s="37" t="str">
        <f>Roster!S113</f>
        <v>.</v>
      </c>
      <c r="S15" s="37" t="str">
        <f>Roster!T113</f>
        <v>.</v>
      </c>
      <c r="T15" s="37" t="str">
        <f>Roster!U113</f>
        <v>.</v>
      </c>
      <c r="U15" s="37" t="str">
        <f>Roster!V113</f>
        <v>.</v>
      </c>
      <c r="V15" s="37" t="str">
        <f>Roster!W113</f>
        <v>.</v>
      </c>
      <c r="W15" s="37" t="str">
        <f>Roster!X113</f>
        <v>.</v>
      </c>
      <c r="X15" s="37" t="str">
        <f>Roster!Y113</f>
        <v>.</v>
      </c>
      <c r="Y15" s="37" t="str">
        <f>Roster!Z113</f>
        <v>.</v>
      </c>
      <c r="Z15" s="37" t="str">
        <f>Roster!AA113</f>
        <v>.</v>
      </c>
      <c r="AA15" s="37" t="str">
        <f>Roster!AB113</f>
        <v>.</v>
      </c>
      <c r="AB15" s="37" t="str">
        <f>Roster!AC113</f>
        <v>.</v>
      </c>
      <c r="AC15" s="37" t="str">
        <f>Roster!AD113</f>
        <v>.</v>
      </c>
      <c r="AD15" s="37" t="str">
        <f>Roster!AE113</f>
        <v>.</v>
      </c>
      <c r="AE15" s="37" t="str">
        <f>Roster!AF113</f>
        <v>.</v>
      </c>
      <c r="AF15" s="37" t="str">
        <f>Roster!AG113</f>
        <v>.</v>
      </c>
      <c r="AG15" s="38" t="str">
        <f>Roster!AH113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Roster!D144</f>
        <v>.</v>
      </c>
      <c r="D18" s="37" t="str">
        <f>Roster!E144</f>
        <v>.</v>
      </c>
      <c r="E18" s="37" t="str">
        <f>Roster!F144</f>
        <v>.</v>
      </c>
      <c r="F18" s="37" t="str">
        <f>Roster!G144</f>
        <v>.</v>
      </c>
      <c r="G18" s="37" t="str">
        <f>Roster!H144</f>
        <v>.</v>
      </c>
      <c r="H18" s="37" t="str">
        <f>Roster!I144</f>
        <v>.</v>
      </c>
      <c r="I18" s="37" t="str">
        <f>Roster!J144</f>
        <v>.</v>
      </c>
      <c r="J18" s="37" t="str">
        <f>Roster!K144</f>
        <v>.</v>
      </c>
      <c r="K18" s="37" t="str">
        <f>Roster!L144</f>
        <v>.</v>
      </c>
      <c r="L18" s="37" t="str">
        <f>Roster!M144</f>
        <v>.</v>
      </c>
      <c r="M18" s="37" t="str">
        <f>Roster!N144</f>
        <v>.</v>
      </c>
      <c r="N18" s="37" t="str">
        <f>Roster!O144</f>
        <v>.</v>
      </c>
      <c r="O18" s="37" t="str">
        <f>Roster!P144</f>
        <v>.</v>
      </c>
      <c r="P18" s="37" t="str">
        <f>Roster!Q144</f>
        <v>.</v>
      </c>
      <c r="Q18" s="37" t="str">
        <f>Roster!R144</f>
        <v>.</v>
      </c>
      <c r="R18" s="37" t="str">
        <f>Roster!S144</f>
        <v>.</v>
      </c>
      <c r="S18" s="37" t="str">
        <f>Roster!T144</f>
        <v>.</v>
      </c>
      <c r="T18" s="37" t="str">
        <f>Roster!U144</f>
        <v>.</v>
      </c>
      <c r="U18" s="37" t="str">
        <f>Roster!V144</f>
        <v>.</v>
      </c>
      <c r="V18" s="37" t="str">
        <f>Roster!W144</f>
        <v>.</v>
      </c>
      <c r="W18" s="37" t="str">
        <f>Roster!X144</f>
        <v>.</v>
      </c>
      <c r="X18" s="37" t="str">
        <f>Roster!Y144</f>
        <v>.</v>
      </c>
      <c r="Y18" s="37" t="str">
        <f>Roster!Z144</f>
        <v>.</v>
      </c>
      <c r="Z18" s="37" t="str">
        <f>Roster!AA144</f>
        <v>.</v>
      </c>
      <c r="AA18" s="37" t="str">
        <f>Roster!AB144</f>
        <v>.</v>
      </c>
      <c r="AB18" s="37" t="str">
        <f>Roster!AC144</f>
        <v>.</v>
      </c>
      <c r="AC18" s="37" t="str">
        <f>Roster!AD144</f>
        <v>.</v>
      </c>
      <c r="AD18" s="37" t="str">
        <f>Roster!AE144</f>
        <v>.</v>
      </c>
      <c r="AE18" s="37" t="str">
        <f>Roster!AF144</f>
        <v>.</v>
      </c>
      <c r="AF18" s="38" t="str">
        <f>Roster!AG144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Roster!D175</f>
        <v>.</v>
      </c>
      <c r="D21" s="37" t="str">
        <f>Roster!E175</f>
        <v>.</v>
      </c>
      <c r="E21" s="37" t="str">
        <f>Roster!F175</f>
        <v>.</v>
      </c>
      <c r="F21" s="37" t="str">
        <f>Roster!G175</f>
        <v>.</v>
      </c>
      <c r="G21" s="37" t="str">
        <f>Roster!H175</f>
        <v>.</v>
      </c>
      <c r="H21" s="37" t="str">
        <f>Roster!I175</f>
        <v>.</v>
      </c>
      <c r="I21" s="37" t="str">
        <f>Roster!J175</f>
        <v>.</v>
      </c>
      <c r="J21" s="37" t="str">
        <f>Roster!K175</f>
        <v>.</v>
      </c>
      <c r="K21" s="37" t="str">
        <f>Roster!L175</f>
        <v>.</v>
      </c>
      <c r="L21" s="37" t="str">
        <f>Roster!M175</f>
        <v>.</v>
      </c>
      <c r="M21" s="37" t="str">
        <f>Roster!N175</f>
        <v>.</v>
      </c>
      <c r="N21" s="37" t="str">
        <f>Roster!O175</f>
        <v>.</v>
      </c>
      <c r="O21" s="37" t="str">
        <f>Roster!P175</f>
        <v>.</v>
      </c>
      <c r="P21" s="37" t="str">
        <f>Roster!Q175</f>
        <v>.</v>
      </c>
      <c r="Q21" s="37" t="str">
        <f>Roster!R175</f>
        <v>.</v>
      </c>
      <c r="R21" s="37" t="str">
        <f>Roster!S175</f>
        <v>.</v>
      </c>
      <c r="S21" s="37" t="str">
        <f>Roster!T175</f>
        <v>.</v>
      </c>
      <c r="T21" s="37" t="str">
        <f>Roster!U175</f>
        <v>.</v>
      </c>
      <c r="U21" s="37" t="str">
        <f>Roster!V175</f>
        <v>.</v>
      </c>
      <c r="V21" s="37" t="str">
        <f>Roster!W175</f>
        <v>.</v>
      </c>
      <c r="W21" s="37" t="str">
        <f>Roster!X175</f>
        <v>.</v>
      </c>
      <c r="X21" s="37" t="str">
        <f>Roster!Y175</f>
        <v>.</v>
      </c>
      <c r="Y21" s="37" t="str">
        <f>Roster!Z175</f>
        <v>.</v>
      </c>
      <c r="Z21" s="37" t="str">
        <f>Roster!AA175</f>
        <v>.</v>
      </c>
      <c r="AA21" s="37" t="str">
        <f>Roster!AB175</f>
        <v>.</v>
      </c>
      <c r="AB21" s="37" t="str">
        <f>Roster!AC175</f>
        <v>.</v>
      </c>
      <c r="AC21" s="37" t="str">
        <f>Roster!AD175</f>
        <v>.</v>
      </c>
      <c r="AD21" s="37" t="str">
        <f>Roster!AE175</f>
        <v>.</v>
      </c>
      <c r="AE21" s="37" t="str">
        <f>Roster!AF175</f>
        <v>.</v>
      </c>
      <c r="AF21" s="37" t="str">
        <f>Roster!AG175</f>
        <v>.</v>
      </c>
      <c r="AG21" s="38" t="str">
        <f>Roster!AH175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52" t="str">
        <f>Roster!D206</f>
        <v>.</v>
      </c>
      <c r="D24" s="53" t="str">
        <f>Roster!E206</f>
        <v>.</v>
      </c>
      <c r="E24" s="53" t="str">
        <f>Roster!F206</f>
        <v>.</v>
      </c>
      <c r="F24" s="53" t="str">
        <f>Roster!G206</f>
        <v>.</v>
      </c>
      <c r="G24" s="53" t="str">
        <f>Roster!H206</f>
        <v>.</v>
      </c>
      <c r="H24" s="53" t="str">
        <f>Roster!I206</f>
        <v>.</v>
      </c>
      <c r="I24" s="53" t="str">
        <f>Roster!J206</f>
        <v>.</v>
      </c>
      <c r="J24" s="53" t="str">
        <f>Roster!K206</f>
        <v>.</v>
      </c>
      <c r="K24" s="53" t="str">
        <f>Roster!L206</f>
        <v>.</v>
      </c>
      <c r="L24" s="53" t="str">
        <f>Roster!M206</f>
        <v>.</v>
      </c>
      <c r="M24" s="53" t="str">
        <f>Roster!N206</f>
        <v>.</v>
      </c>
      <c r="N24" s="53" t="str">
        <f>Roster!O206</f>
        <v>.</v>
      </c>
      <c r="O24" s="53" t="str">
        <f>Roster!P206</f>
        <v>.</v>
      </c>
      <c r="P24" s="53" t="str">
        <f>Roster!Q206</f>
        <v>.</v>
      </c>
      <c r="Q24" s="53" t="str">
        <f>Roster!R206</f>
        <v>.</v>
      </c>
      <c r="R24" s="53" t="str">
        <f>Roster!S206</f>
        <v>.</v>
      </c>
      <c r="S24" s="53" t="str">
        <f>Roster!T206</f>
        <v>.</v>
      </c>
      <c r="T24" s="53" t="str">
        <f>Roster!U206</f>
        <v>.</v>
      </c>
      <c r="U24" s="53" t="str">
        <f>Roster!V206</f>
        <v>.</v>
      </c>
      <c r="V24" s="53" t="str">
        <f>Roster!W206</f>
        <v>.</v>
      </c>
      <c r="W24" s="53" t="str">
        <f>Roster!X206</f>
        <v>.</v>
      </c>
      <c r="X24" s="53" t="str">
        <f>Roster!Y206</f>
        <v>.</v>
      </c>
      <c r="Y24" s="53" t="str">
        <f>Roster!Z206</f>
        <v>.</v>
      </c>
      <c r="Z24" s="53" t="str">
        <f>Roster!AA206</f>
        <v>.</v>
      </c>
      <c r="AA24" s="53" t="str">
        <f>Roster!AB206</f>
        <v>.</v>
      </c>
      <c r="AB24" s="53" t="str">
        <f>Roster!AC206</f>
        <v>.</v>
      </c>
      <c r="AC24" s="53" t="str">
        <f>Roster!AD206</f>
        <v>.</v>
      </c>
      <c r="AD24" s="53" t="str">
        <f>Roster!AE206</f>
        <v>.</v>
      </c>
      <c r="AE24" s="53" t="str">
        <f>Roster!AF206</f>
        <v>.</v>
      </c>
      <c r="AF24" s="53" t="str">
        <f>Roster!AG206</f>
        <v>.</v>
      </c>
      <c r="AG24" s="54" t="str">
        <f>Roster!AH206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23"/>
      <c r="AG25" s="24"/>
    </row>
    <row r="26" spans="2:33" ht="14.4" thickTop="1" thickBot="1">
      <c r="B26" s="32" t="str">
        <f>Roster!$C$214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5">
        <v>29</v>
      </c>
      <c r="AF26" s="44"/>
    </row>
    <row r="27" spans="2:33" ht="14.4" thickTop="1" thickBot="1">
      <c r="B27" s="32" t="str">
        <f>CurYear</f>
        <v>2019</v>
      </c>
      <c r="C27" s="51" t="str">
        <f>Roster!D221</f>
        <v>.</v>
      </c>
      <c r="D27" s="37" t="str">
        <f>Roster!E221</f>
        <v>.</v>
      </c>
      <c r="E27" s="37" t="str">
        <f>Roster!F221</f>
        <v>.</v>
      </c>
      <c r="F27" s="37" t="str">
        <f>Roster!G221</f>
        <v>.</v>
      </c>
      <c r="G27" s="37" t="str">
        <f>Roster!H221</f>
        <v>.</v>
      </c>
      <c r="H27" s="37" t="str">
        <f>Roster!I221</f>
        <v>.</v>
      </c>
      <c r="I27" s="37" t="str">
        <f>Roster!J221</f>
        <v>.</v>
      </c>
      <c r="J27" s="37" t="str">
        <f>Roster!K221</f>
        <v>.</v>
      </c>
      <c r="K27" s="37" t="str">
        <f>Roster!L221</f>
        <v>.</v>
      </c>
      <c r="L27" s="37" t="str">
        <f>Roster!M221</f>
        <v>.</v>
      </c>
      <c r="M27" s="37" t="str">
        <f>Roster!N221</f>
        <v>.</v>
      </c>
      <c r="N27" s="37" t="str">
        <f>Roster!O221</f>
        <v>.</v>
      </c>
      <c r="O27" s="37" t="str">
        <f>Roster!P221</f>
        <v>.</v>
      </c>
      <c r="P27" s="37" t="str">
        <f>Roster!Q221</f>
        <v>.</v>
      </c>
      <c r="Q27" s="37" t="str">
        <f>Roster!R221</f>
        <v>.</v>
      </c>
      <c r="R27" s="37" t="str">
        <f>Roster!S221</f>
        <v>.</v>
      </c>
      <c r="S27" s="37" t="str">
        <f>Roster!T221</f>
        <v>.</v>
      </c>
      <c r="T27" s="37" t="str">
        <f>Roster!U221</f>
        <v>.</v>
      </c>
      <c r="U27" s="37" t="str">
        <f>Roster!V221</f>
        <v>.</v>
      </c>
      <c r="V27" s="37" t="str">
        <f>Roster!W221</f>
        <v>.</v>
      </c>
      <c r="W27" s="37" t="str">
        <f>Roster!X221</f>
        <v>.</v>
      </c>
      <c r="X27" s="37" t="str">
        <f>Roster!Y221</f>
        <v>.</v>
      </c>
      <c r="Y27" s="37" t="str">
        <f>Roster!Z221</f>
        <v>.</v>
      </c>
      <c r="Z27" s="37" t="str">
        <f>Roster!AA221</f>
        <v>.</v>
      </c>
      <c r="AA27" s="37" t="str">
        <f>Roster!AB221</f>
        <v>.</v>
      </c>
      <c r="AB27" s="37" t="str">
        <f>Roster!AC221</f>
        <v>.</v>
      </c>
      <c r="AC27" s="37" t="str">
        <f>Roster!AD221</f>
        <v>.</v>
      </c>
      <c r="AD27" s="43" t="str">
        <f>Roster!AE221</f>
        <v>.</v>
      </c>
      <c r="AE27" s="130">
        <f>Roster!AF221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26" t="str">
        <f t="shared" si="8"/>
        <v>Su</v>
      </c>
    </row>
    <row r="29" spans="2:33" ht="14.4" thickTop="1" thickBot="1">
      <c r="B29" s="32" t="str">
        <f>Roster!$C$229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Roster!D236</f>
        <v>.</v>
      </c>
      <c r="D30" s="37" t="str">
        <f>Roster!E236</f>
        <v>.</v>
      </c>
      <c r="E30" s="37" t="str">
        <f>Roster!F236</f>
        <v>.</v>
      </c>
      <c r="F30" s="37" t="str">
        <f>Roster!G236</f>
        <v>.</v>
      </c>
      <c r="G30" s="37" t="str">
        <f>Roster!H236</f>
        <v>.</v>
      </c>
      <c r="H30" s="37" t="str">
        <f>Roster!I236</f>
        <v>.</v>
      </c>
      <c r="I30" s="37" t="str">
        <f>Roster!J236</f>
        <v>.</v>
      </c>
      <c r="J30" s="37" t="str">
        <f>Roster!K236</f>
        <v>.</v>
      </c>
      <c r="K30" s="37" t="str">
        <f>Roster!L236</f>
        <v>.</v>
      </c>
      <c r="L30" s="37" t="str">
        <f>Roster!M236</f>
        <v>.</v>
      </c>
      <c r="M30" s="37" t="str">
        <f>Roster!N236</f>
        <v>.</v>
      </c>
      <c r="N30" s="37" t="str">
        <f>Roster!O236</f>
        <v>.</v>
      </c>
      <c r="O30" s="37" t="str">
        <f>Roster!P236</f>
        <v>.</v>
      </c>
      <c r="P30" s="37" t="str">
        <f>Roster!Q236</f>
        <v>.</v>
      </c>
      <c r="Q30" s="37" t="str">
        <f>Roster!R236</f>
        <v>.</v>
      </c>
      <c r="R30" s="37" t="str">
        <f>Roster!S236</f>
        <v>.</v>
      </c>
      <c r="S30" s="37" t="str">
        <f>Roster!T236</f>
        <v>.</v>
      </c>
      <c r="T30" s="37" t="str">
        <f>Roster!U236</f>
        <v>.</v>
      </c>
      <c r="U30" s="37" t="str">
        <f>Roster!V236</f>
        <v>.</v>
      </c>
      <c r="V30" s="37" t="str">
        <f>Roster!W236</f>
        <v>.</v>
      </c>
      <c r="W30" s="37" t="str">
        <f>Roster!X236</f>
        <v>.</v>
      </c>
      <c r="X30" s="37" t="str">
        <f>Roster!Y236</f>
        <v>.</v>
      </c>
      <c r="Y30" s="37" t="str">
        <f>Roster!Z236</f>
        <v>.</v>
      </c>
      <c r="Z30" s="37" t="str">
        <f>Roster!AA236</f>
        <v>.</v>
      </c>
      <c r="AA30" s="37" t="str">
        <f>Roster!AB236</f>
        <v>.</v>
      </c>
      <c r="AB30" s="37" t="str">
        <f>Roster!AC236</f>
        <v>.</v>
      </c>
      <c r="AC30" s="37" t="str">
        <f>Roster!AD236</f>
        <v>.</v>
      </c>
      <c r="AD30" s="37" t="str">
        <f>Roster!AE236</f>
        <v>.</v>
      </c>
      <c r="AE30" s="37" t="str">
        <f>Roster!AF236</f>
        <v>.</v>
      </c>
      <c r="AF30" s="37" t="str">
        <f>Roster!AG236</f>
        <v>.</v>
      </c>
      <c r="AG30" s="38" t="str">
        <f>Roster!AH236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Roster!$C$244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Roster!D251</f>
        <v>.</v>
      </c>
      <c r="D33" s="37" t="str">
        <f>Roster!E251</f>
        <v>.</v>
      </c>
      <c r="E33" s="37" t="str">
        <f>Roster!F251</f>
        <v>.</v>
      </c>
      <c r="F33" s="37" t="str">
        <f>Roster!G251</f>
        <v>.</v>
      </c>
      <c r="G33" s="37" t="str">
        <f>Roster!H251</f>
        <v>.</v>
      </c>
      <c r="H33" s="37" t="str">
        <f>Roster!I251</f>
        <v>.</v>
      </c>
      <c r="I33" s="37" t="str">
        <f>Roster!J251</f>
        <v>.</v>
      </c>
      <c r="J33" s="37" t="str">
        <f>Roster!K251</f>
        <v>.</v>
      </c>
      <c r="K33" s="37" t="str">
        <f>Roster!L251</f>
        <v>.</v>
      </c>
      <c r="L33" s="37" t="str">
        <f>Roster!M251</f>
        <v>.</v>
      </c>
      <c r="M33" s="37" t="str">
        <f>Roster!N251</f>
        <v>.</v>
      </c>
      <c r="N33" s="37" t="str">
        <f>Roster!O251</f>
        <v>.</v>
      </c>
      <c r="O33" s="37" t="str">
        <f>Roster!P251</f>
        <v>.</v>
      </c>
      <c r="P33" s="37" t="str">
        <f>Roster!Q251</f>
        <v>.</v>
      </c>
      <c r="Q33" s="37" t="str">
        <f>Roster!R251</f>
        <v>.</v>
      </c>
      <c r="R33" s="37" t="str">
        <f>Roster!S251</f>
        <v>.</v>
      </c>
      <c r="S33" s="37" t="str">
        <f>Roster!T251</f>
        <v>.</v>
      </c>
      <c r="T33" s="37" t="str">
        <f>Roster!U251</f>
        <v>.</v>
      </c>
      <c r="U33" s="37" t="str">
        <f>Roster!V251</f>
        <v>.</v>
      </c>
      <c r="V33" s="37" t="str">
        <f>Roster!W251</f>
        <v>.</v>
      </c>
      <c r="W33" s="37" t="str">
        <f>Roster!X251</f>
        <v>.</v>
      </c>
      <c r="X33" s="37" t="str">
        <f>Roster!Y251</f>
        <v>.</v>
      </c>
      <c r="Y33" s="37" t="str">
        <f>Roster!Z251</f>
        <v>.</v>
      </c>
      <c r="Z33" s="37" t="str">
        <f>Roster!AA251</f>
        <v>.</v>
      </c>
      <c r="AA33" s="37" t="str">
        <f>Roster!AB251</f>
        <v>.</v>
      </c>
      <c r="AB33" s="37" t="str">
        <f>Roster!AC251</f>
        <v>.</v>
      </c>
      <c r="AC33" s="37" t="str">
        <f>Roster!AD251</f>
        <v>.</v>
      </c>
      <c r="AD33" s="37" t="str">
        <f>Roster!AE251</f>
        <v>.</v>
      </c>
      <c r="AE33" s="37" t="str">
        <f>Roster!AF251</f>
        <v>.</v>
      </c>
      <c r="AF33" s="38" t="str">
        <f>Roster!AG251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20" t="str">
        <f t="shared" si="10"/>
        <v>Fr</v>
      </c>
    </row>
    <row r="35" spans="2:33" ht="14.4" thickTop="1" thickBot="1">
      <c r="B35" s="32" t="str">
        <f>Roster!$C$259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Roster!D266</f>
        <v>.</v>
      </c>
      <c r="D36" s="37" t="str">
        <f>Roster!E266</f>
        <v>.</v>
      </c>
      <c r="E36" s="37" t="str">
        <f>Roster!F266</f>
        <v>.</v>
      </c>
      <c r="F36" s="37" t="str">
        <f>Roster!G266</f>
        <v>.</v>
      </c>
      <c r="G36" s="37" t="str">
        <f>Roster!H266</f>
        <v>.</v>
      </c>
      <c r="H36" s="37" t="str">
        <f>Roster!I266</f>
        <v>.</v>
      </c>
      <c r="I36" s="37" t="str">
        <f>Roster!J266</f>
        <v>.</v>
      </c>
      <c r="J36" s="37" t="str">
        <f>Roster!K266</f>
        <v>.</v>
      </c>
      <c r="K36" s="37" t="str">
        <f>Roster!L266</f>
        <v>.</v>
      </c>
      <c r="L36" s="37" t="str">
        <f>Roster!M266</f>
        <v>.</v>
      </c>
      <c r="M36" s="37" t="str">
        <f>Roster!N266</f>
        <v>.</v>
      </c>
      <c r="N36" s="37" t="str">
        <f>Roster!O266</f>
        <v>.</v>
      </c>
      <c r="O36" s="37" t="str">
        <f>Roster!P266</f>
        <v>.</v>
      </c>
      <c r="P36" s="37" t="str">
        <f>Roster!Q266</f>
        <v>.</v>
      </c>
      <c r="Q36" s="37" t="str">
        <f>Roster!R266</f>
        <v>.</v>
      </c>
      <c r="R36" s="37" t="str">
        <f>Roster!S266</f>
        <v>.</v>
      </c>
      <c r="S36" s="37" t="str">
        <f>Roster!T266</f>
        <v>.</v>
      </c>
      <c r="T36" s="37" t="str">
        <f>Roster!U266</f>
        <v>.</v>
      </c>
      <c r="U36" s="37" t="str">
        <f>Roster!V266</f>
        <v>.</v>
      </c>
      <c r="V36" s="37" t="str">
        <f>Roster!W266</f>
        <v>.</v>
      </c>
      <c r="W36" s="37" t="str">
        <f>Roster!X266</f>
        <v>.</v>
      </c>
      <c r="X36" s="37" t="str">
        <f>Roster!Y266</f>
        <v>.</v>
      </c>
      <c r="Y36" s="37" t="str">
        <f>Roster!Z266</f>
        <v>.</v>
      </c>
      <c r="Z36" s="37" t="str">
        <f>Roster!AA266</f>
        <v>.</v>
      </c>
      <c r="AA36" s="37" t="str">
        <f>Roster!AB266</f>
        <v>.</v>
      </c>
      <c r="AB36" s="37" t="str">
        <f>Roster!AC266</f>
        <v>.</v>
      </c>
      <c r="AC36" s="37" t="str">
        <f>Roster!AD266</f>
        <v>.</v>
      </c>
      <c r="AD36" s="37" t="str">
        <f>Roster!AE266</f>
        <v>.</v>
      </c>
      <c r="AE36" s="37" t="str">
        <f>Roster!AF266</f>
        <v>.</v>
      </c>
      <c r="AF36" s="37" t="str">
        <f>Roster!AG266</f>
        <v>.</v>
      </c>
      <c r="AG36" s="38" t="str">
        <f>Roster!AH266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Roster!C274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Roster!D281</f>
        <v>.</v>
      </c>
      <c r="D39" s="37" t="str">
        <f>Roster!E281</f>
        <v>.</v>
      </c>
      <c r="E39" s="37" t="str">
        <f>Roster!F281</f>
        <v>.</v>
      </c>
      <c r="F39" s="37" t="str">
        <f>Roster!G281</f>
        <v>.</v>
      </c>
      <c r="G39" s="37" t="str">
        <f>Roster!H281</f>
        <v>.</v>
      </c>
      <c r="H39" s="37" t="str">
        <f>Roster!I281</f>
        <v>.</v>
      </c>
      <c r="I39" s="37" t="str">
        <f>Roster!J281</f>
        <v>.</v>
      </c>
      <c r="J39" s="37" t="str">
        <f>Roster!K281</f>
        <v>.</v>
      </c>
      <c r="K39" s="37" t="str">
        <f>Roster!L281</f>
        <v>.</v>
      </c>
      <c r="L39" s="37" t="str">
        <f>Roster!M281</f>
        <v>.</v>
      </c>
      <c r="M39" s="37" t="str">
        <f>Roster!N281</f>
        <v>.</v>
      </c>
      <c r="N39" s="37" t="str">
        <f>Roster!O281</f>
        <v>.</v>
      </c>
      <c r="O39" s="37" t="str">
        <f>Roster!P281</f>
        <v>.</v>
      </c>
      <c r="P39" s="37" t="str">
        <f>Roster!Q281</f>
        <v>.</v>
      </c>
      <c r="Q39" s="37" t="str">
        <f>Roster!R281</f>
        <v>.</v>
      </c>
      <c r="R39" s="37" t="str">
        <f>Roster!S281</f>
        <v>.</v>
      </c>
      <c r="S39" s="37" t="str">
        <f>Roster!T281</f>
        <v>.</v>
      </c>
      <c r="T39" s="37" t="str">
        <f>Roster!U281</f>
        <v>.</v>
      </c>
      <c r="U39" s="37" t="str">
        <f>Roster!V281</f>
        <v>.</v>
      </c>
      <c r="V39" s="37" t="str">
        <f>Roster!W281</f>
        <v>.</v>
      </c>
      <c r="W39" s="37" t="str">
        <f>Roster!X281</f>
        <v>.</v>
      </c>
      <c r="X39" s="37" t="str">
        <f>Roster!Y281</f>
        <v>.</v>
      </c>
      <c r="Y39" s="37" t="str">
        <f>Roster!Z281</f>
        <v>.</v>
      </c>
      <c r="Z39" s="37" t="str">
        <f>Roster!AA281</f>
        <v>.</v>
      </c>
      <c r="AA39" s="37" t="str">
        <f>Roster!AB281</f>
        <v>.</v>
      </c>
      <c r="AB39" s="37" t="str">
        <f>Roster!AC281</f>
        <v>.</v>
      </c>
      <c r="AC39" s="37" t="str">
        <f>Roster!AD281</f>
        <v>.</v>
      </c>
      <c r="AD39" s="37" t="str">
        <f>Roster!AE281</f>
        <v>.</v>
      </c>
      <c r="AE39" s="37" t="str">
        <f>Roster!AF281</f>
        <v>.</v>
      </c>
      <c r="AF39" s="38" t="str">
        <f>Roster!AG281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0"/>
      <c r="I3" s="142" t="s">
        <v>25</v>
      </c>
      <c r="R3" s="142" t="str">
        <f>EmpGName08 &amp;" " &amp; EmpSName08</f>
        <v xml:space="preserve">Bodd Odd </v>
      </c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20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Roster!D21</f>
        <v>.</v>
      </c>
      <c r="D6" s="37" t="str">
        <f>Roster!E21</f>
        <v>.</v>
      </c>
      <c r="E6" s="37" t="str">
        <f>Roster!F21</f>
        <v>.</v>
      </c>
      <c r="F6" s="37" t="str">
        <f>Roster!G21</f>
        <v>.</v>
      </c>
      <c r="G6" s="37" t="str">
        <f>Roster!H21</f>
        <v>.</v>
      </c>
      <c r="H6" s="37" t="str">
        <f>Roster!I21</f>
        <v>.</v>
      </c>
      <c r="I6" s="37" t="str">
        <f>Roster!J21</f>
        <v>.</v>
      </c>
      <c r="J6" s="37" t="str">
        <f>Roster!K21</f>
        <v>.</v>
      </c>
      <c r="K6" s="37" t="str">
        <f>Roster!L21</f>
        <v>.</v>
      </c>
      <c r="L6" s="37" t="str">
        <f>Roster!M21</f>
        <v>.</v>
      </c>
      <c r="M6" s="37" t="str">
        <f>Roster!N21</f>
        <v>.</v>
      </c>
      <c r="N6" s="37" t="str">
        <f>Roster!O21</f>
        <v>.</v>
      </c>
      <c r="O6" s="37" t="str">
        <f>Roster!P21</f>
        <v>.</v>
      </c>
      <c r="P6" s="37" t="str">
        <f>Roster!Q21</f>
        <v>.</v>
      </c>
      <c r="Q6" s="37" t="str">
        <f>Roster!R21</f>
        <v>.</v>
      </c>
      <c r="R6" s="37" t="str">
        <f>Roster!S21</f>
        <v>.</v>
      </c>
      <c r="S6" s="37" t="str">
        <f>Roster!T21</f>
        <v>.</v>
      </c>
      <c r="T6" s="37" t="str">
        <f>Roster!U21</f>
        <v>.</v>
      </c>
      <c r="U6" s="37" t="str">
        <f>Roster!V21</f>
        <v>.</v>
      </c>
      <c r="V6" s="37" t="str">
        <f>Roster!W21</f>
        <v>.</v>
      </c>
      <c r="W6" s="37" t="str">
        <f>Roster!X21</f>
        <v>.</v>
      </c>
      <c r="X6" s="37" t="str">
        <f>Roster!Y21</f>
        <v>.</v>
      </c>
      <c r="Y6" s="37" t="str">
        <f>Roster!Z21</f>
        <v>.</v>
      </c>
      <c r="Z6" s="37" t="str">
        <f>Roster!AA21</f>
        <v>.</v>
      </c>
      <c r="AA6" s="37" t="str">
        <f>Roster!AB21</f>
        <v>.</v>
      </c>
      <c r="AB6" s="37" t="str">
        <f>Roster!AC21</f>
        <v>.</v>
      </c>
      <c r="AC6" s="37" t="str">
        <f>Roster!AD21</f>
        <v>.</v>
      </c>
      <c r="AD6" s="37" t="str">
        <f>Roster!AE21</f>
        <v>.</v>
      </c>
      <c r="AE6" s="37" t="str">
        <f>Roster!AF21</f>
        <v>.</v>
      </c>
      <c r="AF6" s="37" t="str">
        <f>Roster!AG21</f>
        <v>.</v>
      </c>
      <c r="AG6" s="38" t="str">
        <f>Roster!AH21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Roster!D52</f>
        <v>.</v>
      </c>
      <c r="D9" s="39" t="str">
        <f>Roster!E52</f>
        <v>.</v>
      </c>
      <c r="E9" s="37" t="str">
        <f>Roster!F52</f>
        <v>.</v>
      </c>
      <c r="F9" s="37" t="str">
        <f>Roster!G52</f>
        <v>.</v>
      </c>
      <c r="G9" s="37" t="str">
        <f>Roster!H52</f>
        <v>.</v>
      </c>
      <c r="H9" s="37" t="str">
        <f>Roster!I52</f>
        <v>.</v>
      </c>
      <c r="I9" s="37" t="str">
        <f>Roster!J52</f>
        <v>.</v>
      </c>
      <c r="J9" s="37" t="str">
        <f>Roster!K52</f>
        <v>.</v>
      </c>
      <c r="K9" s="37" t="str">
        <f>Roster!L52</f>
        <v>.</v>
      </c>
      <c r="L9" s="37" t="str">
        <f>Roster!M52</f>
        <v>.</v>
      </c>
      <c r="M9" s="37" t="str">
        <f>Roster!N52</f>
        <v>.</v>
      </c>
      <c r="N9" s="37" t="str">
        <f>Roster!O52</f>
        <v>.</v>
      </c>
      <c r="O9" s="37" t="str">
        <f>Roster!P52</f>
        <v>.</v>
      </c>
      <c r="P9" s="37" t="str">
        <f>Roster!Q52</f>
        <v>.</v>
      </c>
      <c r="Q9" s="37" t="str">
        <f>Roster!R52</f>
        <v>.</v>
      </c>
      <c r="R9" s="37" t="str">
        <f>Roster!S52</f>
        <v>.</v>
      </c>
      <c r="S9" s="37" t="str">
        <f>Roster!T52</f>
        <v>.</v>
      </c>
      <c r="T9" s="37" t="str">
        <f>Roster!U52</f>
        <v>.</v>
      </c>
      <c r="U9" s="37" t="str">
        <f>Roster!V52</f>
        <v>.</v>
      </c>
      <c r="V9" s="37" t="str">
        <f>Roster!W52</f>
        <v>.</v>
      </c>
      <c r="W9" s="37" t="str">
        <f>Roster!X52</f>
        <v>.</v>
      </c>
      <c r="X9" s="37" t="str">
        <f>Roster!Y52</f>
        <v>.</v>
      </c>
      <c r="Y9" s="37" t="str">
        <f>Roster!Z52</f>
        <v>.</v>
      </c>
      <c r="Z9" s="37" t="str">
        <f>Roster!AA52</f>
        <v>.</v>
      </c>
      <c r="AA9" s="37" t="str">
        <f>Roster!AB52</f>
        <v>.</v>
      </c>
      <c r="AB9" s="37" t="str">
        <f>Roster!AC52</f>
        <v>.</v>
      </c>
      <c r="AC9" s="37" t="str">
        <f>Roster!AD52</f>
        <v>.</v>
      </c>
      <c r="AD9" s="37" t="str">
        <f>Roster!AE52</f>
        <v>.</v>
      </c>
      <c r="AE9" s="37" t="str">
        <f>Roster!AF52</f>
        <v>.</v>
      </c>
      <c r="AF9" s="37" t="str">
        <f>Roster!AG52</f>
        <v>.</v>
      </c>
      <c r="AG9" s="38" t="str">
        <f>Roster!AH52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Roster!D83</f>
        <v>.</v>
      </c>
      <c r="D12" s="37" t="str">
        <f>Roster!E83</f>
        <v>.</v>
      </c>
      <c r="E12" s="37" t="str">
        <f>Roster!F83</f>
        <v>.</v>
      </c>
      <c r="F12" s="37" t="str">
        <f>Roster!G83</f>
        <v>.</v>
      </c>
      <c r="G12" s="37" t="str">
        <f>Roster!H83</f>
        <v>.</v>
      </c>
      <c r="H12" s="37" t="str">
        <f>Roster!I83</f>
        <v>.</v>
      </c>
      <c r="I12" s="37" t="str">
        <f>Roster!J83</f>
        <v>.</v>
      </c>
      <c r="J12" s="37" t="str">
        <f>Roster!K83</f>
        <v>.</v>
      </c>
      <c r="K12" s="37" t="str">
        <f>Roster!L83</f>
        <v>.</v>
      </c>
      <c r="L12" s="37" t="str">
        <f>Roster!M83</f>
        <v>.</v>
      </c>
      <c r="M12" s="37" t="str">
        <f>Roster!N83</f>
        <v>.</v>
      </c>
      <c r="N12" s="37" t="str">
        <f>Roster!O83</f>
        <v>.</v>
      </c>
      <c r="O12" s="37" t="str">
        <f>Roster!P83</f>
        <v>.</v>
      </c>
      <c r="P12" s="37" t="str">
        <f>Roster!Q83</f>
        <v>.</v>
      </c>
      <c r="Q12" s="37" t="str">
        <f>Roster!R83</f>
        <v>.</v>
      </c>
      <c r="R12" s="37" t="str">
        <f>Roster!S83</f>
        <v>.</v>
      </c>
      <c r="S12" s="37" t="str">
        <f>Roster!T83</f>
        <v>.</v>
      </c>
      <c r="T12" s="37" t="str">
        <f>Roster!U83</f>
        <v>.</v>
      </c>
      <c r="U12" s="37" t="str">
        <f>Roster!V83</f>
        <v>.</v>
      </c>
      <c r="V12" s="37" t="str">
        <f>Roster!W83</f>
        <v>.</v>
      </c>
      <c r="W12" s="37" t="str">
        <f>Roster!X83</f>
        <v>.</v>
      </c>
      <c r="X12" s="37" t="str">
        <f>Roster!Y83</f>
        <v>.</v>
      </c>
      <c r="Y12" s="37" t="str">
        <f>Roster!Z83</f>
        <v>.</v>
      </c>
      <c r="Z12" s="37" t="str">
        <f>Roster!AA83</f>
        <v>.</v>
      </c>
      <c r="AA12" s="37" t="str">
        <f>Roster!AB83</f>
        <v>.</v>
      </c>
      <c r="AB12" s="37" t="str">
        <f>Roster!AC83</f>
        <v>.</v>
      </c>
      <c r="AC12" s="37" t="str">
        <f>Roster!AD83</f>
        <v>.</v>
      </c>
      <c r="AD12" s="37" t="str">
        <f>Roster!AE83</f>
        <v>.</v>
      </c>
      <c r="AE12" s="37" t="str">
        <f>Roster!AF83</f>
        <v>.</v>
      </c>
      <c r="AF12" s="38" t="str">
        <f>Roster!AG83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20" t="str">
        <f t="shared" si="3"/>
        <v>We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Roster!D114</f>
        <v>.</v>
      </c>
      <c r="D15" s="37" t="str">
        <f>Roster!E114</f>
        <v>.</v>
      </c>
      <c r="E15" s="37" t="str">
        <f>Roster!F114</f>
        <v>.</v>
      </c>
      <c r="F15" s="37" t="str">
        <f>Roster!G114</f>
        <v>.</v>
      </c>
      <c r="G15" s="37" t="str">
        <f>Roster!H114</f>
        <v>.</v>
      </c>
      <c r="H15" s="37" t="str">
        <f>Roster!I114</f>
        <v>.</v>
      </c>
      <c r="I15" s="37" t="str">
        <f>Roster!J114</f>
        <v>.</v>
      </c>
      <c r="J15" s="37" t="str">
        <f>Roster!K114</f>
        <v>.</v>
      </c>
      <c r="K15" s="37" t="str">
        <f>Roster!L114</f>
        <v>.</v>
      </c>
      <c r="L15" s="37" t="str">
        <f>Roster!M114</f>
        <v>.</v>
      </c>
      <c r="M15" s="37" t="str">
        <f>Roster!N114</f>
        <v>.</v>
      </c>
      <c r="N15" s="37" t="str">
        <f>Roster!O114</f>
        <v>.</v>
      </c>
      <c r="O15" s="37" t="str">
        <f>Roster!P114</f>
        <v>.</v>
      </c>
      <c r="P15" s="37" t="str">
        <f>Roster!Q114</f>
        <v>.</v>
      </c>
      <c r="Q15" s="37" t="str">
        <f>Roster!R114</f>
        <v>.</v>
      </c>
      <c r="R15" s="37" t="str">
        <f>Roster!S114</f>
        <v>.</v>
      </c>
      <c r="S15" s="37" t="str">
        <f>Roster!T114</f>
        <v>.</v>
      </c>
      <c r="T15" s="37" t="str">
        <f>Roster!U114</f>
        <v>.</v>
      </c>
      <c r="U15" s="37" t="str">
        <f>Roster!V114</f>
        <v>.</v>
      </c>
      <c r="V15" s="37" t="str">
        <f>Roster!W114</f>
        <v>.</v>
      </c>
      <c r="W15" s="37" t="str">
        <f>Roster!X114</f>
        <v>.</v>
      </c>
      <c r="X15" s="37" t="str">
        <f>Roster!Y114</f>
        <v>.</v>
      </c>
      <c r="Y15" s="37" t="str">
        <f>Roster!Z114</f>
        <v>.</v>
      </c>
      <c r="Z15" s="37" t="str">
        <f>Roster!AA114</f>
        <v>.</v>
      </c>
      <c r="AA15" s="37" t="str">
        <f>Roster!AB114</f>
        <v>.</v>
      </c>
      <c r="AB15" s="37" t="str">
        <f>Roster!AC114</f>
        <v>.</v>
      </c>
      <c r="AC15" s="37" t="str">
        <f>Roster!AD114</f>
        <v>.</v>
      </c>
      <c r="AD15" s="37" t="str">
        <f>Roster!AE114</f>
        <v>.</v>
      </c>
      <c r="AE15" s="37" t="str">
        <f>Roster!AF114</f>
        <v>.</v>
      </c>
      <c r="AF15" s="37" t="str">
        <f>Roster!AG114</f>
        <v>.</v>
      </c>
      <c r="AG15" s="38" t="str">
        <f>Roster!AH114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Roster!D145</f>
        <v>.</v>
      </c>
      <c r="D18" s="37" t="str">
        <f>Roster!E145</f>
        <v>.</v>
      </c>
      <c r="E18" s="37" t="str">
        <f>Roster!F145</f>
        <v>.</v>
      </c>
      <c r="F18" s="37" t="str">
        <f>Roster!G145</f>
        <v>.</v>
      </c>
      <c r="G18" s="37" t="str">
        <f>Roster!H145</f>
        <v>.</v>
      </c>
      <c r="H18" s="37" t="str">
        <f>Roster!I145</f>
        <v>.</v>
      </c>
      <c r="I18" s="37" t="str">
        <f>Roster!J145</f>
        <v>.</v>
      </c>
      <c r="J18" s="37" t="str">
        <f>Roster!K145</f>
        <v>.</v>
      </c>
      <c r="K18" s="37" t="str">
        <f>Roster!L145</f>
        <v>.</v>
      </c>
      <c r="L18" s="37" t="str">
        <f>Roster!M145</f>
        <v>.</v>
      </c>
      <c r="M18" s="37" t="str">
        <f>Roster!N145</f>
        <v>.</v>
      </c>
      <c r="N18" s="37" t="str">
        <f>Roster!O145</f>
        <v>.</v>
      </c>
      <c r="O18" s="37" t="str">
        <f>Roster!P145</f>
        <v>.</v>
      </c>
      <c r="P18" s="37" t="str">
        <f>Roster!Q145</f>
        <v>.</v>
      </c>
      <c r="Q18" s="37" t="str">
        <f>Roster!R145</f>
        <v>.</v>
      </c>
      <c r="R18" s="37" t="str">
        <f>Roster!S145</f>
        <v>.</v>
      </c>
      <c r="S18" s="37" t="str">
        <f>Roster!T145</f>
        <v>.</v>
      </c>
      <c r="T18" s="37" t="str">
        <f>Roster!U145</f>
        <v>.</v>
      </c>
      <c r="U18" s="37" t="str">
        <f>Roster!V145</f>
        <v>.</v>
      </c>
      <c r="V18" s="37" t="str">
        <f>Roster!W145</f>
        <v>.</v>
      </c>
      <c r="W18" s="37" t="str">
        <f>Roster!X145</f>
        <v>.</v>
      </c>
      <c r="X18" s="37" t="str">
        <f>Roster!Y145</f>
        <v>.</v>
      </c>
      <c r="Y18" s="37" t="str">
        <f>Roster!Z145</f>
        <v>.</v>
      </c>
      <c r="Z18" s="37" t="str">
        <f>Roster!AA145</f>
        <v>.</v>
      </c>
      <c r="AA18" s="37" t="str">
        <f>Roster!AB145</f>
        <v>.</v>
      </c>
      <c r="AB18" s="37" t="str">
        <f>Roster!AC145</f>
        <v>.</v>
      </c>
      <c r="AC18" s="37" t="str">
        <f>Roster!AD145</f>
        <v>.</v>
      </c>
      <c r="AD18" s="37" t="str">
        <f>Roster!AE145</f>
        <v>.</v>
      </c>
      <c r="AE18" s="37" t="str">
        <f>Roster!AF145</f>
        <v>.</v>
      </c>
      <c r="AF18" s="38" t="str">
        <f>Roster!AG145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Roster!D176</f>
        <v>.</v>
      </c>
      <c r="D21" s="37" t="str">
        <f>Roster!E176</f>
        <v>.</v>
      </c>
      <c r="E21" s="37" t="str">
        <f>Roster!F176</f>
        <v>.</v>
      </c>
      <c r="F21" s="37" t="str">
        <f>Roster!G176</f>
        <v>.</v>
      </c>
      <c r="G21" s="37" t="str">
        <f>Roster!H176</f>
        <v>.</v>
      </c>
      <c r="H21" s="37" t="str">
        <f>Roster!I176</f>
        <v>.</v>
      </c>
      <c r="I21" s="37" t="str">
        <f>Roster!J176</f>
        <v>.</v>
      </c>
      <c r="J21" s="37" t="str">
        <f>Roster!K176</f>
        <v>.</v>
      </c>
      <c r="K21" s="37" t="str">
        <f>Roster!L176</f>
        <v>.</v>
      </c>
      <c r="L21" s="37" t="str">
        <f>Roster!M176</f>
        <v>.</v>
      </c>
      <c r="M21" s="37" t="str">
        <f>Roster!N176</f>
        <v>.</v>
      </c>
      <c r="N21" s="37" t="str">
        <f>Roster!O176</f>
        <v>.</v>
      </c>
      <c r="O21" s="37" t="str">
        <f>Roster!P176</f>
        <v>.</v>
      </c>
      <c r="P21" s="37" t="str">
        <f>Roster!Q176</f>
        <v>.</v>
      </c>
      <c r="Q21" s="37" t="str">
        <f>Roster!R176</f>
        <v>.</v>
      </c>
      <c r="R21" s="37" t="str">
        <f>Roster!S176</f>
        <v>.</v>
      </c>
      <c r="S21" s="37" t="str">
        <f>Roster!T176</f>
        <v>.</v>
      </c>
      <c r="T21" s="37" t="str">
        <f>Roster!U176</f>
        <v>.</v>
      </c>
      <c r="U21" s="37" t="str">
        <f>Roster!V176</f>
        <v>.</v>
      </c>
      <c r="V21" s="37" t="str">
        <f>Roster!W176</f>
        <v>.</v>
      </c>
      <c r="W21" s="37" t="str">
        <f>Roster!X176</f>
        <v>.</v>
      </c>
      <c r="X21" s="37" t="str">
        <f>Roster!Y176</f>
        <v>.</v>
      </c>
      <c r="Y21" s="37" t="str">
        <f>Roster!Z176</f>
        <v>.</v>
      </c>
      <c r="Z21" s="37" t="str">
        <f>Roster!AA176</f>
        <v>.</v>
      </c>
      <c r="AA21" s="37" t="str">
        <f>Roster!AB176</f>
        <v>.</v>
      </c>
      <c r="AB21" s="37" t="str">
        <f>Roster!AC176</f>
        <v>.</v>
      </c>
      <c r="AC21" s="37" t="str">
        <f>Roster!AD176</f>
        <v>.</v>
      </c>
      <c r="AD21" s="37" t="str">
        <f>Roster!AE176</f>
        <v>.</v>
      </c>
      <c r="AE21" s="37" t="str">
        <f>Roster!AF176</f>
        <v>.</v>
      </c>
      <c r="AF21" s="37" t="str">
        <f>Roster!AG176</f>
        <v>.</v>
      </c>
      <c r="AG21" s="38" t="str">
        <f>Roster!AH176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52" t="str">
        <f>Roster!D207</f>
        <v>.</v>
      </c>
      <c r="D24" s="53" t="str">
        <f>Roster!E207</f>
        <v>.</v>
      </c>
      <c r="E24" s="53" t="str">
        <f>Roster!F207</f>
        <v>.</v>
      </c>
      <c r="F24" s="53" t="str">
        <f>Roster!G207</f>
        <v>.</v>
      </c>
      <c r="G24" s="53" t="str">
        <f>Roster!H207</f>
        <v>.</v>
      </c>
      <c r="H24" s="53" t="str">
        <f>Roster!I207</f>
        <v>.</v>
      </c>
      <c r="I24" s="53" t="str">
        <f>Roster!J207</f>
        <v>.</v>
      </c>
      <c r="J24" s="53" t="str">
        <f>Roster!K207</f>
        <v>.</v>
      </c>
      <c r="K24" s="53" t="str">
        <f>Roster!L207</f>
        <v>.</v>
      </c>
      <c r="L24" s="53" t="str">
        <f>Roster!M207</f>
        <v>.</v>
      </c>
      <c r="M24" s="53" t="str">
        <f>Roster!N207</f>
        <v>.</v>
      </c>
      <c r="N24" s="53" t="str">
        <f>Roster!O207</f>
        <v>.</v>
      </c>
      <c r="O24" s="53" t="str">
        <f>Roster!P207</f>
        <v>.</v>
      </c>
      <c r="P24" s="53" t="str">
        <f>Roster!Q207</f>
        <v>.</v>
      </c>
      <c r="Q24" s="53" t="str">
        <f>Roster!R207</f>
        <v>.</v>
      </c>
      <c r="R24" s="53" t="str">
        <f>Roster!S207</f>
        <v>.</v>
      </c>
      <c r="S24" s="53" t="str">
        <f>Roster!T207</f>
        <v>.</v>
      </c>
      <c r="T24" s="53" t="str">
        <f>Roster!U207</f>
        <v>.</v>
      </c>
      <c r="U24" s="53" t="str">
        <f>Roster!V207</f>
        <v>.</v>
      </c>
      <c r="V24" s="53" t="str">
        <f>Roster!W207</f>
        <v>.</v>
      </c>
      <c r="W24" s="53" t="str">
        <f>Roster!X207</f>
        <v>.</v>
      </c>
      <c r="X24" s="53" t="str">
        <f>Roster!Y207</f>
        <v>.</v>
      </c>
      <c r="Y24" s="53" t="str">
        <f>Roster!Z207</f>
        <v>.</v>
      </c>
      <c r="Z24" s="53" t="str">
        <f>Roster!AA207</f>
        <v>.</v>
      </c>
      <c r="AA24" s="53" t="str">
        <f>Roster!AB207</f>
        <v>.</v>
      </c>
      <c r="AB24" s="53" t="str">
        <f>Roster!AC207</f>
        <v>.</v>
      </c>
      <c r="AC24" s="53" t="str">
        <f>Roster!AD207</f>
        <v>.</v>
      </c>
      <c r="AD24" s="53" t="str">
        <f>Roster!AE207</f>
        <v>.</v>
      </c>
      <c r="AE24" s="53" t="str">
        <f>Roster!AF207</f>
        <v>.</v>
      </c>
      <c r="AF24" s="53" t="str">
        <f>Roster!AG207</f>
        <v>.</v>
      </c>
      <c r="AG24" s="54" t="str">
        <f>Roster!AH207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23"/>
      <c r="AG25" s="24"/>
    </row>
    <row r="26" spans="2:33" ht="14.4" thickTop="1" thickBot="1">
      <c r="B26" s="32" t="str">
        <f>Roster!$C$214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5">
        <v>29</v>
      </c>
      <c r="AF26" s="44"/>
    </row>
    <row r="27" spans="2:33" ht="14.4" thickTop="1" thickBot="1">
      <c r="B27" s="32" t="str">
        <f>CurYear</f>
        <v>2019</v>
      </c>
      <c r="C27" s="51" t="str">
        <f>Roster!D222</f>
        <v>.</v>
      </c>
      <c r="D27" s="37" t="str">
        <f>Roster!E222</f>
        <v>.</v>
      </c>
      <c r="E27" s="37" t="str">
        <f>Roster!F222</f>
        <v>.</v>
      </c>
      <c r="F27" s="37" t="str">
        <f>Roster!G222</f>
        <v>.</v>
      </c>
      <c r="G27" s="37" t="str">
        <f>Roster!H222</f>
        <v>.</v>
      </c>
      <c r="H27" s="37" t="str">
        <f>Roster!I222</f>
        <v>.</v>
      </c>
      <c r="I27" s="37" t="str">
        <f>Roster!J222</f>
        <v>.</v>
      </c>
      <c r="J27" s="37" t="str">
        <f>Roster!K222</f>
        <v>.</v>
      </c>
      <c r="K27" s="37" t="str">
        <f>Roster!L222</f>
        <v>.</v>
      </c>
      <c r="L27" s="37" t="str">
        <f>Roster!M222</f>
        <v>.</v>
      </c>
      <c r="M27" s="37" t="str">
        <f>Roster!N222</f>
        <v>.</v>
      </c>
      <c r="N27" s="37" t="str">
        <f>Roster!O222</f>
        <v>.</v>
      </c>
      <c r="O27" s="37" t="str">
        <f>Roster!P222</f>
        <v>.</v>
      </c>
      <c r="P27" s="37" t="str">
        <f>Roster!Q222</f>
        <v>.</v>
      </c>
      <c r="Q27" s="37" t="str">
        <f>Roster!R222</f>
        <v>.</v>
      </c>
      <c r="R27" s="37" t="str">
        <f>Roster!S222</f>
        <v>.</v>
      </c>
      <c r="S27" s="37" t="str">
        <f>Roster!T222</f>
        <v>.</v>
      </c>
      <c r="T27" s="37" t="str">
        <f>Roster!U222</f>
        <v>.</v>
      </c>
      <c r="U27" s="37" t="str">
        <f>Roster!V222</f>
        <v>.</v>
      </c>
      <c r="V27" s="37" t="str">
        <f>Roster!W222</f>
        <v>.</v>
      </c>
      <c r="W27" s="37" t="str">
        <f>Roster!X222</f>
        <v>.</v>
      </c>
      <c r="X27" s="37" t="str">
        <f>Roster!Y222</f>
        <v>.</v>
      </c>
      <c r="Y27" s="37" t="str">
        <f>Roster!Z222</f>
        <v>.</v>
      </c>
      <c r="Z27" s="37" t="str">
        <f>Roster!AA222</f>
        <v>.</v>
      </c>
      <c r="AA27" s="37" t="str">
        <f>Roster!AB222</f>
        <v>.</v>
      </c>
      <c r="AB27" s="37" t="str">
        <f>Roster!AC222</f>
        <v>.</v>
      </c>
      <c r="AC27" s="37" t="str">
        <f>Roster!AD222</f>
        <v>.</v>
      </c>
      <c r="AD27" s="43" t="str">
        <f>Roster!AE222</f>
        <v>.</v>
      </c>
      <c r="AE27" s="130">
        <f>Roster!AF222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26" t="str">
        <f t="shared" si="8"/>
        <v>Su</v>
      </c>
    </row>
    <row r="29" spans="2:33" ht="14.4" thickTop="1" thickBot="1">
      <c r="B29" s="32" t="str">
        <f>Roster!$C$229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Roster!D237</f>
        <v>.</v>
      </c>
      <c r="D30" s="37" t="str">
        <f>Roster!E237</f>
        <v>.</v>
      </c>
      <c r="E30" s="37" t="str">
        <f>Roster!F237</f>
        <v>.</v>
      </c>
      <c r="F30" s="37" t="str">
        <f>Roster!G237</f>
        <v>.</v>
      </c>
      <c r="G30" s="37" t="str">
        <f>Roster!H237</f>
        <v>.</v>
      </c>
      <c r="H30" s="37" t="str">
        <f>Roster!I237</f>
        <v>.</v>
      </c>
      <c r="I30" s="37" t="str">
        <f>Roster!J237</f>
        <v>.</v>
      </c>
      <c r="J30" s="37" t="str">
        <f>Roster!K237</f>
        <v>.</v>
      </c>
      <c r="K30" s="37" t="str">
        <f>Roster!L237</f>
        <v>.</v>
      </c>
      <c r="L30" s="37" t="str">
        <f>Roster!M237</f>
        <v>.</v>
      </c>
      <c r="M30" s="37" t="str">
        <f>Roster!N237</f>
        <v>.</v>
      </c>
      <c r="N30" s="37" t="str">
        <f>Roster!O237</f>
        <v>.</v>
      </c>
      <c r="O30" s="37" t="str">
        <f>Roster!P237</f>
        <v>.</v>
      </c>
      <c r="P30" s="37" t="str">
        <f>Roster!Q237</f>
        <v>.</v>
      </c>
      <c r="Q30" s="37" t="str">
        <f>Roster!R237</f>
        <v>.</v>
      </c>
      <c r="R30" s="37" t="str">
        <f>Roster!S237</f>
        <v>.</v>
      </c>
      <c r="S30" s="37" t="str">
        <f>Roster!T237</f>
        <v>.</v>
      </c>
      <c r="T30" s="37" t="str">
        <f>Roster!U237</f>
        <v>.</v>
      </c>
      <c r="U30" s="37" t="str">
        <f>Roster!V237</f>
        <v>.</v>
      </c>
      <c r="V30" s="37" t="str">
        <f>Roster!W237</f>
        <v>.</v>
      </c>
      <c r="W30" s="37" t="str">
        <f>Roster!X237</f>
        <v>.</v>
      </c>
      <c r="X30" s="37" t="str">
        <f>Roster!Y237</f>
        <v>.</v>
      </c>
      <c r="Y30" s="37" t="str">
        <f>Roster!Z237</f>
        <v>.</v>
      </c>
      <c r="Z30" s="37" t="str">
        <f>Roster!AA237</f>
        <v>.</v>
      </c>
      <c r="AA30" s="37" t="str">
        <f>Roster!AB237</f>
        <v>.</v>
      </c>
      <c r="AB30" s="37" t="str">
        <f>Roster!AC237</f>
        <v>.</v>
      </c>
      <c r="AC30" s="37" t="str">
        <f>Roster!AD237</f>
        <v>.</v>
      </c>
      <c r="AD30" s="37" t="str">
        <f>Roster!AE237</f>
        <v>.</v>
      </c>
      <c r="AE30" s="37" t="str">
        <f>Roster!AF237</f>
        <v>.</v>
      </c>
      <c r="AF30" s="37" t="str">
        <f>Roster!AG237</f>
        <v>.</v>
      </c>
      <c r="AG30" s="38" t="str">
        <f>Roster!AH237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Roster!$C$244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Roster!D252</f>
        <v>.</v>
      </c>
      <c r="D33" s="37" t="str">
        <f>Roster!E252</f>
        <v>.</v>
      </c>
      <c r="E33" s="37" t="str">
        <f>Roster!F252</f>
        <v>.</v>
      </c>
      <c r="F33" s="37" t="str">
        <f>Roster!G252</f>
        <v>.</v>
      </c>
      <c r="G33" s="37" t="str">
        <f>Roster!H252</f>
        <v>.</v>
      </c>
      <c r="H33" s="37" t="str">
        <f>Roster!I252</f>
        <v>.</v>
      </c>
      <c r="I33" s="37" t="str">
        <f>Roster!J252</f>
        <v>.</v>
      </c>
      <c r="J33" s="37" t="str">
        <f>Roster!K252</f>
        <v>.</v>
      </c>
      <c r="K33" s="37" t="str">
        <f>Roster!L252</f>
        <v>.</v>
      </c>
      <c r="L33" s="37" t="str">
        <f>Roster!M252</f>
        <v>.</v>
      </c>
      <c r="M33" s="37" t="str">
        <f>Roster!N252</f>
        <v>.</v>
      </c>
      <c r="N33" s="37" t="str">
        <f>Roster!O252</f>
        <v>.</v>
      </c>
      <c r="O33" s="37" t="str">
        <f>Roster!P252</f>
        <v>.</v>
      </c>
      <c r="P33" s="37" t="str">
        <f>Roster!Q252</f>
        <v>.</v>
      </c>
      <c r="Q33" s="37" t="str">
        <f>Roster!R252</f>
        <v>.</v>
      </c>
      <c r="R33" s="37" t="str">
        <f>Roster!S252</f>
        <v>.</v>
      </c>
      <c r="S33" s="37" t="str">
        <f>Roster!T252</f>
        <v>.</v>
      </c>
      <c r="T33" s="37" t="str">
        <f>Roster!U252</f>
        <v>.</v>
      </c>
      <c r="U33" s="37" t="str">
        <f>Roster!V252</f>
        <v>.</v>
      </c>
      <c r="V33" s="37" t="str">
        <f>Roster!W252</f>
        <v>.</v>
      </c>
      <c r="W33" s="37" t="str">
        <f>Roster!X252</f>
        <v>.</v>
      </c>
      <c r="X33" s="37" t="str">
        <f>Roster!Y252</f>
        <v>.</v>
      </c>
      <c r="Y33" s="37" t="str">
        <f>Roster!Z252</f>
        <v>.</v>
      </c>
      <c r="Z33" s="37" t="str">
        <f>Roster!AA252</f>
        <v>.</v>
      </c>
      <c r="AA33" s="37" t="str">
        <f>Roster!AB252</f>
        <v>.</v>
      </c>
      <c r="AB33" s="37" t="str">
        <f>Roster!AC252</f>
        <v>.</v>
      </c>
      <c r="AC33" s="37" t="str">
        <f>Roster!AD252</f>
        <v>.</v>
      </c>
      <c r="AD33" s="37" t="str">
        <f>Roster!AE252</f>
        <v>.</v>
      </c>
      <c r="AE33" s="37" t="str">
        <f>Roster!AF252</f>
        <v>.</v>
      </c>
      <c r="AF33" s="38" t="str">
        <f>Roster!AG252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20" t="str">
        <f t="shared" si="10"/>
        <v>Fr</v>
      </c>
    </row>
    <row r="35" spans="2:33" ht="14.4" thickTop="1" thickBot="1">
      <c r="B35" s="32" t="str">
        <f>Roster!$C$259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Roster!D267</f>
        <v>.</v>
      </c>
      <c r="D36" s="37" t="str">
        <f>Roster!E267</f>
        <v>.</v>
      </c>
      <c r="E36" s="37" t="str">
        <f>Roster!F267</f>
        <v>.</v>
      </c>
      <c r="F36" s="37" t="str">
        <f>Roster!G267</f>
        <v>.</v>
      </c>
      <c r="G36" s="37" t="str">
        <f>Roster!H267</f>
        <v>.</v>
      </c>
      <c r="H36" s="37" t="str">
        <f>Roster!I267</f>
        <v>.</v>
      </c>
      <c r="I36" s="37" t="str">
        <f>Roster!J267</f>
        <v>.</v>
      </c>
      <c r="J36" s="37" t="str">
        <f>Roster!K267</f>
        <v>.</v>
      </c>
      <c r="K36" s="37" t="str">
        <f>Roster!L267</f>
        <v>.</v>
      </c>
      <c r="L36" s="37" t="str">
        <f>Roster!M267</f>
        <v>.</v>
      </c>
      <c r="M36" s="37" t="str">
        <f>Roster!N267</f>
        <v>.</v>
      </c>
      <c r="N36" s="37" t="str">
        <f>Roster!O267</f>
        <v>.</v>
      </c>
      <c r="O36" s="37" t="str">
        <f>Roster!P267</f>
        <v>.</v>
      </c>
      <c r="P36" s="37" t="str">
        <f>Roster!Q267</f>
        <v>.</v>
      </c>
      <c r="Q36" s="37" t="str">
        <f>Roster!R267</f>
        <v>.</v>
      </c>
      <c r="R36" s="37" t="str">
        <f>Roster!S267</f>
        <v>.</v>
      </c>
      <c r="S36" s="37" t="str">
        <f>Roster!T267</f>
        <v>.</v>
      </c>
      <c r="T36" s="37" t="str">
        <f>Roster!U267</f>
        <v>.</v>
      </c>
      <c r="U36" s="37" t="str">
        <f>Roster!V267</f>
        <v>.</v>
      </c>
      <c r="V36" s="37" t="str">
        <f>Roster!W267</f>
        <v>.</v>
      </c>
      <c r="W36" s="37" t="str">
        <f>Roster!X267</f>
        <v>.</v>
      </c>
      <c r="X36" s="37" t="str">
        <f>Roster!Y267</f>
        <v>.</v>
      </c>
      <c r="Y36" s="37" t="str">
        <f>Roster!Z267</f>
        <v>.</v>
      </c>
      <c r="Z36" s="37" t="str">
        <f>Roster!AA267</f>
        <v>.</v>
      </c>
      <c r="AA36" s="37" t="str">
        <f>Roster!AB267</f>
        <v>.</v>
      </c>
      <c r="AB36" s="37" t="str">
        <f>Roster!AC267</f>
        <v>.</v>
      </c>
      <c r="AC36" s="37" t="str">
        <f>Roster!AD267</f>
        <v>.</v>
      </c>
      <c r="AD36" s="37" t="str">
        <f>Roster!AE267</f>
        <v>.</v>
      </c>
      <c r="AE36" s="37" t="str">
        <f>Roster!AF267</f>
        <v>.</v>
      </c>
      <c r="AF36" s="37" t="str">
        <f>Roster!AG267</f>
        <v>.</v>
      </c>
      <c r="AG36" s="38" t="str">
        <f>Roster!AH267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Roster!C274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Roster!D282</f>
        <v>.</v>
      </c>
      <c r="D39" s="37" t="str">
        <f>Roster!E282</f>
        <v>.</v>
      </c>
      <c r="E39" s="37" t="str">
        <f>Roster!F282</f>
        <v>.</v>
      </c>
      <c r="F39" s="37" t="str">
        <f>Roster!G282</f>
        <v>.</v>
      </c>
      <c r="G39" s="37" t="str">
        <f>Roster!H282</f>
        <v>.</v>
      </c>
      <c r="H39" s="37" t="str">
        <f>Roster!I282</f>
        <v>.</v>
      </c>
      <c r="I39" s="37" t="str">
        <f>Roster!J282</f>
        <v>.</v>
      </c>
      <c r="J39" s="37" t="str">
        <f>Roster!K282</f>
        <v>.</v>
      </c>
      <c r="K39" s="37" t="str">
        <f>Roster!L282</f>
        <v>.</v>
      </c>
      <c r="L39" s="37" t="str">
        <f>Roster!M282</f>
        <v>.</v>
      </c>
      <c r="M39" s="37" t="str">
        <f>Roster!N282</f>
        <v>.</v>
      </c>
      <c r="N39" s="37" t="str">
        <f>Roster!O282</f>
        <v>.</v>
      </c>
      <c r="O39" s="37" t="str">
        <f>Roster!P282</f>
        <v>.</v>
      </c>
      <c r="P39" s="37" t="str">
        <f>Roster!Q282</f>
        <v>.</v>
      </c>
      <c r="Q39" s="37" t="str">
        <f>Roster!R282</f>
        <v>.</v>
      </c>
      <c r="R39" s="37" t="str">
        <f>Roster!S282</f>
        <v>.</v>
      </c>
      <c r="S39" s="37" t="str">
        <f>Roster!T282</f>
        <v>.</v>
      </c>
      <c r="T39" s="37" t="str">
        <f>Roster!U282</f>
        <v>.</v>
      </c>
      <c r="U39" s="37" t="str">
        <f>Roster!V282</f>
        <v>.</v>
      </c>
      <c r="V39" s="37" t="str">
        <f>Roster!W282</f>
        <v>.</v>
      </c>
      <c r="W39" s="37" t="str">
        <f>Roster!X282</f>
        <v>.</v>
      </c>
      <c r="X39" s="37" t="str">
        <f>Roster!Y282</f>
        <v>.</v>
      </c>
      <c r="Y39" s="37" t="str">
        <f>Roster!Z282</f>
        <v>.</v>
      </c>
      <c r="Z39" s="37" t="str">
        <f>Roster!AA282</f>
        <v>.</v>
      </c>
      <c r="AA39" s="37" t="str">
        <f>Roster!AB282</f>
        <v>.</v>
      </c>
      <c r="AB39" s="37" t="str">
        <f>Roster!AC282</f>
        <v>.</v>
      </c>
      <c r="AC39" s="37" t="str">
        <f>Roster!AD282</f>
        <v>.</v>
      </c>
      <c r="AD39" s="37" t="str">
        <f>Roster!AE282</f>
        <v>.</v>
      </c>
      <c r="AE39" s="37" t="str">
        <f>Roster!AF282</f>
        <v>.</v>
      </c>
      <c r="AF39" s="38" t="str">
        <f>Roster!AG282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9" t="s">
        <v>25</v>
      </c>
      <c r="R3" s="139" t="str">
        <f>EmpGName09 &amp;" " &amp; EmpSName09</f>
        <v>1Bod Odd1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8" thickBot="1">
      <c r="B4" s="143"/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106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Roster!D22</f>
        <v>.</v>
      </c>
      <c r="D6" s="37" t="str">
        <f>Roster!E22</f>
        <v>.</v>
      </c>
      <c r="E6" s="37" t="str">
        <f>Roster!F22</f>
        <v>.</v>
      </c>
      <c r="F6" s="37" t="str">
        <f>Roster!G22</f>
        <v>.</v>
      </c>
      <c r="G6" s="37" t="str">
        <f>Roster!H22</f>
        <v>.</v>
      </c>
      <c r="H6" s="37" t="str">
        <f>Roster!I22</f>
        <v>.</v>
      </c>
      <c r="I6" s="37" t="str">
        <f>Roster!J22</f>
        <v>.</v>
      </c>
      <c r="J6" s="37" t="str">
        <f>Roster!K22</f>
        <v>.</v>
      </c>
      <c r="K6" s="37" t="str">
        <f>Roster!L22</f>
        <v>.</v>
      </c>
      <c r="L6" s="37" t="str">
        <f>Roster!M22</f>
        <v>.</v>
      </c>
      <c r="M6" s="37" t="str">
        <f>Roster!N22</f>
        <v>.</v>
      </c>
      <c r="N6" s="37" t="str">
        <f>Roster!O22</f>
        <v>.</v>
      </c>
      <c r="O6" s="37" t="str">
        <f>Roster!P22</f>
        <v>.</v>
      </c>
      <c r="P6" s="37" t="str">
        <f>Roster!Q22</f>
        <v>.</v>
      </c>
      <c r="Q6" s="37" t="str">
        <f>Roster!R22</f>
        <v>.</v>
      </c>
      <c r="R6" s="37" t="str">
        <f>Roster!S22</f>
        <v>.</v>
      </c>
      <c r="S6" s="37" t="str">
        <f>Roster!T22</f>
        <v>.</v>
      </c>
      <c r="T6" s="37" t="str">
        <f>Roster!U22</f>
        <v>.</v>
      </c>
      <c r="U6" s="37" t="str">
        <f>Roster!V22</f>
        <v>.</v>
      </c>
      <c r="V6" s="37" t="str">
        <f>Roster!W22</f>
        <v>.</v>
      </c>
      <c r="W6" s="37" t="str">
        <f>Roster!X22</f>
        <v>.</v>
      </c>
      <c r="X6" s="37" t="str">
        <f>Roster!Y22</f>
        <v>.</v>
      </c>
      <c r="Y6" s="37" t="str">
        <f>Roster!Z22</f>
        <v>.</v>
      </c>
      <c r="Z6" s="37" t="str">
        <f>Roster!AA22</f>
        <v>.</v>
      </c>
      <c r="AA6" s="37" t="str">
        <f>Roster!AB22</f>
        <v>.</v>
      </c>
      <c r="AB6" s="37" t="str">
        <f>Roster!AC22</f>
        <v>.</v>
      </c>
      <c r="AC6" s="37" t="str">
        <f>Roster!AD22</f>
        <v>.</v>
      </c>
      <c r="AD6" s="37" t="str">
        <f>Roster!AE22</f>
        <v>.</v>
      </c>
      <c r="AE6" s="37" t="str">
        <f>Roster!AF22</f>
        <v>.</v>
      </c>
      <c r="AF6" s="37" t="str">
        <f>Roster!AG22</f>
        <v>.</v>
      </c>
      <c r="AG6" s="38" t="str">
        <f>Roster!AH22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Roster!D53</f>
        <v>.</v>
      </c>
      <c r="D9" s="39" t="str">
        <f>Roster!E53</f>
        <v>.</v>
      </c>
      <c r="E9" s="37" t="str">
        <f>Roster!F53</f>
        <v>.</v>
      </c>
      <c r="F9" s="37" t="str">
        <f>Roster!G53</f>
        <v>.</v>
      </c>
      <c r="G9" s="37" t="str">
        <f>Roster!H53</f>
        <v>.</v>
      </c>
      <c r="H9" s="37" t="str">
        <f>Roster!I53</f>
        <v>.</v>
      </c>
      <c r="I9" s="37" t="str">
        <f>Roster!J53</f>
        <v>.</v>
      </c>
      <c r="J9" s="37" t="str">
        <f>Roster!K53</f>
        <v>.</v>
      </c>
      <c r="K9" s="37" t="str">
        <f>Roster!L53</f>
        <v>.</v>
      </c>
      <c r="L9" s="37" t="str">
        <f>Roster!M53</f>
        <v>.</v>
      </c>
      <c r="M9" s="37" t="str">
        <f>Roster!N53</f>
        <v>.</v>
      </c>
      <c r="N9" s="37" t="str">
        <f>Roster!O53</f>
        <v>.</v>
      </c>
      <c r="O9" s="37" t="str">
        <f>Roster!P53</f>
        <v>.</v>
      </c>
      <c r="P9" s="37" t="str">
        <f>Roster!Q53</f>
        <v>.</v>
      </c>
      <c r="Q9" s="37" t="str">
        <f>Roster!R53</f>
        <v>.</v>
      </c>
      <c r="R9" s="37" t="str">
        <f>Roster!S53</f>
        <v>.</v>
      </c>
      <c r="S9" s="37" t="str">
        <f>Roster!T53</f>
        <v>.</v>
      </c>
      <c r="T9" s="37" t="str">
        <f>Roster!U53</f>
        <v>.</v>
      </c>
      <c r="U9" s="37" t="str">
        <f>Roster!V53</f>
        <v>.</v>
      </c>
      <c r="V9" s="37" t="str">
        <f>Roster!W53</f>
        <v>.</v>
      </c>
      <c r="W9" s="37" t="str">
        <f>Roster!X53</f>
        <v>.</v>
      </c>
      <c r="X9" s="37" t="str">
        <f>Roster!Y53</f>
        <v>.</v>
      </c>
      <c r="Y9" s="37" t="str">
        <f>Roster!Z53</f>
        <v>.</v>
      </c>
      <c r="Z9" s="37" t="str">
        <f>Roster!AA53</f>
        <v>.</v>
      </c>
      <c r="AA9" s="37" t="str">
        <f>Roster!AB53</f>
        <v>.</v>
      </c>
      <c r="AB9" s="37" t="str">
        <f>Roster!AC53</f>
        <v>.</v>
      </c>
      <c r="AC9" s="37" t="str">
        <f>Roster!AD53</f>
        <v>.</v>
      </c>
      <c r="AD9" s="37" t="str">
        <f>Roster!AE53</f>
        <v>.</v>
      </c>
      <c r="AE9" s="37" t="str">
        <f>Roster!AF53</f>
        <v>.</v>
      </c>
      <c r="AF9" s="37" t="str">
        <f>Roster!AG53</f>
        <v>.</v>
      </c>
      <c r="AG9" s="38" t="str">
        <f>Roster!AH53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Roster!D84</f>
        <v>.</v>
      </c>
      <c r="D12" s="37" t="str">
        <f>Roster!E84</f>
        <v>.</v>
      </c>
      <c r="E12" s="37" t="str">
        <f>Roster!F84</f>
        <v>.</v>
      </c>
      <c r="F12" s="37" t="str">
        <f>Roster!G84</f>
        <v>.</v>
      </c>
      <c r="G12" s="37" t="str">
        <f>Roster!H84</f>
        <v>.</v>
      </c>
      <c r="H12" s="37" t="str">
        <f>Roster!I84</f>
        <v>.</v>
      </c>
      <c r="I12" s="37" t="str">
        <f>Roster!J84</f>
        <v>.</v>
      </c>
      <c r="J12" s="37" t="str">
        <f>Roster!K84</f>
        <v>.</v>
      </c>
      <c r="K12" s="37" t="str">
        <f>Roster!L84</f>
        <v>.</v>
      </c>
      <c r="L12" s="37" t="str">
        <f>Roster!M84</f>
        <v>.</v>
      </c>
      <c r="M12" s="37" t="str">
        <f>Roster!N84</f>
        <v>.</v>
      </c>
      <c r="N12" s="37" t="str">
        <f>Roster!O84</f>
        <v>.</v>
      </c>
      <c r="O12" s="37" t="str">
        <f>Roster!P84</f>
        <v>.</v>
      </c>
      <c r="P12" s="37" t="str">
        <f>Roster!Q84</f>
        <v>.</v>
      </c>
      <c r="Q12" s="37" t="str">
        <f>Roster!R84</f>
        <v>.</v>
      </c>
      <c r="R12" s="37" t="str">
        <f>Roster!S84</f>
        <v>.</v>
      </c>
      <c r="S12" s="37" t="str">
        <f>Roster!T84</f>
        <v>.</v>
      </c>
      <c r="T12" s="37" t="str">
        <f>Roster!U84</f>
        <v>.</v>
      </c>
      <c r="U12" s="37" t="str">
        <f>Roster!V84</f>
        <v>.</v>
      </c>
      <c r="V12" s="37" t="str">
        <f>Roster!W84</f>
        <v>.</v>
      </c>
      <c r="W12" s="37" t="str">
        <f>Roster!X84</f>
        <v>.</v>
      </c>
      <c r="X12" s="37" t="str">
        <f>Roster!Y84</f>
        <v>.</v>
      </c>
      <c r="Y12" s="37" t="str">
        <f>Roster!Z84</f>
        <v>.</v>
      </c>
      <c r="Z12" s="37" t="str">
        <f>Roster!AA84</f>
        <v>.</v>
      </c>
      <c r="AA12" s="37" t="str">
        <f>Roster!AB84</f>
        <v>.</v>
      </c>
      <c r="AB12" s="37" t="str">
        <f>Roster!AC84</f>
        <v>.</v>
      </c>
      <c r="AC12" s="37" t="str">
        <f>Roster!AD84</f>
        <v>.</v>
      </c>
      <c r="AD12" s="37" t="str">
        <f>Roster!AE84</f>
        <v>.</v>
      </c>
      <c r="AE12" s="37" t="str">
        <f>Roster!AF84</f>
        <v>.</v>
      </c>
      <c r="AF12" s="38" t="str">
        <f>Roster!AG84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20" t="str">
        <f t="shared" si="3"/>
        <v>We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Roster!D115</f>
        <v>.</v>
      </c>
      <c r="D15" s="37" t="str">
        <f>Roster!E115</f>
        <v>.</v>
      </c>
      <c r="E15" s="37" t="str">
        <f>Roster!F115</f>
        <v>.</v>
      </c>
      <c r="F15" s="37" t="str">
        <f>Roster!G115</f>
        <v>.</v>
      </c>
      <c r="G15" s="37" t="str">
        <f>Roster!H115</f>
        <v>.</v>
      </c>
      <c r="H15" s="37" t="str">
        <f>Roster!I115</f>
        <v>.</v>
      </c>
      <c r="I15" s="37" t="str">
        <f>Roster!J115</f>
        <v>.</v>
      </c>
      <c r="J15" s="37" t="str">
        <f>Roster!K115</f>
        <v>.</v>
      </c>
      <c r="K15" s="37" t="str">
        <f>Roster!L115</f>
        <v>.</v>
      </c>
      <c r="L15" s="37" t="str">
        <f>Roster!M115</f>
        <v>.</v>
      </c>
      <c r="M15" s="37" t="str">
        <f>Roster!N115</f>
        <v>.</v>
      </c>
      <c r="N15" s="37" t="str">
        <f>Roster!O115</f>
        <v>.</v>
      </c>
      <c r="O15" s="37" t="str">
        <f>Roster!P115</f>
        <v>.</v>
      </c>
      <c r="P15" s="37" t="str">
        <f>Roster!Q115</f>
        <v>.</v>
      </c>
      <c r="Q15" s="37" t="str">
        <f>Roster!R115</f>
        <v>.</v>
      </c>
      <c r="R15" s="37" t="str">
        <f>Roster!S115</f>
        <v>.</v>
      </c>
      <c r="S15" s="37" t="str">
        <f>Roster!T115</f>
        <v>.</v>
      </c>
      <c r="T15" s="37" t="str">
        <f>Roster!U115</f>
        <v>.</v>
      </c>
      <c r="U15" s="37" t="str">
        <f>Roster!V115</f>
        <v>.</v>
      </c>
      <c r="V15" s="37" t="str">
        <f>Roster!W115</f>
        <v>.</v>
      </c>
      <c r="W15" s="37" t="str">
        <f>Roster!X115</f>
        <v>.</v>
      </c>
      <c r="X15" s="37" t="str">
        <f>Roster!Y115</f>
        <v>.</v>
      </c>
      <c r="Y15" s="37" t="str">
        <f>Roster!Z115</f>
        <v>.</v>
      </c>
      <c r="Z15" s="37" t="str">
        <f>Roster!AA115</f>
        <v>.</v>
      </c>
      <c r="AA15" s="37" t="str">
        <f>Roster!AB115</f>
        <v>.</v>
      </c>
      <c r="AB15" s="37" t="str">
        <f>Roster!AC115</f>
        <v>.</v>
      </c>
      <c r="AC15" s="37" t="str">
        <f>Roster!AD115</f>
        <v>.</v>
      </c>
      <c r="AD15" s="37" t="str">
        <f>Roster!AE115</f>
        <v>.</v>
      </c>
      <c r="AE15" s="37" t="str">
        <f>Roster!AF115</f>
        <v>.</v>
      </c>
      <c r="AF15" s="37" t="str">
        <f>Roster!AG115</f>
        <v>.</v>
      </c>
      <c r="AG15" s="38" t="str">
        <f>Roster!AH115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Roster!D146</f>
        <v>.</v>
      </c>
      <c r="D18" s="37" t="str">
        <f>Roster!E146</f>
        <v>.</v>
      </c>
      <c r="E18" s="37" t="str">
        <f>Roster!F146</f>
        <v>.</v>
      </c>
      <c r="F18" s="37" t="str">
        <f>Roster!G146</f>
        <v>.</v>
      </c>
      <c r="G18" s="37" t="str">
        <f>Roster!H146</f>
        <v>.</v>
      </c>
      <c r="H18" s="37" t="str">
        <f>Roster!I146</f>
        <v>.</v>
      </c>
      <c r="I18" s="37" t="str">
        <f>Roster!J146</f>
        <v>.</v>
      </c>
      <c r="J18" s="37" t="str">
        <f>Roster!K146</f>
        <v>.</v>
      </c>
      <c r="K18" s="37" t="str">
        <f>Roster!L146</f>
        <v>.</v>
      </c>
      <c r="L18" s="37" t="str">
        <f>Roster!M146</f>
        <v>.</v>
      </c>
      <c r="M18" s="37" t="str">
        <f>Roster!N146</f>
        <v>.</v>
      </c>
      <c r="N18" s="37" t="str">
        <f>Roster!O146</f>
        <v>.</v>
      </c>
      <c r="O18" s="37" t="str">
        <f>Roster!P146</f>
        <v>.</v>
      </c>
      <c r="P18" s="37" t="str">
        <f>Roster!Q146</f>
        <v>.</v>
      </c>
      <c r="Q18" s="37" t="str">
        <f>Roster!R146</f>
        <v>.</v>
      </c>
      <c r="R18" s="37" t="str">
        <f>Roster!S146</f>
        <v>.</v>
      </c>
      <c r="S18" s="37" t="str">
        <f>Roster!T146</f>
        <v>.</v>
      </c>
      <c r="T18" s="37" t="str">
        <f>Roster!U146</f>
        <v>.</v>
      </c>
      <c r="U18" s="37" t="str">
        <f>Roster!V146</f>
        <v>.</v>
      </c>
      <c r="V18" s="37" t="str">
        <f>Roster!W146</f>
        <v>.</v>
      </c>
      <c r="W18" s="37" t="str">
        <f>Roster!X146</f>
        <v>.</v>
      </c>
      <c r="X18" s="37" t="str">
        <f>Roster!Y146</f>
        <v>.</v>
      </c>
      <c r="Y18" s="37" t="str">
        <f>Roster!Z146</f>
        <v>.</v>
      </c>
      <c r="Z18" s="37" t="str">
        <f>Roster!AA146</f>
        <v>.</v>
      </c>
      <c r="AA18" s="37" t="str">
        <f>Roster!AB146</f>
        <v>.</v>
      </c>
      <c r="AB18" s="37" t="str">
        <f>Roster!AC146</f>
        <v>.</v>
      </c>
      <c r="AC18" s="37" t="str">
        <f>Roster!AD146</f>
        <v>.</v>
      </c>
      <c r="AD18" s="37" t="str">
        <f>Roster!AE146</f>
        <v>.</v>
      </c>
      <c r="AE18" s="37" t="str">
        <f>Roster!AF146</f>
        <v>.</v>
      </c>
      <c r="AF18" s="38" t="str">
        <f>Roster!AG146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Roster!D177</f>
        <v>.</v>
      </c>
      <c r="D21" s="37" t="str">
        <f>Roster!E177</f>
        <v>.</v>
      </c>
      <c r="E21" s="37" t="str">
        <f>Roster!F177</f>
        <v>.</v>
      </c>
      <c r="F21" s="37" t="str">
        <f>Roster!G177</f>
        <v>.</v>
      </c>
      <c r="G21" s="37" t="str">
        <f>Roster!H177</f>
        <v>.</v>
      </c>
      <c r="H21" s="37" t="str">
        <f>Roster!I177</f>
        <v>.</v>
      </c>
      <c r="I21" s="37" t="str">
        <f>Roster!J177</f>
        <v>.</v>
      </c>
      <c r="J21" s="37" t="str">
        <f>Roster!K177</f>
        <v>.</v>
      </c>
      <c r="K21" s="37" t="str">
        <f>Roster!L177</f>
        <v>.</v>
      </c>
      <c r="L21" s="37" t="str">
        <f>Roster!M177</f>
        <v>.</v>
      </c>
      <c r="M21" s="37" t="str">
        <f>Roster!N177</f>
        <v>.</v>
      </c>
      <c r="N21" s="37" t="str">
        <f>Roster!O177</f>
        <v>.</v>
      </c>
      <c r="O21" s="37" t="str">
        <f>Roster!P177</f>
        <v>.</v>
      </c>
      <c r="P21" s="37" t="str">
        <f>Roster!Q177</f>
        <v>.</v>
      </c>
      <c r="Q21" s="37" t="str">
        <f>Roster!R177</f>
        <v>.</v>
      </c>
      <c r="R21" s="37" t="str">
        <f>Roster!S177</f>
        <v>.</v>
      </c>
      <c r="S21" s="37" t="str">
        <f>Roster!T177</f>
        <v>.</v>
      </c>
      <c r="T21" s="37" t="str">
        <f>Roster!U177</f>
        <v>.</v>
      </c>
      <c r="U21" s="37" t="str">
        <f>Roster!V177</f>
        <v>.</v>
      </c>
      <c r="V21" s="37" t="str">
        <f>Roster!W177</f>
        <v>.</v>
      </c>
      <c r="W21" s="37" t="str">
        <f>Roster!X177</f>
        <v>.</v>
      </c>
      <c r="X21" s="37" t="str">
        <f>Roster!Y177</f>
        <v>.</v>
      </c>
      <c r="Y21" s="37" t="str">
        <f>Roster!Z177</f>
        <v>.</v>
      </c>
      <c r="Z21" s="37" t="str">
        <f>Roster!AA177</f>
        <v>.</v>
      </c>
      <c r="AA21" s="37" t="str">
        <f>Roster!AB177</f>
        <v>.</v>
      </c>
      <c r="AB21" s="37" t="str">
        <f>Roster!AC177</f>
        <v>.</v>
      </c>
      <c r="AC21" s="37" t="str">
        <f>Roster!AD177</f>
        <v>.</v>
      </c>
      <c r="AD21" s="37" t="str">
        <f>Roster!AE177</f>
        <v>.</v>
      </c>
      <c r="AE21" s="37" t="str">
        <f>Roster!AF177</f>
        <v>.</v>
      </c>
      <c r="AF21" s="37" t="str">
        <f>Roster!AG177</f>
        <v>.</v>
      </c>
      <c r="AG21" s="38" t="str">
        <f>Roster!AH177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52" t="str">
        <f>Roster!D208</f>
        <v>.</v>
      </c>
      <c r="D24" s="53" t="str">
        <f>Roster!E208</f>
        <v>.</v>
      </c>
      <c r="E24" s="53" t="str">
        <f>Roster!F208</f>
        <v>.</v>
      </c>
      <c r="F24" s="53" t="str">
        <f>Roster!G208</f>
        <v>.</v>
      </c>
      <c r="G24" s="53" t="str">
        <f>Roster!H208</f>
        <v>.</v>
      </c>
      <c r="H24" s="53" t="str">
        <f>Roster!I208</f>
        <v>.</v>
      </c>
      <c r="I24" s="53" t="str">
        <f>Roster!J208</f>
        <v>.</v>
      </c>
      <c r="J24" s="53" t="str">
        <f>Roster!K208</f>
        <v>.</v>
      </c>
      <c r="K24" s="53" t="str">
        <f>Roster!L208</f>
        <v>.</v>
      </c>
      <c r="L24" s="53" t="str">
        <f>Roster!M208</f>
        <v>.</v>
      </c>
      <c r="M24" s="53" t="str">
        <f>Roster!N208</f>
        <v>.</v>
      </c>
      <c r="N24" s="53" t="str">
        <f>Roster!O208</f>
        <v>.</v>
      </c>
      <c r="O24" s="53" t="str">
        <f>Roster!P208</f>
        <v>.</v>
      </c>
      <c r="P24" s="53" t="str">
        <f>Roster!Q208</f>
        <v>.</v>
      </c>
      <c r="Q24" s="53" t="str">
        <f>Roster!R208</f>
        <v>.</v>
      </c>
      <c r="R24" s="53" t="str">
        <f>Roster!S208</f>
        <v>.</v>
      </c>
      <c r="S24" s="53" t="str">
        <f>Roster!T208</f>
        <v>.</v>
      </c>
      <c r="T24" s="53" t="str">
        <f>Roster!U208</f>
        <v>.</v>
      </c>
      <c r="U24" s="53" t="str">
        <f>Roster!V208</f>
        <v>.</v>
      </c>
      <c r="V24" s="53" t="str">
        <f>Roster!W208</f>
        <v>.</v>
      </c>
      <c r="W24" s="53" t="str">
        <f>Roster!X208</f>
        <v>.</v>
      </c>
      <c r="X24" s="53" t="str">
        <f>Roster!Y208</f>
        <v>.</v>
      </c>
      <c r="Y24" s="53" t="str">
        <f>Roster!Z208</f>
        <v>.</v>
      </c>
      <c r="Z24" s="53" t="str">
        <f>Roster!AA208</f>
        <v>.</v>
      </c>
      <c r="AA24" s="53" t="str">
        <f>Roster!AB208</f>
        <v>.</v>
      </c>
      <c r="AB24" s="53" t="str">
        <f>Roster!AC208</f>
        <v>.</v>
      </c>
      <c r="AC24" s="53" t="str">
        <f>Roster!AD208</f>
        <v>.</v>
      </c>
      <c r="AD24" s="53" t="str">
        <f>Roster!AE208</f>
        <v>.</v>
      </c>
      <c r="AE24" s="53" t="str">
        <f>Roster!AF208</f>
        <v>.</v>
      </c>
      <c r="AF24" s="53" t="str">
        <f>Roster!AG208</f>
        <v>.</v>
      </c>
      <c r="AG24" s="54" t="str">
        <f>Roster!AH208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23"/>
      <c r="AG25" s="24"/>
    </row>
    <row r="26" spans="2:33" ht="14.4" thickTop="1" thickBot="1">
      <c r="B26" s="32" t="str">
        <f>Roster!$C$214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5">
        <v>29</v>
      </c>
      <c r="AF26" s="44"/>
    </row>
    <row r="27" spans="2:33" ht="14.4" thickTop="1" thickBot="1">
      <c r="B27" s="32" t="str">
        <f>CurYear</f>
        <v>2019</v>
      </c>
      <c r="C27" s="51" t="str">
        <f>Roster!D223</f>
        <v>.</v>
      </c>
      <c r="D27" s="37" t="str">
        <f>Roster!E222</f>
        <v>.</v>
      </c>
      <c r="E27" s="37" t="str">
        <f>Roster!F222</f>
        <v>.</v>
      </c>
      <c r="F27" s="37" t="str">
        <f>Roster!G222</f>
        <v>.</v>
      </c>
      <c r="G27" s="37" t="str">
        <f>Roster!H222</f>
        <v>.</v>
      </c>
      <c r="H27" s="37" t="str">
        <f>Roster!I222</f>
        <v>.</v>
      </c>
      <c r="I27" s="37" t="str">
        <f>Roster!J222</f>
        <v>.</v>
      </c>
      <c r="J27" s="37" t="str">
        <f>Roster!K222</f>
        <v>.</v>
      </c>
      <c r="K27" s="37" t="str">
        <f>Roster!L222</f>
        <v>.</v>
      </c>
      <c r="L27" s="37" t="str">
        <f>Roster!M222</f>
        <v>.</v>
      </c>
      <c r="M27" s="37" t="str">
        <f>Roster!N222</f>
        <v>.</v>
      </c>
      <c r="N27" s="37" t="str">
        <f>Roster!O222</f>
        <v>.</v>
      </c>
      <c r="O27" s="37" t="str">
        <f>Roster!P222</f>
        <v>.</v>
      </c>
      <c r="P27" s="37" t="str">
        <f>Roster!Q222</f>
        <v>.</v>
      </c>
      <c r="Q27" s="37" t="str">
        <f>Roster!R222</f>
        <v>.</v>
      </c>
      <c r="R27" s="37" t="str">
        <f>Roster!S222</f>
        <v>.</v>
      </c>
      <c r="S27" s="37" t="str">
        <f>Roster!T222</f>
        <v>.</v>
      </c>
      <c r="T27" s="37" t="str">
        <f>Roster!U222</f>
        <v>.</v>
      </c>
      <c r="U27" s="37" t="str">
        <f>Roster!V222</f>
        <v>.</v>
      </c>
      <c r="V27" s="37" t="str">
        <f>Roster!W222</f>
        <v>.</v>
      </c>
      <c r="W27" s="37" t="str">
        <f>Roster!X222</f>
        <v>.</v>
      </c>
      <c r="X27" s="37" t="str">
        <f>Roster!Y222</f>
        <v>.</v>
      </c>
      <c r="Y27" s="37" t="str">
        <f>Roster!Z222</f>
        <v>.</v>
      </c>
      <c r="Z27" s="37" t="str">
        <f>Roster!AA222</f>
        <v>.</v>
      </c>
      <c r="AA27" s="37" t="str">
        <f>Roster!AB222</f>
        <v>.</v>
      </c>
      <c r="AB27" s="37" t="str">
        <f>Roster!AC222</f>
        <v>.</v>
      </c>
      <c r="AC27" s="37" t="str">
        <f>Roster!AD222</f>
        <v>.</v>
      </c>
      <c r="AD27" s="43" t="str">
        <f>Roster!AE222</f>
        <v>.</v>
      </c>
      <c r="AE27" s="130">
        <f>Roster!AF222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26" t="str">
        <f t="shared" si="8"/>
        <v>Su</v>
      </c>
    </row>
    <row r="29" spans="2:33" ht="14.4" thickTop="1" thickBot="1">
      <c r="B29" s="32" t="str">
        <f>Roster!$C$229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Roster!D238</f>
        <v>.</v>
      </c>
      <c r="D30" s="37" t="str">
        <f>Roster!E238</f>
        <v>.</v>
      </c>
      <c r="E30" s="37" t="str">
        <f>Roster!F238</f>
        <v>.</v>
      </c>
      <c r="F30" s="37" t="str">
        <f>Roster!G238</f>
        <v>.</v>
      </c>
      <c r="G30" s="37" t="str">
        <f>Roster!H238</f>
        <v>.</v>
      </c>
      <c r="H30" s="37" t="str">
        <f>Roster!I238</f>
        <v>.</v>
      </c>
      <c r="I30" s="37" t="str">
        <f>Roster!J238</f>
        <v>.</v>
      </c>
      <c r="J30" s="37" t="str">
        <f>Roster!K238</f>
        <v>.</v>
      </c>
      <c r="K30" s="37" t="str">
        <f>Roster!L238</f>
        <v>.</v>
      </c>
      <c r="L30" s="37" t="str">
        <f>Roster!M238</f>
        <v>.</v>
      </c>
      <c r="M30" s="37" t="str">
        <f>Roster!N238</f>
        <v>.</v>
      </c>
      <c r="N30" s="37" t="str">
        <f>Roster!O238</f>
        <v>.</v>
      </c>
      <c r="O30" s="37" t="str">
        <f>Roster!P238</f>
        <v>.</v>
      </c>
      <c r="P30" s="37" t="str">
        <f>Roster!Q238</f>
        <v>.</v>
      </c>
      <c r="Q30" s="37" t="str">
        <f>Roster!R238</f>
        <v>.</v>
      </c>
      <c r="R30" s="37" t="str">
        <f>Roster!S238</f>
        <v>.</v>
      </c>
      <c r="S30" s="37" t="str">
        <f>Roster!T238</f>
        <v>.</v>
      </c>
      <c r="T30" s="37" t="str">
        <f>Roster!U238</f>
        <v>.</v>
      </c>
      <c r="U30" s="37" t="str">
        <f>Roster!V238</f>
        <v>.</v>
      </c>
      <c r="V30" s="37" t="str">
        <f>Roster!W238</f>
        <v>.</v>
      </c>
      <c r="W30" s="37" t="str">
        <f>Roster!X238</f>
        <v>.</v>
      </c>
      <c r="X30" s="37" t="str">
        <f>Roster!Y238</f>
        <v>.</v>
      </c>
      <c r="Y30" s="37" t="str">
        <f>Roster!Z238</f>
        <v>.</v>
      </c>
      <c r="Z30" s="37" t="str">
        <f>Roster!AA238</f>
        <v>.</v>
      </c>
      <c r="AA30" s="37" t="str">
        <f>Roster!AB238</f>
        <v>.</v>
      </c>
      <c r="AB30" s="37" t="str">
        <f>Roster!AC238</f>
        <v>.</v>
      </c>
      <c r="AC30" s="37" t="str">
        <f>Roster!AD238</f>
        <v>.</v>
      </c>
      <c r="AD30" s="37" t="str">
        <f>Roster!AE238</f>
        <v>.</v>
      </c>
      <c r="AE30" s="37" t="str">
        <f>Roster!AF238</f>
        <v>.</v>
      </c>
      <c r="AF30" s="37" t="str">
        <f>Roster!AG238</f>
        <v>.</v>
      </c>
      <c r="AG30" s="38" t="str">
        <f>Roster!AH238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Roster!$C$244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Roster!D253</f>
        <v>.</v>
      </c>
      <c r="D33" s="37" t="str">
        <f>Roster!E253</f>
        <v>.</v>
      </c>
      <c r="E33" s="37" t="str">
        <f>Roster!F253</f>
        <v>.</v>
      </c>
      <c r="F33" s="37" t="str">
        <f>Roster!G253</f>
        <v>.</v>
      </c>
      <c r="G33" s="37" t="str">
        <f>Roster!H253</f>
        <v>.</v>
      </c>
      <c r="H33" s="37" t="str">
        <f>Roster!I253</f>
        <v>.</v>
      </c>
      <c r="I33" s="37" t="str">
        <f>Roster!J253</f>
        <v>.</v>
      </c>
      <c r="J33" s="37" t="str">
        <f>Roster!K253</f>
        <v>.</v>
      </c>
      <c r="K33" s="37" t="str">
        <f>Roster!L253</f>
        <v>.</v>
      </c>
      <c r="L33" s="37" t="str">
        <f>Roster!M253</f>
        <v>.</v>
      </c>
      <c r="M33" s="37" t="str">
        <f>Roster!N253</f>
        <v>.</v>
      </c>
      <c r="N33" s="37" t="str">
        <f>Roster!O253</f>
        <v>.</v>
      </c>
      <c r="O33" s="37" t="str">
        <f>Roster!P253</f>
        <v>.</v>
      </c>
      <c r="P33" s="37" t="str">
        <f>Roster!Q253</f>
        <v>.</v>
      </c>
      <c r="Q33" s="37" t="str">
        <f>Roster!R253</f>
        <v>.</v>
      </c>
      <c r="R33" s="37" t="str">
        <f>Roster!S253</f>
        <v>.</v>
      </c>
      <c r="S33" s="37" t="str">
        <f>Roster!T253</f>
        <v>.</v>
      </c>
      <c r="T33" s="37" t="str">
        <f>Roster!U253</f>
        <v>.</v>
      </c>
      <c r="U33" s="37" t="str">
        <f>Roster!V253</f>
        <v>.</v>
      </c>
      <c r="V33" s="37" t="str">
        <f>Roster!W253</f>
        <v>.</v>
      </c>
      <c r="W33" s="37" t="str">
        <f>Roster!X253</f>
        <v>.</v>
      </c>
      <c r="X33" s="37" t="str">
        <f>Roster!Y253</f>
        <v>.</v>
      </c>
      <c r="Y33" s="37" t="str">
        <f>Roster!Z253</f>
        <v>.</v>
      </c>
      <c r="Z33" s="37" t="str">
        <f>Roster!AA253</f>
        <v>.</v>
      </c>
      <c r="AA33" s="37" t="str">
        <f>Roster!AB253</f>
        <v>.</v>
      </c>
      <c r="AB33" s="37" t="str">
        <f>Roster!AC253</f>
        <v>.</v>
      </c>
      <c r="AC33" s="37" t="str">
        <f>Roster!AD253</f>
        <v>.</v>
      </c>
      <c r="AD33" s="37" t="str">
        <f>Roster!AE253</f>
        <v>.</v>
      </c>
      <c r="AE33" s="37" t="str">
        <f>Roster!AF253</f>
        <v>.</v>
      </c>
      <c r="AF33" s="38" t="str">
        <f>Roster!AG253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20" t="str">
        <f t="shared" si="10"/>
        <v>Fr</v>
      </c>
    </row>
    <row r="35" spans="2:33" ht="14.4" thickTop="1" thickBot="1">
      <c r="B35" s="32" t="str">
        <f>Roster!$C$259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Roster!D268</f>
        <v>.</v>
      </c>
      <c r="D36" s="37" t="str">
        <f>Roster!E268</f>
        <v>.</v>
      </c>
      <c r="E36" s="37" t="str">
        <f>Roster!F268</f>
        <v>.</v>
      </c>
      <c r="F36" s="37" t="str">
        <f>Roster!G268</f>
        <v>.</v>
      </c>
      <c r="G36" s="37" t="str">
        <f>Roster!H268</f>
        <v>.</v>
      </c>
      <c r="H36" s="37" t="str">
        <f>Roster!I268</f>
        <v>.</v>
      </c>
      <c r="I36" s="37" t="str">
        <f>Roster!J268</f>
        <v>.</v>
      </c>
      <c r="J36" s="37" t="str">
        <f>Roster!K268</f>
        <v>.</v>
      </c>
      <c r="K36" s="37" t="str">
        <f>Roster!L268</f>
        <v>.</v>
      </c>
      <c r="L36" s="37" t="str">
        <f>Roster!M268</f>
        <v>.</v>
      </c>
      <c r="M36" s="37" t="str">
        <f>Roster!N268</f>
        <v>.</v>
      </c>
      <c r="N36" s="37" t="str">
        <f>Roster!O268</f>
        <v>.</v>
      </c>
      <c r="O36" s="37" t="str">
        <f>Roster!P268</f>
        <v>.</v>
      </c>
      <c r="P36" s="37" t="str">
        <f>Roster!Q268</f>
        <v>.</v>
      </c>
      <c r="Q36" s="37" t="str">
        <f>Roster!R268</f>
        <v>.</v>
      </c>
      <c r="R36" s="37" t="str">
        <f>Roster!S268</f>
        <v>.</v>
      </c>
      <c r="S36" s="37" t="str">
        <f>Roster!T268</f>
        <v>.</v>
      </c>
      <c r="T36" s="37" t="str">
        <f>Roster!U268</f>
        <v>.</v>
      </c>
      <c r="U36" s="37" t="str">
        <f>Roster!V268</f>
        <v>.</v>
      </c>
      <c r="V36" s="37" t="str">
        <f>Roster!W268</f>
        <v>.</v>
      </c>
      <c r="W36" s="37" t="str">
        <f>Roster!X268</f>
        <v>.</v>
      </c>
      <c r="X36" s="37" t="str">
        <f>Roster!Y268</f>
        <v>.</v>
      </c>
      <c r="Y36" s="37" t="str">
        <f>Roster!Z268</f>
        <v>.</v>
      </c>
      <c r="Z36" s="37" t="str">
        <f>Roster!AA268</f>
        <v>.</v>
      </c>
      <c r="AA36" s="37" t="str">
        <f>Roster!AB268</f>
        <v>.</v>
      </c>
      <c r="AB36" s="37" t="str">
        <f>Roster!AC268</f>
        <v>.</v>
      </c>
      <c r="AC36" s="37" t="str">
        <f>Roster!AD268</f>
        <v>.</v>
      </c>
      <c r="AD36" s="37" t="str">
        <f>Roster!AE268</f>
        <v>.</v>
      </c>
      <c r="AE36" s="37" t="str">
        <f>Roster!AF268</f>
        <v>.</v>
      </c>
      <c r="AF36" s="37" t="str">
        <f>Roster!AG268</f>
        <v>.</v>
      </c>
      <c r="AG36" s="38" t="str">
        <f>Roster!AH268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Roster!C274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Roster!D283</f>
        <v>.</v>
      </c>
      <c r="D39" s="37" t="str">
        <f>Roster!E283</f>
        <v>.</v>
      </c>
      <c r="E39" s="37" t="str">
        <f>Roster!F283</f>
        <v>.</v>
      </c>
      <c r="F39" s="37" t="str">
        <f>Roster!G283</f>
        <v>.</v>
      </c>
      <c r="G39" s="37" t="str">
        <f>Roster!H283</f>
        <v>.</v>
      </c>
      <c r="H39" s="37" t="str">
        <f>Roster!I283</f>
        <v>.</v>
      </c>
      <c r="I39" s="37" t="str">
        <f>Roster!J283</f>
        <v>.</v>
      </c>
      <c r="J39" s="37" t="str">
        <f>Roster!K283</f>
        <v>.</v>
      </c>
      <c r="K39" s="37" t="str">
        <f>Roster!L283</f>
        <v>.</v>
      </c>
      <c r="L39" s="37" t="str">
        <f>Roster!M283</f>
        <v>.</v>
      </c>
      <c r="M39" s="37" t="str">
        <f>Roster!N283</f>
        <v>.</v>
      </c>
      <c r="N39" s="37" t="str">
        <f>Roster!O283</f>
        <v>.</v>
      </c>
      <c r="O39" s="37" t="str">
        <f>Roster!P283</f>
        <v>.</v>
      </c>
      <c r="P39" s="37" t="str">
        <f>Roster!Q283</f>
        <v>.</v>
      </c>
      <c r="Q39" s="37" t="str">
        <f>Roster!R283</f>
        <v>.</v>
      </c>
      <c r="R39" s="37" t="str">
        <f>Roster!S283</f>
        <v>.</v>
      </c>
      <c r="S39" s="37" t="str">
        <f>Roster!T283</f>
        <v>.</v>
      </c>
      <c r="T39" s="37" t="str">
        <f>Roster!U283</f>
        <v>.</v>
      </c>
      <c r="U39" s="37" t="str">
        <f>Roster!V283</f>
        <v>.</v>
      </c>
      <c r="V39" s="37" t="str">
        <f>Roster!W283</f>
        <v>.</v>
      </c>
      <c r="W39" s="37" t="str">
        <f>Roster!X283</f>
        <v>.</v>
      </c>
      <c r="X39" s="37" t="str">
        <f>Roster!Y283</f>
        <v>.</v>
      </c>
      <c r="Y39" s="37" t="str">
        <f>Roster!Z283</f>
        <v>.</v>
      </c>
      <c r="Z39" s="37" t="str">
        <f>Roster!AA283</f>
        <v>.</v>
      </c>
      <c r="AA39" s="37" t="str">
        <f>Roster!AB283</f>
        <v>.</v>
      </c>
      <c r="AB39" s="37" t="str">
        <f>Roster!AC283</f>
        <v>.</v>
      </c>
      <c r="AC39" s="37" t="str">
        <f>Roster!AD283</f>
        <v>.</v>
      </c>
      <c r="AD39" s="37" t="str">
        <f>Roster!AE283</f>
        <v>.</v>
      </c>
      <c r="AE39" s="37" t="str">
        <f>Roster!AF283</f>
        <v>.</v>
      </c>
      <c r="AF39" s="38" t="str">
        <f>Roster!AG283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9" t="s">
        <v>25</v>
      </c>
      <c r="R3" s="139" t="str">
        <f>EmpGName10 &amp;" " &amp; EmpSName10</f>
        <v>2Bod Odd2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20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Roster!D23</f>
        <v>.</v>
      </c>
      <c r="D6" s="37" t="str">
        <f>Roster!E23</f>
        <v>.</v>
      </c>
      <c r="E6" s="37" t="str">
        <f>Roster!F23</f>
        <v>.</v>
      </c>
      <c r="F6" s="37" t="str">
        <f>Roster!G23</f>
        <v>.</v>
      </c>
      <c r="G6" s="37" t="str">
        <f>Roster!H23</f>
        <v>.</v>
      </c>
      <c r="H6" s="37" t="str">
        <f>Roster!I23</f>
        <v>.</v>
      </c>
      <c r="I6" s="37" t="str">
        <f>Roster!J23</f>
        <v>.</v>
      </c>
      <c r="J6" s="37" t="str">
        <f>Roster!K23</f>
        <v>.</v>
      </c>
      <c r="K6" s="37" t="str">
        <f>Roster!L23</f>
        <v>.</v>
      </c>
      <c r="L6" s="37" t="str">
        <f>Roster!M23</f>
        <v>.</v>
      </c>
      <c r="M6" s="37" t="str">
        <f>Roster!N23</f>
        <v>.</v>
      </c>
      <c r="N6" s="37" t="str">
        <f>Roster!O23</f>
        <v>.</v>
      </c>
      <c r="O6" s="37" t="str">
        <f>Roster!P23</f>
        <v>.</v>
      </c>
      <c r="P6" s="37" t="str">
        <f>Roster!Q23</f>
        <v>.</v>
      </c>
      <c r="Q6" s="37" t="str">
        <f>Roster!R23</f>
        <v>.</v>
      </c>
      <c r="R6" s="37" t="str">
        <f>Roster!S23</f>
        <v>.</v>
      </c>
      <c r="S6" s="37" t="str">
        <f>Roster!T23</f>
        <v>.</v>
      </c>
      <c r="T6" s="37" t="str">
        <f>Roster!U23</f>
        <v>.</v>
      </c>
      <c r="U6" s="37" t="str">
        <f>Roster!V23</f>
        <v>.</v>
      </c>
      <c r="V6" s="37" t="str">
        <f>Roster!W23</f>
        <v>.</v>
      </c>
      <c r="W6" s="37" t="str">
        <f>Roster!X23</f>
        <v>.</v>
      </c>
      <c r="X6" s="37" t="str">
        <f>Roster!Y23</f>
        <v>.</v>
      </c>
      <c r="Y6" s="37" t="str">
        <f>Roster!Z23</f>
        <v>.</v>
      </c>
      <c r="Z6" s="37" t="str">
        <f>Roster!AA23</f>
        <v>.</v>
      </c>
      <c r="AA6" s="37" t="str">
        <f>Roster!AB23</f>
        <v>.</v>
      </c>
      <c r="AB6" s="37" t="str">
        <f>Roster!AC23</f>
        <v>.</v>
      </c>
      <c r="AC6" s="37" t="str">
        <f>Roster!AD23</f>
        <v>.</v>
      </c>
      <c r="AD6" s="37" t="str">
        <f>Roster!AE23</f>
        <v>.</v>
      </c>
      <c r="AE6" s="37" t="str">
        <f>Roster!AF23</f>
        <v>.</v>
      </c>
      <c r="AF6" s="37" t="str">
        <f>Roster!AG23</f>
        <v>.</v>
      </c>
      <c r="AG6" s="38" t="str">
        <f>Roster!AH23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Roster!D54</f>
        <v>.</v>
      </c>
      <c r="D9" s="39" t="str">
        <f>Roster!E54</f>
        <v>.</v>
      </c>
      <c r="E9" s="37" t="str">
        <f>Roster!F54</f>
        <v>.</v>
      </c>
      <c r="F9" s="37" t="str">
        <f>Roster!G54</f>
        <v>.</v>
      </c>
      <c r="G9" s="37" t="str">
        <f>Roster!H54</f>
        <v>.</v>
      </c>
      <c r="H9" s="37" t="str">
        <f>Roster!I54</f>
        <v>.</v>
      </c>
      <c r="I9" s="37" t="str">
        <f>Roster!J54</f>
        <v>.</v>
      </c>
      <c r="J9" s="37" t="str">
        <f>Roster!K54</f>
        <v>.</v>
      </c>
      <c r="K9" s="37" t="str">
        <f>Roster!L54</f>
        <v>.</v>
      </c>
      <c r="L9" s="37" t="str">
        <f>Roster!M54</f>
        <v>.</v>
      </c>
      <c r="M9" s="37" t="str">
        <f>Roster!N54</f>
        <v>.</v>
      </c>
      <c r="N9" s="37" t="str">
        <f>Roster!O54</f>
        <v>.</v>
      </c>
      <c r="O9" s="37" t="str">
        <f>Roster!P54</f>
        <v>.</v>
      </c>
      <c r="P9" s="37" t="str">
        <f>Roster!Q54</f>
        <v>.</v>
      </c>
      <c r="Q9" s="37" t="str">
        <f>Roster!R54</f>
        <v>.</v>
      </c>
      <c r="R9" s="37" t="str">
        <f>Roster!S54</f>
        <v>.</v>
      </c>
      <c r="S9" s="37" t="str">
        <f>Roster!T54</f>
        <v>.</v>
      </c>
      <c r="T9" s="37" t="str">
        <f>Roster!U54</f>
        <v>.</v>
      </c>
      <c r="U9" s="37" t="str">
        <f>Roster!V54</f>
        <v>.</v>
      </c>
      <c r="V9" s="37" t="str">
        <f>Roster!W54</f>
        <v>.</v>
      </c>
      <c r="W9" s="37" t="str">
        <f>Roster!X54</f>
        <v>.</v>
      </c>
      <c r="X9" s="37" t="str">
        <f>Roster!Y54</f>
        <v>.</v>
      </c>
      <c r="Y9" s="37" t="str">
        <f>Roster!Z54</f>
        <v>.</v>
      </c>
      <c r="Z9" s="37" t="str">
        <f>Roster!AA54</f>
        <v>.</v>
      </c>
      <c r="AA9" s="37" t="str">
        <f>Roster!AB54</f>
        <v>.</v>
      </c>
      <c r="AB9" s="37" t="str">
        <f>Roster!AC54</f>
        <v>.</v>
      </c>
      <c r="AC9" s="37" t="str">
        <f>Roster!AD54</f>
        <v>.</v>
      </c>
      <c r="AD9" s="37" t="str">
        <f>Roster!AE54</f>
        <v>.</v>
      </c>
      <c r="AE9" s="37" t="str">
        <f>Roster!AF54</f>
        <v>.</v>
      </c>
      <c r="AF9" s="37" t="str">
        <f>Roster!AG54</f>
        <v>.</v>
      </c>
      <c r="AG9" s="38" t="str">
        <f>Roster!AH54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Roster!D85</f>
        <v>.</v>
      </c>
      <c r="D12" s="37" t="str">
        <f>Roster!E85</f>
        <v>.</v>
      </c>
      <c r="E12" s="37" t="str">
        <f>Roster!F85</f>
        <v>.</v>
      </c>
      <c r="F12" s="37" t="str">
        <f>Roster!G85</f>
        <v>.</v>
      </c>
      <c r="G12" s="37" t="str">
        <f>Roster!H85</f>
        <v>.</v>
      </c>
      <c r="H12" s="37" t="str">
        <f>Roster!I85</f>
        <v>.</v>
      </c>
      <c r="I12" s="37" t="str">
        <f>Roster!J85</f>
        <v>.</v>
      </c>
      <c r="J12" s="37" t="str">
        <f>Roster!K85</f>
        <v>.</v>
      </c>
      <c r="K12" s="37" t="str">
        <f>Roster!L85</f>
        <v>.</v>
      </c>
      <c r="L12" s="37" t="str">
        <f>Roster!M85</f>
        <v>.</v>
      </c>
      <c r="M12" s="37" t="str">
        <f>Roster!N85</f>
        <v>.</v>
      </c>
      <c r="N12" s="37" t="str">
        <f>Roster!O85</f>
        <v>.</v>
      </c>
      <c r="O12" s="37" t="str">
        <f>Roster!P85</f>
        <v>.</v>
      </c>
      <c r="P12" s="37" t="str">
        <f>Roster!Q85</f>
        <v>.</v>
      </c>
      <c r="Q12" s="37" t="str">
        <f>Roster!R85</f>
        <v>.</v>
      </c>
      <c r="R12" s="37" t="str">
        <f>Roster!S85</f>
        <v>.</v>
      </c>
      <c r="S12" s="37" t="str">
        <f>Roster!T85</f>
        <v>.</v>
      </c>
      <c r="T12" s="37" t="str">
        <f>Roster!U85</f>
        <v>.</v>
      </c>
      <c r="U12" s="37" t="str">
        <f>Roster!V85</f>
        <v>.</v>
      </c>
      <c r="V12" s="37" t="str">
        <f>Roster!W85</f>
        <v>.</v>
      </c>
      <c r="W12" s="37" t="str">
        <f>Roster!X85</f>
        <v>.</v>
      </c>
      <c r="X12" s="37" t="str">
        <f>Roster!Y85</f>
        <v>.</v>
      </c>
      <c r="Y12" s="37" t="str">
        <f>Roster!Z85</f>
        <v>.</v>
      </c>
      <c r="Z12" s="37" t="str">
        <f>Roster!AA85</f>
        <v>.</v>
      </c>
      <c r="AA12" s="37" t="str">
        <f>Roster!AB85</f>
        <v>.</v>
      </c>
      <c r="AB12" s="37" t="str">
        <f>Roster!AC85</f>
        <v>.</v>
      </c>
      <c r="AC12" s="37" t="str">
        <f>Roster!AD85</f>
        <v>.</v>
      </c>
      <c r="AD12" s="37" t="str">
        <f>Roster!AE85</f>
        <v>.</v>
      </c>
      <c r="AE12" s="37" t="str">
        <f>Roster!AF85</f>
        <v>.</v>
      </c>
      <c r="AF12" s="38" t="str">
        <f>Roster!AG85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20" t="str">
        <f t="shared" si="3"/>
        <v>We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Roster!D116</f>
        <v>.</v>
      </c>
      <c r="D15" s="37" t="str">
        <f>Roster!E116</f>
        <v>.</v>
      </c>
      <c r="E15" s="37" t="str">
        <f>Roster!F116</f>
        <v>.</v>
      </c>
      <c r="F15" s="37" t="str">
        <f>Roster!G116</f>
        <v>.</v>
      </c>
      <c r="G15" s="37" t="str">
        <f>Roster!H116</f>
        <v>.</v>
      </c>
      <c r="H15" s="37" t="str">
        <f>Roster!I116</f>
        <v>.</v>
      </c>
      <c r="I15" s="37" t="str">
        <f>Roster!J116</f>
        <v>.</v>
      </c>
      <c r="J15" s="37" t="str">
        <f>Roster!K116</f>
        <v>.</v>
      </c>
      <c r="K15" s="37" t="str">
        <f>Roster!L116</f>
        <v>.</v>
      </c>
      <c r="L15" s="37" t="str">
        <f>Roster!M116</f>
        <v>.</v>
      </c>
      <c r="M15" s="37" t="str">
        <f>Roster!N116</f>
        <v>.</v>
      </c>
      <c r="N15" s="37" t="str">
        <f>Roster!O116</f>
        <v>.</v>
      </c>
      <c r="O15" s="37" t="str">
        <f>Roster!P116</f>
        <v>.</v>
      </c>
      <c r="P15" s="37" t="str">
        <f>Roster!Q116</f>
        <v>.</v>
      </c>
      <c r="Q15" s="37" t="str">
        <f>Roster!R116</f>
        <v>.</v>
      </c>
      <c r="R15" s="37" t="str">
        <f>Roster!S116</f>
        <v>.</v>
      </c>
      <c r="S15" s="37" t="str">
        <f>Roster!T116</f>
        <v>.</v>
      </c>
      <c r="T15" s="37" t="str">
        <f>Roster!U116</f>
        <v>.</v>
      </c>
      <c r="U15" s="37" t="str">
        <f>Roster!V116</f>
        <v>.</v>
      </c>
      <c r="V15" s="37" t="str">
        <f>Roster!W116</f>
        <v>.</v>
      </c>
      <c r="W15" s="37" t="str">
        <f>Roster!X116</f>
        <v>.</v>
      </c>
      <c r="X15" s="37" t="str">
        <f>Roster!Y116</f>
        <v>.</v>
      </c>
      <c r="Y15" s="37" t="str">
        <f>Roster!Z116</f>
        <v>.</v>
      </c>
      <c r="Z15" s="37" t="str">
        <f>Roster!AA116</f>
        <v>.</v>
      </c>
      <c r="AA15" s="37" t="str">
        <f>Roster!AB116</f>
        <v>.</v>
      </c>
      <c r="AB15" s="37" t="str">
        <f>Roster!AC116</f>
        <v>.</v>
      </c>
      <c r="AC15" s="37" t="str">
        <f>Roster!AD116</f>
        <v>.</v>
      </c>
      <c r="AD15" s="37" t="str">
        <f>Roster!AE116</f>
        <v>.</v>
      </c>
      <c r="AE15" s="37" t="str">
        <f>Roster!AF116</f>
        <v>.</v>
      </c>
      <c r="AF15" s="37" t="str">
        <f>Roster!AG116</f>
        <v>.</v>
      </c>
      <c r="AG15" s="38" t="str">
        <f>Roster!AH116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Roster!D147</f>
        <v>.</v>
      </c>
      <c r="D18" s="37" t="str">
        <f>Roster!E147</f>
        <v>.</v>
      </c>
      <c r="E18" s="37" t="str">
        <f>Roster!F147</f>
        <v>.</v>
      </c>
      <c r="F18" s="37" t="str">
        <f>Roster!G147</f>
        <v>.</v>
      </c>
      <c r="G18" s="37" t="str">
        <f>Roster!H147</f>
        <v>.</v>
      </c>
      <c r="H18" s="37" t="str">
        <f>Roster!I147</f>
        <v>.</v>
      </c>
      <c r="I18" s="37" t="str">
        <f>Roster!J147</f>
        <v>.</v>
      </c>
      <c r="J18" s="37" t="str">
        <f>Roster!K147</f>
        <v>.</v>
      </c>
      <c r="K18" s="37" t="str">
        <f>Roster!L147</f>
        <v>.</v>
      </c>
      <c r="L18" s="37" t="str">
        <f>Roster!M147</f>
        <v>.</v>
      </c>
      <c r="M18" s="37" t="str">
        <f>Roster!N147</f>
        <v>.</v>
      </c>
      <c r="N18" s="37" t="str">
        <f>Roster!O147</f>
        <v>.</v>
      </c>
      <c r="O18" s="37" t="str">
        <f>Roster!P147</f>
        <v>.</v>
      </c>
      <c r="P18" s="37" t="str">
        <f>Roster!Q147</f>
        <v>.</v>
      </c>
      <c r="Q18" s="37" t="str">
        <f>Roster!R147</f>
        <v>.</v>
      </c>
      <c r="R18" s="37" t="str">
        <f>Roster!S147</f>
        <v>.</v>
      </c>
      <c r="S18" s="37" t="str">
        <f>Roster!T147</f>
        <v>.</v>
      </c>
      <c r="T18" s="37" t="str">
        <f>Roster!U147</f>
        <v>.</v>
      </c>
      <c r="U18" s="37" t="str">
        <f>Roster!V147</f>
        <v>.</v>
      </c>
      <c r="V18" s="37" t="str">
        <f>Roster!W147</f>
        <v>.</v>
      </c>
      <c r="W18" s="37" t="str">
        <f>Roster!X147</f>
        <v>.</v>
      </c>
      <c r="X18" s="37" t="str">
        <f>Roster!Y147</f>
        <v>.</v>
      </c>
      <c r="Y18" s="37" t="str">
        <f>Roster!Z147</f>
        <v>.</v>
      </c>
      <c r="Z18" s="37" t="str">
        <f>Roster!AA147</f>
        <v>.</v>
      </c>
      <c r="AA18" s="37" t="str">
        <f>Roster!AB147</f>
        <v>.</v>
      </c>
      <c r="AB18" s="37" t="str">
        <f>Roster!AC147</f>
        <v>.</v>
      </c>
      <c r="AC18" s="37" t="str">
        <f>Roster!AD147</f>
        <v>.</v>
      </c>
      <c r="AD18" s="37" t="str">
        <f>Roster!AE147</f>
        <v>.</v>
      </c>
      <c r="AE18" s="37" t="str">
        <f>Roster!AF147</f>
        <v>.</v>
      </c>
      <c r="AF18" s="38" t="str">
        <f>Roster!AG147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Roster!D178</f>
        <v>.</v>
      </c>
      <c r="D21" s="37" t="str">
        <f>Roster!E178</f>
        <v>.</v>
      </c>
      <c r="E21" s="37" t="str">
        <f>Roster!F178</f>
        <v>.</v>
      </c>
      <c r="F21" s="37" t="str">
        <f>Roster!G178</f>
        <v>.</v>
      </c>
      <c r="G21" s="37" t="str">
        <f>Roster!H178</f>
        <v>.</v>
      </c>
      <c r="H21" s="37" t="str">
        <f>Roster!I178</f>
        <v>.</v>
      </c>
      <c r="I21" s="37" t="str">
        <f>Roster!J178</f>
        <v>.</v>
      </c>
      <c r="J21" s="37" t="str">
        <f>Roster!K178</f>
        <v>.</v>
      </c>
      <c r="K21" s="37" t="str">
        <f>Roster!L178</f>
        <v>.</v>
      </c>
      <c r="L21" s="37" t="str">
        <f>Roster!M178</f>
        <v>.</v>
      </c>
      <c r="M21" s="37" t="str">
        <f>Roster!N178</f>
        <v>.</v>
      </c>
      <c r="N21" s="37" t="str">
        <f>Roster!O178</f>
        <v>.</v>
      </c>
      <c r="O21" s="37" t="str">
        <f>Roster!P178</f>
        <v>.</v>
      </c>
      <c r="P21" s="37" t="str">
        <f>Roster!Q178</f>
        <v>.</v>
      </c>
      <c r="Q21" s="37" t="str">
        <f>Roster!R178</f>
        <v>.</v>
      </c>
      <c r="R21" s="37" t="str">
        <f>Roster!S178</f>
        <v>.</v>
      </c>
      <c r="S21" s="37" t="str">
        <f>Roster!T178</f>
        <v>.</v>
      </c>
      <c r="T21" s="37" t="str">
        <f>Roster!U178</f>
        <v>.</v>
      </c>
      <c r="U21" s="37" t="str">
        <f>Roster!V178</f>
        <v>.</v>
      </c>
      <c r="V21" s="37" t="str">
        <f>Roster!W178</f>
        <v>.</v>
      </c>
      <c r="W21" s="37" t="str">
        <f>Roster!X178</f>
        <v>.</v>
      </c>
      <c r="X21" s="37" t="str">
        <f>Roster!Y178</f>
        <v>.</v>
      </c>
      <c r="Y21" s="37" t="str">
        <f>Roster!Z178</f>
        <v>.</v>
      </c>
      <c r="Z21" s="37" t="str">
        <f>Roster!AA178</f>
        <v>.</v>
      </c>
      <c r="AA21" s="37" t="str">
        <f>Roster!AB178</f>
        <v>.</v>
      </c>
      <c r="AB21" s="37" t="str">
        <f>Roster!AC178</f>
        <v>.</v>
      </c>
      <c r="AC21" s="37" t="str">
        <f>Roster!AD178</f>
        <v>.</v>
      </c>
      <c r="AD21" s="37" t="str">
        <f>Roster!AE178</f>
        <v>.</v>
      </c>
      <c r="AE21" s="37" t="str">
        <f>Roster!AF178</f>
        <v>.</v>
      </c>
      <c r="AF21" s="37" t="str">
        <f>Roster!AG178</f>
        <v>.</v>
      </c>
      <c r="AG21" s="38" t="str">
        <f>Roster!AH178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52" t="str">
        <f>Roster!D209</f>
        <v>.</v>
      </c>
      <c r="D24" s="75" t="str">
        <f>Roster!E209</f>
        <v>.</v>
      </c>
      <c r="E24" s="75" t="str">
        <f>Roster!F209</f>
        <v>.</v>
      </c>
      <c r="F24" s="75" t="str">
        <f>Roster!G209</f>
        <v>.</v>
      </c>
      <c r="G24" s="75" t="str">
        <f>Roster!H209</f>
        <v>.</v>
      </c>
      <c r="H24" s="75" t="str">
        <f>Roster!I209</f>
        <v>.</v>
      </c>
      <c r="I24" s="75" t="str">
        <f>Roster!J209</f>
        <v>.</v>
      </c>
      <c r="J24" s="75" t="str">
        <f>Roster!K209</f>
        <v>.</v>
      </c>
      <c r="K24" s="75" t="str">
        <f>Roster!L209</f>
        <v>.</v>
      </c>
      <c r="L24" s="75" t="str">
        <f>Roster!M209</f>
        <v>.</v>
      </c>
      <c r="M24" s="75" t="str">
        <f>Roster!N209</f>
        <v>.</v>
      </c>
      <c r="N24" s="75" t="str">
        <f>Roster!O209</f>
        <v>.</v>
      </c>
      <c r="O24" s="75" t="str">
        <f>Roster!P209</f>
        <v>.</v>
      </c>
      <c r="P24" s="75" t="str">
        <f>Roster!Q209</f>
        <v>.</v>
      </c>
      <c r="Q24" s="75" t="str">
        <f>Roster!R209</f>
        <v>.</v>
      </c>
      <c r="R24" s="75" t="str">
        <f>Roster!S209</f>
        <v>.</v>
      </c>
      <c r="S24" s="75" t="str">
        <f>Roster!T209</f>
        <v>.</v>
      </c>
      <c r="T24" s="75" t="str">
        <f>Roster!U209</f>
        <v>.</v>
      </c>
      <c r="U24" s="75" t="str">
        <f>Roster!V209</f>
        <v>.</v>
      </c>
      <c r="V24" s="75" t="str">
        <f>Roster!W209</f>
        <v>.</v>
      </c>
      <c r="W24" s="75" t="str">
        <f>Roster!X209</f>
        <v>.</v>
      </c>
      <c r="X24" s="75" t="str">
        <f>Roster!Y209</f>
        <v>.</v>
      </c>
      <c r="Y24" s="75" t="str">
        <f>Roster!Z209</f>
        <v>.</v>
      </c>
      <c r="Z24" s="75" t="str">
        <f>Roster!AA209</f>
        <v>.</v>
      </c>
      <c r="AA24" s="75" t="str">
        <f>Roster!AB209</f>
        <v>.</v>
      </c>
      <c r="AB24" s="75" t="str">
        <f>Roster!AC209</f>
        <v>.</v>
      </c>
      <c r="AC24" s="75" t="str">
        <f>Roster!AD209</f>
        <v>.</v>
      </c>
      <c r="AD24" s="75" t="str">
        <f>Roster!AE209</f>
        <v>.</v>
      </c>
      <c r="AE24" s="75" t="str">
        <f>Roster!AF209</f>
        <v>.</v>
      </c>
      <c r="AF24" s="75" t="str">
        <f>Roster!AG209</f>
        <v>.</v>
      </c>
      <c r="AG24" s="76" t="str">
        <f>Roster!AH209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23"/>
      <c r="AG25" s="24"/>
    </row>
    <row r="26" spans="2:33" ht="14.4" thickTop="1" thickBot="1">
      <c r="B26" s="32" t="str">
        <f>Roster!$C$214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5">
        <v>29</v>
      </c>
      <c r="AF26" s="44"/>
    </row>
    <row r="27" spans="2:33" ht="14.4" thickTop="1" thickBot="1">
      <c r="B27" s="32" t="str">
        <f>CurYear</f>
        <v>2019</v>
      </c>
      <c r="C27" s="51" t="str">
        <f>Roster!D224</f>
        <v>.</v>
      </c>
      <c r="D27" s="37" t="str">
        <f>Roster!E224</f>
        <v>.</v>
      </c>
      <c r="E27" s="37" t="str">
        <f>Roster!F224</f>
        <v>.</v>
      </c>
      <c r="F27" s="37" t="str">
        <f>Roster!G224</f>
        <v>.</v>
      </c>
      <c r="G27" s="37" t="str">
        <f>Roster!H224</f>
        <v>.</v>
      </c>
      <c r="H27" s="37" t="str">
        <f>Roster!I224</f>
        <v>.</v>
      </c>
      <c r="I27" s="37" t="str">
        <f>Roster!J224</f>
        <v>.</v>
      </c>
      <c r="J27" s="37" t="str">
        <f>Roster!K224</f>
        <v>.</v>
      </c>
      <c r="K27" s="37" t="str">
        <f>Roster!L224</f>
        <v>.</v>
      </c>
      <c r="L27" s="37" t="str">
        <f>Roster!M224</f>
        <v>.</v>
      </c>
      <c r="M27" s="37" t="str">
        <f>Roster!N224</f>
        <v>.</v>
      </c>
      <c r="N27" s="37" t="str">
        <f>Roster!O224</f>
        <v>.</v>
      </c>
      <c r="O27" s="37" t="str">
        <f>Roster!P224</f>
        <v>.</v>
      </c>
      <c r="P27" s="37" t="str">
        <f>Roster!Q224</f>
        <v>.</v>
      </c>
      <c r="Q27" s="37" t="str">
        <f>Roster!R224</f>
        <v>.</v>
      </c>
      <c r="R27" s="37" t="str">
        <f>Roster!S224</f>
        <v>.</v>
      </c>
      <c r="S27" s="37" t="str">
        <f>Roster!T224</f>
        <v>.</v>
      </c>
      <c r="T27" s="37" t="str">
        <f>Roster!U224</f>
        <v>.</v>
      </c>
      <c r="U27" s="37" t="str">
        <f>Roster!V224</f>
        <v>.</v>
      </c>
      <c r="V27" s="37" t="str">
        <f>Roster!W224</f>
        <v>.</v>
      </c>
      <c r="W27" s="37" t="str">
        <f>Roster!X224</f>
        <v>.</v>
      </c>
      <c r="X27" s="37" t="str">
        <f>Roster!Y224</f>
        <v>.</v>
      </c>
      <c r="Y27" s="37" t="str">
        <f>Roster!Z224</f>
        <v>.</v>
      </c>
      <c r="Z27" s="37" t="str">
        <f>Roster!AA224</f>
        <v>.</v>
      </c>
      <c r="AA27" s="37" t="str">
        <f>Roster!AB224</f>
        <v>.</v>
      </c>
      <c r="AB27" s="37" t="str">
        <f>Roster!AC224</f>
        <v>.</v>
      </c>
      <c r="AC27" s="37" t="str">
        <f>Roster!AD224</f>
        <v>.</v>
      </c>
      <c r="AD27" s="43" t="str">
        <f>Roster!AE224</f>
        <v>.</v>
      </c>
      <c r="AE27" s="130">
        <f>Roster!AF222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26" t="str">
        <f t="shared" si="8"/>
        <v>Su</v>
      </c>
    </row>
    <row r="29" spans="2:33" ht="14.4" thickTop="1" thickBot="1">
      <c r="B29" s="32" t="str">
        <f>Roster!$C$229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Roster!D239</f>
        <v>.</v>
      </c>
      <c r="D30" s="37" t="str">
        <f>Roster!E239</f>
        <v>.</v>
      </c>
      <c r="E30" s="37" t="str">
        <f>Roster!F239</f>
        <v>.</v>
      </c>
      <c r="F30" s="37" t="str">
        <f>Roster!G239</f>
        <v>.</v>
      </c>
      <c r="G30" s="37" t="str">
        <f>Roster!H239</f>
        <v>.</v>
      </c>
      <c r="H30" s="37" t="str">
        <f>Roster!I239</f>
        <v>.</v>
      </c>
      <c r="I30" s="37" t="str">
        <f>Roster!J239</f>
        <v>.</v>
      </c>
      <c r="J30" s="37" t="str">
        <f>Roster!K239</f>
        <v>.</v>
      </c>
      <c r="K30" s="37" t="str">
        <f>Roster!L239</f>
        <v>.</v>
      </c>
      <c r="L30" s="37" t="str">
        <f>Roster!M239</f>
        <v>.</v>
      </c>
      <c r="M30" s="37" t="str">
        <f>Roster!N239</f>
        <v>.</v>
      </c>
      <c r="N30" s="37" t="str">
        <f>Roster!O239</f>
        <v>.</v>
      </c>
      <c r="O30" s="37" t="str">
        <f>Roster!P239</f>
        <v>.</v>
      </c>
      <c r="P30" s="37" t="str">
        <f>Roster!Q239</f>
        <v>.</v>
      </c>
      <c r="Q30" s="37" t="str">
        <f>Roster!R239</f>
        <v>.</v>
      </c>
      <c r="R30" s="37" t="str">
        <f>Roster!S239</f>
        <v>.</v>
      </c>
      <c r="S30" s="37" t="str">
        <f>Roster!T239</f>
        <v>.</v>
      </c>
      <c r="T30" s="37" t="str">
        <f>Roster!U239</f>
        <v>.</v>
      </c>
      <c r="U30" s="37" t="str">
        <f>Roster!V239</f>
        <v>.</v>
      </c>
      <c r="V30" s="37" t="str">
        <f>Roster!W239</f>
        <v>.</v>
      </c>
      <c r="W30" s="37" t="str">
        <f>Roster!X239</f>
        <v>.</v>
      </c>
      <c r="X30" s="37" t="str">
        <f>Roster!Y239</f>
        <v>.</v>
      </c>
      <c r="Y30" s="37" t="str">
        <f>Roster!Z239</f>
        <v>.</v>
      </c>
      <c r="Z30" s="37" t="str">
        <f>Roster!AA239</f>
        <v>.</v>
      </c>
      <c r="AA30" s="37" t="str">
        <f>Roster!AB239</f>
        <v>.</v>
      </c>
      <c r="AB30" s="37" t="str">
        <f>Roster!AC239</f>
        <v>.</v>
      </c>
      <c r="AC30" s="37" t="str">
        <f>Roster!AD239</f>
        <v>.</v>
      </c>
      <c r="AD30" s="37" t="str">
        <f>Roster!AE239</f>
        <v>.</v>
      </c>
      <c r="AE30" s="37" t="str">
        <f>Roster!AF239</f>
        <v>.</v>
      </c>
      <c r="AF30" s="37" t="str">
        <f>Roster!AG239</f>
        <v>.</v>
      </c>
      <c r="AG30" s="38" t="str">
        <f>Roster!AH239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Roster!$C$244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Roster!D254</f>
        <v>.</v>
      </c>
      <c r="D33" s="37" t="str">
        <f>Roster!E254</f>
        <v>.</v>
      </c>
      <c r="E33" s="37" t="str">
        <f>Roster!F254</f>
        <v>.</v>
      </c>
      <c r="F33" s="37" t="str">
        <f>Roster!G254</f>
        <v>.</v>
      </c>
      <c r="G33" s="37" t="str">
        <f>Roster!H254</f>
        <v>.</v>
      </c>
      <c r="H33" s="37" t="str">
        <f>Roster!I254</f>
        <v>.</v>
      </c>
      <c r="I33" s="37" t="str">
        <f>Roster!J254</f>
        <v>.</v>
      </c>
      <c r="J33" s="37" t="str">
        <f>Roster!K254</f>
        <v>.</v>
      </c>
      <c r="K33" s="37" t="str">
        <f>Roster!L254</f>
        <v>.</v>
      </c>
      <c r="L33" s="37" t="str">
        <f>Roster!M254</f>
        <v>.</v>
      </c>
      <c r="M33" s="37" t="str">
        <f>Roster!N254</f>
        <v>.</v>
      </c>
      <c r="N33" s="37" t="str">
        <f>Roster!O254</f>
        <v>.</v>
      </c>
      <c r="O33" s="37" t="str">
        <f>Roster!P254</f>
        <v>.</v>
      </c>
      <c r="P33" s="37" t="str">
        <f>Roster!Q254</f>
        <v>.</v>
      </c>
      <c r="Q33" s="37" t="str">
        <f>Roster!R254</f>
        <v>.</v>
      </c>
      <c r="R33" s="37" t="str">
        <f>Roster!S254</f>
        <v>.</v>
      </c>
      <c r="S33" s="37" t="str">
        <f>Roster!T254</f>
        <v>.</v>
      </c>
      <c r="T33" s="37" t="str">
        <f>Roster!U254</f>
        <v>.</v>
      </c>
      <c r="U33" s="37" t="str">
        <f>Roster!V254</f>
        <v>.</v>
      </c>
      <c r="V33" s="37" t="str">
        <f>Roster!W254</f>
        <v>.</v>
      </c>
      <c r="W33" s="37" t="str">
        <f>Roster!X254</f>
        <v>.</v>
      </c>
      <c r="X33" s="37" t="str">
        <f>Roster!Y254</f>
        <v>.</v>
      </c>
      <c r="Y33" s="37" t="str">
        <f>Roster!Z254</f>
        <v>.</v>
      </c>
      <c r="Z33" s="37" t="str">
        <f>Roster!AA254</f>
        <v>.</v>
      </c>
      <c r="AA33" s="37" t="str">
        <f>Roster!AB254</f>
        <v>.</v>
      </c>
      <c r="AB33" s="37" t="str">
        <f>Roster!AC254</f>
        <v>.</v>
      </c>
      <c r="AC33" s="37" t="str">
        <f>Roster!AD254</f>
        <v>.</v>
      </c>
      <c r="AD33" s="37" t="str">
        <f>Roster!AE254</f>
        <v>.</v>
      </c>
      <c r="AE33" s="37" t="str">
        <f>Roster!AF254</f>
        <v>.</v>
      </c>
      <c r="AF33" s="38" t="str">
        <f>Roster!AG254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20" t="str">
        <f t="shared" si="10"/>
        <v>Fr</v>
      </c>
    </row>
    <row r="35" spans="2:33" ht="14.4" thickTop="1" thickBot="1">
      <c r="B35" s="32" t="str">
        <f>Roster!$C$259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Roster!D269</f>
        <v>.</v>
      </c>
      <c r="D36" s="37" t="str">
        <f>Roster!E269</f>
        <v>.</v>
      </c>
      <c r="E36" s="37" t="str">
        <f>Roster!F269</f>
        <v>.</v>
      </c>
      <c r="F36" s="37" t="str">
        <f>Roster!G269</f>
        <v>.</v>
      </c>
      <c r="G36" s="37" t="str">
        <f>Roster!H269</f>
        <v>.</v>
      </c>
      <c r="H36" s="37" t="str">
        <f>Roster!I269</f>
        <v>.</v>
      </c>
      <c r="I36" s="37" t="str">
        <f>Roster!J269</f>
        <v>.</v>
      </c>
      <c r="J36" s="37" t="str">
        <f>Roster!K269</f>
        <v>.</v>
      </c>
      <c r="K36" s="37" t="str">
        <f>Roster!L269</f>
        <v>.</v>
      </c>
      <c r="L36" s="37" t="str">
        <f>Roster!M269</f>
        <v>.</v>
      </c>
      <c r="M36" s="37" t="str">
        <f>Roster!N269</f>
        <v>.</v>
      </c>
      <c r="N36" s="37" t="str">
        <f>Roster!O269</f>
        <v>.</v>
      </c>
      <c r="O36" s="37" t="str">
        <f>Roster!P269</f>
        <v>.</v>
      </c>
      <c r="P36" s="37" t="str">
        <f>Roster!Q269</f>
        <v>.</v>
      </c>
      <c r="Q36" s="37" t="str">
        <f>Roster!R269</f>
        <v>.</v>
      </c>
      <c r="R36" s="37" t="str">
        <f>Roster!S269</f>
        <v>.</v>
      </c>
      <c r="S36" s="37" t="str">
        <f>Roster!T269</f>
        <v>.</v>
      </c>
      <c r="T36" s="37" t="str">
        <f>Roster!U269</f>
        <v>.</v>
      </c>
      <c r="U36" s="37" t="str">
        <f>Roster!V269</f>
        <v>.</v>
      </c>
      <c r="V36" s="37" t="str">
        <f>Roster!W269</f>
        <v>.</v>
      </c>
      <c r="W36" s="37" t="str">
        <f>Roster!X269</f>
        <v>.</v>
      </c>
      <c r="X36" s="37" t="str">
        <f>Roster!Y269</f>
        <v>.</v>
      </c>
      <c r="Y36" s="37" t="str">
        <f>Roster!Z269</f>
        <v>.</v>
      </c>
      <c r="Z36" s="37" t="str">
        <f>Roster!AA269</f>
        <v>.</v>
      </c>
      <c r="AA36" s="37" t="str">
        <f>Roster!AB269</f>
        <v>.</v>
      </c>
      <c r="AB36" s="37" t="str">
        <f>Roster!AC269</f>
        <v>.</v>
      </c>
      <c r="AC36" s="37" t="str">
        <f>Roster!AD269</f>
        <v>.</v>
      </c>
      <c r="AD36" s="37" t="str">
        <f>Roster!AE269</f>
        <v>.</v>
      </c>
      <c r="AE36" s="37" t="str">
        <f>Roster!AF269</f>
        <v>.</v>
      </c>
      <c r="AF36" s="37" t="str">
        <f>Roster!AG269</f>
        <v>.</v>
      </c>
      <c r="AG36" s="38" t="str">
        <f>Roster!AH269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Roster!C274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Roster!D284</f>
        <v>.</v>
      </c>
      <c r="D39" s="37" t="str">
        <f>Roster!E284</f>
        <v>.</v>
      </c>
      <c r="E39" s="37" t="str">
        <f>Roster!F284</f>
        <v>.</v>
      </c>
      <c r="F39" s="37" t="str">
        <f>Roster!G284</f>
        <v>.</v>
      </c>
      <c r="G39" s="37" t="str">
        <f>Roster!H284</f>
        <v>.</v>
      </c>
      <c r="H39" s="37" t="str">
        <f>Roster!I284</f>
        <v>.</v>
      </c>
      <c r="I39" s="37" t="str">
        <f>Roster!J284</f>
        <v>.</v>
      </c>
      <c r="J39" s="37" t="str">
        <f>Roster!K284</f>
        <v>.</v>
      </c>
      <c r="K39" s="37" t="str">
        <f>Roster!L284</f>
        <v>.</v>
      </c>
      <c r="L39" s="37" t="str">
        <f>Roster!M284</f>
        <v>.</v>
      </c>
      <c r="M39" s="37" t="str">
        <f>Roster!N284</f>
        <v>.</v>
      </c>
      <c r="N39" s="37" t="str">
        <f>Roster!O284</f>
        <v>.</v>
      </c>
      <c r="O39" s="37" t="str">
        <f>Roster!P284</f>
        <v>.</v>
      </c>
      <c r="P39" s="37" t="str">
        <f>Roster!Q284</f>
        <v>.</v>
      </c>
      <c r="Q39" s="37" t="str">
        <f>Roster!R284</f>
        <v>.</v>
      </c>
      <c r="R39" s="37" t="str">
        <f>Roster!S284</f>
        <v>.</v>
      </c>
      <c r="S39" s="37" t="str">
        <f>Roster!T284</f>
        <v>.</v>
      </c>
      <c r="T39" s="37" t="str">
        <f>Roster!U284</f>
        <v>.</v>
      </c>
      <c r="U39" s="37" t="str">
        <f>Roster!V284</f>
        <v>.</v>
      </c>
      <c r="V39" s="37" t="str">
        <f>Roster!W284</f>
        <v>.</v>
      </c>
      <c r="W39" s="37" t="str">
        <f>Roster!X284</f>
        <v>.</v>
      </c>
      <c r="X39" s="37" t="str">
        <f>Roster!Y284</f>
        <v>.</v>
      </c>
      <c r="Y39" s="37" t="str">
        <f>Roster!Z284</f>
        <v>.</v>
      </c>
      <c r="Z39" s="37" t="str">
        <f>Roster!AA284</f>
        <v>.</v>
      </c>
      <c r="AA39" s="37" t="str">
        <f>Roster!AB284</f>
        <v>.</v>
      </c>
      <c r="AB39" s="37" t="str">
        <f>Roster!AC284</f>
        <v>.</v>
      </c>
      <c r="AC39" s="37" t="str">
        <f>Roster!AD284</f>
        <v>.</v>
      </c>
      <c r="AD39" s="37" t="str">
        <f>Roster!AE284</f>
        <v>.</v>
      </c>
      <c r="AE39" s="37" t="str">
        <f>Roster!AF284</f>
        <v>.</v>
      </c>
      <c r="AF39" s="38" t="str">
        <f>Roster!AG284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6" zoomScaleNormal="86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9" t="s">
        <v>25</v>
      </c>
      <c r="R3" s="139" t="str">
        <f>EmpGName11 &amp;" " &amp; EmpSName11</f>
        <v>2Bod Odd3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20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Roster!D24</f>
        <v>.</v>
      </c>
      <c r="D6" s="37" t="str">
        <f>Roster!E24</f>
        <v>.</v>
      </c>
      <c r="E6" s="37" t="str">
        <f>Roster!F24</f>
        <v>.</v>
      </c>
      <c r="F6" s="37" t="str">
        <f>Roster!G24</f>
        <v>.</v>
      </c>
      <c r="G6" s="37" t="str">
        <f>Roster!H24</f>
        <v>.</v>
      </c>
      <c r="H6" s="37" t="str">
        <f>Roster!I24</f>
        <v>.</v>
      </c>
      <c r="I6" s="37" t="str">
        <f>Roster!J24</f>
        <v>.</v>
      </c>
      <c r="J6" s="37" t="str">
        <f>Roster!K24</f>
        <v>.</v>
      </c>
      <c r="K6" s="37" t="str">
        <f>Roster!L24</f>
        <v>.</v>
      </c>
      <c r="L6" s="37" t="str">
        <f>Roster!M24</f>
        <v>.</v>
      </c>
      <c r="M6" s="37" t="str">
        <f>Roster!N24</f>
        <v>.</v>
      </c>
      <c r="N6" s="37" t="str">
        <f>Roster!O24</f>
        <v>.</v>
      </c>
      <c r="O6" s="37" t="str">
        <f>Roster!P24</f>
        <v>.</v>
      </c>
      <c r="P6" s="37" t="str">
        <f>Roster!Q24</f>
        <v>.</v>
      </c>
      <c r="Q6" s="37" t="str">
        <f>Roster!R24</f>
        <v>.</v>
      </c>
      <c r="R6" s="37" t="str">
        <f>Roster!S24</f>
        <v>.</v>
      </c>
      <c r="S6" s="37" t="str">
        <f>Roster!T24</f>
        <v>.</v>
      </c>
      <c r="T6" s="37" t="str">
        <f>Roster!U24</f>
        <v>.</v>
      </c>
      <c r="U6" s="37" t="str">
        <f>Roster!V24</f>
        <v>.</v>
      </c>
      <c r="V6" s="37" t="str">
        <f>Roster!W24</f>
        <v>.</v>
      </c>
      <c r="W6" s="37" t="str">
        <f>Roster!X24</f>
        <v>.</v>
      </c>
      <c r="X6" s="37" t="str">
        <f>Roster!Y24</f>
        <v>.</v>
      </c>
      <c r="Y6" s="37" t="str">
        <f>Roster!Z24</f>
        <v>.</v>
      </c>
      <c r="Z6" s="37" t="str">
        <f>Roster!AA24</f>
        <v>.</v>
      </c>
      <c r="AA6" s="37" t="str">
        <f>Roster!AB24</f>
        <v>.</v>
      </c>
      <c r="AB6" s="37" t="str">
        <f>Roster!AC24</f>
        <v>.</v>
      </c>
      <c r="AC6" s="37" t="str">
        <f>Roster!AD24</f>
        <v>.</v>
      </c>
      <c r="AD6" s="37" t="str">
        <f>Roster!AE24</f>
        <v>.</v>
      </c>
      <c r="AE6" s="37" t="str">
        <f>Roster!AF24</f>
        <v>.</v>
      </c>
      <c r="AF6" s="37" t="str">
        <f>Roster!AG24</f>
        <v>.</v>
      </c>
      <c r="AG6" s="38" t="str">
        <f>Roster!AH24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Roster!D55</f>
        <v>.</v>
      </c>
      <c r="D9" s="39" t="str">
        <f>Roster!E55</f>
        <v>.</v>
      </c>
      <c r="E9" s="37" t="str">
        <f>Roster!F55</f>
        <v>.</v>
      </c>
      <c r="F9" s="37" t="str">
        <f>Roster!G55</f>
        <v>.</v>
      </c>
      <c r="G9" s="37" t="str">
        <f>Roster!H55</f>
        <v>.</v>
      </c>
      <c r="H9" s="37" t="str">
        <f>Roster!I55</f>
        <v>.</v>
      </c>
      <c r="I9" s="37" t="str">
        <f>Roster!J55</f>
        <v>.</v>
      </c>
      <c r="J9" s="37" t="str">
        <f>Roster!K55</f>
        <v>.</v>
      </c>
      <c r="K9" s="37" t="str">
        <f>Roster!L55</f>
        <v>.</v>
      </c>
      <c r="L9" s="37" t="str">
        <f>Roster!M55</f>
        <v>.</v>
      </c>
      <c r="M9" s="37" t="str">
        <f>Roster!N55</f>
        <v>.</v>
      </c>
      <c r="N9" s="37" t="str">
        <f>Roster!O55</f>
        <v>.</v>
      </c>
      <c r="O9" s="37" t="str">
        <f>Roster!P55</f>
        <v>.</v>
      </c>
      <c r="P9" s="37" t="str">
        <f>Roster!Q55</f>
        <v>.</v>
      </c>
      <c r="Q9" s="37" t="str">
        <f>Roster!R55</f>
        <v>.</v>
      </c>
      <c r="R9" s="37" t="str">
        <f>Roster!S55</f>
        <v>.</v>
      </c>
      <c r="S9" s="37" t="str">
        <f>Roster!T55</f>
        <v>.</v>
      </c>
      <c r="T9" s="37" t="str">
        <f>Roster!U55</f>
        <v>.</v>
      </c>
      <c r="U9" s="37" t="str">
        <f>Roster!V55</f>
        <v>.</v>
      </c>
      <c r="V9" s="37" t="str">
        <f>Roster!W55</f>
        <v>.</v>
      </c>
      <c r="W9" s="37" t="str">
        <f>Roster!X55</f>
        <v>.</v>
      </c>
      <c r="X9" s="37" t="str">
        <f>Roster!Y55</f>
        <v>.</v>
      </c>
      <c r="Y9" s="37" t="str">
        <f>Roster!Z55</f>
        <v>.</v>
      </c>
      <c r="Z9" s="37" t="str">
        <f>Roster!AA55</f>
        <v>.</v>
      </c>
      <c r="AA9" s="37" t="str">
        <f>Roster!AB55</f>
        <v>.</v>
      </c>
      <c r="AB9" s="37" t="str">
        <f>Roster!AC55</f>
        <v>.</v>
      </c>
      <c r="AC9" s="37" t="str">
        <f>Roster!AD55</f>
        <v>.</v>
      </c>
      <c r="AD9" s="37" t="str">
        <f>Roster!AE55</f>
        <v>.</v>
      </c>
      <c r="AE9" s="37" t="str">
        <f>Roster!AF55</f>
        <v>.</v>
      </c>
      <c r="AF9" s="37" t="str">
        <f>Roster!AG55</f>
        <v>.</v>
      </c>
      <c r="AG9" s="38" t="str">
        <f>Roster!AH55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Roster!D86</f>
        <v>.</v>
      </c>
      <c r="D12" s="37" t="str">
        <f>Roster!E86</f>
        <v>.</v>
      </c>
      <c r="E12" s="37" t="str">
        <f>Roster!F86</f>
        <v>.</v>
      </c>
      <c r="F12" s="37" t="str">
        <f>Roster!G86</f>
        <v>.</v>
      </c>
      <c r="G12" s="37" t="str">
        <f>Roster!H86</f>
        <v>.</v>
      </c>
      <c r="H12" s="37" t="str">
        <f>Roster!I86</f>
        <v>.</v>
      </c>
      <c r="I12" s="37" t="str">
        <f>Roster!J86</f>
        <v>.</v>
      </c>
      <c r="J12" s="37" t="str">
        <f>Roster!K86</f>
        <v>.</v>
      </c>
      <c r="K12" s="37" t="str">
        <f>Roster!L86</f>
        <v>.</v>
      </c>
      <c r="L12" s="37" t="str">
        <f>Roster!M86</f>
        <v>.</v>
      </c>
      <c r="M12" s="37" t="str">
        <f>Roster!N86</f>
        <v>.</v>
      </c>
      <c r="N12" s="37" t="str">
        <f>Roster!O86</f>
        <v>.</v>
      </c>
      <c r="O12" s="37" t="str">
        <f>Roster!P86</f>
        <v>.</v>
      </c>
      <c r="P12" s="37" t="str">
        <f>Roster!Q86</f>
        <v>.</v>
      </c>
      <c r="Q12" s="37" t="str">
        <f>Roster!R86</f>
        <v>.</v>
      </c>
      <c r="R12" s="37" t="str">
        <f>Roster!S86</f>
        <v>.</v>
      </c>
      <c r="S12" s="37" t="str">
        <f>Roster!T86</f>
        <v>.</v>
      </c>
      <c r="T12" s="37" t="str">
        <f>Roster!U86</f>
        <v>.</v>
      </c>
      <c r="U12" s="37" t="str">
        <f>Roster!V86</f>
        <v>.</v>
      </c>
      <c r="V12" s="37" t="str">
        <f>Roster!W86</f>
        <v>.</v>
      </c>
      <c r="W12" s="37" t="str">
        <f>Roster!X86</f>
        <v>.</v>
      </c>
      <c r="X12" s="37" t="str">
        <f>Roster!Y86</f>
        <v>.</v>
      </c>
      <c r="Y12" s="37" t="str">
        <f>Roster!Z86</f>
        <v>.</v>
      </c>
      <c r="Z12" s="37" t="str">
        <f>Roster!AA86</f>
        <v>.</v>
      </c>
      <c r="AA12" s="37" t="str">
        <f>Roster!AB86</f>
        <v>.</v>
      </c>
      <c r="AB12" s="37" t="str">
        <f>Roster!AC86</f>
        <v>.</v>
      </c>
      <c r="AC12" s="37" t="str">
        <f>Roster!AD86</f>
        <v>.</v>
      </c>
      <c r="AD12" s="37" t="str">
        <f>Roster!AE86</f>
        <v>.</v>
      </c>
      <c r="AE12" s="37" t="str">
        <f>Roster!AF86</f>
        <v>.</v>
      </c>
      <c r="AF12" s="38" t="str">
        <f>Roster!AG86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20" t="str">
        <f t="shared" si="3"/>
        <v>We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Roster!D117</f>
        <v>.</v>
      </c>
      <c r="D15" s="37" t="str">
        <f>Roster!E117</f>
        <v>.</v>
      </c>
      <c r="E15" s="37" t="str">
        <f>Roster!F117</f>
        <v>.</v>
      </c>
      <c r="F15" s="37" t="str">
        <f>Roster!G117</f>
        <v>.</v>
      </c>
      <c r="G15" s="37" t="str">
        <f>Roster!H117</f>
        <v>.</v>
      </c>
      <c r="H15" s="37" t="str">
        <f>Roster!I117</f>
        <v>.</v>
      </c>
      <c r="I15" s="37" t="str">
        <f>Roster!J117</f>
        <v>.</v>
      </c>
      <c r="J15" s="37" t="str">
        <f>Roster!K117</f>
        <v>.</v>
      </c>
      <c r="K15" s="37" t="str">
        <f>Roster!L117</f>
        <v>.</v>
      </c>
      <c r="L15" s="37" t="str">
        <f>Roster!M117</f>
        <v>.</v>
      </c>
      <c r="M15" s="37" t="str">
        <f>Roster!N117</f>
        <v>.</v>
      </c>
      <c r="N15" s="37" t="str">
        <f>Roster!O117</f>
        <v>.</v>
      </c>
      <c r="O15" s="37" t="str">
        <f>Roster!P117</f>
        <v>.</v>
      </c>
      <c r="P15" s="37" t="str">
        <f>Roster!Q117</f>
        <v>.</v>
      </c>
      <c r="Q15" s="37" t="str">
        <f>Roster!R117</f>
        <v>.</v>
      </c>
      <c r="R15" s="37" t="str">
        <f>Roster!S117</f>
        <v>.</v>
      </c>
      <c r="S15" s="37" t="str">
        <f>Roster!T117</f>
        <v>.</v>
      </c>
      <c r="T15" s="37" t="str">
        <f>Roster!U117</f>
        <v>.</v>
      </c>
      <c r="U15" s="37" t="str">
        <f>Roster!V117</f>
        <v>.</v>
      </c>
      <c r="V15" s="37" t="str">
        <f>Roster!W117</f>
        <v>.</v>
      </c>
      <c r="W15" s="37" t="str">
        <f>Roster!X117</f>
        <v>.</v>
      </c>
      <c r="X15" s="37" t="str">
        <f>Roster!Y117</f>
        <v>.</v>
      </c>
      <c r="Y15" s="37" t="str">
        <f>Roster!Z117</f>
        <v>.</v>
      </c>
      <c r="Z15" s="37" t="str">
        <f>Roster!AA117</f>
        <v>.</v>
      </c>
      <c r="AA15" s="37" t="str">
        <f>Roster!AB117</f>
        <v>.</v>
      </c>
      <c r="AB15" s="37" t="str">
        <f>Roster!AC117</f>
        <v>.</v>
      </c>
      <c r="AC15" s="37" t="str">
        <f>Roster!AD117</f>
        <v>.</v>
      </c>
      <c r="AD15" s="37" t="str">
        <f>Roster!AE117</f>
        <v>.</v>
      </c>
      <c r="AE15" s="37" t="str">
        <f>Roster!AF117</f>
        <v>.</v>
      </c>
      <c r="AF15" s="37" t="str">
        <f>Roster!AG117</f>
        <v>.</v>
      </c>
      <c r="AG15" s="38" t="str">
        <f>Roster!AH117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Roster!D148</f>
        <v>.</v>
      </c>
      <c r="D18" s="37" t="str">
        <f>Roster!E148</f>
        <v>.</v>
      </c>
      <c r="E18" s="37" t="str">
        <f>Roster!F148</f>
        <v>.</v>
      </c>
      <c r="F18" s="37" t="str">
        <f>Roster!G148</f>
        <v>.</v>
      </c>
      <c r="G18" s="37" t="str">
        <f>Roster!H148</f>
        <v>.</v>
      </c>
      <c r="H18" s="37" t="str">
        <f>Roster!I148</f>
        <v>.</v>
      </c>
      <c r="I18" s="37" t="str">
        <f>Roster!J148</f>
        <v>.</v>
      </c>
      <c r="J18" s="37" t="str">
        <f>Roster!K148</f>
        <v>.</v>
      </c>
      <c r="K18" s="37" t="str">
        <f>Roster!L148</f>
        <v>.</v>
      </c>
      <c r="L18" s="37" t="str">
        <f>Roster!M148</f>
        <v>.</v>
      </c>
      <c r="M18" s="37" t="str">
        <f>Roster!N148</f>
        <v>.</v>
      </c>
      <c r="N18" s="37" t="str">
        <f>Roster!O148</f>
        <v>.</v>
      </c>
      <c r="O18" s="37" t="str">
        <f>Roster!P148</f>
        <v>.</v>
      </c>
      <c r="P18" s="37" t="str">
        <f>Roster!Q148</f>
        <v>.</v>
      </c>
      <c r="Q18" s="37" t="str">
        <f>Roster!R148</f>
        <v>.</v>
      </c>
      <c r="R18" s="37" t="str">
        <f>Roster!S148</f>
        <v>.</v>
      </c>
      <c r="S18" s="37" t="str">
        <f>Roster!T148</f>
        <v>.</v>
      </c>
      <c r="T18" s="37" t="str">
        <f>Roster!U148</f>
        <v>.</v>
      </c>
      <c r="U18" s="37" t="str">
        <f>Roster!V148</f>
        <v>.</v>
      </c>
      <c r="V18" s="37" t="str">
        <f>Roster!W148</f>
        <v>.</v>
      </c>
      <c r="W18" s="37" t="str">
        <f>Roster!X148</f>
        <v>.</v>
      </c>
      <c r="X18" s="37" t="str">
        <f>Roster!Y148</f>
        <v>.</v>
      </c>
      <c r="Y18" s="37" t="str">
        <f>Roster!Z148</f>
        <v>.</v>
      </c>
      <c r="Z18" s="37" t="str">
        <f>Roster!AA148</f>
        <v>.</v>
      </c>
      <c r="AA18" s="37" t="str">
        <f>Roster!AB148</f>
        <v>.</v>
      </c>
      <c r="AB18" s="37" t="str">
        <f>Roster!AC148</f>
        <v>.</v>
      </c>
      <c r="AC18" s="37" t="str">
        <f>Roster!AD148</f>
        <v>.</v>
      </c>
      <c r="AD18" s="37" t="str">
        <f>Roster!AE148</f>
        <v>.</v>
      </c>
      <c r="AE18" s="37" t="str">
        <f>Roster!AF148</f>
        <v>.</v>
      </c>
      <c r="AF18" s="38" t="str">
        <f>Roster!AG148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Roster!D179</f>
        <v>.</v>
      </c>
      <c r="D21" s="37" t="str">
        <f>Roster!E179</f>
        <v>.</v>
      </c>
      <c r="E21" s="37" t="str">
        <f>Roster!F179</f>
        <v>.</v>
      </c>
      <c r="F21" s="37" t="str">
        <f>Roster!G179</f>
        <v>.</v>
      </c>
      <c r="G21" s="37" t="str">
        <f>Roster!H179</f>
        <v>.</v>
      </c>
      <c r="H21" s="37" t="str">
        <f>Roster!I179</f>
        <v>.</v>
      </c>
      <c r="I21" s="37" t="str">
        <f>Roster!J179</f>
        <v>.</v>
      </c>
      <c r="J21" s="37" t="str">
        <f>Roster!K179</f>
        <v>.</v>
      </c>
      <c r="K21" s="37" t="str">
        <f>Roster!L179</f>
        <v>.</v>
      </c>
      <c r="L21" s="37" t="str">
        <f>Roster!M179</f>
        <v>.</v>
      </c>
      <c r="M21" s="37" t="str">
        <f>Roster!N179</f>
        <v>.</v>
      </c>
      <c r="N21" s="37" t="str">
        <f>Roster!O179</f>
        <v>.</v>
      </c>
      <c r="O21" s="37" t="str">
        <f>Roster!P179</f>
        <v>.</v>
      </c>
      <c r="P21" s="37" t="str">
        <f>Roster!Q179</f>
        <v>.</v>
      </c>
      <c r="Q21" s="37" t="str">
        <f>Roster!R179</f>
        <v>.</v>
      </c>
      <c r="R21" s="37" t="str">
        <f>Roster!S179</f>
        <v>.</v>
      </c>
      <c r="S21" s="37" t="str">
        <f>Roster!T179</f>
        <v>.</v>
      </c>
      <c r="T21" s="37" t="str">
        <f>Roster!U179</f>
        <v>.</v>
      </c>
      <c r="U21" s="37" t="str">
        <f>Roster!V179</f>
        <v>.</v>
      </c>
      <c r="V21" s="37" t="str">
        <f>Roster!W179</f>
        <v>.</v>
      </c>
      <c r="W21" s="37" t="str">
        <f>Roster!X179</f>
        <v>.</v>
      </c>
      <c r="X21" s="37" t="str">
        <f>Roster!Y179</f>
        <v>.</v>
      </c>
      <c r="Y21" s="37" t="str">
        <f>Roster!Z179</f>
        <v>.</v>
      </c>
      <c r="Z21" s="37" t="str">
        <f>Roster!AA179</f>
        <v>.</v>
      </c>
      <c r="AA21" s="37" t="str">
        <f>Roster!AB179</f>
        <v>.</v>
      </c>
      <c r="AB21" s="37" t="str">
        <f>Roster!AC179</f>
        <v>.</v>
      </c>
      <c r="AC21" s="37" t="str">
        <f>Roster!AD179</f>
        <v>.</v>
      </c>
      <c r="AD21" s="37" t="str">
        <f>Roster!AE179</f>
        <v>.</v>
      </c>
      <c r="AE21" s="37" t="str">
        <f>Roster!AF179</f>
        <v>.</v>
      </c>
      <c r="AF21" s="37" t="str">
        <f>Roster!AG179</f>
        <v>.</v>
      </c>
      <c r="AG21" s="38" t="str">
        <f>Roster!AH179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52" t="str">
        <f>Roster!D210</f>
        <v>.</v>
      </c>
      <c r="D24" s="53" t="str">
        <f>Roster!E210</f>
        <v>.</v>
      </c>
      <c r="E24" s="53" t="str">
        <f>Roster!F210</f>
        <v>.</v>
      </c>
      <c r="F24" s="53" t="str">
        <f>Roster!G210</f>
        <v>.</v>
      </c>
      <c r="G24" s="53" t="str">
        <f>Roster!H210</f>
        <v>.</v>
      </c>
      <c r="H24" s="53" t="str">
        <f>Roster!I210</f>
        <v>.</v>
      </c>
      <c r="I24" s="53" t="str">
        <f>Roster!J210</f>
        <v>.</v>
      </c>
      <c r="J24" s="53" t="str">
        <f>Roster!K210</f>
        <v>.</v>
      </c>
      <c r="K24" s="53" t="str">
        <f>Roster!L210</f>
        <v>.</v>
      </c>
      <c r="L24" s="53" t="str">
        <f>Roster!M210</f>
        <v>.</v>
      </c>
      <c r="M24" s="53" t="str">
        <f>Roster!N210</f>
        <v>.</v>
      </c>
      <c r="N24" s="53" t="str">
        <f>Roster!O210</f>
        <v>.</v>
      </c>
      <c r="O24" s="53" t="str">
        <f>Roster!P210</f>
        <v>.</v>
      </c>
      <c r="P24" s="53" t="str">
        <f>Roster!Q210</f>
        <v>.</v>
      </c>
      <c r="Q24" s="53" t="str">
        <f>Roster!R210</f>
        <v>.</v>
      </c>
      <c r="R24" s="53" t="str">
        <f>Roster!S210</f>
        <v>.</v>
      </c>
      <c r="S24" s="53" t="str">
        <f>Roster!T210</f>
        <v>.</v>
      </c>
      <c r="T24" s="53" t="str">
        <f>Roster!U210</f>
        <v>.</v>
      </c>
      <c r="U24" s="53" t="str">
        <f>Roster!V210</f>
        <v>.</v>
      </c>
      <c r="V24" s="53" t="str">
        <f>Roster!W210</f>
        <v>.</v>
      </c>
      <c r="W24" s="53" t="str">
        <f>Roster!X210</f>
        <v>.</v>
      </c>
      <c r="X24" s="53" t="str">
        <f>Roster!Y210</f>
        <v>.</v>
      </c>
      <c r="Y24" s="53" t="str">
        <f>Roster!Z210</f>
        <v>.</v>
      </c>
      <c r="Z24" s="53" t="str">
        <f>Roster!AA210</f>
        <v>.</v>
      </c>
      <c r="AA24" s="53" t="str">
        <f>Roster!AB210</f>
        <v>.</v>
      </c>
      <c r="AB24" s="53" t="str">
        <f>Roster!AC210</f>
        <v>.</v>
      </c>
      <c r="AC24" s="53" t="str">
        <f>Roster!AD210</f>
        <v>.</v>
      </c>
      <c r="AD24" s="53" t="str">
        <f>Roster!AE210</f>
        <v>.</v>
      </c>
      <c r="AE24" s="53" t="str">
        <f>Roster!AF210</f>
        <v>.</v>
      </c>
      <c r="AF24" s="53" t="str">
        <f>Roster!AG210</f>
        <v>.</v>
      </c>
      <c r="AG24" s="54" t="str">
        <f>Roster!AH210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23"/>
      <c r="AG25" s="24"/>
    </row>
    <row r="26" spans="2:33" ht="14.4" thickTop="1" thickBot="1">
      <c r="B26" s="32" t="str">
        <f>Roster!$C$214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5">
        <v>29</v>
      </c>
      <c r="AF26" s="44"/>
    </row>
    <row r="27" spans="2:33" ht="14.4" thickTop="1" thickBot="1">
      <c r="B27" s="32" t="str">
        <f>CurYear</f>
        <v>2019</v>
      </c>
      <c r="C27" s="51" t="str">
        <f>Roster!D225</f>
        <v>.</v>
      </c>
      <c r="D27" s="37" t="str">
        <f>Roster!E225</f>
        <v>.</v>
      </c>
      <c r="E27" s="37" t="str">
        <f>Roster!F225</f>
        <v>.</v>
      </c>
      <c r="F27" s="37" t="str">
        <f>Roster!G225</f>
        <v>.</v>
      </c>
      <c r="G27" s="37" t="str">
        <f>Roster!H225</f>
        <v>.</v>
      </c>
      <c r="H27" s="37" t="str">
        <f>Roster!I225</f>
        <v>.</v>
      </c>
      <c r="I27" s="37" t="str">
        <f>Roster!J225</f>
        <v>.</v>
      </c>
      <c r="J27" s="37" t="str">
        <f>Roster!K225</f>
        <v>.</v>
      </c>
      <c r="K27" s="37" t="str">
        <f>Roster!L225</f>
        <v>.</v>
      </c>
      <c r="L27" s="37" t="str">
        <f>Roster!M225</f>
        <v>.</v>
      </c>
      <c r="M27" s="37" t="str">
        <f>Roster!N225</f>
        <v>.</v>
      </c>
      <c r="N27" s="37" t="str">
        <f>Roster!O225</f>
        <v>.</v>
      </c>
      <c r="O27" s="37" t="str">
        <f>Roster!P225</f>
        <v>.</v>
      </c>
      <c r="P27" s="37" t="str">
        <f>Roster!Q225</f>
        <v>.</v>
      </c>
      <c r="Q27" s="37" t="str">
        <f>Roster!R225</f>
        <v>.</v>
      </c>
      <c r="R27" s="37" t="str">
        <f>Roster!S225</f>
        <v>.</v>
      </c>
      <c r="S27" s="37" t="str">
        <f>Roster!T225</f>
        <v>.</v>
      </c>
      <c r="T27" s="37" t="str">
        <f>Roster!U225</f>
        <v>.</v>
      </c>
      <c r="U27" s="37" t="str">
        <f>Roster!V225</f>
        <v>.</v>
      </c>
      <c r="V27" s="37" t="str">
        <f>Roster!W225</f>
        <v>.</v>
      </c>
      <c r="W27" s="37" t="str">
        <f>Roster!X225</f>
        <v>.</v>
      </c>
      <c r="X27" s="37" t="str">
        <f>Roster!Y225</f>
        <v>.</v>
      </c>
      <c r="Y27" s="37" t="str">
        <f>Roster!Z225</f>
        <v>.</v>
      </c>
      <c r="Z27" s="37" t="str">
        <f>Roster!AA225</f>
        <v>.</v>
      </c>
      <c r="AA27" s="37" t="str">
        <f>Roster!AB225</f>
        <v>.</v>
      </c>
      <c r="AB27" s="37" t="str">
        <f>Roster!AC225</f>
        <v>.</v>
      </c>
      <c r="AC27" s="37" t="str">
        <f>Roster!AD225</f>
        <v>.</v>
      </c>
      <c r="AD27" s="43" t="str">
        <f>Roster!AE225</f>
        <v>.</v>
      </c>
      <c r="AE27" s="130">
        <f>Roster!AF222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26" t="str">
        <f t="shared" si="8"/>
        <v>Su</v>
      </c>
    </row>
    <row r="29" spans="2:33" ht="14.4" thickTop="1" thickBot="1">
      <c r="B29" s="32" t="str">
        <f>Roster!$C$229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Roster!D240</f>
        <v>.</v>
      </c>
      <c r="D30" s="37" t="str">
        <f>Roster!E240</f>
        <v>.</v>
      </c>
      <c r="E30" s="37" t="str">
        <f>Roster!F240</f>
        <v>.</v>
      </c>
      <c r="F30" s="37" t="str">
        <f>Roster!G240</f>
        <v>.</v>
      </c>
      <c r="G30" s="37" t="str">
        <f>Roster!H240</f>
        <v>.</v>
      </c>
      <c r="H30" s="37" t="str">
        <f>Roster!I240</f>
        <v>.</v>
      </c>
      <c r="I30" s="37" t="str">
        <f>Roster!J240</f>
        <v>.</v>
      </c>
      <c r="J30" s="37" t="str">
        <f>Roster!K240</f>
        <v>.</v>
      </c>
      <c r="K30" s="37" t="str">
        <f>Roster!L240</f>
        <v>.</v>
      </c>
      <c r="L30" s="37" t="str">
        <f>Roster!M240</f>
        <v>.</v>
      </c>
      <c r="M30" s="37" t="str">
        <f>Roster!N240</f>
        <v>.</v>
      </c>
      <c r="N30" s="37" t="str">
        <f>Roster!O240</f>
        <v>.</v>
      </c>
      <c r="O30" s="37" t="str">
        <f>Roster!P240</f>
        <v>.</v>
      </c>
      <c r="P30" s="37" t="str">
        <f>Roster!Q240</f>
        <v>.</v>
      </c>
      <c r="Q30" s="37" t="str">
        <f>Roster!R240</f>
        <v>.</v>
      </c>
      <c r="R30" s="37" t="str">
        <f>Roster!S240</f>
        <v>.</v>
      </c>
      <c r="S30" s="37" t="str">
        <f>Roster!T240</f>
        <v>.</v>
      </c>
      <c r="T30" s="37" t="str">
        <f>Roster!U240</f>
        <v>.</v>
      </c>
      <c r="U30" s="37" t="str">
        <f>Roster!V240</f>
        <v>.</v>
      </c>
      <c r="V30" s="37" t="str">
        <f>Roster!W240</f>
        <v>.</v>
      </c>
      <c r="W30" s="37" t="str">
        <f>Roster!X240</f>
        <v>.</v>
      </c>
      <c r="X30" s="37" t="str">
        <f>Roster!Y240</f>
        <v>.</v>
      </c>
      <c r="Y30" s="37" t="str">
        <f>Roster!Z240</f>
        <v>.</v>
      </c>
      <c r="Z30" s="37" t="str">
        <f>Roster!AA240</f>
        <v>.</v>
      </c>
      <c r="AA30" s="37" t="str">
        <f>Roster!AB240</f>
        <v>.</v>
      </c>
      <c r="AB30" s="37" t="str">
        <f>Roster!AC240</f>
        <v>.</v>
      </c>
      <c r="AC30" s="37" t="str">
        <f>Roster!AD240</f>
        <v>.</v>
      </c>
      <c r="AD30" s="37" t="str">
        <f>Roster!AE240</f>
        <v>.</v>
      </c>
      <c r="AE30" s="37" t="str">
        <f>Roster!AF240</f>
        <v>.</v>
      </c>
      <c r="AF30" s="37" t="str">
        <f>Roster!AG240</f>
        <v>.</v>
      </c>
      <c r="AG30" s="38" t="str">
        <f>Roster!AH240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Roster!$C$244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Roster!D255</f>
        <v>.</v>
      </c>
      <c r="D33" s="37" t="str">
        <f>Roster!E255</f>
        <v>.</v>
      </c>
      <c r="E33" s="37" t="str">
        <f>Roster!F255</f>
        <v>.</v>
      </c>
      <c r="F33" s="37" t="str">
        <f>Roster!G255</f>
        <v>.</v>
      </c>
      <c r="G33" s="37" t="str">
        <f>Roster!H255</f>
        <v>.</v>
      </c>
      <c r="H33" s="37" t="str">
        <f>Roster!I255</f>
        <v>.</v>
      </c>
      <c r="I33" s="37" t="str">
        <f>Roster!J255</f>
        <v>.</v>
      </c>
      <c r="J33" s="37" t="str">
        <f>Roster!K255</f>
        <v>.</v>
      </c>
      <c r="K33" s="37" t="str">
        <f>Roster!L255</f>
        <v>.</v>
      </c>
      <c r="L33" s="37" t="str">
        <f>Roster!M255</f>
        <v>.</v>
      </c>
      <c r="M33" s="37" t="str">
        <f>Roster!N255</f>
        <v>.</v>
      </c>
      <c r="N33" s="37" t="str">
        <f>Roster!O255</f>
        <v>.</v>
      </c>
      <c r="O33" s="37" t="str">
        <f>Roster!P255</f>
        <v>.</v>
      </c>
      <c r="P33" s="37" t="str">
        <f>Roster!Q255</f>
        <v>.</v>
      </c>
      <c r="Q33" s="37" t="str">
        <f>Roster!R255</f>
        <v>.</v>
      </c>
      <c r="R33" s="37" t="str">
        <f>Roster!S255</f>
        <v>.</v>
      </c>
      <c r="S33" s="37" t="str">
        <f>Roster!T255</f>
        <v>.</v>
      </c>
      <c r="T33" s="37" t="str">
        <f>Roster!U255</f>
        <v>.</v>
      </c>
      <c r="U33" s="37" t="str">
        <f>Roster!V255</f>
        <v>.</v>
      </c>
      <c r="V33" s="37" t="str">
        <f>Roster!W255</f>
        <v>.</v>
      </c>
      <c r="W33" s="37" t="str">
        <f>Roster!X255</f>
        <v>.</v>
      </c>
      <c r="X33" s="37" t="str">
        <f>Roster!Y255</f>
        <v>.</v>
      </c>
      <c r="Y33" s="37" t="str">
        <f>Roster!Z255</f>
        <v>.</v>
      </c>
      <c r="Z33" s="37" t="str">
        <f>Roster!AA255</f>
        <v>.</v>
      </c>
      <c r="AA33" s="37" t="str">
        <f>Roster!AB255</f>
        <v>.</v>
      </c>
      <c r="AB33" s="37" t="str">
        <f>Roster!AC255</f>
        <v>.</v>
      </c>
      <c r="AC33" s="37" t="str">
        <f>Roster!AD255</f>
        <v>.</v>
      </c>
      <c r="AD33" s="37" t="str">
        <f>Roster!AE255</f>
        <v>.</v>
      </c>
      <c r="AE33" s="37" t="str">
        <f>Roster!AF255</f>
        <v>.</v>
      </c>
      <c r="AF33" s="38" t="str">
        <f>Roster!AG255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20" t="str">
        <f t="shared" si="10"/>
        <v>Fr</v>
      </c>
    </row>
    <row r="35" spans="2:33" ht="14.4" thickTop="1" thickBot="1">
      <c r="B35" s="32" t="str">
        <f>Roster!$C$259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Roster!D270</f>
        <v>.</v>
      </c>
      <c r="D36" s="37" t="str">
        <f>Roster!E270</f>
        <v>.</v>
      </c>
      <c r="E36" s="37" t="str">
        <f>Roster!F270</f>
        <v>.</v>
      </c>
      <c r="F36" s="37" t="str">
        <f>Roster!G270</f>
        <v>.</v>
      </c>
      <c r="G36" s="37" t="str">
        <f>Roster!H270</f>
        <v>.</v>
      </c>
      <c r="H36" s="37" t="str">
        <f>Roster!I270</f>
        <v>.</v>
      </c>
      <c r="I36" s="37" t="str">
        <f>Roster!J270</f>
        <v>.</v>
      </c>
      <c r="J36" s="37" t="str">
        <f>Roster!K270</f>
        <v>.</v>
      </c>
      <c r="K36" s="37" t="str">
        <f>Roster!L270</f>
        <v>.</v>
      </c>
      <c r="L36" s="37" t="str">
        <f>Roster!M270</f>
        <v>.</v>
      </c>
      <c r="M36" s="37" t="str">
        <f>Roster!N270</f>
        <v>.</v>
      </c>
      <c r="N36" s="37" t="str">
        <f>Roster!O270</f>
        <v>.</v>
      </c>
      <c r="O36" s="37" t="str">
        <f>Roster!P270</f>
        <v>.</v>
      </c>
      <c r="P36" s="37" t="str">
        <f>Roster!Q270</f>
        <v>.</v>
      </c>
      <c r="Q36" s="37" t="str">
        <f>Roster!R270</f>
        <v>.</v>
      </c>
      <c r="R36" s="37" t="str">
        <f>Roster!S270</f>
        <v>.</v>
      </c>
      <c r="S36" s="37" t="str">
        <f>Roster!T270</f>
        <v>.</v>
      </c>
      <c r="T36" s="37" t="str">
        <f>Roster!U270</f>
        <v>.</v>
      </c>
      <c r="U36" s="37" t="str">
        <f>Roster!V270</f>
        <v>.</v>
      </c>
      <c r="V36" s="37" t="str">
        <f>Roster!W270</f>
        <v>.</v>
      </c>
      <c r="W36" s="37" t="str">
        <f>Roster!X270</f>
        <v>.</v>
      </c>
      <c r="X36" s="37" t="str">
        <f>Roster!Y270</f>
        <v>.</v>
      </c>
      <c r="Y36" s="37" t="str">
        <f>Roster!Z270</f>
        <v>.</v>
      </c>
      <c r="Z36" s="37" t="str">
        <f>Roster!AA270</f>
        <v>.</v>
      </c>
      <c r="AA36" s="37" t="str">
        <f>Roster!AB270</f>
        <v>.</v>
      </c>
      <c r="AB36" s="37" t="str">
        <f>Roster!AC270</f>
        <v>.</v>
      </c>
      <c r="AC36" s="37" t="str">
        <f>Roster!AD270</f>
        <v>.</v>
      </c>
      <c r="AD36" s="37" t="str">
        <f>Roster!AE270</f>
        <v>.</v>
      </c>
      <c r="AE36" s="37" t="str">
        <f>Roster!AF270</f>
        <v>.</v>
      </c>
      <c r="AF36" s="37" t="str">
        <f>Roster!AG270</f>
        <v>.</v>
      </c>
      <c r="AG36" s="38" t="str">
        <f>Roster!AH270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Roster!C274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Roster!D285</f>
        <v>.</v>
      </c>
      <c r="D39" s="37" t="str">
        <f>Roster!E285</f>
        <v>.</v>
      </c>
      <c r="E39" s="37" t="str">
        <f>Roster!F285</f>
        <v>.</v>
      </c>
      <c r="F39" s="37" t="str">
        <f>Roster!G285</f>
        <v>.</v>
      </c>
      <c r="G39" s="37" t="str">
        <f>Roster!H285</f>
        <v>.</v>
      </c>
      <c r="H39" s="37" t="str">
        <f>Roster!I285</f>
        <v>.</v>
      </c>
      <c r="I39" s="37" t="str">
        <f>Roster!J285</f>
        <v>.</v>
      </c>
      <c r="J39" s="37" t="str">
        <f>Roster!K285</f>
        <v>.</v>
      </c>
      <c r="K39" s="37" t="str">
        <f>Roster!L285</f>
        <v>.</v>
      </c>
      <c r="L39" s="37" t="str">
        <f>Roster!M285</f>
        <v>.</v>
      </c>
      <c r="M39" s="37" t="str">
        <f>Roster!N285</f>
        <v>.</v>
      </c>
      <c r="N39" s="37" t="str">
        <f>Roster!O285</f>
        <v>.</v>
      </c>
      <c r="O39" s="37" t="str">
        <f>Roster!P285</f>
        <v>.</v>
      </c>
      <c r="P39" s="37" t="str">
        <f>Roster!Q285</f>
        <v>.</v>
      </c>
      <c r="Q39" s="37" t="str">
        <f>Roster!R285</f>
        <v>.</v>
      </c>
      <c r="R39" s="37" t="str">
        <f>Roster!S285</f>
        <v>.</v>
      </c>
      <c r="S39" s="37" t="str">
        <f>Roster!T285</f>
        <v>.</v>
      </c>
      <c r="T39" s="37" t="str">
        <f>Roster!U285</f>
        <v>.</v>
      </c>
      <c r="U39" s="37" t="str">
        <f>Roster!V285</f>
        <v>.</v>
      </c>
      <c r="V39" s="37" t="str">
        <f>Roster!W285</f>
        <v>.</v>
      </c>
      <c r="W39" s="37" t="str">
        <f>Roster!X285</f>
        <v>.</v>
      </c>
      <c r="X39" s="37" t="str">
        <f>Roster!Y285</f>
        <v>.</v>
      </c>
      <c r="Y39" s="37" t="str">
        <f>Roster!Z285</f>
        <v>.</v>
      </c>
      <c r="Z39" s="37" t="str">
        <f>Roster!AA285</f>
        <v>.</v>
      </c>
      <c r="AA39" s="37" t="str">
        <f>Roster!AB285</f>
        <v>.</v>
      </c>
      <c r="AB39" s="37" t="str">
        <f>Roster!AC285</f>
        <v>.</v>
      </c>
      <c r="AC39" s="37" t="str">
        <f>Roster!AD285</f>
        <v>.</v>
      </c>
      <c r="AD39" s="37" t="str">
        <f>Roster!AE285</f>
        <v>.</v>
      </c>
      <c r="AE39" s="37" t="str">
        <f>Roster!AF285</f>
        <v>.</v>
      </c>
      <c r="AF39" s="38" t="str">
        <f>Roster!AG285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9" t="s">
        <v>25</v>
      </c>
      <c r="R3" s="139" t="str">
        <f>EmpGName12 &amp;" " &amp; EmpSName12</f>
        <v>4Bod Odd4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20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Roster!D25</f>
        <v>.</v>
      </c>
      <c r="D6" s="37" t="str">
        <f>Roster!E25</f>
        <v>.</v>
      </c>
      <c r="E6" s="37" t="str">
        <f>Roster!F25</f>
        <v>.</v>
      </c>
      <c r="F6" s="37" t="str">
        <f>Roster!G25</f>
        <v>.</v>
      </c>
      <c r="G6" s="37" t="str">
        <f>Roster!H25</f>
        <v>.</v>
      </c>
      <c r="H6" s="37" t="str">
        <f>Roster!I25</f>
        <v>.</v>
      </c>
      <c r="I6" s="37" t="str">
        <f>Roster!J25</f>
        <v>.</v>
      </c>
      <c r="J6" s="37" t="str">
        <f>Roster!K25</f>
        <v>.</v>
      </c>
      <c r="K6" s="37" t="str">
        <f>Roster!L25</f>
        <v>.</v>
      </c>
      <c r="L6" s="37" t="str">
        <f>Roster!M25</f>
        <v>.</v>
      </c>
      <c r="M6" s="37" t="str">
        <f>Roster!N25</f>
        <v>.</v>
      </c>
      <c r="N6" s="37" t="str">
        <f>Roster!O25</f>
        <v>.</v>
      </c>
      <c r="O6" s="37" t="str">
        <f>Roster!P25</f>
        <v>.</v>
      </c>
      <c r="P6" s="37" t="str">
        <f>Roster!Q25</f>
        <v>.</v>
      </c>
      <c r="Q6" s="37" t="str">
        <f>Roster!R25</f>
        <v>.</v>
      </c>
      <c r="R6" s="37" t="str">
        <f>Roster!S25</f>
        <v>.</v>
      </c>
      <c r="S6" s="37" t="str">
        <f>Roster!T25</f>
        <v>.</v>
      </c>
      <c r="T6" s="37" t="str">
        <f>Roster!U25</f>
        <v>.</v>
      </c>
      <c r="U6" s="37" t="str">
        <f>Roster!V25</f>
        <v>.</v>
      </c>
      <c r="V6" s="37" t="str">
        <f>Roster!W25</f>
        <v>.</v>
      </c>
      <c r="W6" s="37" t="str">
        <f>Roster!X25</f>
        <v>.</v>
      </c>
      <c r="X6" s="37" t="str">
        <f>Roster!Y25</f>
        <v>.</v>
      </c>
      <c r="Y6" s="37" t="str">
        <f>Roster!Z25</f>
        <v>.</v>
      </c>
      <c r="Z6" s="37" t="str">
        <f>Roster!AA25</f>
        <v>.</v>
      </c>
      <c r="AA6" s="37" t="str">
        <f>Roster!AB25</f>
        <v>.</v>
      </c>
      <c r="AB6" s="37" t="str">
        <f>Roster!AC25</f>
        <v>.</v>
      </c>
      <c r="AC6" s="37" t="str">
        <f>Roster!AD25</f>
        <v>.</v>
      </c>
      <c r="AD6" s="37" t="str">
        <f>Roster!AE25</f>
        <v>.</v>
      </c>
      <c r="AE6" s="37" t="str">
        <f>Roster!AF25</f>
        <v>.</v>
      </c>
      <c r="AF6" s="37" t="str">
        <f>Roster!AG25</f>
        <v>.</v>
      </c>
      <c r="AG6" s="38" t="str">
        <f>Roster!AH25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Roster!D56</f>
        <v>.</v>
      </c>
      <c r="D9" s="39" t="str">
        <f>Roster!E56</f>
        <v>.</v>
      </c>
      <c r="E9" s="37" t="str">
        <f>Roster!F56</f>
        <v>.</v>
      </c>
      <c r="F9" s="37" t="str">
        <f>Roster!G56</f>
        <v>.</v>
      </c>
      <c r="G9" s="37" t="str">
        <f>Roster!H56</f>
        <v>.</v>
      </c>
      <c r="H9" s="37" t="str">
        <f>Roster!I56</f>
        <v>.</v>
      </c>
      <c r="I9" s="37" t="str">
        <f>Roster!J56</f>
        <v>.</v>
      </c>
      <c r="J9" s="37" t="str">
        <f>Roster!K56</f>
        <v>.</v>
      </c>
      <c r="K9" s="37" t="str">
        <f>Roster!L56</f>
        <v>.</v>
      </c>
      <c r="L9" s="37" t="str">
        <f>Roster!M56</f>
        <v>.</v>
      </c>
      <c r="M9" s="37" t="str">
        <f>Roster!N56</f>
        <v>.</v>
      </c>
      <c r="N9" s="37" t="str">
        <f>Roster!O56</f>
        <v>.</v>
      </c>
      <c r="O9" s="37" t="str">
        <f>Roster!P56</f>
        <v>.</v>
      </c>
      <c r="P9" s="37" t="str">
        <f>Roster!Q56</f>
        <v>.</v>
      </c>
      <c r="Q9" s="37" t="str">
        <f>Roster!R56</f>
        <v>.</v>
      </c>
      <c r="R9" s="37" t="str">
        <f>Roster!S56</f>
        <v>.</v>
      </c>
      <c r="S9" s="37" t="str">
        <f>Roster!T56</f>
        <v>.</v>
      </c>
      <c r="T9" s="37" t="str">
        <f>Roster!U56</f>
        <v>.</v>
      </c>
      <c r="U9" s="37" t="str">
        <f>Roster!V56</f>
        <v>.</v>
      </c>
      <c r="V9" s="37" t="str">
        <f>Roster!W56</f>
        <v>.</v>
      </c>
      <c r="W9" s="37" t="str">
        <f>Roster!X56</f>
        <v>.</v>
      </c>
      <c r="X9" s="37" t="str">
        <f>Roster!Y56</f>
        <v>.</v>
      </c>
      <c r="Y9" s="37" t="str">
        <f>Roster!Z56</f>
        <v>.</v>
      </c>
      <c r="Z9" s="37" t="str">
        <f>Roster!AA56</f>
        <v>.</v>
      </c>
      <c r="AA9" s="37" t="str">
        <f>Roster!AB56</f>
        <v>.</v>
      </c>
      <c r="AB9" s="37" t="str">
        <f>Roster!AC56</f>
        <v>.</v>
      </c>
      <c r="AC9" s="37" t="str">
        <f>Roster!AD56</f>
        <v>.</v>
      </c>
      <c r="AD9" s="37" t="str">
        <f>Roster!AE56</f>
        <v>.</v>
      </c>
      <c r="AE9" s="37" t="str">
        <f>Roster!AF56</f>
        <v>.</v>
      </c>
      <c r="AF9" s="37" t="str">
        <f>Roster!AG56</f>
        <v>.</v>
      </c>
      <c r="AG9" s="38" t="str">
        <f>Roster!AH56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Roster!D87</f>
        <v>.</v>
      </c>
      <c r="D12" s="37" t="str">
        <f>Roster!E87</f>
        <v>.</v>
      </c>
      <c r="E12" s="37" t="str">
        <f>Roster!F87</f>
        <v>.</v>
      </c>
      <c r="F12" s="37" t="str">
        <f>Roster!G87</f>
        <v>.</v>
      </c>
      <c r="G12" s="37" t="str">
        <f>Roster!H87</f>
        <v>.</v>
      </c>
      <c r="H12" s="37" t="str">
        <f>Roster!I87</f>
        <v>.</v>
      </c>
      <c r="I12" s="37" t="str">
        <f>Roster!J87</f>
        <v>.</v>
      </c>
      <c r="J12" s="37" t="str">
        <f>Roster!K87</f>
        <v>.</v>
      </c>
      <c r="K12" s="37" t="str">
        <f>Roster!L87</f>
        <v>.</v>
      </c>
      <c r="L12" s="37" t="str">
        <f>Roster!M87</f>
        <v>.</v>
      </c>
      <c r="M12" s="37" t="str">
        <f>Roster!N87</f>
        <v>.</v>
      </c>
      <c r="N12" s="37" t="str">
        <f>Roster!O87</f>
        <v>.</v>
      </c>
      <c r="O12" s="37" t="str">
        <f>Roster!P87</f>
        <v>.</v>
      </c>
      <c r="P12" s="37" t="str">
        <f>Roster!Q87</f>
        <v>.</v>
      </c>
      <c r="Q12" s="37" t="str">
        <f>Roster!R87</f>
        <v>.</v>
      </c>
      <c r="R12" s="37" t="str">
        <f>Roster!S87</f>
        <v>.</v>
      </c>
      <c r="S12" s="37" t="str">
        <f>Roster!T87</f>
        <v>.</v>
      </c>
      <c r="T12" s="37" t="str">
        <f>Roster!U87</f>
        <v>.</v>
      </c>
      <c r="U12" s="37" t="str">
        <f>Roster!V87</f>
        <v>.</v>
      </c>
      <c r="V12" s="37" t="str">
        <f>Roster!W87</f>
        <v>.</v>
      </c>
      <c r="W12" s="37" t="str">
        <f>Roster!X87</f>
        <v>.</v>
      </c>
      <c r="X12" s="37" t="str">
        <f>Roster!Y87</f>
        <v>.</v>
      </c>
      <c r="Y12" s="37" t="str">
        <f>Roster!Z87</f>
        <v>.</v>
      </c>
      <c r="Z12" s="37" t="str">
        <f>Roster!AA87</f>
        <v>.</v>
      </c>
      <c r="AA12" s="37" t="str">
        <f>Roster!AB87</f>
        <v>.</v>
      </c>
      <c r="AB12" s="37" t="str">
        <f>Roster!AC87</f>
        <v>.</v>
      </c>
      <c r="AC12" s="37" t="str">
        <f>Roster!AD87</f>
        <v>.</v>
      </c>
      <c r="AD12" s="37" t="str">
        <f>Roster!AE87</f>
        <v>.</v>
      </c>
      <c r="AE12" s="37" t="str">
        <f>Roster!AF87</f>
        <v>.</v>
      </c>
      <c r="AF12" s="38" t="str">
        <f>Roster!AG87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20" t="str">
        <f t="shared" si="3"/>
        <v>We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Roster!D118</f>
        <v>.</v>
      </c>
      <c r="D15" s="37" t="str">
        <f>Roster!E118</f>
        <v>.</v>
      </c>
      <c r="E15" s="37" t="str">
        <f>Roster!F118</f>
        <v>.</v>
      </c>
      <c r="F15" s="37" t="str">
        <f>Roster!G118</f>
        <v>.</v>
      </c>
      <c r="G15" s="37" t="str">
        <f>Roster!H118</f>
        <v>.</v>
      </c>
      <c r="H15" s="37" t="str">
        <f>Roster!I118</f>
        <v>.</v>
      </c>
      <c r="I15" s="37" t="str">
        <f>Roster!J118</f>
        <v>.</v>
      </c>
      <c r="J15" s="37" t="str">
        <f>Roster!K118</f>
        <v>.</v>
      </c>
      <c r="K15" s="37" t="str">
        <f>Roster!L118</f>
        <v>.</v>
      </c>
      <c r="L15" s="37" t="str">
        <f>Roster!M118</f>
        <v>.</v>
      </c>
      <c r="M15" s="37" t="str">
        <f>Roster!N118</f>
        <v>.</v>
      </c>
      <c r="N15" s="37" t="str">
        <f>Roster!O118</f>
        <v>.</v>
      </c>
      <c r="O15" s="37" t="str">
        <f>Roster!P118</f>
        <v>.</v>
      </c>
      <c r="P15" s="37" t="str">
        <f>Roster!Q118</f>
        <v>.</v>
      </c>
      <c r="Q15" s="37" t="str">
        <f>Roster!R118</f>
        <v>.</v>
      </c>
      <c r="R15" s="37" t="str">
        <f>Roster!S118</f>
        <v>.</v>
      </c>
      <c r="S15" s="37" t="str">
        <f>Roster!T118</f>
        <v>.</v>
      </c>
      <c r="T15" s="37" t="str">
        <f>Roster!U118</f>
        <v>.</v>
      </c>
      <c r="U15" s="37" t="str">
        <f>Roster!V118</f>
        <v>.</v>
      </c>
      <c r="V15" s="37" t="str">
        <f>Roster!W118</f>
        <v>.</v>
      </c>
      <c r="W15" s="37" t="str">
        <f>Roster!X118</f>
        <v>.</v>
      </c>
      <c r="X15" s="37" t="str">
        <f>Roster!Y118</f>
        <v>.</v>
      </c>
      <c r="Y15" s="37" t="str">
        <f>Roster!Z118</f>
        <v>.</v>
      </c>
      <c r="Z15" s="37" t="str">
        <f>Roster!AA118</f>
        <v>.</v>
      </c>
      <c r="AA15" s="37" t="str">
        <f>Roster!AB118</f>
        <v>.</v>
      </c>
      <c r="AB15" s="37" t="str">
        <f>Roster!AC118</f>
        <v>.</v>
      </c>
      <c r="AC15" s="37" t="str">
        <f>Roster!AD118</f>
        <v>.</v>
      </c>
      <c r="AD15" s="37" t="str">
        <f>Roster!AE118</f>
        <v>.</v>
      </c>
      <c r="AE15" s="37" t="str">
        <f>Roster!AF118</f>
        <v>.</v>
      </c>
      <c r="AF15" s="37" t="str">
        <f>Roster!AG118</f>
        <v>.</v>
      </c>
      <c r="AG15" s="38" t="str">
        <f>Roster!AH118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Roster!D149</f>
        <v>.</v>
      </c>
      <c r="D18" s="37" t="str">
        <f>Roster!E149</f>
        <v>.</v>
      </c>
      <c r="E18" s="37" t="str">
        <f>Roster!F149</f>
        <v>.</v>
      </c>
      <c r="F18" s="37" t="str">
        <f>Roster!G149</f>
        <v>.</v>
      </c>
      <c r="G18" s="37" t="str">
        <f>Roster!H149</f>
        <v>.</v>
      </c>
      <c r="H18" s="37" t="str">
        <f>Roster!I149</f>
        <v>.</v>
      </c>
      <c r="I18" s="37" t="str">
        <f>Roster!J149</f>
        <v>.</v>
      </c>
      <c r="J18" s="37" t="str">
        <f>Roster!K149</f>
        <v>.</v>
      </c>
      <c r="K18" s="37" t="str">
        <f>Roster!L149</f>
        <v>.</v>
      </c>
      <c r="L18" s="37" t="str">
        <f>Roster!M149</f>
        <v>.</v>
      </c>
      <c r="M18" s="37" t="str">
        <f>Roster!N149</f>
        <v>.</v>
      </c>
      <c r="N18" s="37" t="str">
        <f>Roster!O149</f>
        <v>.</v>
      </c>
      <c r="O18" s="37" t="str">
        <f>Roster!P149</f>
        <v>.</v>
      </c>
      <c r="P18" s="37" t="str">
        <f>Roster!Q149</f>
        <v>.</v>
      </c>
      <c r="Q18" s="37" t="str">
        <f>Roster!R149</f>
        <v>.</v>
      </c>
      <c r="R18" s="37" t="str">
        <f>Roster!S149</f>
        <v>.</v>
      </c>
      <c r="S18" s="37" t="str">
        <f>Roster!T149</f>
        <v>.</v>
      </c>
      <c r="T18" s="37" t="str">
        <f>Roster!U149</f>
        <v>.</v>
      </c>
      <c r="U18" s="37" t="str">
        <f>Roster!V149</f>
        <v>.</v>
      </c>
      <c r="V18" s="37" t="str">
        <f>Roster!W149</f>
        <v>.</v>
      </c>
      <c r="W18" s="37" t="str">
        <f>Roster!X149</f>
        <v>.</v>
      </c>
      <c r="X18" s="37" t="str">
        <f>Roster!Y149</f>
        <v>.</v>
      </c>
      <c r="Y18" s="37" t="str">
        <f>Roster!Z149</f>
        <v>.</v>
      </c>
      <c r="Z18" s="37" t="str">
        <f>Roster!AA149</f>
        <v>.</v>
      </c>
      <c r="AA18" s="37" t="str">
        <f>Roster!AB149</f>
        <v>.</v>
      </c>
      <c r="AB18" s="37" t="str">
        <f>Roster!AC149</f>
        <v>.</v>
      </c>
      <c r="AC18" s="37" t="str">
        <f>Roster!AD149</f>
        <v>.</v>
      </c>
      <c r="AD18" s="37" t="str">
        <f>Roster!AE149</f>
        <v>.</v>
      </c>
      <c r="AE18" s="37" t="str">
        <f>Roster!AF149</f>
        <v>.</v>
      </c>
      <c r="AF18" s="38" t="str">
        <f>Roster!AG149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Roster!D180</f>
        <v>.</v>
      </c>
      <c r="D21" s="37" t="str">
        <f>Roster!E180</f>
        <v>.</v>
      </c>
      <c r="E21" s="37" t="str">
        <f>Roster!F180</f>
        <v>.</v>
      </c>
      <c r="F21" s="37" t="str">
        <f>Roster!G180</f>
        <v>.</v>
      </c>
      <c r="G21" s="37" t="str">
        <f>Roster!H180</f>
        <v>.</v>
      </c>
      <c r="H21" s="37" t="str">
        <f>Roster!I180</f>
        <v>.</v>
      </c>
      <c r="I21" s="37" t="str">
        <f>Roster!J180</f>
        <v>.</v>
      </c>
      <c r="J21" s="37" t="str">
        <f>Roster!K180</f>
        <v>.</v>
      </c>
      <c r="K21" s="37" t="str">
        <f>Roster!L180</f>
        <v>.</v>
      </c>
      <c r="L21" s="37" t="str">
        <f>Roster!M180</f>
        <v>.</v>
      </c>
      <c r="M21" s="37" t="str">
        <f>Roster!N180</f>
        <v>.</v>
      </c>
      <c r="N21" s="37" t="str">
        <f>Roster!O180</f>
        <v>.</v>
      </c>
      <c r="O21" s="37" t="str">
        <f>Roster!P180</f>
        <v>.</v>
      </c>
      <c r="P21" s="37" t="str">
        <f>Roster!Q180</f>
        <v>.</v>
      </c>
      <c r="Q21" s="37" t="str">
        <f>Roster!R180</f>
        <v>.</v>
      </c>
      <c r="R21" s="37" t="str">
        <f>Roster!S180</f>
        <v>.</v>
      </c>
      <c r="S21" s="37" t="str">
        <f>Roster!T180</f>
        <v>.</v>
      </c>
      <c r="T21" s="37" t="str">
        <f>Roster!U180</f>
        <v>.</v>
      </c>
      <c r="U21" s="37" t="str">
        <f>Roster!V180</f>
        <v>.</v>
      </c>
      <c r="V21" s="37" t="str">
        <f>Roster!W180</f>
        <v>.</v>
      </c>
      <c r="W21" s="37" t="str">
        <f>Roster!X180</f>
        <v>.</v>
      </c>
      <c r="X21" s="37" t="str">
        <f>Roster!Y180</f>
        <v>.</v>
      </c>
      <c r="Y21" s="37" t="str">
        <f>Roster!Z180</f>
        <v>.</v>
      </c>
      <c r="Z21" s="37" t="str">
        <f>Roster!AA180</f>
        <v>.</v>
      </c>
      <c r="AA21" s="37" t="str">
        <f>Roster!AB180</f>
        <v>.</v>
      </c>
      <c r="AB21" s="37" t="str">
        <f>Roster!AC180</f>
        <v>.</v>
      </c>
      <c r="AC21" s="37" t="str">
        <f>Roster!AD180</f>
        <v>.</v>
      </c>
      <c r="AD21" s="37" t="str">
        <f>Roster!AE180</f>
        <v>.</v>
      </c>
      <c r="AE21" s="37" t="str">
        <f>Roster!AF180</f>
        <v>.</v>
      </c>
      <c r="AF21" s="37" t="str">
        <f>Roster!AG180</f>
        <v>.</v>
      </c>
      <c r="AG21" s="38" t="str">
        <f>Roster!AH180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52" t="str">
        <f>Roster!D211</f>
        <v>.</v>
      </c>
      <c r="D24" s="53" t="str">
        <f>Roster!E211</f>
        <v>.</v>
      </c>
      <c r="E24" s="53" t="str">
        <f>Roster!F211</f>
        <v>.</v>
      </c>
      <c r="F24" s="53" t="str">
        <f>Roster!G211</f>
        <v>.</v>
      </c>
      <c r="G24" s="53" t="str">
        <f>Roster!H211</f>
        <v>.</v>
      </c>
      <c r="H24" s="53" t="str">
        <f>Roster!I211</f>
        <v>.</v>
      </c>
      <c r="I24" s="53" t="str">
        <f>Roster!J211</f>
        <v>.</v>
      </c>
      <c r="J24" s="53" t="str">
        <f>Roster!K211</f>
        <v>.</v>
      </c>
      <c r="K24" s="53" t="str">
        <f>Roster!L211</f>
        <v>.</v>
      </c>
      <c r="L24" s="53" t="str">
        <f>Roster!M211</f>
        <v>.</v>
      </c>
      <c r="M24" s="53" t="str">
        <f>Roster!N211</f>
        <v>.</v>
      </c>
      <c r="N24" s="53" t="str">
        <f>Roster!O211</f>
        <v>.</v>
      </c>
      <c r="O24" s="53" t="str">
        <f>Roster!P211</f>
        <v>.</v>
      </c>
      <c r="P24" s="53" t="str">
        <f>Roster!Q211</f>
        <v>.</v>
      </c>
      <c r="Q24" s="53" t="str">
        <f>Roster!R211</f>
        <v>.</v>
      </c>
      <c r="R24" s="53" t="str">
        <f>Roster!S211</f>
        <v>.</v>
      </c>
      <c r="S24" s="53" t="str">
        <f>Roster!T211</f>
        <v>.</v>
      </c>
      <c r="T24" s="53" t="str">
        <f>Roster!U211</f>
        <v>.</v>
      </c>
      <c r="U24" s="53" t="str">
        <f>Roster!V211</f>
        <v>.</v>
      </c>
      <c r="V24" s="53" t="str">
        <f>Roster!W211</f>
        <v>.</v>
      </c>
      <c r="W24" s="53" t="str">
        <f>Roster!X211</f>
        <v>.</v>
      </c>
      <c r="X24" s="53" t="str">
        <f>Roster!Y211</f>
        <v>.</v>
      </c>
      <c r="Y24" s="53" t="str">
        <f>Roster!Z211</f>
        <v>.</v>
      </c>
      <c r="Z24" s="53" t="str">
        <f>Roster!AA211</f>
        <v>.</v>
      </c>
      <c r="AA24" s="53" t="str">
        <f>Roster!AB211</f>
        <v>.</v>
      </c>
      <c r="AB24" s="53" t="str">
        <f>Roster!AC211</f>
        <v>.</v>
      </c>
      <c r="AC24" s="53" t="str">
        <f>Roster!AD211</f>
        <v>.</v>
      </c>
      <c r="AD24" s="53" t="str">
        <f>Roster!AE211</f>
        <v>.</v>
      </c>
      <c r="AE24" s="53" t="str">
        <f>Roster!AF211</f>
        <v>.</v>
      </c>
      <c r="AF24" s="53" t="str">
        <f>Roster!AG211</f>
        <v>.</v>
      </c>
      <c r="AG24" s="54" t="str">
        <f>Roster!AH211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23"/>
      <c r="AG25" s="24"/>
    </row>
    <row r="26" spans="2:33" ht="14.4" thickTop="1" thickBot="1">
      <c r="B26" s="32" t="str">
        <f>Roster!$C$214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5">
        <v>29</v>
      </c>
      <c r="AF26" s="44"/>
    </row>
    <row r="27" spans="2:33" ht="14.4" thickTop="1" thickBot="1">
      <c r="B27" s="32" t="str">
        <f>CurYear</f>
        <v>2019</v>
      </c>
      <c r="C27" s="51" t="str">
        <f>Roster!D226</f>
        <v>.</v>
      </c>
      <c r="D27" s="37" t="str">
        <f>Roster!E226</f>
        <v>.</v>
      </c>
      <c r="E27" s="37" t="str">
        <f>Roster!F226</f>
        <v>.</v>
      </c>
      <c r="F27" s="37" t="str">
        <f>Roster!G226</f>
        <v>.</v>
      </c>
      <c r="G27" s="37" t="str">
        <f>Roster!H226</f>
        <v>.</v>
      </c>
      <c r="H27" s="37" t="str">
        <f>Roster!I226</f>
        <v>.</v>
      </c>
      <c r="I27" s="37" t="str">
        <f>Roster!J226</f>
        <v>.</v>
      </c>
      <c r="J27" s="37" t="str">
        <f>Roster!K226</f>
        <v>.</v>
      </c>
      <c r="K27" s="37" t="str">
        <f>Roster!L226</f>
        <v>.</v>
      </c>
      <c r="L27" s="37" t="str">
        <f>Roster!M226</f>
        <v>.</v>
      </c>
      <c r="M27" s="37" t="str">
        <f>Roster!N226</f>
        <v>.</v>
      </c>
      <c r="N27" s="37" t="str">
        <f>Roster!O226</f>
        <v>.</v>
      </c>
      <c r="O27" s="37" t="str">
        <f>Roster!P226</f>
        <v>.</v>
      </c>
      <c r="P27" s="37" t="str">
        <f>Roster!Q226</f>
        <v>.</v>
      </c>
      <c r="Q27" s="37" t="str">
        <f>Roster!R226</f>
        <v>.</v>
      </c>
      <c r="R27" s="37" t="str">
        <f>Roster!S226</f>
        <v>.</v>
      </c>
      <c r="S27" s="37" t="str">
        <f>Roster!T226</f>
        <v>.</v>
      </c>
      <c r="T27" s="37" t="str">
        <f>Roster!U226</f>
        <v>.</v>
      </c>
      <c r="U27" s="37" t="str">
        <f>Roster!V226</f>
        <v>.</v>
      </c>
      <c r="V27" s="37" t="str">
        <f>Roster!W226</f>
        <v>.</v>
      </c>
      <c r="W27" s="37" t="str">
        <f>Roster!X226</f>
        <v>.</v>
      </c>
      <c r="X27" s="37" t="str">
        <f>Roster!Y226</f>
        <v>.</v>
      </c>
      <c r="Y27" s="37" t="str">
        <f>Roster!Z226</f>
        <v>.</v>
      </c>
      <c r="Z27" s="37" t="str">
        <f>Roster!AA226</f>
        <v>.</v>
      </c>
      <c r="AA27" s="37" t="str">
        <f>Roster!AB226</f>
        <v>.</v>
      </c>
      <c r="AB27" s="37" t="str">
        <f>Roster!AC226</f>
        <v>.</v>
      </c>
      <c r="AC27" s="37" t="str">
        <f>Roster!AD226</f>
        <v>.</v>
      </c>
      <c r="AD27" s="43" t="str">
        <f>Roster!AE226</f>
        <v>.</v>
      </c>
      <c r="AE27" s="130">
        <f>Roster!AF226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26" t="str">
        <f t="shared" si="8"/>
        <v>Su</v>
      </c>
    </row>
    <row r="29" spans="2:33" ht="14.4" thickTop="1" thickBot="1">
      <c r="B29" s="32" t="str">
        <f>Roster!$C$229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Roster!D241</f>
        <v>.</v>
      </c>
      <c r="D30" s="37" t="str">
        <f>Roster!E241</f>
        <v>.</v>
      </c>
      <c r="E30" s="37" t="str">
        <f>Roster!F241</f>
        <v>.</v>
      </c>
      <c r="F30" s="37" t="str">
        <f>Roster!G241</f>
        <v>.</v>
      </c>
      <c r="G30" s="37" t="str">
        <f>Roster!H241</f>
        <v>.</v>
      </c>
      <c r="H30" s="37" t="str">
        <f>Roster!I241</f>
        <v>.</v>
      </c>
      <c r="I30" s="37" t="str">
        <f>Roster!J241</f>
        <v>.</v>
      </c>
      <c r="J30" s="37" t="str">
        <f>Roster!K241</f>
        <v>.</v>
      </c>
      <c r="K30" s="37" t="str">
        <f>Roster!L241</f>
        <v>.</v>
      </c>
      <c r="L30" s="37" t="str">
        <f>Roster!M241</f>
        <v>.</v>
      </c>
      <c r="M30" s="37" t="str">
        <f>Roster!N241</f>
        <v>.</v>
      </c>
      <c r="N30" s="37" t="str">
        <f>Roster!O241</f>
        <v>.</v>
      </c>
      <c r="O30" s="37" t="str">
        <f>Roster!P241</f>
        <v>.</v>
      </c>
      <c r="P30" s="37" t="str">
        <f>Roster!Q241</f>
        <v>.</v>
      </c>
      <c r="Q30" s="37" t="str">
        <f>Roster!R241</f>
        <v>.</v>
      </c>
      <c r="R30" s="37" t="str">
        <f>Roster!S241</f>
        <v>.</v>
      </c>
      <c r="S30" s="37" t="str">
        <f>Roster!T241</f>
        <v>.</v>
      </c>
      <c r="T30" s="37" t="str">
        <f>Roster!U241</f>
        <v>.</v>
      </c>
      <c r="U30" s="37" t="str">
        <f>Roster!V241</f>
        <v>.</v>
      </c>
      <c r="V30" s="37" t="str">
        <f>Roster!W241</f>
        <v>.</v>
      </c>
      <c r="W30" s="37" t="str">
        <f>Roster!X241</f>
        <v>.</v>
      </c>
      <c r="X30" s="37" t="str">
        <f>Roster!Y241</f>
        <v>.</v>
      </c>
      <c r="Y30" s="37" t="str">
        <f>Roster!Z241</f>
        <v>.</v>
      </c>
      <c r="Z30" s="37" t="str">
        <f>Roster!AA241</f>
        <v>.</v>
      </c>
      <c r="AA30" s="37" t="str">
        <f>Roster!AB241</f>
        <v>.</v>
      </c>
      <c r="AB30" s="37" t="str">
        <f>Roster!AC241</f>
        <v>.</v>
      </c>
      <c r="AC30" s="37" t="str">
        <f>Roster!AD241</f>
        <v>.</v>
      </c>
      <c r="AD30" s="37" t="str">
        <f>Roster!AE241</f>
        <v>.</v>
      </c>
      <c r="AE30" s="37" t="str">
        <f>Roster!AF241</f>
        <v>.</v>
      </c>
      <c r="AF30" s="37" t="str">
        <f>Roster!AG241</f>
        <v>.</v>
      </c>
      <c r="AG30" s="38" t="str">
        <f>Roster!AH241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Roster!$C$244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Roster!D256</f>
        <v>.</v>
      </c>
      <c r="D33" s="37" t="str">
        <f>Roster!E256</f>
        <v>.</v>
      </c>
      <c r="E33" s="37" t="str">
        <f>Roster!F256</f>
        <v>.</v>
      </c>
      <c r="F33" s="37" t="str">
        <f>Roster!G256</f>
        <v>.</v>
      </c>
      <c r="G33" s="37" t="str">
        <f>Roster!H256</f>
        <v>.</v>
      </c>
      <c r="H33" s="37" t="str">
        <f>Roster!I256</f>
        <v>.</v>
      </c>
      <c r="I33" s="37" t="str">
        <f>Roster!J256</f>
        <v>.</v>
      </c>
      <c r="J33" s="37" t="str">
        <f>Roster!K256</f>
        <v>.</v>
      </c>
      <c r="K33" s="37" t="str">
        <f>Roster!L256</f>
        <v>.</v>
      </c>
      <c r="L33" s="37" t="str">
        <f>Roster!M256</f>
        <v>.</v>
      </c>
      <c r="M33" s="37" t="str">
        <f>Roster!N256</f>
        <v>.</v>
      </c>
      <c r="N33" s="37" t="str">
        <f>Roster!O256</f>
        <v>.</v>
      </c>
      <c r="O33" s="37" t="str">
        <f>Roster!P256</f>
        <v>.</v>
      </c>
      <c r="P33" s="37" t="str">
        <f>Roster!Q256</f>
        <v>.</v>
      </c>
      <c r="Q33" s="37" t="str">
        <f>Roster!R256</f>
        <v>.</v>
      </c>
      <c r="R33" s="37" t="str">
        <f>Roster!S256</f>
        <v>.</v>
      </c>
      <c r="S33" s="37" t="str">
        <f>Roster!T256</f>
        <v>.</v>
      </c>
      <c r="T33" s="37" t="str">
        <f>Roster!U256</f>
        <v>.</v>
      </c>
      <c r="U33" s="37" t="str">
        <f>Roster!V256</f>
        <v>.</v>
      </c>
      <c r="V33" s="37" t="str">
        <f>Roster!W256</f>
        <v>.</v>
      </c>
      <c r="W33" s="37" t="str">
        <f>Roster!X256</f>
        <v>.</v>
      </c>
      <c r="X33" s="37" t="str">
        <f>Roster!Y256</f>
        <v>.</v>
      </c>
      <c r="Y33" s="37" t="str">
        <f>Roster!Z256</f>
        <v>.</v>
      </c>
      <c r="Z33" s="37" t="str">
        <f>Roster!AA256</f>
        <v>.</v>
      </c>
      <c r="AA33" s="37" t="str">
        <f>Roster!AB256</f>
        <v>.</v>
      </c>
      <c r="AB33" s="37" t="str">
        <f>Roster!AC256</f>
        <v>.</v>
      </c>
      <c r="AC33" s="37" t="str">
        <f>Roster!AD256</f>
        <v>.</v>
      </c>
      <c r="AD33" s="37" t="str">
        <f>Roster!AE256</f>
        <v>.</v>
      </c>
      <c r="AE33" s="37" t="str">
        <f>Roster!AF256</f>
        <v>.</v>
      </c>
      <c r="AF33" s="38" t="str">
        <f>Roster!AG256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20" t="str">
        <f t="shared" si="10"/>
        <v>Fr</v>
      </c>
    </row>
    <row r="35" spans="2:33" ht="14.4" thickTop="1" thickBot="1">
      <c r="B35" s="32" t="str">
        <f>Roster!$C$259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Roster!D271</f>
        <v>.</v>
      </c>
      <c r="D36" s="37" t="str">
        <f>Roster!E271</f>
        <v>.</v>
      </c>
      <c r="E36" s="37" t="str">
        <f>Roster!F271</f>
        <v>.</v>
      </c>
      <c r="F36" s="37" t="str">
        <f>Roster!G271</f>
        <v>.</v>
      </c>
      <c r="G36" s="37" t="str">
        <f>Roster!H271</f>
        <v>.</v>
      </c>
      <c r="H36" s="37" t="str">
        <f>Roster!I271</f>
        <v>.</v>
      </c>
      <c r="I36" s="37" t="str">
        <f>Roster!J271</f>
        <v>.</v>
      </c>
      <c r="J36" s="37" t="str">
        <f>Roster!K271</f>
        <v>.</v>
      </c>
      <c r="K36" s="37" t="str">
        <f>Roster!L271</f>
        <v>.</v>
      </c>
      <c r="L36" s="37" t="str">
        <f>Roster!M271</f>
        <v>.</v>
      </c>
      <c r="M36" s="37" t="str">
        <f>Roster!N271</f>
        <v>.</v>
      </c>
      <c r="N36" s="37" t="str">
        <f>Roster!O271</f>
        <v>.</v>
      </c>
      <c r="O36" s="37" t="str">
        <f>Roster!P271</f>
        <v>.</v>
      </c>
      <c r="P36" s="37" t="str">
        <f>Roster!Q271</f>
        <v>.</v>
      </c>
      <c r="Q36" s="37" t="str">
        <f>Roster!R271</f>
        <v>.</v>
      </c>
      <c r="R36" s="37" t="str">
        <f>Roster!S271</f>
        <v>.</v>
      </c>
      <c r="S36" s="37" t="str">
        <f>Roster!T271</f>
        <v>.</v>
      </c>
      <c r="T36" s="37" t="str">
        <f>Roster!U271</f>
        <v>.</v>
      </c>
      <c r="U36" s="37" t="str">
        <f>Roster!V271</f>
        <v>.</v>
      </c>
      <c r="V36" s="37" t="str">
        <f>Roster!W271</f>
        <v>.</v>
      </c>
      <c r="W36" s="37" t="str">
        <f>Roster!X271</f>
        <v>.</v>
      </c>
      <c r="X36" s="37" t="str">
        <f>Roster!Y271</f>
        <v>.</v>
      </c>
      <c r="Y36" s="37" t="str">
        <f>Roster!Z271</f>
        <v>.</v>
      </c>
      <c r="Z36" s="37" t="str">
        <f>Roster!AA271</f>
        <v>.</v>
      </c>
      <c r="AA36" s="37" t="str">
        <f>Roster!AB271</f>
        <v>.</v>
      </c>
      <c r="AB36" s="37" t="str">
        <f>Roster!AC271</f>
        <v>.</v>
      </c>
      <c r="AC36" s="37" t="str">
        <f>Roster!AD271</f>
        <v>.</v>
      </c>
      <c r="AD36" s="37" t="str">
        <f>Roster!AE271</f>
        <v>.</v>
      </c>
      <c r="AE36" s="37" t="str">
        <f>Roster!AF271</f>
        <v>.</v>
      </c>
      <c r="AF36" s="37" t="str">
        <f>Roster!AG271</f>
        <v>.</v>
      </c>
      <c r="AG36" s="38" t="str">
        <f>Roster!AH271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Roster!C274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Roster!D286</f>
        <v>.</v>
      </c>
      <c r="D39" s="37" t="str">
        <f>Roster!E286</f>
        <v>.</v>
      </c>
      <c r="E39" s="37" t="str">
        <f>Roster!F286</f>
        <v>.</v>
      </c>
      <c r="F39" s="37" t="str">
        <f>Roster!G286</f>
        <v>.</v>
      </c>
      <c r="G39" s="37" t="str">
        <f>Roster!H286</f>
        <v>.</v>
      </c>
      <c r="H39" s="37" t="str">
        <f>Roster!I286</f>
        <v>.</v>
      </c>
      <c r="I39" s="37" t="str">
        <f>Roster!J286</f>
        <v>.</v>
      </c>
      <c r="J39" s="37" t="str">
        <f>Roster!K286</f>
        <v>.</v>
      </c>
      <c r="K39" s="37" t="str">
        <f>Roster!L286</f>
        <v>.</v>
      </c>
      <c r="L39" s="37" t="str">
        <f>Roster!M286</f>
        <v>.</v>
      </c>
      <c r="M39" s="37" t="str">
        <f>Roster!N286</f>
        <v>.</v>
      </c>
      <c r="N39" s="37" t="str">
        <f>Roster!O286</f>
        <v>.</v>
      </c>
      <c r="O39" s="37" t="str">
        <f>Roster!P286</f>
        <v>.</v>
      </c>
      <c r="P39" s="37" t="str">
        <f>Roster!Q286</f>
        <v>.</v>
      </c>
      <c r="Q39" s="37" t="str">
        <f>Roster!R286</f>
        <v>.</v>
      </c>
      <c r="R39" s="37" t="str">
        <f>Roster!S286</f>
        <v>.</v>
      </c>
      <c r="S39" s="37" t="str">
        <f>Roster!T286</f>
        <v>.</v>
      </c>
      <c r="T39" s="37" t="str">
        <f>Roster!U286</f>
        <v>.</v>
      </c>
      <c r="U39" s="37" t="str">
        <f>Roster!V286</f>
        <v>.</v>
      </c>
      <c r="V39" s="37" t="str">
        <f>Roster!W286</f>
        <v>.</v>
      </c>
      <c r="W39" s="37" t="str">
        <f>Roster!X286</f>
        <v>.</v>
      </c>
      <c r="X39" s="37" t="str">
        <f>Roster!Y286</f>
        <v>.</v>
      </c>
      <c r="Y39" s="37" t="str">
        <f>Roster!Z286</f>
        <v>.</v>
      </c>
      <c r="Z39" s="37" t="str">
        <f>Roster!AA286</f>
        <v>.</v>
      </c>
      <c r="AA39" s="37" t="str">
        <f>Roster!AB286</f>
        <v>.</v>
      </c>
      <c r="AB39" s="37" t="str">
        <f>Roster!AC286</f>
        <v>.</v>
      </c>
      <c r="AC39" s="37" t="str">
        <f>Roster!AD286</f>
        <v>.</v>
      </c>
      <c r="AD39" s="37" t="str">
        <f>Roster!AE286</f>
        <v>.</v>
      </c>
      <c r="AE39" s="37" t="str">
        <f>Roster!AF286</f>
        <v>.</v>
      </c>
      <c r="AF39" s="38" t="str">
        <f>Roster!AG286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M25"/>
  <sheetViews>
    <sheetView showGridLines="0" zoomScale="198" zoomScaleNormal="198" workbookViewId="0">
      <selection activeCell="B2" sqref="B2"/>
    </sheetView>
  </sheetViews>
  <sheetFormatPr defaultColWidth="9.109375" defaultRowHeight="13.2"/>
  <cols>
    <col min="1" max="1" width="7" style="56" customWidth="1"/>
    <col min="2" max="2" width="10.6640625" style="56" customWidth="1"/>
    <col min="3" max="3" width="9.6640625" style="56" customWidth="1"/>
    <col min="4" max="5" width="5.109375" style="56" customWidth="1"/>
    <col min="6" max="12" width="5.33203125" style="56" customWidth="1"/>
    <col min="13" max="16384" width="9.109375" style="56"/>
  </cols>
  <sheetData>
    <row r="1" spans="2:13" s="55" customFormat="1" ht="24" customHeight="1"/>
    <row r="2" spans="2:13" s="55" customFormat="1" ht="21" customHeight="1">
      <c r="B2" s="57"/>
      <c r="C2" s="57"/>
    </row>
    <row r="3" spans="2:13" s="55" customFormat="1">
      <c r="B3" s="190" t="str">
        <f>CurYear-1 &amp; "/"&amp;CurYear</f>
        <v>2018/2019</v>
      </c>
      <c r="C3" s="190"/>
      <c r="D3" s="98" t="s">
        <v>9</v>
      </c>
      <c r="E3" s="98" t="s">
        <v>11</v>
      </c>
      <c r="F3" s="98" t="s">
        <v>10</v>
      </c>
      <c r="G3" s="98" t="s">
        <v>71</v>
      </c>
      <c r="H3" s="98" t="s">
        <v>39</v>
      </c>
      <c r="I3" s="98" t="s">
        <v>40</v>
      </c>
      <c r="J3" s="98" t="s">
        <v>45</v>
      </c>
      <c r="K3" s="103" t="s">
        <v>51</v>
      </c>
      <c r="L3" s="98" t="s">
        <v>46</v>
      </c>
      <c r="M3" s="98" t="s">
        <v>29</v>
      </c>
    </row>
    <row r="4" spans="2:13" s="55" customFormat="1">
      <c r="B4" s="99" t="str">
        <f>EmpGName01</f>
        <v>Luciano</v>
      </c>
      <c r="C4" s="99" t="str">
        <f>EmpSName01</f>
        <v>Marampon</v>
      </c>
      <c r="D4" s="79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0</v>
      </c>
      <c r="E4" s="79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F4" s="79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0</v>
      </c>
      <c r="G4" s="79">
        <f>COUNTIF(Emp01Jan,"X")+COUNTIF(Emp01Feb,"X")+COUNTIF(Emp01Mar,"X")+COUNTIF(Emp01Apr,"X")+COUNTIF(Emp01May,"X")+COUNTIF(Emp01Jun,"X")+COUNTIF(Emp01Jul,"X")+COUNTIF(Emp01Aug,"X")+COUNTIF(Emp01Sep,"X")+COUNTIF(Emp01Oct,"X")+COUNTIF(Emp01Nov,"X")+COUNTIF(Emp01Dec,"X")</f>
        <v>0</v>
      </c>
      <c r="H4" s="79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0</v>
      </c>
      <c r="I4" s="79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0</v>
      </c>
      <c r="J4" s="79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K4" s="79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L4" s="79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M4" s="81">
        <f>SUM(D4:L4)</f>
        <v>0</v>
      </c>
    </row>
    <row r="5" spans="2:13" s="55" customFormat="1">
      <c r="B5" s="100" t="str">
        <f>EmpGName02</f>
        <v>Kevin</v>
      </c>
      <c r="C5" s="100" t="str">
        <f>EmpSName02</f>
        <v>Stone</v>
      </c>
      <c r="D5" s="78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0</v>
      </c>
      <c r="E5" s="78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F5" s="78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0</v>
      </c>
      <c r="G5" s="78">
        <f>COUNTIF(Emp02Jan,"X")+COUNTIF(Emp02Feb,"X")+COUNTIF(Emp02Mar,"X")+COUNTIF(Emp02Apr,"X")+COUNTIF(Emp02May,"X")+COUNTIF(Emp02Jun,"X")+COUNTIF(Emp02Jul,"X")+COUNTIF(Emp02Aug,"X")+COUNTIF(Emp02Sep,"X")+COUNTIF(Emp02Oct,"X")+COUNTIF(Emp02Nov,"X")+COUNTIF(Emp02Dec,"X")</f>
        <v>0</v>
      </c>
      <c r="H5" s="78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I5" s="78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J5" s="78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K5" s="78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L5" s="78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M5" s="80">
        <f>SUM(D5:L5)</f>
        <v>0</v>
      </c>
    </row>
    <row r="6" spans="2:13" s="55" customFormat="1">
      <c r="B6" s="99" t="str">
        <f>EmpGName03</f>
        <v>Ian</v>
      </c>
      <c r="C6" s="99" t="str">
        <f>EmpSName03</f>
        <v>Thelning</v>
      </c>
      <c r="D6" s="79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0</v>
      </c>
      <c r="E6" s="79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F6" s="79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0</v>
      </c>
      <c r="G6" s="79">
        <f>COUNTIF(Emp03Jan,"X")+COUNTIF(Emp03Feb,"X")+COUNTIF(Emp03Mar,"X")+COUNTIF(Emp03Apr,"X")+COUNTIF(Emp03May,"X")+COUNTIF(Emp03Jun,"X")+COUNTIF(Emp03Jul,"X")+COUNTIF(Emp03Aug,"X")+COUNTIF(Emp03Sep,"X")+COUNTIF(Emp03Oct,"X")+COUNTIF(Emp03Nov,"X")+COUNTIF(Emp03Dec,"X")</f>
        <v>0</v>
      </c>
      <c r="H6" s="79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I6" s="79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J6" s="79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K6" s="79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0</v>
      </c>
      <c r="L6" s="79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M6" s="81">
        <f>SUM(D6:L6)</f>
        <v>0</v>
      </c>
    </row>
    <row r="7" spans="2:13" s="55" customFormat="1">
      <c r="B7" s="100" t="str">
        <f>EmpGName04</f>
        <v>Leon</v>
      </c>
      <c r="C7" s="100" t="str">
        <f>EmpSName04</f>
        <v>King</v>
      </c>
      <c r="D7" s="78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0</v>
      </c>
      <c r="E7" s="78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F7" s="78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0</v>
      </c>
      <c r="G7" s="78">
        <f>COUNTIF(Emp04Jan,"X")+COUNTIF(Emp04Feb,"X")+COUNTIF(Emp04Mar,"X")+COUNTIF(Emp04Apr,"X")+COUNTIF(Emp04May,"X")+COUNTIF(Emp04Jun,"X")+COUNTIF(Emp04Jul,"X")+COUNTIF(Emp04Aug,"X")+COUNTIF(Emp04Sep,"X")+COUNTIF(Emp04Oct,"X")+COUNTIF(Emp04Nov,"X")+COUNTIF(Emp04Dec,"X")</f>
        <v>0</v>
      </c>
      <c r="H7" s="78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I7" s="78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J7" s="78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K7" s="78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L7" s="78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M7" s="80">
        <f t="shared" ref="M7:M11" si="0">SUM(D7:L7)</f>
        <v>0</v>
      </c>
    </row>
    <row r="8" spans="2:13" s="55" customFormat="1">
      <c r="B8" s="99" t="str">
        <f>EmpGName05</f>
        <v>David</v>
      </c>
      <c r="C8" s="99" t="str">
        <f>EmpSName05</f>
        <v>Castle</v>
      </c>
      <c r="D8" s="79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0</v>
      </c>
      <c r="E8" s="79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F8" s="79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G8" s="79">
        <f>COUNTIF(Emp05Jan,"X")+COUNTIF(Emp05Feb,"X")+COUNTIF(Emp05Mar,"X")+COUNTIF(Emp05Apr,"X")+COUNTIF(Emp05May,"X")+COUNTIF(Emp05Jun,"X")+COUNTIF(Emp05Jul,"X")+COUNTIF(Emp05Aug,"X")+COUNTIF(Emp05Sep,"X")+COUNTIF(Emp05Oct,"X")+COUNTIF(Emp05Nov,"X")+COUNTIF(Emp05Dec,"X")</f>
        <v>0</v>
      </c>
      <c r="H8" s="79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I8" s="79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J8" s="79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K8" s="79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L8" s="79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M8" s="81">
        <f t="shared" si="0"/>
        <v>0</v>
      </c>
    </row>
    <row r="9" spans="2:13" s="55" customFormat="1">
      <c r="B9" s="100" t="str">
        <f>EmpGName06</f>
        <v>Robin</v>
      </c>
      <c r="C9" s="100" t="str">
        <f>EmpSName06</f>
        <v>Fielding</v>
      </c>
      <c r="D9" s="78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0</v>
      </c>
      <c r="E9" s="78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F9" s="78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G9" s="78">
        <f>COUNTIF(Emp06Jan,"X")+COUNTIF(Emp06Feb,"X")+COUNTIF(Emp06Mar,"X")+COUNTIF(Emp06Apr,"X")+COUNTIF(Emp06May,"X")+COUNTIF(Emp06Jun,"X")+COUNTIF(Emp06Jul,"X")+COUNTIF(Emp06Aug,"X")+COUNTIF(Emp06Sep,"X")+COUNTIF(Emp06Oct,"X")+COUNTIF(Emp06Nov,"X")+COUNTIF(Emp06Dec,"X")</f>
        <v>0</v>
      </c>
      <c r="H9" s="78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I9" s="78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J9" s="78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K9" s="78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L9" s="78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M9" s="80">
        <f t="shared" si="0"/>
        <v>0</v>
      </c>
    </row>
    <row r="10" spans="2:13" s="55" customFormat="1">
      <c r="B10" s="99" t="str">
        <f>EmpGName07</f>
        <v>Troy</v>
      </c>
      <c r="C10" s="99" t="str">
        <f>EmpSName07</f>
        <v>Sorensen</v>
      </c>
      <c r="D10" s="81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0</v>
      </c>
      <c r="E10" s="81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F10" s="81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G10" s="81">
        <f>COUNTIF(Emp07Jan,"X")+COUNTIF(Emp07Feb,"X")+COUNTIF(Emp07Mar,"X")+COUNTIF(Emp07Apr,"X")+COUNTIF(Emp07May,"X")+COUNTIF(Emp07Jun,"X")+COUNTIF(Emp07Jul,"X")+COUNTIF(Emp07Aug,"X")+COUNTIF(Emp07Sep,"X")+COUNTIF(Emp07Oct,"X")+COUNTIF(Emp07Nov,"X")+COUNTIF(Emp07Dec,"X")</f>
        <v>0</v>
      </c>
      <c r="H10" s="79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I10" s="79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J10" s="79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K10" s="81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L10" s="79">
        <f>COUNTIF(Emp07Jan,"SP")+COUNTIF(Emp07Feb,"SP")+COUNTIF(Emp07Mar,"SP")+COUNTIF(Emp07Apr,"SP")+COUNTIF(Emp07May,"SP")+COUNTIF(Emp07Jun,"SP")+COUNTIF(Emp07Jul,"SP")+COUNTIF(Emp07Aug,"SP")+COUNTIF(Emp07Sep,"SP")+COUNTIF(Emp07Oct,"SP")+COUNTIF(Emp07Nov,"SP")+COUNTIF(Emp07Dec,"SP")</f>
        <v>0</v>
      </c>
      <c r="M10" s="81">
        <f t="shared" si="0"/>
        <v>0</v>
      </c>
    </row>
    <row r="11" spans="2:13" s="55" customFormat="1">
      <c r="B11" s="100" t="str">
        <f>EmpGName08</f>
        <v>Bodd</v>
      </c>
      <c r="C11" s="100" t="str">
        <f>EmpSName08</f>
        <v xml:space="preserve">Odd </v>
      </c>
      <c r="D11" s="80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0</v>
      </c>
      <c r="E11" s="80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F11" s="80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G11" s="80">
        <f>COUNTIF(Emp08Jan,"X")+COUNTIF(Emp08Feb,"X")+COUNTIF(Emp08Mar,"X")+COUNTIF(Emp08Apr,"X")+COUNTIF(Emp08May,"X")+COUNTIF(Emp08Jun,"X")+COUNTIF(Emp08Jul,"X")+COUNTIF(Emp08Aug,"X")+COUNTIF(Emp08Sep,"X")+COUNTIF(Emp08Oct,"X")+COUNTIF(Emp08Nov,"X")+COUNTIF(Emp08Dec,"X")</f>
        <v>0</v>
      </c>
      <c r="H11" s="78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I11" s="78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J11" s="78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K11" s="80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L11" s="78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M11" s="80">
        <f t="shared" si="0"/>
        <v>0</v>
      </c>
    </row>
    <row r="12" spans="2:13" s="55" customFormat="1">
      <c r="B12" s="99" t="str">
        <f>EmpGName09</f>
        <v>1Bod</v>
      </c>
      <c r="C12" s="99" t="str">
        <f>EmpSName09</f>
        <v>Odd1</v>
      </c>
      <c r="D12" s="81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0</v>
      </c>
      <c r="E12" s="81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F12" s="81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G12" s="81">
        <f>COUNTIF(Emp09Jan,"X")+COUNTIF(Emp09Feb,"X")+COUNTIF(Emp09Mar,"X")+COUNTIF(Emp09Apr,"X")+COUNTIF(Emp09May,"X")+COUNTIF(Emp09Jun,"X")+COUNTIF(Emp09Jul,"X")+COUNTIF(Emp09Aug,"X")+COUNTIF(Emp09Sep,"X")+COUNTIF(Emp09Oct,"X")+COUNTIF(Emp09Nov,"X")+COUNTIF(Emp09Dec,"X")</f>
        <v>0</v>
      </c>
      <c r="H12" s="79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I12" s="79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J12" s="79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K12" s="81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L12" s="79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M12" s="81">
        <f>SUM(D12:L12)</f>
        <v>0</v>
      </c>
    </row>
    <row r="13" spans="2:13" s="55" customFormat="1">
      <c r="B13" s="100" t="str">
        <f>EmpSName10</f>
        <v>Odd2</v>
      </c>
      <c r="C13" s="100" t="str">
        <f>EmpGName10</f>
        <v>2Bod</v>
      </c>
      <c r="D13" s="80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0</v>
      </c>
      <c r="E13" s="80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F13" s="80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G13" s="80">
        <f>COUNTIF(Emp10Jan,"X")+COUNTIF(Emp10Feb,"X")+COUNTIF(Emp10Mar,"X")+COUNTIF(Emp10Apr,"X")+COUNTIF(Emp10May,"X")+COUNTIF(Emp10Jun,"X")+COUNTIF(Emp10Jul,"X")+COUNTIF(Emp10Aug,"X")+COUNTIF(Emp10Sep,"X")+COUNTIF(Emp10Oct,"X")+COUNTIF(Emp10Nov,"X")+COUNTIF(Emp10Dec,"X")</f>
        <v>0</v>
      </c>
      <c r="H13" s="78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I13" s="78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J13" s="78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K13" s="80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L13" s="78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M13" s="80">
        <f t="shared" ref="M13:M15" si="1">SUM(D13:L13)</f>
        <v>0</v>
      </c>
    </row>
    <row r="14" spans="2:13" s="55" customFormat="1">
      <c r="B14" s="99" t="str">
        <f>EmpSName11</f>
        <v>Odd3</v>
      </c>
      <c r="C14" s="99" t="str">
        <f>EmpGName11</f>
        <v>2Bod</v>
      </c>
      <c r="D14" s="81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0</v>
      </c>
      <c r="E14" s="81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F14" s="81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G14" s="81">
        <f>COUNTIF(Emp11Jan,"X")+COUNTIF(Emp11Feb,"X")+COUNTIF(Emp11Mar,"X")+COUNTIF(Emp11Apr,"X")+COUNTIF(Emp11May,"X")+COUNTIF(Emp11Jun,"X")+COUNTIF(Emp11Jul,"X")+COUNTIF(Emp11Aug,"X")+COUNTIF(Emp11Sep,"X")+COUNTIF(Emp11Oct,"X")+COUNTIF(Emp11Nov,"X")+COUNTIF(Emp11Dec,"X")</f>
        <v>0</v>
      </c>
      <c r="H14" s="79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I14" s="79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J14" s="79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K14" s="81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L14" s="79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M14" s="81">
        <f t="shared" si="1"/>
        <v>0</v>
      </c>
    </row>
    <row r="15" spans="2:13" s="55" customFormat="1" ht="15" customHeight="1">
      <c r="B15" s="100" t="str">
        <f>EmpSName12</f>
        <v>Odd4</v>
      </c>
      <c r="C15" s="100" t="str">
        <f>EmpGName12</f>
        <v>4Bod</v>
      </c>
      <c r="D15" s="80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0</v>
      </c>
      <c r="E15" s="80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F15" s="80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G15" s="80">
        <f>COUNTIF(Emp12Jan,"PO")+COUNTIF(Emp12Feb,"PO")+COUNTIF(Emp12Mar,"PO")+COUNTIF(Emp12Apr,"PO")+COUNTIF(Emp12May,"PO")+COUNTIF(Emp12Jun,"PO")+COUNTIF(Emp12Jul,"PO")+COUNTIF(Emp12Aug,"PO")+COUNTIF(Emp12Sep,"PO")+COUNTIF(Emp12Oct,"PO")+COUNTIF(Emp12Nov,"PO")+COUNTIF(Emp12Dec,"PO")</f>
        <v>0</v>
      </c>
      <c r="H15" s="80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I15" s="80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J15" s="80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K15" s="80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L15" s="80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M15" s="80">
        <f t="shared" si="1"/>
        <v>0</v>
      </c>
    </row>
    <row r="16" spans="2:13" s="55" customFormat="1"/>
    <row r="17" spans="3:13" s="55" customFormat="1">
      <c r="C17" s="102" t="s">
        <v>50</v>
      </c>
      <c r="D17" s="101">
        <f>SUM(D4:D15)</f>
        <v>0</v>
      </c>
      <c r="E17" s="101">
        <f t="shared" ref="E17:M17" si="2">SUM(E4:E15)</f>
        <v>0</v>
      </c>
      <c r="F17" s="101">
        <f t="shared" si="2"/>
        <v>0</v>
      </c>
      <c r="G17" s="101">
        <f t="shared" si="2"/>
        <v>0</v>
      </c>
      <c r="H17" s="101">
        <f t="shared" si="2"/>
        <v>0</v>
      </c>
      <c r="I17" s="101">
        <f t="shared" si="2"/>
        <v>0</v>
      </c>
      <c r="J17" s="101">
        <f t="shared" si="2"/>
        <v>0</v>
      </c>
      <c r="K17" s="104">
        <f t="shared" si="2"/>
        <v>0</v>
      </c>
      <c r="L17" s="101">
        <f t="shared" si="2"/>
        <v>0</v>
      </c>
      <c r="M17" s="101">
        <f t="shared" si="2"/>
        <v>0</v>
      </c>
    </row>
    <row r="18" spans="3:13" s="55" customFormat="1"/>
    <row r="19" spans="3:13" s="55" customFormat="1"/>
    <row r="20" spans="3:13" s="55" customFormat="1"/>
    <row r="21" spans="3:13" s="55" customFormat="1"/>
    <row r="22" spans="3:13" s="55" customFormat="1"/>
    <row r="23" spans="3:13" s="55" customFormat="1"/>
    <row r="24" spans="3:13" s="55" customFormat="1"/>
    <row r="25" spans="3:13" s="55" customFormat="1"/>
  </sheetData>
  <sheetProtection sheet="1" objects="1" scenarios="1" selectLockedCells="1"/>
  <customSheetViews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  <customSheetView guid="{9CC23DA7-DD7F-416D-ABE1-6A68EF4528AC}" scale="195" showGridLines="0" showRowCol="0" showRuler="0">
      <selection activeCell="E15" sqref="E15"/>
    </customSheetView>
  </customSheetViews>
  <mergeCells count="1">
    <mergeCell ref="B3:C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6/01/customui" onLoad="InitRibbon">
  <ribbon startFromScratch="tru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customUI/customUI14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dropDown id="drpPE" label="First Period Ending:" onAction="drpPE_SetPeriodEnding" getItemLabel="drpPE_GetPeriodsEnding" getItemCount="drpPE_GetPeriodEndingItemCount" getItemID="drpPE_GetItemId" getSelectedItemID="drpPE_GetSelectedItemId"/>
          <separator id="sepPeriodEnding"/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tru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tru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370</vt:i4>
      </vt:variant>
    </vt:vector>
  </HeadingPairs>
  <TitlesOfParts>
    <vt:vector size="385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April_Heads</vt:lpstr>
      <vt:lpstr>August_Heads</vt:lpstr>
      <vt:lpstr>AutoEnd</vt:lpstr>
      <vt:lpstr>BlockEmps</vt:lpstr>
      <vt:lpstr>CurYear</vt:lpstr>
      <vt:lpstr>D</vt:lpstr>
      <vt:lpstr>December_Heads</vt:lpstr>
      <vt:lpstr>ee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Emp13Aug</vt:lpstr>
      <vt:lpstr>Emp13Dec</vt:lpstr>
      <vt:lpstr>Emp13Jul</vt:lpstr>
      <vt:lpstr>Emp13Nov</vt:lpstr>
      <vt:lpstr>Emp13Oct</vt:lpstr>
      <vt:lpstr>Emp13Sep</vt:lpstr>
      <vt:lpstr>Emp14Aug</vt:lpstr>
      <vt:lpstr>Emp14Dec</vt:lpstr>
      <vt:lpstr>Emp14Jul</vt:lpstr>
      <vt:lpstr>Emp14Nov</vt:lpstr>
      <vt:lpstr>Emp14Oct</vt:lpstr>
      <vt:lpstr>Emp14Sep</vt:lpstr>
      <vt:lpstr>Emp15Aug</vt:lpstr>
      <vt:lpstr>Emp15Dec</vt:lpstr>
      <vt:lpstr>Emp15Jul</vt:lpstr>
      <vt:lpstr>Emp15Nov</vt:lpstr>
      <vt:lpstr>Emp15Oct</vt:lpstr>
      <vt:lpstr>Emp15Sep</vt:lpstr>
      <vt:lpstr>Emp16Aug</vt:lpstr>
      <vt:lpstr>Emp16Dec</vt:lpstr>
      <vt:lpstr>Emp16Jul</vt:lpstr>
      <vt:lpstr>Emp16Nov</vt:lpstr>
      <vt:lpstr>Emp16Oct</vt:lpstr>
      <vt:lpstr>Emp16Sep</vt:lpstr>
      <vt:lpstr>Emp17Aug</vt:lpstr>
      <vt:lpstr>Emp17Dec</vt:lpstr>
      <vt:lpstr>Emp17Jul</vt:lpstr>
      <vt:lpstr>Emp17Nov</vt:lpstr>
      <vt:lpstr>Emp17Oct</vt:lpstr>
      <vt:lpstr>Emp17Sep</vt:lpstr>
      <vt:lpstr>Emp18Aug</vt:lpstr>
      <vt:lpstr>Emp18Dec</vt:lpstr>
      <vt:lpstr>Emp18Jul</vt:lpstr>
      <vt:lpstr>Emp18Nov</vt:lpstr>
      <vt:lpstr>Emp18Oct</vt:lpstr>
      <vt:lpstr>Emp18Sep</vt:lpstr>
      <vt:lpstr>Emp19Aug</vt:lpstr>
      <vt:lpstr>Emp19Dec</vt:lpstr>
      <vt:lpstr>Emp19Jul</vt:lpstr>
      <vt:lpstr>Emp19Nov</vt:lpstr>
      <vt:lpstr>Emp19Oct</vt:lpstr>
      <vt:lpstr>Emp19Sep</vt:lpstr>
      <vt:lpstr>'Emp2'!Emp1j</vt:lpstr>
      <vt:lpstr>'Emp3'!Emp1j</vt:lpstr>
      <vt:lpstr>'Emp4'!Emp1j</vt:lpstr>
      <vt:lpstr>'Emp5'!Emp1j</vt:lpstr>
      <vt:lpstr>'Emp6'!Emp1j</vt:lpstr>
      <vt:lpstr>Emp20Aug</vt:lpstr>
      <vt:lpstr>Emp20Dec</vt:lpstr>
      <vt:lpstr>Emp20Jul</vt:lpstr>
      <vt:lpstr>Emp20Nov</vt:lpstr>
      <vt:lpstr>Emp20Oct</vt:lpstr>
      <vt:lpstr>Emp20Sep</vt:lpstr>
      <vt:lpstr>Emp21Aug</vt:lpstr>
      <vt:lpstr>Emp21Dec</vt:lpstr>
      <vt:lpstr>Emp21Jul</vt:lpstr>
      <vt:lpstr>Emp21Nov</vt:lpstr>
      <vt:lpstr>Emp21Oct</vt:lpstr>
      <vt:lpstr>Emp21Sep</vt:lpstr>
      <vt:lpstr>Emp22Aug</vt:lpstr>
      <vt:lpstr>Emp22Dec</vt:lpstr>
      <vt:lpstr>Emp22Jul</vt:lpstr>
      <vt:lpstr>Emp22Nov</vt:lpstr>
      <vt:lpstr>Emp22Oct</vt:lpstr>
      <vt:lpstr>Emp22Sep</vt:lpstr>
      <vt:lpstr>Emp23Aug</vt:lpstr>
      <vt:lpstr>Emp23Dec</vt:lpstr>
      <vt:lpstr>Emp23Jul</vt:lpstr>
      <vt:lpstr>Emp23Nov</vt:lpstr>
      <vt:lpstr>Emp23Oct</vt:lpstr>
      <vt:lpstr>Emp23Sep</vt:lpstr>
      <vt:lpstr>Emp24Aug</vt:lpstr>
      <vt:lpstr>Emp24Dec</vt:lpstr>
      <vt:lpstr>Emp24Jul</vt:lpstr>
      <vt:lpstr>Emp24Nov</vt:lpstr>
      <vt:lpstr>Emp24Oct</vt:lpstr>
      <vt:lpstr>Emp24Sep</vt:lpstr>
      <vt:lpstr>Emp25Aug</vt:lpstr>
      <vt:lpstr>Emp25Dec</vt:lpstr>
      <vt:lpstr>Emp25Jul</vt:lpstr>
      <vt:lpstr>Emp25Nov</vt:lpstr>
      <vt:lpstr>Emp25Oct</vt:lpstr>
      <vt:lpstr>Emp25Sep</vt:lpstr>
      <vt:lpstr>Emp26Aug</vt:lpstr>
      <vt:lpstr>Emp26Dec</vt:lpstr>
      <vt:lpstr>Emp26Jul</vt:lpstr>
      <vt:lpstr>Emp26Nov</vt:lpstr>
      <vt:lpstr>Emp26Oct</vt:lpstr>
      <vt:lpstr>Emp26Sep</vt:lpstr>
      <vt:lpstr>Emp27Aug</vt:lpstr>
      <vt:lpstr>Emp27Dec</vt:lpstr>
      <vt:lpstr>Emp27Jul</vt:lpstr>
      <vt:lpstr>Emp27Nov</vt:lpstr>
      <vt:lpstr>Emp27Oct</vt:lpstr>
      <vt:lpstr>Emp27Sep</vt:lpstr>
      <vt:lpstr>Emp28Aug</vt:lpstr>
      <vt:lpstr>Emp28Dec</vt:lpstr>
      <vt:lpstr>Emp28Jul</vt:lpstr>
      <vt:lpstr>Emp28Nov</vt:lpstr>
      <vt:lpstr>Emp28Oct</vt:lpstr>
      <vt:lpstr>Emp28Sep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EmpGName13</vt:lpstr>
      <vt:lpstr>EmpGName14</vt:lpstr>
      <vt:lpstr>EmpGName15</vt:lpstr>
      <vt:lpstr>EmpGName16</vt:lpstr>
      <vt:lpstr>EmpGName17</vt:lpstr>
      <vt:lpstr>EmpGName18</vt:lpstr>
      <vt:lpstr>EmpGName19</vt:lpstr>
      <vt:lpstr>EmpGName20</vt:lpstr>
      <vt:lpstr>EmpGName21</vt:lpstr>
      <vt:lpstr>EmpGName22</vt:lpstr>
      <vt:lpstr>EmpGName23</vt:lpstr>
      <vt:lpstr>EmpGName24</vt:lpstr>
      <vt:lpstr>EmpGName25</vt:lpstr>
      <vt:lpstr>EmpGName26</vt:lpstr>
      <vt:lpstr>EmpGName27</vt:lpstr>
      <vt:lpstr>EmpGName28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EmpSName13</vt:lpstr>
      <vt:lpstr>EmpSName14</vt:lpstr>
      <vt:lpstr>EmpSName15</vt:lpstr>
      <vt:lpstr>EmpSName16</vt:lpstr>
      <vt:lpstr>EmpSName17</vt:lpstr>
      <vt:lpstr>EmpSName18</vt:lpstr>
      <vt:lpstr>EmpSName19</vt:lpstr>
      <vt:lpstr>EmpSName20</vt:lpstr>
      <vt:lpstr>EmpSName21</vt:lpstr>
      <vt:lpstr>EmpSName22</vt:lpstr>
      <vt:lpstr>EmpSName23</vt:lpstr>
      <vt:lpstr>EmpSName24</vt:lpstr>
      <vt:lpstr>EmpSName25</vt:lpstr>
      <vt:lpstr>EmpSName26</vt:lpstr>
      <vt:lpstr>EmpSName27</vt:lpstr>
      <vt:lpstr>EmpSName28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February_Heads</vt:lpstr>
      <vt:lpstr>FebVal</vt:lpstr>
      <vt:lpstr>InitialPeriodEnding</vt:lpstr>
      <vt:lpstr>January_Heads</vt:lpstr>
      <vt:lpstr>JanVal</vt:lpstr>
      <vt:lpstr>July_Heads</vt:lpstr>
      <vt:lpstr>June_Heads</vt:lpstr>
      <vt:lpstr>LegEnd</vt:lpstr>
      <vt:lpstr>Location</vt:lpstr>
      <vt:lpstr>March_Heads</vt:lpstr>
      <vt:lpstr>May_Heads</vt:lpstr>
      <vt:lpstr>November_Heads</vt:lpstr>
      <vt:lpstr>October_Heads</vt:lpstr>
      <vt:lpstr>PeriodsEnding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September_Heads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oodlypub@gmail.com</cp:lastModifiedBy>
  <cp:lastPrinted>2017-05-17T01:08:14Z</cp:lastPrinted>
  <dcterms:created xsi:type="dcterms:W3CDTF">2004-05-12T00:54:34Z</dcterms:created>
  <dcterms:modified xsi:type="dcterms:W3CDTF">2019-03-09T08:26:35Z</dcterms:modified>
</cp:coreProperties>
</file>