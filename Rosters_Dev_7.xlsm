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Summary!$B$4:$C$4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Summary!$B$5:$C$5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Summary!$B$6:$C$6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Summary!$B$7:$C$7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Summary!$B$8:$C$8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Summary!$B$9:$C$9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Summary!$B$10:$C$10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Summary!$B$11:$C$11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Summary!$B$12:$C$12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Summary!$B$13:$C$13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Summary!$B$14:$C$14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Summary!$B$15:$C$15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17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67" i="2"/>
  <c r="C136" i="2"/>
  <c r="C105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P10" i="12"/>
  <c r="X37" i="4"/>
  <c r="T37" i="4"/>
  <c r="Z37" i="4"/>
  <c r="E28" i="3"/>
  <c r="AE28" i="3"/>
  <c r="S28" i="3"/>
  <c r="G19" i="3"/>
  <c r="K34" i="4" l="1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<sst xmlns="http://schemas.openxmlformats.org/spreadsheetml/2006/main" count="10419" uniqueCount="132">
  <si>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</si>
  <si>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</si>
  <si>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</si>
  <si>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</si>
  <si>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</si>
  <si>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</si>
  <si>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</si>
  <si>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</si>
  <si>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</si>
  <si>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</si>
  <si>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</si>
  <si>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</si>
  <si>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</si>
  <si>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</si>
  <si>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</si>
  <si>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</si>
  <si>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</si>
  <si>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</si>
  <si>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</si>
  <si>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</si>
  <si>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</si>
  <si>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</si>
  <si>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</si>
  <si>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</si>
  <si>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</si>
  <si>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</si>
  <si>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</si>
  <si>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</si>
  <si>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</si>
  <si>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</si>
  <si>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</si>
  <si>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</si>
  <si>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</si>
  <si>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</si>
  <si>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</si>
  <si>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</si>
  <si>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</si>
  <si>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</si>
  <si>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</si>
  <si>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</si>
  <si>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</si>
  <si>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</si>
  <si>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</si>
  <si>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</si>
  <si>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</si>
  <si>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</si>
  <si>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</si>
  <si>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</si>
  <si>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</si>
  <si>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</si>
  <si>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</si>
  <si>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</si>
  <si>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</si>
  <si>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</si>
  <si>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</si>
  <si>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</si>
  <si>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</si>
  <si>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</si>
  <si>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</si>
  <si>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</si>
  <si>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</si>
  <si>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</si>
  <si>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</si>
  <si>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</si>
  <si>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</si>
  <si>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</si>
  <si>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</si>
  <si>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</si>
  <si>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</si>
  <si>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</si>
  <si>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</si>
  <si>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</si>
  <si>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</si>
  <si>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</si>
  <si>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</si>
  <si>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</si>
  <si>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</si>
  <si>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</si>
  <si>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</si>
  <si>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</si>
  <si>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</si>
  <si>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</si>
  <si>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</si>
  <si>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</si>
  <si>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</si>
  <si>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</si>
  <si>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</si>
  <si>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</si>
  <si>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</si>
  <si>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</si>
  <si>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</si>
  <si>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</si>
  <si>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</si>
  <si>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</si>
  <si>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</si>
  <si>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</si>
  <si>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</si>
  <si>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</si>
  <si>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</si>
  <si>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</si>
  <si>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</si>
  <si>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Odd10</t>
  </si>
  <si>
    <t>Odd11</t>
  </si>
  <si>
    <t>Odd12</t>
  </si>
  <si>
    <t>Odd13</t>
  </si>
  <si>
    <t>Odd14</t>
  </si>
  <si>
    <t>Odd15</t>
  </si>
  <si>
    <t>Odd16</t>
  </si>
  <si>
    <t>Odd17</t>
  </si>
  <si>
    <t>Odd18</t>
  </si>
  <si>
    <t>Odd19</t>
  </si>
  <si>
    <t>Odd20</t>
  </si>
  <si>
    <t>1Bod</t>
  </si>
  <si>
    <t>2Bod</t>
  </si>
  <si>
    <t>4Bod</t>
  </si>
  <si>
    <t>Abod</t>
  </si>
  <si>
    <t>Bbod</t>
  </si>
  <si>
    <t>Cbod</t>
  </si>
  <si>
    <t>Dbod</t>
  </si>
  <si>
    <t>Ebod</t>
  </si>
  <si>
    <t>Fbod</t>
  </si>
  <si>
    <t>Gbod</t>
  </si>
  <si>
    <t>Hbod</t>
  </si>
  <si>
    <t>Ibod</t>
  </si>
  <si>
    <t>Jbod</t>
  </si>
  <si>
    <t>Kbod</t>
  </si>
  <si>
    <t>Lbod</t>
  </si>
  <si>
    <t>Mbod</t>
  </si>
  <si>
    <t>Nbod</t>
  </si>
  <si>
    <t>Obod</t>
  </si>
  <si>
    <t>Pbod</t>
  </si>
  <si>
    <t>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</si>
</sst>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00FF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26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4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4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4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14" fillId="13" borderId="45" xfId="0" applyFont="1" applyFill="1" applyBorder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576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tabSelected="1" zoomScale="120" zoomScaleNormal="120" workbookViewId="0">
      <pane ySplit="10" topLeftCell="A370" activePane="bottomLeft" state="frozen"/>
      <selection pane="bottomLeft" activeCell="D382" sqref="D382:AG382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96" t="str">
        <f>Location &amp;  " -  Roster Sheets"</f>
        <v>Oodlawirra Quarantine Station -  Roster Sheets</v>
      </c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05"/>
      <c r="AF1" s="105"/>
      <c r="AG1" s="105"/>
      <c r="AH1" s="105"/>
    </row>
    <row r="2" spans="1:36" s="2" customFormat="1" ht="12" customHeight="1"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05"/>
      <c r="AF2" s="105"/>
      <c r="AG2" s="105"/>
      <c r="AH2" s="105"/>
    </row>
    <row r="3" spans="1:36" s="2" customFormat="1" ht="17.25" customHeight="1">
      <c r="B3" s="29"/>
      <c r="J3" s="194" t="str">
        <f>"Financial Year Commencing - 1st July, "&amp; CurYear-1</f>
        <v>Financial Year Commencing - 1st July, 2015</v>
      </c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05"/>
      <c r="AF3" s="105"/>
      <c r="AG3" s="105"/>
      <c r="AH3" s="105"/>
    </row>
    <row r="4" spans="1:36" s="30" customFormat="1" ht="12" customHeight="1">
      <c r="B4" s="77" t="s">
        <v>131</v>
      </c>
      <c r="C4" s="193"/>
      <c r="D4" s="193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</row>
    <row r="5" spans="1:36" s="31" customFormat="1" ht="53.25" hidden="1" customHeight="1"/>
    <row r="6" spans="1:36" s="150" customFormat="1" ht="14.25" hidden="1" customHeight="1"/>
    <row r="7" spans="1:36" s="150" customFormat="1" ht="14.25" hidden="1" customHeight="1">
      <c r="C7" s="163" t="s">
        <v>59</v>
      </c>
      <c r="D7" s="165" t="s">
        <v>11</v>
      </c>
      <c r="E7" s="157" t="s">
        <v>60</v>
      </c>
      <c r="F7" s="158" t="s">
        <v>63</v>
      </c>
      <c r="G7" s="159"/>
      <c r="H7" s="159"/>
      <c r="I7" s="159"/>
      <c r="J7" s="161"/>
      <c r="K7" s="162"/>
      <c r="L7" s="156" t="s">
        <v>45</v>
      </c>
      <c r="M7" s="157" t="s">
        <v>60</v>
      </c>
      <c r="N7" s="158" t="s">
        <v>66</v>
      </c>
      <c r="O7" s="159"/>
      <c r="P7" s="159"/>
      <c r="Q7" s="161"/>
      <c r="R7" s="162"/>
      <c r="S7" s="156" t="s">
        <v>58</v>
      </c>
      <c r="T7" s="157" t="s">
        <v>60</v>
      </c>
      <c r="U7" s="158" t="s">
        <v>61</v>
      </c>
      <c r="V7" s="159"/>
      <c r="W7" s="159"/>
      <c r="X7" s="161"/>
      <c r="Y7" s="159"/>
      <c r="Z7" s="156" t="s">
        <v>40</v>
      </c>
      <c r="AA7" s="157" t="s">
        <v>60</v>
      </c>
      <c r="AB7" s="158" t="s">
        <v>70</v>
      </c>
      <c r="AC7" s="159"/>
      <c r="AD7" s="159"/>
      <c r="AE7" s="161"/>
    </row>
    <row r="8" spans="1:36" s="150" customFormat="1" ht="14.25" hidden="1" customHeight="1">
      <c r="C8" s="164"/>
      <c r="D8" s="165" t="s">
        <v>9</v>
      </c>
      <c r="E8" s="157" t="s">
        <v>60</v>
      </c>
      <c r="F8" s="158" t="s">
        <v>64</v>
      </c>
      <c r="G8" s="159"/>
      <c r="H8" s="159"/>
      <c r="I8" s="159"/>
      <c r="J8" s="161"/>
      <c r="K8" s="162"/>
      <c r="L8" s="160" t="s">
        <v>46</v>
      </c>
      <c r="M8" s="157" t="s">
        <v>60</v>
      </c>
      <c r="N8" s="158" t="s">
        <v>67</v>
      </c>
      <c r="O8" s="159"/>
      <c r="P8" s="159"/>
      <c r="Q8" s="161"/>
      <c r="R8" s="162"/>
      <c r="S8" s="156" t="s">
        <v>62</v>
      </c>
      <c r="T8" s="157" t="s">
        <v>60</v>
      </c>
      <c r="U8" s="158" t="s">
        <v>68</v>
      </c>
      <c r="V8" s="159"/>
      <c r="W8" s="159"/>
      <c r="X8" s="161"/>
      <c r="Y8" s="159"/>
      <c r="Z8" s="156" t="s">
        <v>39</v>
      </c>
      <c r="AA8" s="157" t="s">
        <v>60</v>
      </c>
      <c r="AB8" s="158" t="s">
        <v>69</v>
      </c>
      <c r="AC8" s="159"/>
      <c r="AD8" s="159"/>
      <c r="AE8" s="161"/>
    </row>
    <row r="9" spans="1:36" s="150" customFormat="1" ht="14.25" hidden="1" customHeight="1">
      <c r="C9" s="164"/>
      <c r="D9" s="165" t="s">
        <v>10</v>
      </c>
      <c r="E9" s="157" t="s">
        <v>60</v>
      </c>
      <c r="F9" s="158" t="s">
        <v>65</v>
      </c>
      <c r="G9" s="159"/>
      <c r="H9" s="159"/>
      <c r="I9" s="159"/>
      <c r="J9" s="161"/>
      <c r="K9" s="162"/>
      <c r="L9" s="160"/>
      <c r="M9" s="166"/>
      <c r="N9" s="159"/>
      <c r="O9" s="159"/>
      <c r="P9" s="159"/>
      <c r="Q9" s="161"/>
      <c r="R9" s="162"/>
      <c r="S9" s="167"/>
      <c r="T9" s="166"/>
      <c r="U9" s="159"/>
      <c r="V9" s="159"/>
      <c r="W9" s="159"/>
      <c r="X9" s="161"/>
      <c r="Y9" s="159"/>
      <c r="Z9" s="156"/>
      <c r="AA9" s="166"/>
      <c r="AB9" s="159"/>
      <c r="AC9" s="159"/>
      <c r="AD9" s="159"/>
      <c r="AE9" s="161"/>
      <c r="AI9" s="150" t="s">
        <v>62</v>
      </c>
    </row>
    <row r="10" spans="1:36" s="150" customFormat="1" ht="14.25" hidden="1" customHeight="1">
      <c r="D10" s="152"/>
      <c r="E10" s="155"/>
      <c r="K10" s="153"/>
      <c r="L10" s="154"/>
      <c r="M10" s="151"/>
    </row>
    <row r="11" spans="1:36" s="72" customFormat="1" ht="12" customHeight="1"/>
    <row r="12" spans="1:36" s="2" customFormat="1">
      <c r="B12"/>
      <c r="C12" t="str">
        <f>CurYear-1&amp;":"</f>
        <v>2015: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3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3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8">
        <v>10</v>
      </c>
      <c r="C23" s="90" t="str">
        <f>LEFT(EmpGName10)&amp;" " &amp;EmpSName10</f>
        <v>2 Odd2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8">
        <v>11</v>
      </c>
      <c r="C24" s="89" t="str">
        <f>LEFT(EmpGName11)&amp;" " &amp;EmpSName11</f>
        <v>2 Odd3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8">
        <v>12</v>
      </c>
      <c r="C25" s="90" t="str">
        <f>LEFT(EmpGName12)&amp;" " &amp;EmpSName12</f>
        <v>4 Odd4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8">
        <v>13</v>
      </c>
      <c r="C26" s="89" t="str">
        <f>LEFT(EmpGName13)&amp;" " &amp;EmpSName13</f>
        <v>A Odd5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8">
        <v>14</v>
      </c>
      <c r="C27" s="90" t="str">
        <f>LEFT(EmpGName14)&amp;" " &amp;EmpSName14</f>
        <v>B Odd6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8">
        <v>15</v>
      </c>
      <c r="C28" s="89" t="str">
        <f>LEFT(EmpGName15)&amp;" " &amp;EmpSName15</f>
        <v>C Odd7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8">
        <v>16</v>
      </c>
      <c r="C29" s="90" t="str">
        <f>LEFT(EmpGName16)&amp;" " &amp;EmpSName16</f>
        <v>D Odd8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8">
        <v>17</v>
      </c>
      <c r="C30" s="89" t="str">
        <f>LEFT(EmpGName17)&amp;" " &amp;EmpSName17</f>
        <v>E Odd9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8">
        <v>18</v>
      </c>
      <c r="C31" s="90" t="str">
        <f>LEFT(EmpGName18)&amp;" " &amp;EmpSName18</f>
        <v>F Odd10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8">
        <v>19</v>
      </c>
      <c r="C32" s="89" t="str">
        <f>LEFT(EmpGName19)&amp;" " &amp;EmpSName19</f>
        <v>G Odd11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8">
        <v>20</v>
      </c>
      <c r="C33" s="90" t="str">
        <f>LEFT(EmpGName20)&amp;" " &amp;EmpSName20</f>
        <v>H Odd12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8">
        <v>21</v>
      </c>
      <c r="C34" s="89" t="str">
        <f>LEFT(EmpGName21)&amp;" " &amp;EmpSName21</f>
        <v>I Odd13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8">
        <v>22</v>
      </c>
      <c r="C35" s="90" t="str">
        <f>LEFT(EmpGName22)&amp;" " &amp;EmpSName22</f>
        <v>J Odd14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8">
        <v>23</v>
      </c>
      <c r="C36" s="89" t="str">
        <f>LEFT(EmpGName23)&amp;" " &amp;EmpSName23</f>
        <v>K Odd15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8">
        <v>24</v>
      </c>
      <c r="C37" s="90" t="str">
        <f>LEFT(EmpGName24)&amp;" " &amp;EmpSName24</f>
        <v>L Odd16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8">
        <v>25</v>
      </c>
      <c r="C38" s="89" t="str">
        <f>LEFT(EmpGName25)&amp;" " &amp;EmpSName25</f>
        <v>M Odd17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8">
        <v>26</v>
      </c>
      <c r="C39" s="90" t="str">
        <f>LEFT(EmpGName26)&amp;" " &amp;EmpSName26</f>
        <v>N Odd18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8">
        <v>27</v>
      </c>
      <c r="C40" s="89" t="str">
        <f>LEFT(EmpGName27)&amp;" " &amp;EmpSName27</f>
        <v>O Odd19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8">
        <v>28</v>
      </c>
      <c r="C41" s="90" t="str">
        <f>LEFT(EmpGName28)&amp;" " &amp;EmpSName28</f>
        <v>P Odd20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2015: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8"/>
      <c r="C44" s="84" t="s">
        <v>19</v>
      </c>
      <c r="D44" s="85">
        <v>1</v>
      </c>
      <c r="E44" s="85">
        <v>2</v>
      </c>
      <c r="F44" s="173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73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73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8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8">
        <v>11</v>
      </c>
      <c r="C55" s="89" t="str">
        <f>LEFT(EmpGName11)&amp;" " &amp;EmpSName11</f>
        <v>2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8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8">
        <v>13</v>
      </c>
      <c r="C57" s="89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8">
        <v>14</v>
      </c>
      <c r="C58" s="90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8">
        <v>15</v>
      </c>
      <c r="C59" s="89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8">
        <v>16</v>
      </c>
      <c r="C60" s="90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8">
        <v>17</v>
      </c>
      <c r="C61" s="89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8">
        <v>18</v>
      </c>
      <c r="C62" s="90" t="str">
        <f>LEFT(EmpGName18)&amp;" " &amp;EmpSName18</f>
        <v>F Odd10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8">
        <v>19</v>
      </c>
      <c r="C63" s="89" t="str">
        <f>LEFT(EmpGName19)&amp;" " &amp;EmpSName19</f>
        <v>G Odd11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8">
        <v>20</v>
      </c>
      <c r="C64" s="90" t="str">
        <f>LEFT(EmpGName20)&amp;" " &amp;EmpSName20</f>
        <v>H Odd12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8">
        <v>21</v>
      </c>
      <c r="C65" s="89" t="str">
        <f>LEFT(EmpGName21)&amp;" " &amp;EmpSName21</f>
        <v>I Odd13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8">
        <v>22</v>
      </c>
      <c r="C66" s="90" t="str">
        <f>LEFT(EmpGName22)&amp;" " &amp;EmpSName22</f>
        <v>J Odd14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8">
        <v>23</v>
      </c>
      <c r="C67" s="89" t="str">
        <f>LEFT(EmpGName23)&amp;" " &amp;EmpSName23</f>
        <v>K Odd15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8">
        <v>24</v>
      </c>
      <c r="C68" s="90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8">
        <v>25</v>
      </c>
      <c r="C69" s="89" t="str">
        <f>LEFT(EmpGName25)&amp;" " &amp;EmpSName25</f>
        <v>M Odd17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8">
        <v>26</v>
      </c>
      <c r="C70" s="90" t="str">
        <f>LEFT(EmpGName26)&amp;" " &amp;EmpSName26</f>
        <v>N Odd18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8">
        <v>27</v>
      </c>
      <c r="C71" s="89" t="str">
        <f>LEFT(EmpGName27)&amp;" " &amp;EmpSName27</f>
        <v>O Odd19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8">
        <v>28</v>
      </c>
      <c r="C72" s="90" t="str">
        <f>LEFT(EmpGName28)&amp;" " &amp;EmpSName28</f>
        <v>P Odd20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t="str">
        <f>CurYear-1&amp;":"</f>
        <v>2015: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8"/>
      <c r="C75" s="84" t="s">
        <v>20</v>
      </c>
      <c r="D75" s="85">
        <v>1</v>
      </c>
      <c r="E75" s="85">
        <v>2</v>
      </c>
      <c r="F75" s="85">
        <v>3</v>
      </c>
      <c r="G75" s="85">
        <v>4</v>
      </c>
      <c r="H75" s="85">
        <v>5</v>
      </c>
      <c r="I75" s="85">
        <v>6</v>
      </c>
      <c r="J75" s="85">
        <v>7</v>
      </c>
      <c r="K75" s="85">
        <v>8</v>
      </c>
      <c r="L75" s="85">
        <v>9</v>
      </c>
      <c r="M75" s="85">
        <v>10</v>
      </c>
      <c r="N75" s="85">
        <v>11</v>
      </c>
      <c r="O75" s="85">
        <v>12</v>
      </c>
      <c r="P75" s="85">
        <v>13</v>
      </c>
      <c r="Q75" s="173">
        <v>14</v>
      </c>
      <c r="R75" s="85">
        <v>15</v>
      </c>
      <c r="S75" s="85">
        <v>16</v>
      </c>
      <c r="T75" s="85">
        <v>17</v>
      </c>
      <c r="U75" s="85">
        <v>18</v>
      </c>
      <c r="V75" s="85">
        <v>19</v>
      </c>
      <c r="W75" s="85">
        <v>20</v>
      </c>
      <c r="X75" s="85">
        <v>21</v>
      </c>
      <c r="Y75" s="85">
        <v>22</v>
      </c>
      <c r="Z75" s="85">
        <v>23</v>
      </c>
      <c r="AA75" s="85">
        <v>24</v>
      </c>
      <c r="AB75" s="85">
        <v>25</v>
      </c>
      <c r="AC75" s="85">
        <v>26</v>
      </c>
      <c r="AD75" s="85">
        <v>27</v>
      </c>
      <c r="AE75" s="173">
        <v>28</v>
      </c>
      <c r="AF75" s="85">
        <v>29</v>
      </c>
      <c r="AG75" s="85">
        <v>30</v>
      </c>
    </row>
    <row r="76" spans="2:34">
      <c r="B76" s="85">
        <v>1</v>
      </c>
      <c r="C76" s="89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2</v>
      </c>
      <c r="C77" s="90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3</v>
      </c>
      <c r="C78" s="89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4</v>
      </c>
      <c r="C79" s="90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5</v>
      </c>
      <c r="C80" s="89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5">
        <v>6</v>
      </c>
      <c r="C81" s="90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5">
        <v>7</v>
      </c>
      <c r="C82" s="89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5">
        <v>8</v>
      </c>
      <c r="C83" s="90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5">
        <v>9</v>
      </c>
      <c r="C84" s="89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8">
        <v>10</v>
      </c>
      <c r="C85" s="90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8">
        <v>11</v>
      </c>
      <c r="C86" s="89" t="str">
        <f>LEFT(EmpGName11)&amp;" " &amp;EmpSName11</f>
        <v>2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8">
        <v>12</v>
      </c>
      <c r="C87" s="90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8">
        <v>13</v>
      </c>
      <c r="C88" s="89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8">
        <v>14</v>
      </c>
      <c r="C89" s="90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8">
        <v>15</v>
      </c>
      <c r="C90" s="89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8">
        <v>16</v>
      </c>
      <c r="C91" s="90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8">
        <v>17</v>
      </c>
      <c r="C92" s="89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8">
        <v>18</v>
      </c>
      <c r="C93" s="90" t="str">
        <f>LEFT(EmpGName18)&amp;" " &amp;EmpSName18</f>
        <v>F Odd10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8">
        <v>19</v>
      </c>
      <c r="C94" s="89" t="str">
        <f>LEFT(EmpGName19)&amp;" " &amp;EmpSName19</f>
        <v>G Odd11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8">
        <v>20</v>
      </c>
      <c r="C95" s="90" t="str">
        <f>LEFT(EmpGName20)&amp;" " &amp;EmpSName20</f>
        <v>H Odd12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8">
        <v>21</v>
      </c>
      <c r="C96" s="89" t="str">
        <f>LEFT(EmpGName21)&amp;" " &amp;EmpSName21</f>
        <v>I Odd13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8">
        <v>22</v>
      </c>
      <c r="C97" s="90" t="str">
        <f>LEFT(EmpGName22)&amp;" " &amp;EmpSName22</f>
        <v>J Odd14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8">
        <v>23</v>
      </c>
      <c r="C98" s="89" t="str">
        <f>LEFT(EmpGName23)&amp;" " &amp;EmpSName23</f>
        <v>K Odd15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8">
        <v>24</v>
      </c>
      <c r="C99" s="90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8">
        <v>25</v>
      </c>
      <c r="C100" s="89" t="str">
        <f>LEFT(EmpGName25)&amp;" " &amp;EmpSName25</f>
        <v>M Odd17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8">
        <v>26</v>
      </c>
      <c r="C101" s="90" t="str">
        <f>LEFT(EmpGName26)&amp;" " &amp;EmpSName26</f>
        <v>N Odd18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8">
        <v>27</v>
      </c>
      <c r="C102" s="89" t="str">
        <f>LEFT(EmpGName27)&amp;" " &amp;EmpSName27</f>
        <v>O Odd19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78">
        <v>28</v>
      </c>
      <c r="C103" s="179" t="str">
        <f>LEFT(EmpGName28)&amp;" " &amp;EmpSName28</f>
        <v>P Odd20</v>
      </c>
      <c r="D103" s="180" t="s">
        <v>62</v>
      </c>
      <c r="E103" s="180" t="s">
        <v>62</v>
      </c>
      <c r="F103" s="180" t="s">
        <v>62</v>
      </c>
      <c r="G103" s="180" t="s">
        <v>62</v>
      </c>
      <c r="H103" s="180" t="s">
        <v>62</v>
      </c>
      <c r="I103" s="180" t="s">
        <v>62</v>
      </c>
      <c r="J103" s="180" t="s">
        <v>62</v>
      </c>
      <c r="K103" s="180" t="s">
        <v>62</v>
      </c>
      <c r="L103" s="180" t="s">
        <v>62</v>
      </c>
      <c r="M103" s="180" t="s">
        <v>62</v>
      </c>
      <c r="N103" s="180" t="s">
        <v>62</v>
      </c>
      <c r="O103" s="180" t="s">
        <v>62</v>
      </c>
      <c r="P103" s="180" t="s">
        <v>62</v>
      </c>
      <c r="Q103" s="180" t="s">
        <v>62</v>
      </c>
      <c r="R103" s="180" t="s">
        <v>62</v>
      </c>
      <c r="S103" s="180" t="s">
        <v>62</v>
      </c>
      <c r="T103" s="180" t="s">
        <v>62</v>
      </c>
      <c r="U103" s="180" t="s">
        <v>62</v>
      </c>
      <c r="V103" s="180" t="s">
        <v>62</v>
      </c>
      <c r="W103" s="180" t="s">
        <v>62</v>
      </c>
      <c r="X103" s="180" t="s">
        <v>62</v>
      </c>
      <c r="Y103" s="180" t="s">
        <v>62</v>
      </c>
      <c r="Z103" s="180" t="s">
        <v>62</v>
      </c>
      <c r="AA103" s="180" t="s">
        <v>62</v>
      </c>
      <c r="AB103" s="180" t="s">
        <v>62</v>
      </c>
      <c r="AC103" s="180" t="s">
        <v>62</v>
      </c>
      <c r="AD103" s="180" t="s">
        <v>62</v>
      </c>
      <c r="AE103" s="180" t="s">
        <v>62</v>
      </c>
      <c r="AF103" s="180" t="s">
        <v>62</v>
      </c>
      <c r="AG103" s="180" t="s">
        <v>62</v>
      </c>
    </row>
    <row r="104" spans="2:34" s="2" customFormat="1">
      <c r="B104" s="176"/>
      <c r="C104" s="177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t="str">
        <f>CurYear-1&amp;":"</f>
        <v>2015: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8"/>
      <c r="C106" s="84" t="s">
        <v>21</v>
      </c>
      <c r="D106" s="85">
        <v>1</v>
      </c>
      <c r="E106" s="85">
        <v>2</v>
      </c>
      <c r="F106" s="85">
        <v>3</v>
      </c>
      <c r="G106" s="85">
        <v>4</v>
      </c>
      <c r="H106" s="85">
        <v>5</v>
      </c>
      <c r="I106" s="85">
        <v>6</v>
      </c>
      <c r="J106" s="85">
        <v>7</v>
      </c>
      <c r="K106" s="85">
        <v>8</v>
      </c>
      <c r="L106" s="85">
        <v>9</v>
      </c>
      <c r="M106" s="85">
        <v>10</v>
      </c>
      <c r="N106" s="85">
        <v>11</v>
      </c>
      <c r="O106" s="173">
        <v>12</v>
      </c>
      <c r="P106" s="85">
        <v>13</v>
      </c>
      <c r="Q106" s="85">
        <v>14</v>
      </c>
      <c r="R106" s="85">
        <v>15</v>
      </c>
      <c r="S106" s="85">
        <v>16</v>
      </c>
      <c r="T106" s="85">
        <v>17</v>
      </c>
      <c r="U106" s="85">
        <v>18</v>
      </c>
      <c r="V106" s="85">
        <v>19</v>
      </c>
      <c r="W106" s="85">
        <v>20</v>
      </c>
      <c r="X106" s="85">
        <v>21</v>
      </c>
      <c r="Y106" s="85">
        <v>22</v>
      </c>
      <c r="Z106" s="85">
        <v>23</v>
      </c>
      <c r="AA106" s="85">
        <v>24</v>
      </c>
      <c r="AB106" s="85">
        <v>25</v>
      </c>
      <c r="AC106" s="173">
        <v>26</v>
      </c>
      <c r="AD106" s="85">
        <v>27</v>
      </c>
      <c r="AE106" s="85">
        <v>28</v>
      </c>
      <c r="AF106" s="85">
        <v>29</v>
      </c>
      <c r="AG106" s="85">
        <v>30</v>
      </c>
      <c r="AH106" s="85">
        <v>31</v>
      </c>
    </row>
    <row r="107" spans="2:34">
      <c r="B107" s="85">
        <v>1</v>
      </c>
      <c r="C107" s="89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2</v>
      </c>
      <c r="C108" s="90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3</v>
      </c>
      <c r="C109" s="89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4</v>
      </c>
      <c r="C110" s="90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5</v>
      </c>
      <c r="C111" s="89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6</v>
      </c>
      <c r="C112" s="90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7</v>
      </c>
      <c r="C113" s="89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5">
        <v>8</v>
      </c>
      <c r="C114" s="90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5">
        <v>9</v>
      </c>
      <c r="C115" s="89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8">
        <v>10</v>
      </c>
      <c r="C116" s="90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8">
        <v>11</v>
      </c>
      <c r="C117" s="89" t="str">
        <f>LEFT(EmpGName11)&amp;" " &amp;EmpSName11</f>
        <v>2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8">
        <v>12</v>
      </c>
      <c r="C118" s="90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8">
        <v>13</v>
      </c>
      <c r="C119" s="89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8">
        <v>14</v>
      </c>
      <c r="C120" s="90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8">
        <v>15</v>
      </c>
      <c r="C121" s="89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8">
        <v>16</v>
      </c>
      <c r="C122" s="90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8">
        <v>17</v>
      </c>
      <c r="C123" s="89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8">
        <v>18</v>
      </c>
      <c r="C124" s="90" t="str">
        <f>LEFT(EmpGName18)&amp;" " &amp;EmpSName18</f>
        <v>F Odd10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8">
        <v>19</v>
      </c>
      <c r="C125" s="89" t="str">
        <f>LEFT(EmpGName19)&amp;" " &amp;EmpSName19</f>
        <v>G Odd11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8">
        <v>20</v>
      </c>
      <c r="C126" s="90" t="str">
        <f>LEFT(EmpGName20)&amp;" " &amp;EmpSName20</f>
        <v>H Odd12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8">
        <v>21</v>
      </c>
      <c r="C127" s="89" t="str">
        <f>LEFT(EmpGName21)&amp;" " &amp;EmpSName21</f>
        <v>I Odd13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8">
        <v>22</v>
      </c>
      <c r="C128" s="90" t="str">
        <f>LEFT(EmpGName22)&amp;" " &amp;EmpSName22</f>
        <v>J Odd14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8">
        <v>23</v>
      </c>
      <c r="C129" s="89" t="str">
        <f>LEFT(EmpGName23)&amp;" " &amp;EmpSName23</f>
        <v>K Odd15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8">
        <v>24</v>
      </c>
      <c r="C130" s="90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8">
        <v>25</v>
      </c>
      <c r="C131" s="89" t="str">
        <f>LEFT(EmpGName25)&amp;" " &amp;EmpSName25</f>
        <v>M Odd17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8">
        <v>26</v>
      </c>
      <c r="C132" s="90" t="str">
        <f>LEFT(EmpGName26)&amp;" " &amp;EmpSName26</f>
        <v>N Odd18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8">
        <v>27</v>
      </c>
      <c r="C133" s="89" t="str">
        <f>LEFT(EmpGName27)&amp;" " &amp;EmpSName27</f>
        <v>O Odd19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8">
        <v>28</v>
      </c>
      <c r="C134" s="90" t="str">
        <f>LEFT(EmpGName28)&amp;" " &amp;EmpSName28</f>
        <v>P Odd20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t="str">
        <f>CurYear-1&amp;":"</f>
        <v>2015: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8"/>
      <c r="C137" s="84" t="s">
        <v>22</v>
      </c>
      <c r="D137" s="85">
        <v>1</v>
      </c>
      <c r="E137" s="85">
        <v>2</v>
      </c>
      <c r="F137" s="85">
        <v>3</v>
      </c>
      <c r="G137" s="85">
        <v>4</v>
      </c>
      <c r="H137" s="85">
        <v>5</v>
      </c>
      <c r="I137" s="85">
        <v>6</v>
      </c>
      <c r="J137" s="85">
        <v>7</v>
      </c>
      <c r="K137" s="85">
        <v>8</v>
      </c>
      <c r="L137" s="173">
        <v>9</v>
      </c>
      <c r="M137" s="85">
        <v>10</v>
      </c>
      <c r="N137" s="85">
        <v>11</v>
      </c>
      <c r="O137" s="85">
        <v>12</v>
      </c>
      <c r="P137" s="85">
        <v>13</v>
      </c>
      <c r="Q137" s="85">
        <v>14</v>
      </c>
      <c r="R137" s="85">
        <v>15</v>
      </c>
      <c r="S137" s="85">
        <v>16</v>
      </c>
      <c r="T137" s="85">
        <v>17</v>
      </c>
      <c r="U137" s="85">
        <v>18</v>
      </c>
      <c r="V137" s="85">
        <v>19</v>
      </c>
      <c r="W137" s="85">
        <v>20</v>
      </c>
      <c r="X137" s="85">
        <v>21</v>
      </c>
      <c r="Y137" s="85">
        <v>22</v>
      </c>
      <c r="Z137" s="173">
        <v>23</v>
      </c>
      <c r="AA137" s="85">
        <v>24</v>
      </c>
      <c r="AB137" s="85">
        <v>25</v>
      </c>
      <c r="AC137" s="85">
        <v>26</v>
      </c>
      <c r="AD137" s="85">
        <v>27</v>
      </c>
      <c r="AE137" s="85">
        <v>28</v>
      </c>
      <c r="AF137" s="85">
        <v>29</v>
      </c>
      <c r="AG137" s="85">
        <v>30</v>
      </c>
    </row>
    <row r="138" spans="2:34">
      <c r="B138" s="85">
        <v>1</v>
      </c>
      <c r="C138" s="89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5">
        <v>2</v>
      </c>
      <c r="C139" s="90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5">
        <v>3</v>
      </c>
      <c r="C140" s="89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5">
        <v>4</v>
      </c>
      <c r="C141" s="90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5">
        <v>5</v>
      </c>
      <c r="C142" s="89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5">
        <v>6</v>
      </c>
      <c r="C143" s="90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5">
        <v>7</v>
      </c>
      <c r="C144" s="89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5">
        <v>8</v>
      </c>
      <c r="C145" s="90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5">
        <v>9</v>
      </c>
      <c r="C146" s="89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8">
        <v>10</v>
      </c>
      <c r="C147" s="90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8">
        <v>11</v>
      </c>
      <c r="C148" s="89" t="str">
        <f>LEFT(EmpGName11)&amp;" " &amp;EmpSName11</f>
        <v>2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8">
        <v>12</v>
      </c>
      <c r="C149" s="90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8">
        <v>13</v>
      </c>
      <c r="C150" s="89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8">
        <v>14</v>
      </c>
      <c r="C151" s="90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8">
        <v>15</v>
      </c>
      <c r="C152" s="89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8">
        <v>16</v>
      </c>
      <c r="C153" s="90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8">
        <v>17</v>
      </c>
      <c r="C154" s="89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8">
        <v>18</v>
      </c>
      <c r="C155" s="90" t="str">
        <f>LEFT(EmpGName18)&amp;" " &amp;EmpSName18</f>
        <v>F Odd10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8">
        <v>19</v>
      </c>
      <c r="C156" s="89" t="str">
        <f>LEFT(EmpGName19)&amp;" " &amp;EmpSName19</f>
        <v>G Odd11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8">
        <v>20</v>
      </c>
      <c r="C157" s="90" t="str">
        <f>LEFT(EmpGName20)&amp;" " &amp;EmpSName20</f>
        <v>H Odd12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8">
        <v>21</v>
      </c>
      <c r="C158" s="89" t="str">
        <f>LEFT(EmpGName21)&amp;" " &amp;EmpSName21</f>
        <v>I Odd13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8">
        <v>22</v>
      </c>
      <c r="C159" s="90" t="str">
        <f>LEFT(EmpGName22)&amp;" " &amp;EmpSName22</f>
        <v>J Odd14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8">
        <v>23</v>
      </c>
      <c r="C160" s="89" t="str">
        <f>LEFT(EmpGName23)&amp;" " &amp;EmpSName23</f>
        <v>K Odd15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8">
        <v>24</v>
      </c>
      <c r="C161" s="90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8">
        <v>25</v>
      </c>
      <c r="C162" s="89" t="str">
        <f>LEFT(EmpGName25)&amp;" " &amp;EmpSName25</f>
        <v>M Odd17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8">
        <v>26</v>
      </c>
      <c r="C163" s="90" t="str">
        <f>LEFT(EmpGName26)&amp;" " &amp;EmpSName26</f>
        <v>N Odd18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8">
        <v>27</v>
      </c>
      <c r="C164" s="89" t="str">
        <f>LEFT(EmpGName27)&amp;" " &amp;EmpSName27</f>
        <v>O Odd19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81">
        <v>28</v>
      </c>
      <c r="C165" s="182" t="str">
        <f>LEFT(EmpGName28)&amp;" " &amp;EmpSName28</f>
        <v>P Odd20</v>
      </c>
      <c r="D165" s="183" t="s">
        <v>62</v>
      </c>
      <c r="E165" s="183" t="s">
        <v>62</v>
      </c>
      <c r="F165" s="183" t="s">
        <v>62</v>
      </c>
      <c r="G165" s="183" t="s">
        <v>62</v>
      </c>
      <c r="H165" s="183" t="s">
        <v>62</v>
      </c>
      <c r="I165" s="183" t="s">
        <v>62</v>
      </c>
      <c r="J165" s="183" t="s">
        <v>62</v>
      </c>
      <c r="K165" s="183" t="s">
        <v>62</v>
      </c>
      <c r="L165" s="183" t="s">
        <v>62</v>
      </c>
      <c r="M165" s="183" t="s">
        <v>62</v>
      </c>
      <c r="N165" s="183" t="s">
        <v>62</v>
      </c>
      <c r="O165" s="183" t="s">
        <v>62</v>
      </c>
      <c r="P165" s="183" t="s">
        <v>62</v>
      </c>
      <c r="Q165" s="183" t="s">
        <v>62</v>
      </c>
      <c r="R165" s="183" t="s">
        <v>62</v>
      </c>
      <c r="S165" s="183" t="s">
        <v>62</v>
      </c>
      <c r="T165" s="183" t="s">
        <v>62</v>
      </c>
      <c r="U165" s="183" t="s">
        <v>62</v>
      </c>
      <c r="V165" s="183" t="s">
        <v>62</v>
      </c>
      <c r="W165" s="183" t="s">
        <v>62</v>
      </c>
      <c r="X165" s="183" t="s">
        <v>62</v>
      </c>
      <c r="Y165" s="183" t="s">
        <v>62</v>
      </c>
      <c r="Z165" s="183" t="s">
        <v>62</v>
      </c>
      <c r="AA165" s="183" t="s">
        <v>62</v>
      </c>
      <c r="AB165" s="183" t="s">
        <v>62</v>
      </c>
      <c r="AC165" s="183" t="s">
        <v>62</v>
      </c>
      <c r="AD165" s="183" t="s">
        <v>62</v>
      </c>
      <c r="AE165" s="183" t="s">
        <v>62</v>
      </c>
      <c r="AF165" s="183" t="s">
        <v>62</v>
      </c>
      <c r="AG165" s="183" t="s">
        <v>62</v>
      </c>
    </row>
    <row r="166" spans="2:34" s="2" customFormat="1">
      <c r="B166" s="184"/>
      <c r="C166" s="185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6"/>
      <c r="P166" s="186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6"/>
    </row>
    <row r="167" spans="2:34">
      <c r="C167" t="str">
        <f>CurYear-1&amp;":"</f>
        <v>2015: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8"/>
      <c r="C168" s="84" t="s">
        <v>23</v>
      </c>
      <c r="D168" s="85">
        <v>1</v>
      </c>
      <c r="E168" s="85">
        <v>2</v>
      </c>
      <c r="F168" s="85">
        <v>3</v>
      </c>
      <c r="G168" s="85">
        <v>4</v>
      </c>
      <c r="H168" s="85">
        <v>5</v>
      </c>
      <c r="I168" s="85">
        <v>6</v>
      </c>
      <c r="J168" s="173">
        <v>7</v>
      </c>
      <c r="K168" s="85">
        <v>8</v>
      </c>
      <c r="L168" s="85">
        <v>9</v>
      </c>
      <c r="M168" s="85">
        <v>10</v>
      </c>
      <c r="N168" s="85">
        <v>11</v>
      </c>
      <c r="O168" s="85">
        <v>12</v>
      </c>
      <c r="P168" s="85">
        <v>13</v>
      </c>
      <c r="Q168" s="85">
        <v>14</v>
      </c>
      <c r="R168" s="85">
        <v>15</v>
      </c>
      <c r="S168" s="85">
        <v>16</v>
      </c>
      <c r="T168" s="85">
        <v>17</v>
      </c>
      <c r="U168" s="85">
        <v>18</v>
      </c>
      <c r="V168" s="85">
        <v>19</v>
      </c>
      <c r="W168" s="85">
        <v>20</v>
      </c>
      <c r="X168" s="173">
        <v>21</v>
      </c>
      <c r="Y168" s="85">
        <v>22</v>
      </c>
      <c r="Z168" s="85">
        <v>23</v>
      </c>
      <c r="AA168" s="85">
        <v>24</v>
      </c>
      <c r="AB168" s="85">
        <v>25</v>
      </c>
      <c r="AC168" s="85">
        <v>26</v>
      </c>
      <c r="AD168" s="85">
        <v>27</v>
      </c>
      <c r="AE168" s="85">
        <v>28</v>
      </c>
      <c r="AF168" s="85">
        <v>29</v>
      </c>
      <c r="AG168" s="85">
        <v>30</v>
      </c>
      <c r="AH168" s="85">
        <v>31</v>
      </c>
    </row>
    <row r="169" spans="2:34">
      <c r="B169" s="85">
        <v>1</v>
      </c>
      <c r="C169" s="89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5">
        <v>2</v>
      </c>
      <c r="C170" s="90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5">
        <v>3</v>
      </c>
      <c r="C171" s="89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5">
        <v>4</v>
      </c>
      <c r="C172" s="90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5">
        <v>5</v>
      </c>
      <c r="C173" s="89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5">
        <v>6</v>
      </c>
      <c r="C174" s="90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5">
        <v>7</v>
      </c>
      <c r="C175" s="89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5">
        <v>8</v>
      </c>
      <c r="C176" s="90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5">
        <v>9</v>
      </c>
      <c r="C177" s="89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8">
        <v>10</v>
      </c>
      <c r="C178" s="90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8">
        <v>11</v>
      </c>
      <c r="C179" s="89" t="str">
        <f>LEFT(EmpGName11)&amp;" " &amp;EmpSName11</f>
        <v>2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8">
        <v>12</v>
      </c>
      <c r="C180" s="90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8">
        <v>13</v>
      </c>
      <c r="C181" s="89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8">
        <v>14</v>
      </c>
      <c r="C182" s="90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8">
        <v>15</v>
      </c>
      <c r="C183" s="89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8">
        <v>16</v>
      </c>
      <c r="C184" s="90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8">
        <v>17</v>
      </c>
      <c r="C185" s="89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8">
        <v>18</v>
      </c>
      <c r="C186" s="90" t="str">
        <f>LEFT(EmpGName18)&amp;" " &amp;EmpSName18</f>
        <v>F Odd10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8">
        <v>19</v>
      </c>
      <c r="C187" s="89" t="str">
        <f>LEFT(EmpGName19)&amp;" " &amp;EmpSName19</f>
        <v>G Odd11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8">
        <v>20</v>
      </c>
      <c r="C188" s="90" t="str">
        <f>LEFT(EmpGName20)&amp;" " &amp;EmpSName20</f>
        <v>H Odd12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8">
        <v>21</v>
      </c>
      <c r="C189" s="89" t="str">
        <f>LEFT(EmpGName21)&amp;" " &amp;EmpSName21</f>
        <v>I Odd13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8">
        <v>22</v>
      </c>
      <c r="C190" s="90" t="str">
        <f>LEFT(EmpGName22)&amp;" " &amp;EmpSName22</f>
        <v>J Odd14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8">
        <v>23</v>
      </c>
      <c r="C191" s="89" t="str">
        <f>LEFT(EmpGName23)&amp;" " &amp;EmpSName23</f>
        <v>K Odd15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8">
        <v>24</v>
      </c>
      <c r="C192" s="90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8">
        <v>25</v>
      </c>
      <c r="C193" s="89" t="str">
        <f>LEFT(EmpGName25)&amp;" " &amp;EmpSName25</f>
        <v>M Odd17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8">
        <v>26</v>
      </c>
      <c r="C194" s="90" t="str">
        <f>LEFT(EmpGName26)&amp;" " &amp;EmpSName26</f>
        <v>N Odd18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8">
        <v>27</v>
      </c>
      <c r="C195" s="89" t="str">
        <f>LEFT(EmpGName27)&amp;" " &amp;EmpSName27</f>
        <v>O Odd19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8">
        <v>28</v>
      </c>
      <c r="C196" s="90" t="str">
        <f>LEFT(EmpGName28)&amp;" " &amp;EmpSName28</f>
        <v>P Odd20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t="str">
        <f>CurYear&amp;":"</f>
        <v>2016: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6"/>
      <c r="C199" s="84" t="s">
        <v>8</v>
      </c>
      <c r="D199" s="85">
        <v>1</v>
      </c>
      <c r="E199" s="85">
        <v>2</v>
      </c>
      <c r="F199" s="85">
        <v>3</v>
      </c>
      <c r="G199" s="173">
        <v>4</v>
      </c>
      <c r="H199" s="85">
        <v>5</v>
      </c>
      <c r="I199" s="85">
        <v>6</v>
      </c>
      <c r="J199" s="85">
        <v>7</v>
      </c>
      <c r="K199" s="85">
        <v>8</v>
      </c>
      <c r="L199" s="85">
        <v>9</v>
      </c>
      <c r="M199" s="85">
        <v>10</v>
      </c>
      <c r="N199" s="85">
        <v>11</v>
      </c>
      <c r="O199" s="85">
        <v>12</v>
      </c>
      <c r="P199" s="85">
        <v>13</v>
      </c>
      <c r="Q199" s="85">
        <v>14</v>
      </c>
      <c r="R199" s="85">
        <v>15</v>
      </c>
      <c r="S199" s="85">
        <v>16</v>
      </c>
      <c r="T199" s="85">
        <v>17</v>
      </c>
      <c r="U199" s="173">
        <v>18</v>
      </c>
      <c r="V199" s="85">
        <v>19</v>
      </c>
      <c r="W199" s="85">
        <v>20</v>
      </c>
      <c r="X199" s="85">
        <v>21</v>
      </c>
      <c r="Y199" s="85">
        <v>22</v>
      </c>
      <c r="Z199" s="85">
        <v>23</v>
      </c>
      <c r="AA199" s="85">
        <v>24</v>
      </c>
      <c r="AB199" s="85">
        <v>25</v>
      </c>
      <c r="AC199" s="85">
        <v>26</v>
      </c>
      <c r="AD199" s="85">
        <v>27</v>
      </c>
      <c r="AE199" s="85">
        <v>28</v>
      </c>
      <c r="AF199" s="85">
        <v>29</v>
      </c>
      <c r="AG199" s="85">
        <v>30</v>
      </c>
      <c r="AH199" s="85">
        <v>31</v>
      </c>
    </row>
    <row r="200" spans="2:34">
      <c r="B200" s="83">
        <v>1</v>
      </c>
      <c r="C200" s="89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90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9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90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9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90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9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90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9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9">
        <v>10</v>
      </c>
      <c r="C209" s="91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9">
        <v>11</v>
      </c>
      <c r="C210" s="89" t="str">
        <f>LEFT(EmpGName11)&amp;" " &amp;EmpSName11</f>
        <v>2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9">
        <v>12</v>
      </c>
      <c r="C211" s="91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8">
        <v>13</v>
      </c>
      <c r="C212" s="89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8">
        <v>14</v>
      </c>
      <c r="C213" s="90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8">
        <v>15</v>
      </c>
      <c r="C214" s="89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8">
        <v>16</v>
      </c>
      <c r="C215" s="90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8">
        <v>17</v>
      </c>
      <c r="C216" s="89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8">
        <v>18</v>
      </c>
      <c r="C217" s="90" t="str">
        <f>LEFT(EmpGName18)&amp;" " &amp;EmpSName18</f>
        <v>F Odd10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8">
        <v>19</v>
      </c>
      <c r="C218" s="89" t="str">
        <f>LEFT(EmpGName19)&amp;" " &amp;EmpSName19</f>
        <v>G Odd11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8">
        <v>20</v>
      </c>
      <c r="C219" s="90" t="str">
        <f>LEFT(EmpGName20)&amp;" " &amp;EmpSName20</f>
        <v>H Odd12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8">
        <v>21</v>
      </c>
      <c r="C220" s="89" t="str">
        <f>LEFT(EmpGName21)&amp;" " &amp;EmpSName21</f>
        <v>I Odd13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8">
        <v>22</v>
      </c>
      <c r="C221" s="90" t="str">
        <f>LEFT(EmpGName22)&amp;" " &amp;EmpSName22</f>
        <v>J Odd14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8">
        <v>23</v>
      </c>
      <c r="C222" s="89" t="str">
        <f>LEFT(EmpGName23)&amp;" " &amp;EmpSName23</f>
        <v>K Odd15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8">
        <v>24</v>
      </c>
      <c r="C223" s="90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8">
        <v>25</v>
      </c>
      <c r="C224" s="89" t="str">
        <f>LEFT(EmpGName25)&amp;" " &amp;EmpSName25</f>
        <v>M Odd17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8">
        <v>26</v>
      </c>
      <c r="C225" s="90" t="str">
        <f>LEFT(EmpGName26)&amp;" " &amp;EmpSName26</f>
        <v>N Odd18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8">
        <v>27</v>
      </c>
      <c r="C226" s="89" t="str">
        <f>LEFT(EmpGName27)&amp;" " &amp;EmpSName27</f>
        <v>O Odd19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8">
        <v>28</v>
      </c>
      <c r="C227" s="90" t="str">
        <f>LEFT(EmpGName28)&amp;" " &amp;EmpSName28</f>
        <v>P Odd20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t="str">
        <f>CurYear&amp;":"</f>
        <v>2016: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87" t="str">
        <f t="shared" si="7"/>
        <v>Mo</v>
      </c>
    </row>
    <row r="230" spans="2:34">
      <c r="B230" s="86"/>
      <c r="C230" s="84" t="s">
        <v>13</v>
      </c>
      <c r="D230" s="173">
        <v>1</v>
      </c>
      <c r="E230" s="85">
        <v>2</v>
      </c>
      <c r="F230" s="85">
        <v>3</v>
      </c>
      <c r="G230" s="85">
        <v>4</v>
      </c>
      <c r="H230" s="85">
        <v>5</v>
      </c>
      <c r="I230" s="85">
        <v>6</v>
      </c>
      <c r="J230" s="85">
        <v>7</v>
      </c>
      <c r="K230" s="85">
        <v>8</v>
      </c>
      <c r="L230" s="85">
        <v>9</v>
      </c>
      <c r="M230" s="85">
        <v>10</v>
      </c>
      <c r="N230" s="85">
        <v>11</v>
      </c>
      <c r="O230" s="85">
        <v>12</v>
      </c>
      <c r="P230" s="85">
        <v>13</v>
      </c>
      <c r="Q230" s="85">
        <v>14</v>
      </c>
      <c r="R230" s="173">
        <v>15</v>
      </c>
      <c r="S230" s="85">
        <v>16</v>
      </c>
      <c r="T230" s="85">
        <v>17</v>
      </c>
      <c r="U230" s="85">
        <v>18</v>
      </c>
      <c r="V230" s="85">
        <v>19</v>
      </c>
      <c r="W230" s="85">
        <v>20</v>
      </c>
      <c r="X230" s="85">
        <v>21</v>
      </c>
      <c r="Y230" s="85">
        <v>22</v>
      </c>
      <c r="Z230" s="85">
        <v>23</v>
      </c>
      <c r="AA230" s="85">
        <v>24</v>
      </c>
      <c r="AB230" s="85">
        <v>25</v>
      </c>
      <c r="AC230" s="85">
        <v>26</v>
      </c>
      <c r="AD230" s="85">
        <v>27</v>
      </c>
      <c r="AE230" s="94">
        <v>28</v>
      </c>
      <c r="AF230" s="188">
        <v>29</v>
      </c>
      <c r="AG230" s="1"/>
      <c r="AH230" s="1"/>
    </row>
    <row r="231" spans="2:34">
      <c r="B231" s="83">
        <v>1</v>
      </c>
      <c r="C231" s="89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95" t="s">
        <v>62</v>
      </c>
      <c r="AF231" s="189" t="s">
        <v>62</v>
      </c>
      <c r="AG231" s="2"/>
      <c r="AH231" s="2"/>
    </row>
    <row r="232" spans="2:34">
      <c r="B232" s="83">
        <v>2</v>
      </c>
      <c r="C232" s="90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96" t="s">
        <v>62</v>
      </c>
      <c r="AF232" s="190" t="s">
        <v>62</v>
      </c>
      <c r="AG232" s="2"/>
      <c r="AH232" s="2"/>
    </row>
    <row r="233" spans="2:34">
      <c r="B233" s="83">
        <v>3</v>
      </c>
      <c r="C233" s="89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95" t="s">
        <v>62</v>
      </c>
      <c r="AF233" s="189" t="s">
        <v>62</v>
      </c>
      <c r="AG233" s="2"/>
      <c r="AH233" s="2"/>
    </row>
    <row r="234" spans="2:34">
      <c r="B234" s="83">
        <v>4</v>
      </c>
      <c r="C234" s="90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96" t="s">
        <v>62</v>
      </c>
      <c r="AF234" s="190" t="s">
        <v>62</v>
      </c>
      <c r="AG234" s="2"/>
      <c r="AH234" s="2"/>
    </row>
    <row r="235" spans="2:34">
      <c r="B235" s="83">
        <v>5</v>
      </c>
      <c r="C235" s="89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95" t="s">
        <v>62</v>
      </c>
      <c r="AF235" s="189" t="s">
        <v>62</v>
      </c>
      <c r="AG235" s="2"/>
      <c r="AH235" s="2"/>
    </row>
    <row r="236" spans="2:34">
      <c r="B236" s="83">
        <v>6</v>
      </c>
      <c r="C236" s="90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96" t="s">
        <v>62</v>
      </c>
      <c r="AF236" s="190" t="s">
        <v>62</v>
      </c>
      <c r="AG236" s="2"/>
      <c r="AH236" s="2"/>
    </row>
    <row r="237" spans="2:34">
      <c r="B237" s="83">
        <v>7</v>
      </c>
      <c r="C237" s="89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95" t="s">
        <v>62</v>
      </c>
      <c r="AF237" s="189" t="s">
        <v>62</v>
      </c>
      <c r="AG237" s="2"/>
      <c r="AH237" s="2"/>
    </row>
    <row r="238" spans="2:34">
      <c r="B238" s="83">
        <v>8</v>
      </c>
      <c r="C238" s="90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96" t="s">
        <v>62</v>
      </c>
      <c r="AF238" s="190" t="s">
        <v>62</v>
      </c>
      <c r="AG238" s="2"/>
      <c r="AH238" s="2"/>
    </row>
    <row r="239" spans="2:34">
      <c r="B239" s="83">
        <v>9</v>
      </c>
      <c r="C239" s="89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95" t="s">
        <v>62</v>
      </c>
      <c r="AF239" s="189" t="s">
        <v>62</v>
      </c>
      <c r="AG239" s="2"/>
      <c r="AH239" s="2"/>
    </row>
    <row r="240" spans="2:34">
      <c r="B240" s="149">
        <v>10</v>
      </c>
      <c r="C240" s="91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97" t="s">
        <v>62</v>
      </c>
      <c r="AF240" s="190" t="s">
        <v>62</v>
      </c>
      <c r="AG240" s="2"/>
      <c r="AH240" s="2"/>
    </row>
    <row r="241" spans="2:34">
      <c r="B241" s="149">
        <v>11</v>
      </c>
      <c r="C241" s="89" t="str">
        <f>LEFT(EmpGName11)&amp;" " &amp;EmpSName11</f>
        <v>2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95" t="s">
        <v>62</v>
      </c>
      <c r="AF241" s="189" t="s">
        <v>62</v>
      </c>
      <c r="AG241" s="2"/>
      <c r="AH241" s="2"/>
    </row>
    <row r="242" spans="2:34">
      <c r="B242" s="149">
        <v>12</v>
      </c>
      <c r="C242" s="91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97" t="s">
        <v>62</v>
      </c>
      <c r="AF242" s="190" t="s">
        <v>62</v>
      </c>
      <c r="AG242" s="2"/>
      <c r="AH242" s="2"/>
    </row>
    <row r="243" spans="2:34">
      <c r="B243" s="148">
        <v>13</v>
      </c>
      <c r="C243" s="89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4" t="s">
        <v>62</v>
      </c>
      <c r="AF243" s="4" t="s">
        <v>62</v>
      </c>
      <c r="AG243" s="2"/>
      <c r="AH243" s="2"/>
    </row>
    <row r="244" spans="2:34">
      <c r="B244" s="148">
        <v>14</v>
      </c>
      <c r="C244" s="90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3" t="s">
        <v>62</v>
      </c>
      <c r="AF244" s="3" t="s">
        <v>62</v>
      </c>
      <c r="AG244" s="2"/>
      <c r="AH244" s="2"/>
    </row>
    <row r="245" spans="2:34">
      <c r="B245" s="148">
        <v>15</v>
      </c>
      <c r="C245" s="89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4" t="s">
        <v>62</v>
      </c>
      <c r="AF245" s="4" t="s">
        <v>62</v>
      </c>
      <c r="AG245" s="2"/>
      <c r="AH245" s="2"/>
    </row>
    <row r="246" spans="2:34">
      <c r="B246" s="148">
        <v>16</v>
      </c>
      <c r="C246" s="90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3" t="s">
        <v>62</v>
      </c>
      <c r="AF246" s="3" t="s">
        <v>62</v>
      </c>
      <c r="AG246" s="2"/>
      <c r="AH246" s="2"/>
    </row>
    <row r="247" spans="2:34">
      <c r="B247" s="148">
        <v>17</v>
      </c>
      <c r="C247" s="89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4" t="s">
        <v>62</v>
      </c>
      <c r="AF247" s="4" t="s">
        <v>62</v>
      </c>
      <c r="AG247" s="2"/>
      <c r="AH247" s="2"/>
    </row>
    <row r="248" spans="2:34">
      <c r="B248" s="148">
        <v>18</v>
      </c>
      <c r="C248" s="90" t="str">
        <f>LEFT(EmpGName18)&amp;" " &amp;EmpSName18</f>
        <v>F Odd10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3" t="s">
        <v>62</v>
      </c>
      <c r="AF248" s="3" t="s">
        <v>62</v>
      </c>
      <c r="AG248" s="2"/>
      <c r="AH248" s="2"/>
    </row>
    <row r="249" spans="2:34">
      <c r="B249" s="148">
        <v>19</v>
      </c>
      <c r="C249" s="89" t="str">
        <f>LEFT(EmpGName19)&amp;" " &amp;EmpSName19</f>
        <v>G Odd11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4" t="s">
        <v>62</v>
      </c>
      <c r="AF249" s="4" t="s">
        <v>62</v>
      </c>
      <c r="AG249" s="2"/>
      <c r="AH249" s="2"/>
    </row>
    <row r="250" spans="2:34">
      <c r="B250" s="148">
        <v>20</v>
      </c>
      <c r="C250" s="90" t="str">
        <f>LEFT(EmpGName20)&amp;" " &amp;EmpSName20</f>
        <v>H Odd12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3" t="s">
        <v>62</v>
      </c>
      <c r="AF250" s="3" t="s">
        <v>62</v>
      </c>
      <c r="AG250" s="2"/>
      <c r="AH250" s="2"/>
    </row>
    <row r="251" spans="2:34">
      <c r="B251" s="148">
        <v>21</v>
      </c>
      <c r="C251" s="89" t="str">
        <f>LEFT(EmpGName21)&amp;" " &amp;EmpSName21</f>
        <v>I Odd13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4" t="s">
        <v>62</v>
      </c>
      <c r="AF251" s="4" t="s">
        <v>62</v>
      </c>
      <c r="AG251" s="2"/>
      <c r="AH251" s="2"/>
    </row>
    <row r="252" spans="2:34">
      <c r="B252" s="148">
        <v>22</v>
      </c>
      <c r="C252" s="90" t="str">
        <f>LEFT(EmpGName22)&amp;" " &amp;EmpSName22</f>
        <v>J Odd14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3" t="s">
        <v>62</v>
      </c>
      <c r="AF252" s="3" t="s">
        <v>62</v>
      </c>
      <c r="AG252" s="2"/>
      <c r="AH252" s="2"/>
    </row>
    <row r="253" spans="2:34">
      <c r="B253" s="148">
        <v>23</v>
      </c>
      <c r="C253" s="89" t="str">
        <f>LEFT(EmpGName23)&amp;" " &amp;EmpSName23</f>
        <v>K Odd15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4" t="s">
        <v>62</v>
      </c>
      <c r="AF253" s="4" t="s">
        <v>62</v>
      </c>
      <c r="AG253" s="2"/>
      <c r="AH253" s="2"/>
    </row>
    <row r="254" spans="2:34">
      <c r="B254" s="148">
        <v>24</v>
      </c>
      <c r="C254" s="90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3" t="s">
        <v>62</v>
      </c>
      <c r="AF254" s="3" t="s">
        <v>62</v>
      </c>
      <c r="AG254" s="2"/>
      <c r="AH254" s="2"/>
    </row>
    <row r="255" spans="2:34">
      <c r="B255" s="148">
        <v>25</v>
      </c>
      <c r="C255" s="89" t="str">
        <f>LEFT(EmpGName25)&amp;" " &amp;EmpSName25</f>
        <v>M Odd17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4" t="s">
        <v>62</v>
      </c>
      <c r="AF255" s="4" t="s">
        <v>62</v>
      </c>
      <c r="AG255" s="2"/>
      <c r="AH255" s="2"/>
    </row>
    <row r="256" spans="2:34">
      <c r="B256" s="148">
        <v>26</v>
      </c>
      <c r="C256" s="90" t="str">
        <f>LEFT(EmpGName26)&amp;" " &amp;EmpSName26</f>
        <v>N Odd18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3" t="s">
        <v>62</v>
      </c>
      <c r="AF256" s="3" t="s">
        <v>62</v>
      </c>
      <c r="AG256" s="2"/>
      <c r="AH256" s="2"/>
    </row>
    <row r="257" spans="2:34">
      <c r="B257" s="148">
        <v>27</v>
      </c>
      <c r="C257" s="89" t="str">
        <f>LEFT(EmpGName27)&amp;" " &amp;EmpSName27</f>
        <v>O Odd19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4" t="s">
        <v>62</v>
      </c>
      <c r="AF257" s="4" t="s">
        <v>62</v>
      </c>
      <c r="AG257" s="2"/>
      <c r="AH257" s="2"/>
    </row>
    <row r="258" spans="2:34">
      <c r="B258" s="148">
        <v>28</v>
      </c>
      <c r="C258" s="90" t="str">
        <f>LEFT(EmpGName28)&amp;" " &amp;EmpSName28</f>
        <v>P Odd20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3" t="s">
        <v>62</v>
      </c>
      <c r="AF258" s="3" t="s">
        <v>62</v>
      </c>
      <c r="AG258" s="7"/>
      <c r="AH258" s="7"/>
    </row>
    <row r="259" spans="2:34">
      <c r="B259" s="176"/>
      <c r="C259" s="177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t="str">
        <f>CurYear&amp;":"</f>
        <v>2016: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8"/>
      <c r="C261" s="84" t="s">
        <v>14</v>
      </c>
      <c r="D261" s="173">
        <v>1</v>
      </c>
      <c r="E261" s="85">
        <v>2</v>
      </c>
      <c r="F261" s="85">
        <v>3</v>
      </c>
      <c r="G261" s="85">
        <v>4</v>
      </c>
      <c r="H261" s="85">
        <v>5</v>
      </c>
      <c r="I261" s="85">
        <v>6</v>
      </c>
      <c r="J261" s="85">
        <v>7</v>
      </c>
      <c r="K261" s="85">
        <v>8</v>
      </c>
      <c r="L261" s="85">
        <v>9</v>
      </c>
      <c r="M261" s="85">
        <v>10</v>
      </c>
      <c r="N261" s="85">
        <v>11</v>
      </c>
      <c r="O261" s="85">
        <v>12</v>
      </c>
      <c r="P261" s="85">
        <v>13</v>
      </c>
      <c r="Q261" s="85">
        <v>14</v>
      </c>
      <c r="R261" s="173">
        <v>15</v>
      </c>
      <c r="S261" s="85">
        <v>16</v>
      </c>
      <c r="T261" s="85">
        <v>17</v>
      </c>
      <c r="U261" s="85">
        <v>18</v>
      </c>
      <c r="V261" s="85">
        <v>19</v>
      </c>
      <c r="W261" s="85">
        <v>20</v>
      </c>
      <c r="X261" s="85">
        <v>21</v>
      </c>
      <c r="Y261" s="85">
        <v>22</v>
      </c>
      <c r="Z261" s="85">
        <v>23</v>
      </c>
      <c r="AA261" s="85">
        <v>24</v>
      </c>
      <c r="AB261" s="85">
        <v>25</v>
      </c>
      <c r="AC261" s="85">
        <v>26</v>
      </c>
      <c r="AD261" s="85">
        <v>27</v>
      </c>
      <c r="AE261" s="85">
        <v>28</v>
      </c>
      <c r="AF261" s="173">
        <v>29</v>
      </c>
      <c r="AG261" s="85">
        <v>30</v>
      </c>
      <c r="AH261" s="85">
        <v>31</v>
      </c>
    </row>
    <row r="262" spans="2:34">
      <c r="B262" s="83">
        <v>1</v>
      </c>
      <c r="C262" s="89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90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9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90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9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90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9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90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9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9">
        <v>10</v>
      </c>
      <c r="C271" s="91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9">
        <v>11</v>
      </c>
      <c r="C272" s="89" t="str">
        <f>LEFT(EmpGName11)&amp;" " &amp;EmpSName11</f>
        <v>2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9">
        <v>12</v>
      </c>
      <c r="C273" s="91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8">
        <v>13</v>
      </c>
      <c r="C274" s="89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8">
        <v>14</v>
      </c>
      <c r="C275" s="90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8">
        <v>15</v>
      </c>
      <c r="C276" s="89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8">
        <v>16</v>
      </c>
      <c r="C277" s="90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8">
        <v>17</v>
      </c>
      <c r="C278" s="89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8">
        <v>18</v>
      </c>
      <c r="C279" s="90" t="str">
        <f>LEFT(EmpGName18)&amp;" " &amp;EmpSName18</f>
        <v>F Odd10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8">
        <v>19</v>
      </c>
      <c r="C280" s="89" t="str">
        <f>LEFT(EmpGName19)&amp;" " &amp;EmpSName19</f>
        <v>G Odd11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8">
        <v>20</v>
      </c>
      <c r="C281" s="90" t="str">
        <f>LEFT(EmpGName20)&amp;" " &amp;EmpSName20</f>
        <v>H Odd12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8">
        <v>21</v>
      </c>
      <c r="C282" s="89" t="str">
        <f>LEFT(EmpGName21)&amp;" " &amp;EmpSName21</f>
        <v>I Odd13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8">
        <v>22</v>
      </c>
      <c r="C283" s="90" t="str">
        <f>LEFT(EmpGName22)&amp;" " &amp;EmpSName22</f>
        <v>J Odd14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8">
        <v>23</v>
      </c>
      <c r="C284" s="89" t="str">
        <f>LEFT(EmpGName23)&amp;" " &amp;EmpSName23</f>
        <v>K Odd15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8">
        <v>24</v>
      </c>
      <c r="C285" s="90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8">
        <v>25</v>
      </c>
      <c r="C286" s="89" t="str">
        <f>LEFT(EmpGName25)&amp;" " &amp;EmpSName25</f>
        <v>M Odd17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8">
        <v>26</v>
      </c>
      <c r="C287" s="90" t="str">
        <f>LEFT(EmpGName26)&amp;" " &amp;EmpSName26</f>
        <v>N Odd18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8">
        <v>27</v>
      </c>
      <c r="C288" s="89" t="str">
        <f>LEFT(EmpGName27)&amp;" " &amp;EmpSName27</f>
        <v>O Odd19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8">
        <v>28</v>
      </c>
      <c r="C289" s="90" t="str">
        <f>LEFT(EmpGName28)&amp;" " &amp;EmpSName28</f>
        <v>P Odd20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t="str">
        <f>CurYear&amp;":"</f>
        <v>2016: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7"/>
      <c r="C292" s="84" t="s">
        <v>15</v>
      </c>
      <c r="D292" s="85">
        <v>1</v>
      </c>
      <c r="E292" s="85">
        <v>2</v>
      </c>
      <c r="F292" s="85">
        <v>3</v>
      </c>
      <c r="G292" s="85">
        <v>4</v>
      </c>
      <c r="H292" s="85">
        <v>5</v>
      </c>
      <c r="I292" s="85">
        <v>6</v>
      </c>
      <c r="J292" s="85">
        <v>7</v>
      </c>
      <c r="K292" s="85">
        <v>8</v>
      </c>
      <c r="L292" s="85">
        <v>9</v>
      </c>
      <c r="M292" s="85">
        <v>10</v>
      </c>
      <c r="N292" s="85">
        <v>11</v>
      </c>
      <c r="O292" s="173">
        <v>12</v>
      </c>
      <c r="P292" s="85">
        <v>13</v>
      </c>
      <c r="Q292" s="85">
        <v>14</v>
      </c>
      <c r="R292" s="85">
        <v>15</v>
      </c>
      <c r="S292" s="85">
        <v>16</v>
      </c>
      <c r="T292" s="85">
        <v>17</v>
      </c>
      <c r="U292" s="85">
        <v>18</v>
      </c>
      <c r="V292" s="85">
        <v>19</v>
      </c>
      <c r="W292" s="85">
        <v>20</v>
      </c>
      <c r="X292" s="85">
        <v>21</v>
      </c>
      <c r="Y292" s="85">
        <v>22</v>
      </c>
      <c r="Z292" s="85">
        <v>23</v>
      </c>
      <c r="AA292" s="85">
        <v>24</v>
      </c>
      <c r="AB292" s="85">
        <v>25</v>
      </c>
      <c r="AC292" s="173">
        <v>26</v>
      </c>
      <c r="AD292" s="85">
        <v>27</v>
      </c>
      <c r="AE292" s="85">
        <v>28</v>
      </c>
      <c r="AF292" s="85">
        <v>29</v>
      </c>
      <c r="AG292" s="85">
        <v>30</v>
      </c>
      <c r="AH292" s="92"/>
    </row>
    <row r="293" spans="2:34">
      <c r="B293" s="83">
        <v>1</v>
      </c>
      <c r="C293" s="89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90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9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90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9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90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9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90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9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9">
        <v>10</v>
      </c>
      <c r="C302" s="90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9">
        <v>11</v>
      </c>
      <c r="C303" s="89" t="str">
        <f>LEFT(EmpGName11)&amp;" " &amp;EmpSName11</f>
        <v>2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9">
        <v>12</v>
      </c>
      <c r="C304" s="90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>
      <c r="B305" s="148">
        <v>13</v>
      </c>
      <c r="C305" s="89" t="str">
        <f>LEFT(EmpGName13)&amp;" " &amp;EmpSName13</f>
        <v>A Odd5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>
      <c r="B306" s="148">
        <v>14</v>
      </c>
      <c r="C306" s="90" t="str">
        <f>LEFT(EmpGName14)&amp;" " &amp;EmpSName14</f>
        <v>B Odd6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>
      <c r="B307" s="148">
        <v>15</v>
      </c>
      <c r="C307" s="89" t="str">
        <f>LEFT(EmpGName15)&amp;" " &amp;EmpSName15</f>
        <v>C Odd7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>
      <c r="B308" s="148">
        <v>16</v>
      </c>
      <c r="C308" s="90" t="str">
        <f>LEFT(EmpGName16)&amp;" " &amp;EmpSName16</f>
        <v>D Odd8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>
      <c r="B309" s="148">
        <v>17</v>
      </c>
      <c r="C309" s="89" t="str">
        <f>LEFT(EmpGName17)&amp;" " &amp;EmpSName17</f>
        <v>E Odd9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>
      <c r="B310" s="148">
        <v>18</v>
      </c>
      <c r="C310" s="90" t="str">
        <f>LEFT(EmpGName18)&amp;" " &amp;EmpSName18</f>
        <v>F Odd10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>
      <c r="B311" s="148">
        <v>19</v>
      </c>
      <c r="C311" s="89" t="str">
        <f>LEFT(EmpGName19)&amp;" " &amp;EmpSName19</f>
        <v>G Odd11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>
      <c r="B312" s="148">
        <v>20</v>
      </c>
      <c r="C312" s="90" t="str">
        <f>LEFT(EmpGName20)&amp;" " &amp;EmpSName20</f>
        <v>H Odd12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>
      <c r="B313" s="148">
        <v>21</v>
      </c>
      <c r="C313" s="89" t="str">
        <f>LEFT(EmpGName21)&amp;" " &amp;EmpSName21</f>
        <v>I Odd13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>
      <c r="B314" s="148">
        <v>22</v>
      </c>
      <c r="C314" s="90" t="str">
        <f>LEFT(EmpGName22)&amp;" " &amp;EmpSName22</f>
        <v>J Odd14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>
      <c r="B315" s="148">
        <v>23</v>
      </c>
      <c r="C315" s="89" t="str">
        <f>LEFT(EmpGName23)&amp;" " &amp;EmpSName23</f>
        <v>K Odd15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>
      <c r="B316" s="148">
        <v>24</v>
      </c>
      <c r="C316" s="90" t="str">
        <f>LEFT(EmpGName24)&amp;" " &amp;EmpSName24</f>
        <v>L Odd16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>
      <c r="B317" s="148">
        <v>25</v>
      </c>
      <c r="C317" s="89" t="str">
        <f>LEFT(EmpGName25)&amp;" " &amp;EmpSName25</f>
        <v>M Odd17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>
      <c r="B318" s="148">
        <v>26</v>
      </c>
      <c r="C318" s="90" t="str">
        <f>LEFT(EmpGName26)&amp;" " &amp;EmpSName26</f>
        <v>N Odd18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>
      <c r="B319" s="148">
        <v>27</v>
      </c>
      <c r="C319" s="89" t="str">
        <f>LEFT(EmpGName27)&amp;" " &amp;EmpSName27</f>
        <v>O Odd19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>
      <c r="B320" s="191">
        <v>28</v>
      </c>
      <c r="C320" s="192" t="str">
        <f>LEFT(EmpGName28)&amp;" " &amp;EmpSName28</f>
        <v>P Odd20</v>
      </c>
      <c r="D320" s="190" t="s">
        <v>62</v>
      </c>
      <c r="E320" s="190" t="s">
        <v>62</v>
      </c>
      <c r="F320" s="190" t="s">
        <v>62</v>
      </c>
      <c r="G320" s="190" t="s">
        <v>62</v>
      </c>
      <c r="H320" s="190" t="s">
        <v>62</v>
      </c>
      <c r="I320" s="190" t="s">
        <v>62</v>
      </c>
      <c r="J320" s="190" t="s">
        <v>62</v>
      </c>
      <c r="K320" s="190" t="s">
        <v>62</v>
      </c>
      <c r="L320" s="190" t="s">
        <v>62</v>
      </c>
      <c r="M320" s="190" t="s">
        <v>62</v>
      </c>
      <c r="N320" s="190" t="s">
        <v>62</v>
      </c>
      <c r="O320" s="190" t="s">
        <v>62</v>
      </c>
      <c r="P320" s="190" t="s">
        <v>62</v>
      </c>
      <c r="Q320" s="190" t="s">
        <v>62</v>
      </c>
      <c r="R320" s="190" t="s">
        <v>62</v>
      </c>
      <c r="S320" s="190" t="s">
        <v>62</v>
      </c>
      <c r="T320" s="190" t="s">
        <v>62</v>
      </c>
      <c r="U320" s="190" t="s">
        <v>62</v>
      </c>
      <c r="V320" s="190" t="s">
        <v>62</v>
      </c>
      <c r="W320" s="190" t="s">
        <v>62</v>
      </c>
      <c r="X320" s="190" t="s">
        <v>62</v>
      </c>
      <c r="Y320" s="190" t="s">
        <v>62</v>
      </c>
      <c r="Z320" s="190" t="s">
        <v>62</v>
      </c>
      <c r="AA320" s="190" t="s">
        <v>62</v>
      </c>
      <c r="AB320" s="190" t="s">
        <v>62</v>
      </c>
      <c r="AC320" s="190" t="s">
        <v>62</v>
      </c>
      <c r="AD320" s="190" t="s">
        <v>62</v>
      </c>
      <c r="AE320" s="190" t="s">
        <v>62</v>
      </c>
      <c r="AF320" s="190" t="s">
        <v>62</v>
      </c>
      <c r="AG320" s="190" t="s">
        <v>62</v>
      </c>
      <c r="AH320" s="74"/>
    </row>
    <row r="321" spans="1:34">
      <c r="A321" s="20"/>
      <c r="AH321" s="2"/>
    </row>
    <row r="322" spans="1:34">
      <c r="C322" t="str">
        <f>CurYear&amp;":"</f>
        <v>2016: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8"/>
      <c r="C323" s="84" t="s">
        <v>16</v>
      </c>
      <c r="D323" s="85">
        <v>1</v>
      </c>
      <c r="E323" s="85">
        <v>2</v>
      </c>
      <c r="F323" s="85">
        <v>3</v>
      </c>
      <c r="G323" s="85">
        <v>4</v>
      </c>
      <c r="H323" s="85">
        <v>5</v>
      </c>
      <c r="I323" s="85">
        <v>6</v>
      </c>
      <c r="J323" s="85">
        <v>7</v>
      </c>
      <c r="K323" s="85">
        <v>8</v>
      </c>
      <c r="L323" s="85">
        <v>9</v>
      </c>
      <c r="M323" s="173">
        <v>10</v>
      </c>
      <c r="N323" s="85">
        <v>11</v>
      </c>
      <c r="O323" s="85">
        <v>12</v>
      </c>
      <c r="P323" s="85">
        <v>13</v>
      </c>
      <c r="Q323" s="85">
        <v>14</v>
      </c>
      <c r="R323" s="85">
        <v>15</v>
      </c>
      <c r="S323" s="85">
        <v>16</v>
      </c>
      <c r="T323" s="85">
        <v>17</v>
      </c>
      <c r="U323" s="85">
        <v>18</v>
      </c>
      <c r="V323" s="85">
        <v>19</v>
      </c>
      <c r="W323" s="85">
        <v>20</v>
      </c>
      <c r="X323" s="85">
        <v>21</v>
      </c>
      <c r="Y323" s="85">
        <v>22</v>
      </c>
      <c r="Z323" s="85">
        <v>23</v>
      </c>
      <c r="AA323" s="173">
        <v>24</v>
      </c>
      <c r="AB323" s="85">
        <v>25</v>
      </c>
      <c r="AC323" s="85">
        <v>26</v>
      </c>
      <c r="AD323" s="85">
        <v>27</v>
      </c>
      <c r="AE323" s="85">
        <v>28</v>
      </c>
      <c r="AF323" s="85">
        <v>29</v>
      </c>
      <c r="AG323" s="85">
        <v>30</v>
      </c>
      <c r="AH323" s="85">
        <v>31</v>
      </c>
    </row>
    <row r="324" spans="1:34">
      <c r="B324" s="85">
        <v>1</v>
      </c>
      <c r="C324" s="89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5">
        <v>2</v>
      </c>
      <c r="C325" s="90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5">
        <v>3</v>
      </c>
      <c r="C326" s="89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5">
        <v>4</v>
      </c>
      <c r="C327" s="90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5">
        <v>5</v>
      </c>
      <c r="C328" s="89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5">
        <v>6</v>
      </c>
      <c r="C329" s="90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5">
        <v>7</v>
      </c>
      <c r="C330" s="89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5">
        <v>8</v>
      </c>
      <c r="C331" s="90" t="str">
        <f>LEFT(EmpGName08)&amp;" " &amp;EmpSName08</f>
        <v xml:space="preserve">B Odd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5">
        <v>9</v>
      </c>
      <c r="C332" s="89" t="str">
        <f>LEFT(EmpGName09)&amp;" " &amp;EmpSName09</f>
        <v>1 Odd1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48">
        <v>10</v>
      </c>
      <c r="C333" s="90" t="str">
        <f>LEFT(EmpGName10)&amp;" " &amp;EmpSName10</f>
        <v>2 Odd2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48">
        <v>11</v>
      </c>
      <c r="C334" s="89" t="str">
        <f>LEFT(EmpGName11)&amp;" " &amp;EmpSName11</f>
        <v>2 Odd3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48">
        <v>12</v>
      </c>
      <c r="C335" s="90" t="str">
        <f>LEFT(EmpGName12)&amp;" " &amp;EmpSName12</f>
        <v>4 Odd4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48">
        <v>13</v>
      </c>
      <c r="C336" s="89" t="str">
        <f>LEFT(EmpGName13)&amp;" " &amp;EmpSName13</f>
        <v>A Odd5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48">
        <v>14</v>
      </c>
      <c r="C337" s="90" t="str">
        <f>LEFT(EmpGName14)&amp;" " &amp;EmpSName14</f>
        <v>B Odd6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48">
        <v>15</v>
      </c>
      <c r="C338" s="89" t="str">
        <f>LEFT(EmpGName15)&amp;" " &amp;EmpSName15</f>
        <v>C Odd7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48">
        <v>16</v>
      </c>
      <c r="C339" s="90" t="str">
        <f>LEFT(EmpGName16)&amp;" " &amp;EmpSName16</f>
        <v>D Odd8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48">
        <v>17</v>
      </c>
      <c r="C340" s="89" t="str">
        <f>LEFT(EmpGName17)&amp;" " &amp;EmpSName17</f>
        <v>E Odd9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48">
        <v>18</v>
      </c>
      <c r="C341" s="90" t="str">
        <f>LEFT(EmpGName18)&amp;" " &amp;EmpSName18</f>
        <v>F Odd10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48">
        <v>19</v>
      </c>
      <c r="C342" s="89" t="str">
        <f>LEFT(EmpGName19)&amp;" " &amp;EmpSName19</f>
        <v>G Odd11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48">
        <v>20</v>
      </c>
      <c r="C343" s="90" t="str">
        <f>LEFT(EmpGName20)&amp;" " &amp;EmpSName20</f>
        <v>H Odd12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48">
        <v>21</v>
      </c>
      <c r="C344" s="89" t="str">
        <f>LEFT(EmpGName21)&amp;" " &amp;EmpSName21</f>
        <v>I Odd13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48">
        <v>22</v>
      </c>
      <c r="C345" s="90" t="str">
        <f>LEFT(EmpGName22)&amp;" " &amp;EmpSName22</f>
        <v>J Odd14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48">
        <v>23</v>
      </c>
      <c r="C346" s="89" t="str">
        <f>LEFT(EmpGName23)&amp;" " &amp;EmpSName23</f>
        <v>K Odd15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48">
        <v>24</v>
      </c>
      <c r="C347" s="90" t="str">
        <f>LEFT(EmpGName24)&amp;" " &amp;EmpSName24</f>
        <v>L Odd16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48">
        <v>25</v>
      </c>
      <c r="C348" s="89" t="str">
        <f>LEFT(EmpGName25)&amp;" " &amp;EmpSName25</f>
        <v>M Odd17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48">
        <v>26</v>
      </c>
      <c r="C349" s="90" t="str">
        <f>LEFT(EmpGName26)&amp;" " &amp;EmpSName26</f>
        <v>N Odd18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48">
        <v>27</v>
      </c>
      <c r="C350" s="89" t="str">
        <f>LEFT(EmpGName27)&amp;" " &amp;EmpSName27</f>
        <v>O Odd19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48">
        <v>28</v>
      </c>
      <c r="C351" s="90" t="str">
        <f>LEFT(EmpGName28)&amp;" " &amp;EmpSName28</f>
        <v>P Odd20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t="str">
        <f>CurYear&amp;":"</f>
        <v>2016: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8"/>
      <c r="C354" s="84" t="s">
        <v>17</v>
      </c>
      <c r="D354" s="85">
        <v>1</v>
      </c>
      <c r="E354" s="85">
        <v>2</v>
      </c>
      <c r="F354" s="85">
        <v>3</v>
      </c>
      <c r="G354" s="85">
        <v>4</v>
      </c>
      <c r="H354" s="85">
        <v>5</v>
      </c>
      <c r="I354" s="85">
        <v>6</v>
      </c>
      <c r="J354" s="173">
        <v>7</v>
      </c>
      <c r="K354" s="85">
        <v>8</v>
      </c>
      <c r="L354" s="85">
        <v>9</v>
      </c>
      <c r="M354" s="85">
        <v>10</v>
      </c>
      <c r="N354" s="85">
        <v>11</v>
      </c>
      <c r="O354" s="85">
        <v>12</v>
      </c>
      <c r="P354" s="85">
        <v>13</v>
      </c>
      <c r="Q354" s="85">
        <v>14</v>
      </c>
      <c r="R354" s="85">
        <v>15</v>
      </c>
      <c r="S354" s="85">
        <v>16</v>
      </c>
      <c r="T354" s="85">
        <v>17</v>
      </c>
      <c r="U354" s="85">
        <v>18</v>
      </c>
      <c r="V354" s="85">
        <v>19</v>
      </c>
      <c r="W354" s="85">
        <v>20</v>
      </c>
      <c r="X354" s="173">
        <v>21</v>
      </c>
      <c r="Y354" s="85">
        <v>22</v>
      </c>
      <c r="Z354" s="85">
        <v>23</v>
      </c>
      <c r="AA354" s="85">
        <v>24</v>
      </c>
      <c r="AB354" s="85">
        <v>25</v>
      </c>
      <c r="AC354" s="85">
        <v>26</v>
      </c>
      <c r="AD354" s="85">
        <v>27</v>
      </c>
      <c r="AE354" s="85">
        <v>28</v>
      </c>
      <c r="AF354" s="85">
        <v>29</v>
      </c>
      <c r="AG354" s="85">
        <v>30</v>
      </c>
      <c r="AH354" s="92"/>
    </row>
    <row r="355" spans="2:34">
      <c r="B355" s="85">
        <v>1</v>
      </c>
      <c r="C355" s="89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5">
        <v>2</v>
      </c>
      <c r="C356" s="90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5">
        <v>3</v>
      </c>
      <c r="C357" s="89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5">
        <v>4</v>
      </c>
      <c r="C358" s="90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5">
        <v>5</v>
      </c>
      <c r="C359" s="89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5">
        <v>6</v>
      </c>
      <c r="C360" s="90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5">
        <v>7</v>
      </c>
      <c r="C361" s="89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5">
        <v>8</v>
      </c>
      <c r="C362" s="90" t="str">
        <f>LEFT(EmpGName08)&amp;" " &amp;EmpSName08</f>
        <v xml:space="preserve">B Odd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5">
        <v>9</v>
      </c>
      <c r="C363" s="89" t="str">
        <f>LEFT(EmpGName09)&amp;" " &amp;EmpSName09</f>
        <v>1 Odd1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48">
        <v>10</v>
      </c>
      <c r="C364" s="90" t="str">
        <f>LEFT(EmpGName10)&amp;" " &amp;EmpSName10</f>
        <v>2 Odd2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>
      <c r="B365" s="148">
        <v>11</v>
      </c>
      <c r="C365" s="89" t="str">
        <f>LEFT(EmpGName11)&amp;" " &amp;EmpSName11</f>
        <v>2 Odd3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>
      <c r="B366" s="148">
        <v>12</v>
      </c>
      <c r="C366" s="90" t="str">
        <f>LEFT(EmpGName12)&amp;" " &amp;EmpSName12</f>
        <v>4 Odd4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>
      <c r="B367" s="148">
        <v>13</v>
      </c>
      <c r="C367" s="89" t="str">
        <f>LEFT(EmpGName13)&amp;" " &amp;EmpSName13</f>
        <v>A Odd5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48">
        <v>14</v>
      </c>
      <c r="C368" s="90" t="str">
        <f>LEFT(EmpGName14)&amp;" " &amp;EmpSName14</f>
        <v>B Odd6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48">
        <v>15</v>
      </c>
      <c r="C369" s="89" t="str">
        <f>LEFT(EmpGName15)&amp;" " &amp;EmpSName15</f>
        <v>C Odd7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48">
        <v>16</v>
      </c>
      <c r="C370" s="90" t="str">
        <f>LEFT(EmpGName16)&amp;" " &amp;EmpSName16</f>
        <v>D Odd8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48">
        <v>17</v>
      </c>
      <c r="C371" s="89" t="str">
        <f>LEFT(EmpGName17)&amp;" " &amp;EmpSName17</f>
        <v>E Odd9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48">
        <v>18</v>
      </c>
      <c r="C372" s="90" t="str">
        <f>LEFT(EmpGName18)&amp;" " &amp;EmpSName18</f>
        <v>F Odd10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48">
        <v>19</v>
      </c>
      <c r="C373" s="89" t="str">
        <f>LEFT(EmpGName19)&amp;" " &amp;EmpSName19</f>
        <v>G Odd11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48">
        <v>20</v>
      </c>
      <c r="C374" s="90" t="str">
        <f>LEFT(EmpGName20)&amp;" " &amp;EmpSName20</f>
        <v>H Odd12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48">
        <v>21</v>
      </c>
      <c r="C375" s="89" t="str">
        <f>LEFT(EmpGName21)&amp;" " &amp;EmpSName21</f>
        <v>I Odd13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48">
        <v>22</v>
      </c>
      <c r="C376" s="90" t="str">
        <f>LEFT(EmpGName22)&amp;" " &amp;EmpSName22</f>
        <v>J Odd14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48">
        <v>23</v>
      </c>
      <c r="C377" s="89" t="str">
        <f>LEFT(EmpGName23)&amp;" " &amp;EmpSName23</f>
        <v>K Odd15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48">
        <v>24</v>
      </c>
      <c r="C378" s="90" t="str">
        <f>LEFT(EmpGName24)&amp;" " &amp;EmpSName24</f>
        <v>L Odd16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48">
        <v>25</v>
      </c>
      <c r="C379" s="89" t="str">
        <f>LEFT(EmpGName25)&amp;" " &amp;EmpSName25</f>
        <v>M Odd17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48">
        <v>26</v>
      </c>
      <c r="C380" s="90" t="str">
        <f>LEFT(EmpGName26)&amp;" " &amp;EmpSName26</f>
        <v>N Odd18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48">
        <v>27</v>
      </c>
      <c r="C381" s="89" t="str">
        <f>LEFT(EmpGName27)&amp;" " &amp;EmpSName27</f>
        <v>O Odd19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91">
        <v>28</v>
      </c>
      <c r="C382" s="192" t="str">
        <f>LEFT(EmpGName28)&amp;" " &amp;EmpSName28</f>
        <v>P Odd20</v>
      </c>
      <c r="D382" s="190" t="s">
        <v>62</v>
      </c>
      <c r="E382" s="190" t="s">
        <v>62</v>
      </c>
      <c r="F382" s="190" t="s">
        <v>62</v>
      </c>
      <c r="G382" s="190" t="s">
        <v>62</v>
      </c>
      <c r="H382" s="190" t="s">
        <v>62</v>
      </c>
      <c r="I382" s="190" t="s">
        <v>62</v>
      </c>
      <c r="J382" s="190" t="s">
        <v>62</v>
      </c>
      <c r="K382" s="190" t="s">
        <v>62</v>
      </c>
      <c r="L382" s="190" t="s">
        <v>62</v>
      </c>
      <c r="M382" s="190" t="s">
        <v>62</v>
      </c>
      <c r="N382" s="190" t="s">
        <v>62</v>
      </c>
      <c r="O382" s="190" t="s">
        <v>62</v>
      </c>
      <c r="P382" s="190" t="s">
        <v>62</v>
      </c>
      <c r="Q382" s="190" t="s">
        <v>62</v>
      </c>
      <c r="R382" s="190" t="s">
        <v>62</v>
      </c>
      <c r="S382" s="190" t="s">
        <v>62</v>
      </c>
      <c r="T382" s="190" t="s">
        <v>62</v>
      </c>
      <c r="U382" s="190" t="s">
        <v>62</v>
      </c>
      <c r="V382" s="190" t="s">
        <v>62</v>
      </c>
      <c r="W382" s="190" t="s">
        <v>62</v>
      </c>
      <c r="X382" s="190" t="s">
        <v>62</v>
      </c>
      <c r="Y382" s="190" t="s">
        <v>62</v>
      </c>
      <c r="Z382" s="190" t="s">
        <v>62</v>
      </c>
      <c r="AA382" s="190" t="s">
        <v>62</v>
      </c>
      <c r="AB382" s="190" t="s">
        <v>62</v>
      </c>
      <c r="AC382" s="190" t="s">
        <v>62</v>
      </c>
      <c r="AD382" s="190" t="s">
        <v>62</v>
      </c>
      <c r="AE382" s="190" t="s">
        <v>62</v>
      </c>
      <c r="AF382" s="190" t="s">
        <v>62</v>
      </c>
      <c r="AG382" s="190" t="s">
        <v>62</v>
      </c>
    </row>
  </sheetData>
  <sheetProtection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463" priority="1355" operator="equal">
      <formula>"AL"</formula>
    </cfRule>
    <cfRule type="cellIs" dxfId="1462" priority="1356" operator="equal">
      <formula>"NA"</formula>
    </cfRule>
    <cfRule type="cellIs" dxfId="1461" priority="1357" operator="equal">
      <formula>"SL"</formula>
    </cfRule>
    <cfRule type="cellIs" dxfId="1460" priority="1359" stopIfTrue="1" operator="equal">
      <formula>"X"</formula>
    </cfRule>
    <cfRule type="cellIs" dxfId="1459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458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457" priority="1352" operator="equal">
      <formula>"SP"</formula>
    </cfRule>
    <cfRule type="cellIs" dxfId="1456" priority="1353" operator="equal">
      <formula>"."</formula>
    </cfRule>
  </conditionalFormatting>
  <conditionalFormatting sqref="D26:AH26">
    <cfRule type="cellIs" dxfId="1455" priority="1347" operator="equal">
      <formula>"AL"</formula>
    </cfRule>
    <cfRule type="cellIs" dxfId="1454" priority="1348" operator="equal">
      <formula>"NA"</formula>
    </cfRule>
    <cfRule type="cellIs" dxfId="1453" priority="1349" operator="equal">
      <formula>"SL"</formula>
    </cfRule>
    <cfRule type="cellIs" dxfId="1452" priority="1350" stopIfTrue="1" operator="equal">
      <formula>"X"</formula>
    </cfRule>
    <cfRule type="cellIs" dxfId="1451" priority="1351" operator="equal">
      <formula>"H"</formula>
    </cfRule>
  </conditionalFormatting>
  <conditionalFormatting sqref="D26:AH26">
    <cfRule type="cellIs" dxfId="1450" priority="1345" operator="equal">
      <formula>"SP"</formula>
    </cfRule>
    <cfRule type="cellIs" dxfId="1449" priority="1346" operator="equal">
      <formula>"."</formula>
    </cfRule>
  </conditionalFormatting>
  <conditionalFormatting sqref="D28:AH28">
    <cfRule type="cellIs" dxfId="1448" priority="1340" operator="equal">
      <formula>"AL"</formula>
    </cfRule>
    <cfRule type="cellIs" dxfId="1447" priority="1341" operator="equal">
      <formula>"NA"</formula>
    </cfRule>
    <cfRule type="cellIs" dxfId="1446" priority="1342" operator="equal">
      <formula>"SL"</formula>
    </cfRule>
    <cfRule type="cellIs" dxfId="1445" priority="1343" stopIfTrue="1" operator="equal">
      <formula>"X"</formula>
    </cfRule>
    <cfRule type="cellIs" dxfId="1444" priority="1344" operator="equal">
      <formula>"H"</formula>
    </cfRule>
  </conditionalFormatting>
  <conditionalFormatting sqref="D28:AH28">
    <cfRule type="cellIs" dxfId="1443" priority="1338" operator="equal">
      <formula>"SP"</formula>
    </cfRule>
    <cfRule type="cellIs" dxfId="1442" priority="1339" operator="equal">
      <formula>"."</formula>
    </cfRule>
  </conditionalFormatting>
  <conditionalFormatting sqref="D30:AH30">
    <cfRule type="cellIs" dxfId="1441" priority="1333" operator="equal">
      <formula>"AL"</formula>
    </cfRule>
    <cfRule type="cellIs" dxfId="1440" priority="1334" operator="equal">
      <formula>"NA"</formula>
    </cfRule>
    <cfRule type="cellIs" dxfId="1439" priority="1335" operator="equal">
      <formula>"SL"</formula>
    </cfRule>
    <cfRule type="cellIs" dxfId="1438" priority="1336" stopIfTrue="1" operator="equal">
      <formula>"X"</formula>
    </cfRule>
    <cfRule type="cellIs" dxfId="1437" priority="1337" operator="equal">
      <formula>"H"</formula>
    </cfRule>
  </conditionalFormatting>
  <conditionalFormatting sqref="D30:AH30">
    <cfRule type="cellIs" dxfId="1436" priority="1331" operator="equal">
      <formula>"SP"</formula>
    </cfRule>
    <cfRule type="cellIs" dxfId="1435" priority="1332" operator="equal">
      <formula>"."</formula>
    </cfRule>
  </conditionalFormatting>
  <conditionalFormatting sqref="D32:AH32">
    <cfRule type="cellIs" dxfId="1434" priority="1326" operator="equal">
      <formula>"AL"</formula>
    </cfRule>
    <cfRule type="cellIs" dxfId="1433" priority="1327" operator="equal">
      <formula>"NA"</formula>
    </cfRule>
    <cfRule type="cellIs" dxfId="1432" priority="1328" operator="equal">
      <formula>"SL"</formula>
    </cfRule>
    <cfRule type="cellIs" dxfId="1431" priority="1329" stopIfTrue="1" operator="equal">
      <formula>"X"</formula>
    </cfRule>
    <cfRule type="cellIs" dxfId="1430" priority="1330" operator="equal">
      <formula>"H"</formula>
    </cfRule>
  </conditionalFormatting>
  <conditionalFormatting sqref="D32:AH32">
    <cfRule type="cellIs" dxfId="1429" priority="1324" operator="equal">
      <formula>"SP"</formula>
    </cfRule>
    <cfRule type="cellIs" dxfId="1428" priority="1325" operator="equal">
      <formula>"."</formula>
    </cfRule>
  </conditionalFormatting>
  <conditionalFormatting sqref="D34:AH34">
    <cfRule type="cellIs" dxfId="1427" priority="1319" operator="equal">
      <formula>"AL"</formula>
    </cfRule>
    <cfRule type="cellIs" dxfId="1426" priority="1320" operator="equal">
      <formula>"NA"</formula>
    </cfRule>
    <cfRule type="cellIs" dxfId="1425" priority="1321" operator="equal">
      <formula>"SL"</formula>
    </cfRule>
    <cfRule type="cellIs" dxfId="1424" priority="1322" stopIfTrue="1" operator="equal">
      <formula>"X"</formula>
    </cfRule>
    <cfRule type="cellIs" dxfId="1423" priority="1323" operator="equal">
      <formula>"H"</formula>
    </cfRule>
  </conditionalFormatting>
  <conditionalFormatting sqref="D34:AH34">
    <cfRule type="cellIs" dxfId="1422" priority="1317" operator="equal">
      <formula>"SP"</formula>
    </cfRule>
    <cfRule type="cellIs" dxfId="1421" priority="1318" operator="equal">
      <formula>"."</formula>
    </cfRule>
  </conditionalFormatting>
  <conditionalFormatting sqref="D36:AH36">
    <cfRule type="cellIs" dxfId="1420" priority="1312" operator="equal">
      <formula>"AL"</formula>
    </cfRule>
    <cfRule type="cellIs" dxfId="1419" priority="1313" operator="equal">
      <formula>"NA"</formula>
    </cfRule>
    <cfRule type="cellIs" dxfId="1418" priority="1314" operator="equal">
      <formula>"SL"</formula>
    </cfRule>
    <cfRule type="cellIs" dxfId="1417" priority="1315" stopIfTrue="1" operator="equal">
      <formula>"X"</formula>
    </cfRule>
    <cfRule type="cellIs" dxfId="1416" priority="1316" operator="equal">
      <formula>"H"</formula>
    </cfRule>
  </conditionalFormatting>
  <conditionalFormatting sqref="D36:AH36">
    <cfRule type="cellIs" dxfId="1415" priority="1310" operator="equal">
      <formula>"SP"</formula>
    </cfRule>
    <cfRule type="cellIs" dxfId="1414" priority="1311" operator="equal">
      <formula>"."</formula>
    </cfRule>
  </conditionalFormatting>
  <conditionalFormatting sqref="D38:AH38">
    <cfRule type="cellIs" dxfId="1413" priority="1305" operator="equal">
      <formula>"AL"</formula>
    </cfRule>
    <cfRule type="cellIs" dxfId="1412" priority="1306" operator="equal">
      <formula>"NA"</formula>
    </cfRule>
    <cfRule type="cellIs" dxfId="1411" priority="1307" operator="equal">
      <formula>"SL"</formula>
    </cfRule>
    <cfRule type="cellIs" dxfId="1410" priority="1308" stopIfTrue="1" operator="equal">
      <formula>"X"</formula>
    </cfRule>
    <cfRule type="cellIs" dxfId="1409" priority="1309" operator="equal">
      <formula>"H"</formula>
    </cfRule>
  </conditionalFormatting>
  <conditionalFormatting sqref="D38:AH38">
    <cfRule type="cellIs" dxfId="1408" priority="1303" operator="equal">
      <formula>"SP"</formula>
    </cfRule>
    <cfRule type="cellIs" dxfId="1407" priority="1304" operator="equal">
      <formula>"."</formula>
    </cfRule>
  </conditionalFormatting>
  <conditionalFormatting sqref="D40:AH40">
    <cfRule type="cellIs" dxfId="1406" priority="1298" operator="equal">
      <formula>"AL"</formula>
    </cfRule>
    <cfRule type="cellIs" dxfId="1405" priority="1299" operator="equal">
      <formula>"NA"</formula>
    </cfRule>
    <cfRule type="cellIs" dxfId="1404" priority="1300" operator="equal">
      <formula>"SL"</formula>
    </cfRule>
    <cfRule type="cellIs" dxfId="1403" priority="1301" stopIfTrue="1" operator="equal">
      <formula>"X"</formula>
    </cfRule>
    <cfRule type="cellIs" dxfId="1402" priority="1302" operator="equal">
      <formula>"H"</formula>
    </cfRule>
  </conditionalFormatting>
  <conditionalFormatting sqref="D40:AH40">
    <cfRule type="cellIs" dxfId="1401" priority="1296" operator="equal">
      <formula>"SP"</formula>
    </cfRule>
    <cfRule type="cellIs" dxfId="1400" priority="1297" operator="equal">
      <formula>"."</formula>
    </cfRule>
  </conditionalFormatting>
  <conditionalFormatting sqref="D27:AH27">
    <cfRule type="cellIs" dxfId="1399" priority="1284" operator="equal">
      <formula>"AL"</formula>
    </cfRule>
    <cfRule type="cellIs" dxfId="1398" priority="1285" operator="equal">
      <formula>"NA"</formula>
    </cfRule>
    <cfRule type="cellIs" dxfId="1397" priority="1286" operator="equal">
      <formula>"SL"</formula>
    </cfRule>
    <cfRule type="cellIs" dxfId="1396" priority="1287" stopIfTrue="1" operator="equal">
      <formula>"X"</formula>
    </cfRule>
    <cfRule type="cellIs" dxfId="1395" priority="1288" operator="equal">
      <formula>"H"</formula>
    </cfRule>
  </conditionalFormatting>
  <conditionalFormatting sqref="D27:AH27">
    <cfRule type="cellIs" dxfId="1394" priority="1282" operator="equal">
      <formula>"SP"</formula>
    </cfRule>
    <cfRule type="cellIs" dxfId="1393" priority="1283" operator="equal">
      <formula>"."</formula>
    </cfRule>
  </conditionalFormatting>
  <conditionalFormatting sqref="D29:AH29">
    <cfRule type="cellIs" dxfId="1392" priority="1277" operator="equal">
      <formula>"AL"</formula>
    </cfRule>
    <cfRule type="cellIs" dxfId="1391" priority="1278" operator="equal">
      <formula>"NA"</formula>
    </cfRule>
    <cfRule type="cellIs" dxfId="1390" priority="1279" operator="equal">
      <formula>"SL"</formula>
    </cfRule>
    <cfRule type="cellIs" dxfId="1389" priority="1280" stopIfTrue="1" operator="equal">
      <formula>"X"</formula>
    </cfRule>
    <cfRule type="cellIs" dxfId="1388" priority="1281" operator="equal">
      <formula>"H"</formula>
    </cfRule>
  </conditionalFormatting>
  <conditionalFormatting sqref="D29:AH29">
    <cfRule type="cellIs" dxfId="1387" priority="1275" operator="equal">
      <formula>"SP"</formula>
    </cfRule>
    <cfRule type="cellIs" dxfId="1386" priority="1276" operator="equal">
      <formula>"."</formula>
    </cfRule>
  </conditionalFormatting>
  <conditionalFormatting sqref="D31:AH31">
    <cfRule type="cellIs" dxfId="1385" priority="1270" operator="equal">
      <formula>"AL"</formula>
    </cfRule>
    <cfRule type="cellIs" dxfId="1384" priority="1271" operator="equal">
      <formula>"NA"</formula>
    </cfRule>
    <cfRule type="cellIs" dxfId="1383" priority="1272" operator="equal">
      <formula>"SL"</formula>
    </cfRule>
    <cfRule type="cellIs" dxfId="1382" priority="1273" stopIfTrue="1" operator="equal">
      <formula>"X"</formula>
    </cfRule>
    <cfRule type="cellIs" dxfId="1381" priority="1274" operator="equal">
      <formula>"H"</formula>
    </cfRule>
  </conditionalFormatting>
  <conditionalFormatting sqref="D31:AH31">
    <cfRule type="cellIs" dxfId="1380" priority="1268" operator="equal">
      <formula>"SP"</formula>
    </cfRule>
    <cfRule type="cellIs" dxfId="1379" priority="1269" operator="equal">
      <formula>"."</formula>
    </cfRule>
  </conditionalFormatting>
  <conditionalFormatting sqref="D33:AH33">
    <cfRule type="cellIs" dxfId="1378" priority="1263" operator="equal">
      <formula>"AL"</formula>
    </cfRule>
    <cfRule type="cellIs" dxfId="1377" priority="1264" operator="equal">
      <formula>"NA"</formula>
    </cfRule>
    <cfRule type="cellIs" dxfId="1376" priority="1265" operator="equal">
      <formula>"SL"</formula>
    </cfRule>
    <cfRule type="cellIs" dxfId="1375" priority="1266" stopIfTrue="1" operator="equal">
      <formula>"X"</formula>
    </cfRule>
    <cfRule type="cellIs" dxfId="1374" priority="1267" operator="equal">
      <formula>"H"</formula>
    </cfRule>
  </conditionalFormatting>
  <conditionalFormatting sqref="D33:AH33">
    <cfRule type="cellIs" dxfId="1373" priority="1261" operator="equal">
      <formula>"SP"</formula>
    </cfRule>
    <cfRule type="cellIs" dxfId="1372" priority="1262" operator="equal">
      <formula>"."</formula>
    </cfRule>
  </conditionalFormatting>
  <conditionalFormatting sqref="D35:AH35">
    <cfRule type="cellIs" dxfId="1371" priority="1256" operator="equal">
      <formula>"AL"</formula>
    </cfRule>
    <cfRule type="cellIs" dxfId="1370" priority="1257" operator="equal">
      <formula>"NA"</formula>
    </cfRule>
    <cfRule type="cellIs" dxfId="1369" priority="1258" operator="equal">
      <formula>"SL"</formula>
    </cfRule>
    <cfRule type="cellIs" dxfId="1368" priority="1259" stopIfTrue="1" operator="equal">
      <formula>"X"</formula>
    </cfRule>
    <cfRule type="cellIs" dxfId="1367" priority="1260" operator="equal">
      <formula>"H"</formula>
    </cfRule>
  </conditionalFormatting>
  <conditionalFormatting sqref="D35:AH35">
    <cfRule type="cellIs" dxfId="1366" priority="1254" operator="equal">
      <formula>"SP"</formula>
    </cfRule>
    <cfRule type="cellIs" dxfId="1365" priority="1255" operator="equal">
      <formula>"."</formula>
    </cfRule>
  </conditionalFormatting>
  <conditionalFormatting sqref="D37:AH37">
    <cfRule type="cellIs" dxfId="1364" priority="1249" operator="equal">
      <formula>"AL"</formula>
    </cfRule>
    <cfRule type="cellIs" dxfId="1363" priority="1250" operator="equal">
      <formula>"NA"</formula>
    </cfRule>
    <cfRule type="cellIs" dxfId="1362" priority="1251" operator="equal">
      <formula>"SL"</formula>
    </cfRule>
    <cfRule type="cellIs" dxfId="1361" priority="1252" stopIfTrue="1" operator="equal">
      <formula>"X"</formula>
    </cfRule>
    <cfRule type="cellIs" dxfId="1360" priority="1253" operator="equal">
      <formula>"H"</formula>
    </cfRule>
  </conditionalFormatting>
  <conditionalFormatting sqref="D37:AH37">
    <cfRule type="cellIs" dxfId="1359" priority="1247" operator="equal">
      <formula>"SP"</formula>
    </cfRule>
    <cfRule type="cellIs" dxfId="1358" priority="1248" operator="equal">
      <formula>"."</formula>
    </cfRule>
  </conditionalFormatting>
  <conditionalFormatting sqref="D39:AH39">
    <cfRule type="cellIs" dxfId="1357" priority="1242" operator="equal">
      <formula>"AL"</formula>
    </cfRule>
    <cfRule type="cellIs" dxfId="1356" priority="1243" operator="equal">
      <formula>"NA"</formula>
    </cfRule>
    <cfRule type="cellIs" dxfId="1355" priority="1244" operator="equal">
      <formula>"SL"</formula>
    </cfRule>
    <cfRule type="cellIs" dxfId="1354" priority="1245" stopIfTrue="1" operator="equal">
      <formula>"X"</formula>
    </cfRule>
    <cfRule type="cellIs" dxfId="1353" priority="1246" operator="equal">
      <formula>"H"</formula>
    </cfRule>
  </conditionalFormatting>
  <conditionalFormatting sqref="D39:AH39">
    <cfRule type="cellIs" dxfId="1352" priority="1240" operator="equal">
      <formula>"SP"</formula>
    </cfRule>
    <cfRule type="cellIs" dxfId="1351" priority="1241" operator="equal">
      <formula>"."</formula>
    </cfRule>
  </conditionalFormatting>
  <conditionalFormatting sqref="D41:AH41">
    <cfRule type="cellIs" dxfId="1350" priority="1235" operator="equal">
      <formula>"AL"</formula>
    </cfRule>
    <cfRule type="cellIs" dxfId="1349" priority="1236" operator="equal">
      <formula>"NA"</formula>
    </cfRule>
    <cfRule type="cellIs" dxfId="1348" priority="1237" operator="equal">
      <formula>"SL"</formula>
    </cfRule>
    <cfRule type="cellIs" dxfId="1347" priority="1238" stopIfTrue="1" operator="equal">
      <formula>"X"</formula>
    </cfRule>
    <cfRule type="cellIs" dxfId="1346" priority="1239" operator="equal">
      <formula>"H"</formula>
    </cfRule>
  </conditionalFormatting>
  <conditionalFormatting sqref="D41:AH41">
    <cfRule type="cellIs" dxfId="1345" priority="1233" operator="equal">
      <formula>"SP"</formula>
    </cfRule>
    <cfRule type="cellIs" dxfId="1344" priority="1234" operator="equal">
      <formula>"."</formula>
    </cfRule>
  </conditionalFormatting>
  <conditionalFormatting sqref="D57:AH57">
    <cfRule type="cellIs" dxfId="1343" priority="1228" operator="equal">
      <formula>"AL"</formula>
    </cfRule>
    <cfRule type="cellIs" dxfId="1342" priority="1229" operator="equal">
      <formula>"NA"</formula>
    </cfRule>
    <cfRule type="cellIs" dxfId="1341" priority="1230" operator="equal">
      <formula>"SL"</formula>
    </cfRule>
    <cfRule type="cellIs" dxfId="1340" priority="1231" stopIfTrue="1" operator="equal">
      <formula>"X"</formula>
    </cfRule>
    <cfRule type="cellIs" dxfId="1339" priority="1232" operator="equal">
      <formula>"H"</formula>
    </cfRule>
  </conditionalFormatting>
  <conditionalFormatting sqref="D57:AH57">
    <cfRule type="cellIs" dxfId="1338" priority="1226" operator="equal">
      <formula>"SP"</formula>
    </cfRule>
    <cfRule type="cellIs" dxfId="1337" priority="1227" operator="equal">
      <formula>"."</formula>
    </cfRule>
  </conditionalFormatting>
  <conditionalFormatting sqref="D59:AH59">
    <cfRule type="cellIs" dxfId="1336" priority="1221" operator="equal">
      <formula>"AL"</formula>
    </cfRule>
    <cfRule type="cellIs" dxfId="1335" priority="1222" operator="equal">
      <formula>"NA"</formula>
    </cfRule>
    <cfRule type="cellIs" dxfId="1334" priority="1223" operator="equal">
      <formula>"SL"</formula>
    </cfRule>
    <cfRule type="cellIs" dxfId="1333" priority="1224" stopIfTrue="1" operator="equal">
      <formula>"X"</formula>
    </cfRule>
    <cfRule type="cellIs" dxfId="1332" priority="1225" operator="equal">
      <formula>"H"</formula>
    </cfRule>
  </conditionalFormatting>
  <conditionalFormatting sqref="D59:AH59">
    <cfRule type="cellIs" dxfId="1331" priority="1219" operator="equal">
      <formula>"SP"</formula>
    </cfRule>
    <cfRule type="cellIs" dxfId="1330" priority="1220" operator="equal">
      <formula>"."</formula>
    </cfRule>
  </conditionalFormatting>
  <conditionalFormatting sqref="D61:AH61">
    <cfRule type="cellIs" dxfId="1329" priority="1214" operator="equal">
      <formula>"AL"</formula>
    </cfRule>
    <cfRule type="cellIs" dxfId="1328" priority="1215" operator="equal">
      <formula>"NA"</formula>
    </cfRule>
    <cfRule type="cellIs" dxfId="1327" priority="1216" operator="equal">
      <formula>"SL"</formula>
    </cfRule>
    <cfRule type="cellIs" dxfId="1326" priority="1217" stopIfTrue="1" operator="equal">
      <formula>"X"</formula>
    </cfRule>
    <cfRule type="cellIs" dxfId="1325" priority="1218" operator="equal">
      <formula>"H"</formula>
    </cfRule>
  </conditionalFormatting>
  <conditionalFormatting sqref="D61:AH61">
    <cfRule type="cellIs" dxfId="1324" priority="1212" operator="equal">
      <formula>"SP"</formula>
    </cfRule>
    <cfRule type="cellIs" dxfId="1323" priority="1213" operator="equal">
      <formula>"."</formula>
    </cfRule>
  </conditionalFormatting>
  <conditionalFormatting sqref="D63:AH63">
    <cfRule type="cellIs" dxfId="1322" priority="1207" operator="equal">
      <formula>"AL"</formula>
    </cfRule>
    <cfRule type="cellIs" dxfId="1321" priority="1208" operator="equal">
      <formula>"NA"</formula>
    </cfRule>
    <cfRule type="cellIs" dxfId="1320" priority="1209" operator="equal">
      <formula>"SL"</formula>
    </cfRule>
    <cfRule type="cellIs" dxfId="1319" priority="1210" stopIfTrue="1" operator="equal">
      <formula>"X"</formula>
    </cfRule>
    <cfRule type="cellIs" dxfId="1318" priority="1211" operator="equal">
      <formula>"H"</formula>
    </cfRule>
  </conditionalFormatting>
  <conditionalFormatting sqref="D63:AH63">
    <cfRule type="cellIs" dxfId="1317" priority="1205" operator="equal">
      <formula>"SP"</formula>
    </cfRule>
    <cfRule type="cellIs" dxfId="1316" priority="1206" operator="equal">
      <formula>"."</formula>
    </cfRule>
  </conditionalFormatting>
  <conditionalFormatting sqref="D65:AH65">
    <cfRule type="cellIs" dxfId="1315" priority="1200" operator="equal">
      <formula>"AL"</formula>
    </cfRule>
    <cfRule type="cellIs" dxfId="1314" priority="1201" operator="equal">
      <formula>"NA"</formula>
    </cfRule>
    <cfRule type="cellIs" dxfId="1313" priority="1202" operator="equal">
      <formula>"SL"</formula>
    </cfRule>
    <cfRule type="cellIs" dxfId="1312" priority="1203" stopIfTrue="1" operator="equal">
      <formula>"X"</formula>
    </cfRule>
    <cfRule type="cellIs" dxfId="1311" priority="1204" operator="equal">
      <formula>"H"</formula>
    </cfRule>
  </conditionalFormatting>
  <conditionalFormatting sqref="D65:AH65">
    <cfRule type="cellIs" dxfId="1310" priority="1198" operator="equal">
      <formula>"SP"</formula>
    </cfRule>
    <cfRule type="cellIs" dxfId="1309" priority="1199" operator="equal">
      <formula>"."</formula>
    </cfRule>
  </conditionalFormatting>
  <conditionalFormatting sqref="D67:AH67">
    <cfRule type="cellIs" dxfId="1308" priority="1193" operator="equal">
      <formula>"AL"</formula>
    </cfRule>
    <cfRule type="cellIs" dxfId="1307" priority="1194" operator="equal">
      <formula>"NA"</formula>
    </cfRule>
    <cfRule type="cellIs" dxfId="1306" priority="1195" operator="equal">
      <formula>"SL"</formula>
    </cfRule>
    <cfRule type="cellIs" dxfId="1305" priority="1196" stopIfTrue="1" operator="equal">
      <formula>"X"</formula>
    </cfRule>
    <cfRule type="cellIs" dxfId="1304" priority="1197" operator="equal">
      <formula>"H"</formula>
    </cfRule>
  </conditionalFormatting>
  <conditionalFormatting sqref="D67:AH67">
    <cfRule type="cellIs" dxfId="1303" priority="1191" operator="equal">
      <formula>"SP"</formula>
    </cfRule>
    <cfRule type="cellIs" dxfId="1302" priority="1192" operator="equal">
      <formula>"."</formula>
    </cfRule>
  </conditionalFormatting>
  <conditionalFormatting sqref="D69:AH69">
    <cfRule type="cellIs" dxfId="1301" priority="1186" operator="equal">
      <formula>"AL"</formula>
    </cfRule>
    <cfRule type="cellIs" dxfId="1300" priority="1187" operator="equal">
      <formula>"NA"</formula>
    </cfRule>
    <cfRule type="cellIs" dxfId="1299" priority="1188" operator="equal">
      <formula>"SL"</formula>
    </cfRule>
    <cfRule type="cellIs" dxfId="1298" priority="1189" stopIfTrue="1" operator="equal">
      <formula>"X"</formula>
    </cfRule>
    <cfRule type="cellIs" dxfId="1297" priority="1190" operator="equal">
      <formula>"H"</formula>
    </cfRule>
  </conditionalFormatting>
  <conditionalFormatting sqref="D69:AH69">
    <cfRule type="cellIs" dxfId="1296" priority="1184" operator="equal">
      <formula>"SP"</formula>
    </cfRule>
    <cfRule type="cellIs" dxfId="1295" priority="1185" operator="equal">
      <formula>"."</formula>
    </cfRule>
  </conditionalFormatting>
  <conditionalFormatting sqref="D71:AH71">
    <cfRule type="cellIs" dxfId="1294" priority="1179" operator="equal">
      <formula>"AL"</formula>
    </cfRule>
    <cfRule type="cellIs" dxfId="1293" priority="1180" operator="equal">
      <formula>"NA"</formula>
    </cfRule>
    <cfRule type="cellIs" dxfId="1292" priority="1181" operator="equal">
      <formula>"SL"</formula>
    </cfRule>
    <cfRule type="cellIs" dxfId="1291" priority="1182" stopIfTrue="1" operator="equal">
      <formula>"X"</formula>
    </cfRule>
    <cfRule type="cellIs" dxfId="1290" priority="1183" operator="equal">
      <formula>"H"</formula>
    </cfRule>
  </conditionalFormatting>
  <conditionalFormatting sqref="D71:AH71">
    <cfRule type="cellIs" dxfId="1289" priority="1177" operator="equal">
      <formula>"SP"</formula>
    </cfRule>
    <cfRule type="cellIs" dxfId="1288" priority="1178" operator="equal">
      <formula>"."</formula>
    </cfRule>
  </conditionalFormatting>
  <conditionalFormatting sqref="D58:AH58">
    <cfRule type="cellIs" dxfId="1287" priority="1172" operator="equal">
      <formula>"AL"</formula>
    </cfRule>
    <cfRule type="cellIs" dxfId="1286" priority="1173" operator="equal">
      <formula>"NA"</formula>
    </cfRule>
    <cfRule type="cellIs" dxfId="1285" priority="1174" operator="equal">
      <formula>"SL"</formula>
    </cfRule>
    <cfRule type="cellIs" dxfId="1284" priority="1175" stopIfTrue="1" operator="equal">
      <formula>"X"</formula>
    </cfRule>
    <cfRule type="cellIs" dxfId="1283" priority="1176" operator="equal">
      <formula>"H"</formula>
    </cfRule>
  </conditionalFormatting>
  <conditionalFormatting sqref="D58:AH58">
    <cfRule type="cellIs" dxfId="1282" priority="1170" operator="equal">
      <formula>"SP"</formula>
    </cfRule>
    <cfRule type="cellIs" dxfId="1281" priority="1171" operator="equal">
      <formula>"."</formula>
    </cfRule>
  </conditionalFormatting>
  <conditionalFormatting sqref="D60:AH60">
    <cfRule type="cellIs" dxfId="1280" priority="1165" operator="equal">
      <formula>"AL"</formula>
    </cfRule>
    <cfRule type="cellIs" dxfId="1279" priority="1166" operator="equal">
      <formula>"NA"</formula>
    </cfRule>
    <cfRule type="cellIs" dxfId="1278" priority="1167" operator="equal">
      <formula>"SL"</formula>
    </cfRule>
    <cfRule type="cellIs" dxfId="1277" priority="1168" stopIfTrue="1" operator="equal">
      <formula>"X"</formula>
    </cfRule>
    <cfRule type="cellIs" dxfId="1276" priority="1169" operator="equal">
      <formula>"H"</formula>
    </cfRule>
  </conditionalFormatting>
  <conditionalFormatting sqref="D60:AH60">
    <cfRule type="cellIs" dxfId="1275" priority="1163" operator="equal">
      <formula>"SP"</formula>
    </cfRule>
    <cfRule type="cellIs" dxfId="1274" priority="1164" operator="equal">
      <formula>"."</formula>
    </cfRule>
  </conditionalFormatting>
  <conditionalFormatting sqref="D62:AH62">
    <cfRule type="cellIs" dxfId="1273" priority="1158" operator="equal">
      <formula>"AL"</formula>
    </cfRule>
    <cfRule type="cellIs" dxfId="1272" priority="1159" operator="equal">
      <formula>"NA"</formula>
    </cfRule>
    <cfRule type="cellIs" dxfId="1271" priority="1160" operator="equal">
      <formula>"SL"</formula>
    </cfRule>
    <cfRule type="cellIs" dxfId="1270" priority="1161" stopIfTrue="1" operator="equal">
      <formula>"X"</formula>
    </cfRule>
    <cfRule type="cellIs" dxfId="1269" priority="1162" operator="equal">
      <formula>"H"</formula>
    </cfRule>
  </conditionalFormatting>
  <conditionalFormatting sqref="D62:AH62">
    <cfRule type="cellIs" dxfId="1268" priority="1156" operator="equal">
      <formula>"SP"</formula>
    </cfRule>
    <cfRule type="cellIs" dxfId="1267" priority="1157" operator="equal">
      <formula>"."</formula>
    </cfRule>
  </conditionalFormatting>
  <conditionalFormatting sqref="D64:AH64">
    <cfRule type="cellIs" dxfId="1266" priority="1151" operator="equal">
      <formula>"AL"</formula>
    </cfRule>
    <cfRule type="cellIs" dxfId="1265" priority="1152" operator="equal">
      <formula>"NA"</formula>
    </cfRule>
    <cfRule type="cellIs" dxfId="1264" priority="1153" operator="equal">
      <formula>"SL"</formula>
    </cfRule>
    <cfRule type="cellIs" dxfId="1263" priority="1154" stopIfTrue="1" operator="equal">
      <formula>"X"</formula>
    </cfRule>
    <cfRule type="cellIs" dxfId="1262" priority="1155" operator="equal">
      <formula>"H"</formula>
    </cfRule>
  </conditionalFormatting>
  <conditionalFormatting sqref="D64:AH64">
    <cfRule type="cellIs" dxfId="1261" priority="1149" operator="equal">
      <formula>"SP"</formula>
    </cfRule>
    <cfRule type="cellIs" dxfId="1260" priority="1150" operator="equal">
      <formula>"."</formula>
    </cfRule>
  </conditionalFormatting>
  <conditionalFormatting sqref="D66:AH66">
    <cfRule type="cellIs" dxfId="1259" priority="1144" operator="equal">
      <formula>"AL"</formula>
    </cfRule>
    <cfRule type="cellIs" dxfId="1258" priority="1145" operator="equal">
      <formula>"NA"</formula>
    </cfRule>
    <cfRule type="cellIs" dxfId="1257" priority="1146" operator="equal">
      <formula>"SL"</formula>
    </cfRule>
    <cfRule type="cellIs" dxfId="1256" priority="1147" stopIfTrue="1" operator="equal">
      <formula>"X"</formula>
    </cfRule>
    <cfRule type="cellIs" dxfId="1255" priority="1148" operator="equal">
      <formula>"H"</formula>
    </cfRule>
  </conditionalFormatting>
  <conditionalFormatting sqref="D66:AH66">
    <cfRule type="cellIs" dxfId="1254" priority="1142" operator="equal">
      <formula>"SP"</formula>
    </cfRule>
    <cfRule type="cellIs" dxfId="1253" priority="1143" operator="equal">
      <formula>"."</formula>
    </cfRule>
  </conditionalFormatting>
  <conditionalFormatting sqref="D68:AH68">
    <cfRule type="cellIs" dxfId="1252" priority="1137" operator="equal">
      <formula>"AL"</formula>
    </cfRule>
    <cfRule type="cellIs" dxfId="1251" priority="1138" operator="equal">
      <formula>"NA"</formula>
    </cfRule>
    <cfRule type="cellIs" dxfId="1250" priority="1139" operator="equal">
      <formula>"SL"</formula>
    </cfRule>
    <cfRule type="cellIs" dxfId="1249" priority="1140" stopIfTrue="1" operator="equal">
      <formula>"X"</formula>
    </cfRule>
    <cfRule type="cellIs" dxfId="1248" priority="1141" operator="equal">
      <formula>"H"</formula>
    </cfRule>
  </conditionalFormatting>
  <conditionalFormatting sqref="D68:AH68">
    <cfRule type="cellIs" dxfId="1247" priority="1135" operator="equal">
      <formula>"SP"</formula>
    </cfRule>
    <cfRule type="cellIs" dxfId="1246" priority="1136" operator="equal">
      <formula>"."</formula>
    </cfRule>
  </conditionalFormatting>
  <conditionalFormatting sqref="D70:AH70">
    <cfRule type="cellIs" dxfId="1245" priority="1130" operator="equal">
      <formula>"AL"</formula>
    </cfRule>
    <cfRule type="cellIs" dxfId="1244" priority="1131" operator="equal">
      <formula>"NA"</formula>
    </cfRule>
    <cfRule type="cellIs" dxfId="1243" priority="1132" operator="equal">
      <formula>"SL"</formula>
    </cfRule>
    <cfRule type="cellIs" dxfId="1242" priority="1133" stopIfTrue="1" operator="equal">
      <formula>"X"</formula>
    </cfRule>
    <cfRule type="cellIs" dxfId="1241" priority="1134" operator="equal">
      <formula>"H"</formula>
    </cfRule>
  </conditionalFormatting>
  <conditionalFormatting sqref="D70:AH70">
    <cfRule type="cellIs" dxfId="1240" priority="1128" operator="equal">
      <formula>"SP"</formula>
    </cfRule>
    <cfRule type="cellIs" dxfId="1239" priority="1129" operator="equal">
      <formula>"."</formula>
    </cfRule>
  </conditionalFormatting>
  <conditionalFormatting sqref="D72:AH72">
    <cfRule type="cellIs" dxfId="1238" priority="1123" operator="equal">
      <formula>"AL"</formula>
    </cfRule>
    <cfRule type="cellIs" dxfId="1237" priority="1124" operator="equal">
      <formula>"NA"</formula>
    </cfRule>
    <cfRule type="cellIs" dxfId="1236" priority="1125" operator="equal">
      <formula>"SL"</formula>
    </cfRule>
    <cfRule type="cellIs" dxfId="1235" priority="1126" stopIfTrue="1" operator="equal">
      <formula>"X"</formula>
    </cfRule>
    <cfRule type="cellIs" dxfId="1234" priority="1127" operator="equal">
      <formula>"H"</formula>
    </cfRule>
  </conditionalFormatting>
  <conditionalFormatting sqref="D72:AH72">
    <cfRule type="cellIs" dxfId="1233" priority="1121" operator="equal">
      <formula>"SP"</formula>
    </cfRule>
    <cfRule type="cellIs" dxfId="1232" priority="1122" operator="equal">
      <formula>"."</formula>
    </cfRule>
  </conditionalFormatting>
  <conditionalFormatting sqref="D103:AG104">
    <cfRule type="cellIs" dxfId="1231" priority="1009" operator="equal">
      <formula>"SP"</formula>
    </cfRule>
    <cfRule type="cellIs" dxfId="1230" priority="1010" operator="equal">
      <formula>"."</formula>
    </cfRule>
  </conditionalFormatting>
  <conditionalFormatting sqref="D88:AG88">
    <cfRule type="cellIs" dxfId="1229" priority="1116" operator="equal">
      <formula>"AL"</formula>
    </cfRule>
    <cfRule type="cellIs" dxfId="1228" priority="1117" operator="equal">
      <formula>"NA"</formula>
    </cfRule>
    <cfRule type="cellIs" dxfId="1227" priority="1118" operator="equal">
      <formula>"SL"</formula>
    </cfRule>
    <cfRule type="cellIs" dxfId="1226" priority="1119" stopIfTrue="1" operator="equal">
      <formula>"X"</formula>
    </cfRule>
    <cfRule type="cellIs" dxfId="1225" priority="1120" operator="equal">
      <formula>"H"</formula>
    </cfRule>
  </conditionalFormatting>
  <conditionalFormatting sqref="D88:AG88">
    <cfRule type="cellIs" dxfId="1224" priority="1114" operator="equal">
      <formula>"SP"</formula>
    </cfRule>
    <cfRule type="cellIs" dxfId="1223" priority="1115" operator="equal">
      <formula>"."</formula>
    </cfRule>
  </conditionalFormatting>
  <conditionalFormatting sqref="D90:AG90">
    <cfRule type="cellIs" dxfId="1222" priority="1109" operator="equal">
      <formula>"AL"</formula>
    </cfRule>
    <cfRule type="cellIs" dxfId="1221" priority="1110" operator="equal">
      <formula>"NA"</formula>
    </cfRule>
    <cfRule type="cellIs" dxfId="1220" priority="1111" operator="equal">
      <formula>"SL"</formula>
    </cfRule>
    <cfRule type="cellIs" dxfId="1219" priority="1112" stopIfTrue="1" operator="equal">
      <formula>"X"</formula>
    </cfRule>
    <cfRule type="cellIs" dxfId="1218" priority="1113" operator="equal">
      <formula>"H"</formula>
    </cfRule>
  </conditionalFormatting>
  <conditionalFormatting sqref="D90:AG90">
    <cfRule type="cellIs" dxfId="1217" priority="1107" operator="equal">
      <formula>"SP"</formula>
    </cfRule>
    <cfRule type="cellIs" dxfId="1216" priority="1108" operator="equal">
      <formula>"."</formula>
    </cfRule>
  </conditionalFormatting>
  <conditionalFormatting sqref="D92:AG92">
    <cfRule type="cellIs" dxfId="1215" priority="1102" operator="equal">
      <formula>"AL"</formula>
    </cfRule>
    <cfRule type="cellIs" dxfId="1214" priority="1103" operator="equal">
      <formula>"NA"</formula>
    </cfRule>
    <cfRule type="cellIs" dxfId="1213" priority="1104" operator="equal">
      <formula>"SL"</formula>
    </cfRule>
    <cfRule type="cellIs" dxfId="1212" priority="1105" stopIfTrue="1" operator="equal">
      <formula>"X"</formula>
    </cfRule>
    <cfRule type="cellIs" dxfId="1211" priority="1106" operator="equal">
      <formula>"H"</formula>
    </cfRule>
  </conditionalFormatting>
  <conditionalFormatting sqref="D92:AG92">
    <cfRule type="cellIs" dxfId="1210" priority="1100" operator="equal">
      <formula>"SP"</formula>
    </cfRule>
    <cfRule type="cellIs" dxfId="1209" priority="1101" operator="equal">
      <formula>"."</formula>
    </cfRule>
  </conditionalFormatting>
  <conditionalFormatting sqref="D94:AG94">
    <cfRule type="cellIs" dxfId="1208" priority="1095" operator="equal">
      <formula>"AL"</formula>
    </cfRule>
    <cfRule type="cellIs" dxfId="1207" priority="1096" operator="equal">
      <formula>"NA"</formula>
    </cfRule>
    <cfRule type="cellIs" dxfId="1206" priority="1097" operator="equal">
      <formula>"SL"</formula>
    </cfRule>
    <cfRule type="cellIs" dxfId="1205" priority="1098" stopIfTrue="1" operator="equal">
      <formula>"X"</formula>
    </cfRule>
    <cfRule type="cellIs" dxfId="1204" priority="1099" operator="equal">
      <formula>"H"</formula>
    </cfRule>
  </conditionalFormatting>
  <conditionalFormatting sqref="D94:AG94">
    <cfRule type="cellIs" dxfId="1203" priority="1093" operator="equal">
      <formula>"SP"</formula>
    </cfRule>
    <cfRule type="cellIs" dxfId="1202" priority="1094" operator="equal">
      <formula>"."</formula>
    </cfRule>
  </conditionalFormatting>
  <conditionalFormatting sqref="D96:AG96">
    <cfRule type="cellIs" dxfId="1201" priority="1088" operator="equal">
      <formula>"AL"</formula>
    </cfRule>
    <cfRule type="cellIs" dxfId="1200" priority="1089" operator="equal">
      <formula>"NA"</formula>
    </cfRule>
    <cfRule type="cellIs" dxfId="1199" priority="1090" operator="equal">
      <formula>"SL"</formula>
    </cfRule>
    <cfRule type="cellIs" dxfId="1198" priority="1091" stopIfTrue="1" operator="equal">
      <formula>"X"</formula>
    </cfRule>
    <cfRule type="cellIs" dxfId="1197" priority="1092" operator="equal">
      <formula>"H"</formula>
    </cfRule>
  </conditionalFormatting>
  <conditionalFormatting sqref="D96:AG96">
    <cfRule type="cellIs" dxfId="1196" priority="1086" operator="equal">
      <formula>"SP"</formula>
    </cfRule>
    <cfRule type="cellIs" dxfId="1195" priority="1087" operator="equal">
      <formula>"."</formula>
    </cfRule>
  </conditionalFormatting>
  <conditionalFormatting sqref="D98:AG98">
    <cfRule type="cellIs" dxfId="1194" priority="1081" operator="equal">
      <formula>"AL"</formula>
    </cfRule>
    <cfRule type="cellIs" dxfId="1193" priority="1082" operator="equal">
      <formula>"NA"</formula>
    </cfRule>
    <cfRule type="cellIs" dxfId="1192" priority="1083" operator="equal">
      <formula>"SL"</formula>
    </cfRule>
    <cfRule type="cellIs" dxfId="1191" priority="1084" stopIfTrue="1" operator="equal">
      <formula>"X"</formula>
    </cfRule>
    <cfRule type="cellIs" dxfId="1190" priority="1085" operator="equal">
      <formula>"H"</formula>
    </cfRule>
  </conditionalFormatting>
  <conditionalFormatting sqref="D98:AG98">
    <cfRule type="cellIs" dxfId="1189" priority="1079" operator="equal">
      <formula>"SP"</formula>
    </cfRule>
    <cfRule type="cellIs" dxfId="1188" priority="1080" operator="equal">
      <formula>"."</formula>
    </cfRule>
  </conditionalFormatting>
  <conditionalFormatting sqref="D100:AG100">
    <cfRule type="cellIs" dxfId="1187" priority="1074" operator="equal">
      <formula>"AL"</formula>
    </cfRule>
    <cfRule type="cellIs" dxfId="1186" priority="1075" operator="equal">
      <formula>"NA"</formula>
    </cfRule>
    <cfRule type="cellIs" dxfId="1185" priority="1076" operator="equal">
      <formula>"SL"</formula>
    </cfRule>
    <cfRule type="cellIs" dxfId="1184" priority="1077" stopIfTrue="1" operator="equal">
      <formula>"X"</formula>
    </cfRule>
    <cfRule type="cellIs" dxfId="1183" priority="1078" operator="equal">
      <formula>"H"</formula>
    </cfRule>
  </conditionalFormatting>
  <conditionalFormatting sqref="D100:AG100">
    <cfRule type="cellIs" dxfId="1182" priority="1072" operator="equal">
      <formula>"SP"</formula>
    </cfRule>
    <cfRule type="cellIs" dxfId="1181" priority="1073" operator="equal">
      <formula>"."</formula>
    </cfRule>
  </conditionalFormatting>
  <conditionalFormatting sqref="D102:AG102">
    <cfRule type="cellIs" dxfId="1180" priority="1067" operator="equal">
      <formula>"AL"</formula>
    </cfRule>
    <cfRule type="cellIs" dxfId="1179" priority="1068" operator="equal">
      <formula>"NA"</formula>
    </cfRule>
    <cfRule type="cellIs" dxfId="1178" priority="1069" operator="equal">
      <formula>"SL"</formula>
    </cfRule>
    <cfRule type="cellIs" dxfId="1177" priority="1070" stopIfTrue="1" operator="equal">
      <formula>"X"</formula>
    </cfRule>
    <cfRule type="cellIs" dxfId="1176" priority="1071" operator="equal">
      <formula>"H"</formula>
    </cfRule>
  </conditionalFormatting>
  <conditionalFormatting sqref="D102:AG102">
    <cfRule type="cellIs" dxfId="1175" priority="1065" operator="equal">
      <formula>"SP"</formula>
    </cfRule>
    <cfRule type="cellIs" dxfId="1174" priority="1066" operator="equal">
      <formula>"."</formula>
    </cfRule>
  </conditionalFormatting>
  <conditionalFormatting sqref="D89:AG89">
    <cfRule type="cellIs" dxfId="1173" priority="1060" operator="equal">
      <formula>"AL"</formula>
    </cfRule>
    <cfRule type="cellIs" dxfId="1172" priority="1061" operator="equal">
      <formula>"NA"</formula>
    </cfRule>
    <cfRule type="cellIs" dxfId="1171" priority="1062" operator="equal">
      <formula>"SL"</formula>
    </cfRule>
    <cfRule type="cellIs" dxfId="1170" priority="1063" stopIfTrue="1" operator="equal">
      <formula>"X"</formula>
    </cfRule>
    <cfRule type="cellIs" dxfId="1169" priority="1064" operator="equal">
      <formula>"H"</formula>
    </cfRule>
  </conditionalFormatting>
  <conditionalFormatting sqref="D89:AG89">
    <cfRule type="cellIs" dxfId="1168" priority="1058" operator="equal">
      <formula>"SP"</formula>
    </cfRule>
    <cfRule type="cellIs" dxfId="1167" priority="1059" operator="equal">
      <formula>"."</formula>
    </cfRule>
  </conditionalFormatting>
  <conditionalFormatting sqref="D91:AG91">
    <cfRule type="cellIs" dxfId="1166" priority="1053" operator="equal">
      <formula>"AL"</formula>
    </cfRule>
    <cfRule type="cellIs" dxfId="1165" priority="1054" operator="equal">
      <formula>"NA"</formula>
    </cfRule>
    <cfRule type="cellIs" dxfId="1164" priority="1055" operator="equal">
      <formula>"SL"</formula>
    </cfRule>
    <cfRule type="cellIs" dxfId="1163" priority="1056" stopIfTrue="1" operator="equal">
      <formula>"X"</formula>
    </cfRule>
    <cfRule type="cellIs" dxfId="1162" priority="1057" operator="equal">
      <formula>"H"</formula>
    </cfRule>
  </conditionalFormatting>
  <conditionalFormatting sqref="D91:AG91">
    <cfRule type="cellIs" dxfId="1161" priority="1051" operator="equal">
      <formula>"SP"</formula>
    </cfRule>
    <cfRule type="cellIs" dxfId="1160" priority="1052" operator="equal">
      <formula>"."</formula>
    </cfRule>
  </conditionalFormatting>
  <conditionalFormatting sqref="D93:AG93">
    <cfRule type="cellIs" dxfId="1159" priority="1046" operator="equal">
      <formula>"AL"</formula>
    </cfRule>
    <cfRule type="cellIs" dxfId="1158" priority="1047" operator="equal">
      <formula>"NA"</formula>
    </cfRule>
    <cfRule type="cellIs" dxfId="1157" priority="1048" operator="equal">
      <formula>"SL"</formula>
    </cfRule>
    <cfRule type="cellIs" dxfId="1156" priority="1049" stopIfTrue="1" operator="equal">
      <formula>"X"</formula>
    </cfRule>
    <cfRule type="cellIs" dxfId="1155" priority="1050" operator="equal">
      <formula>"H"</formula>
    </cfRule>
  </conditionalFormatting>
  <conditionalFormatting sqref="D93:AG93">
    <cfRule type="cellIs" dxfId="1154" priority="1044" operator="equal">
      <formula>"SP"</formula>
    </cfRule>
    <cfRule type="cellIs" dxfId="1153" priority="1045" operator="equal">
      <formula>"."</formula>
    </cfRule>
  </conditionalFormatting>
  <conditionalFormatting sqref="D95:AG95">
    <cfRule type="cellIs" dxfId="1152" priority="1039" operator="equal">
      <formula>"AL"</formula>
    </cfRule>
    <cfRule type="cellIs" dxfId="1151" priority="1040" operator="equal">
      <formula>"NA"</formula>
    </cfRule>
    <cfRule type="cellIs" dxfId="1150" priority="1041" operator="equal">
      <formula>"SL"</formula>
    </cfRule>
    <cfRule type="cellIs" dxfId="1149" priority="1042" stopIfTrue="1" operator="equal">
      <formula>"X"</formula>
    </cfRule>
    <cfRule type="cellIs" dxfId="1148" priority="1043" operator="equal">
      <formula>"H"</formula>
    </cfRule>
  </conditionalFormatting>
  <conditionalFormatting sqref="D95:AG95">
    <cfRule type="cellIs" dxfId="1147" priority="1037" operator="equal">
      <formula>"SP"</formula>
    </cfRule>
    <cfRule type="cellIs" dxfId="1146" priority="1038" operator="equal">
      <formula>"."</formula>
    </cfRule>
  </conditionalFormatting>
  <conditionalFormatting sqref="D97:AG97">
    <cfRule type="cellIs" dxfId="1145" priority="1032" operator="equal">
      <formula>"AL"</formula>
    </cfRule>
    <cfRule type="cellIs" dxfId="1144" priority="1033" operator="equal">
      <formula>"NA"</formula>
    </cfRule>
    <cfRule type="cellIs" dxfId="1143" priority="1034" operator="equal">
      <formula>"SL"</formula>
    </cfRule>
    <cfRule type="cellIs" dxfId="1142" priority="1035" stopIfTrue="1" operator="equal">
      <formula>"X"</formula>
    </cfRule>
    <cfRule type="cellIs" dxfId="1141" priority="1036" operator="equal">
      <formula>"H"</formula>
    </cfRule>
  </conditionalFormatting>
  <conditionalFormatting sqref="D97:AG97">
    <cfRule type="cellIs" dxfId="1140" priority="1030" operator="equal">
      <formula>"SP"</formula>
    </cfRule>
    <cfRule type="cellIs" dxfId="1139" priority="1031" operator="equal">
      <formula>"."</formula>
    </cfRule>
  </conditionalFormatting>
  <conditionalFormatting sqref="D99:AG99">
    <cfRule type="cellIs" dxfId="1138" priority="1025" operator="equal">
      <formula>"AL"</formula>
    </cfRule>
    <cfRule type="cellIs" dxfId="1137" priority="1026" operator="equal">
      <formula>"NA"</formula>
    </cfRule>
    <cfRule type="cellIs" dxfId="1136" priority="1027" operator="equal">
      <formula>"SL"</formula>
    </cfRule>
    <cfRule type="cellIs" dxfId="1135" priority="1028" stopIfTrue="1" operator="equal">
      <formula>"X"</formula>
    </cfRule>
    <cfRule type="cellIs" dxfId="1134" priority="1029" operator="equal">
      <formula>"H"</formula>
    </cfRule>
  </conditionalFormatting>
  <conditionalFormatting sqref="D99:AG99">
    <cfRule type="cellIs" dxfId="1133" priority="1023" operator="equal">
      <formula>"SP"</formula>
    </cfRule>
    <cfRule type="cellIs" dxfId="1132" priority="1024" operator="equal">
      <formula>"."</formula>
    </cfRule>
  </conditionalFormatting>
  <conditionalFormatting sqref="D101:AG101">
    <cfRule type="cellIs" dxfId="1131" priority="1018" operator="equal">
      <formula>"AL"</formula>
    </cfRule>
    <cfRule type="cellIs" dxfId="1130" priority="1019" operator="equal">
      <formula>"NA"</formula>
    </cfRule>
    <cfRule type="cellIs" dxfId="1129" priority="1020" operator="equal">
      <formula>"SL"</formula>
    </cfRule>
    <cfRule type="cellIs" dxfId="1128" priority="1021" stopIfTrue="1" operator="equal">
      <formula>"X"</formula>
    </cfRule>
    <cfRule type="cellIs" dxfId="1127" priority="1022" operator="equal">
      <formula>"H"</formula>
    </cfRule>
  </conditionalFormatting>
  <conditionalFormatting sqref="D101:AG101">
    <cfRule type="cellIs" dxfId="1126" priority="1016" operator="equal">
      <formula>"SP"</formula>
    </cfRule>
    <cfRule type="cellIs" dxfId="1125" priority="1017" operator="equal">
      <formula>"."</formula>
    </cfRule>
  </conditionalFormatting>
  <conditionalFormatting sqref="D103:AG104">
    <cfRule type="cellIs" dxfId="1124" priority="1011" operator="equal">
      <formula>"AL"</formula>
    </cfRule>
    <cfRule type="cellIs" dxfId="1123" priority="1012" operator="equal">
      <formula>"NA"</formula>
    </cfRule>
    <cfRule type="cellIs" dxfId="1122" priority="1013" operator="equal">
      <formula>"SL"</formula>
    </cfRule>
    <cfRule type="cellIs" dxfId="1121" priority="1014" stopIfTrue="1" operator="equal">
      <formula>"X"</formula>
    </cfRule>
    <cfRule type="cellIs" dxfId="1120" priority="1015" operator="equal">
      <formula>"H"</formula>
    </cfRule>
  </conditionalFormatting>
  <conditionalFormatting sqref="D119:AH119">
    <cfRule type="cellIs" dxfId="1119" priority="1004" operator="equal">
      <formula>"AL"</formula>
    </cfRule>
    <cfRule type="cellIs" dxfId="1118" priority="1005" operator="equal">
      <formula>"NA"</formula>
    </cfRule>
    <cfRule type="cellIs" dxfId="1117" priority="1006" operator="equal">
      <formula>"SL"</formula>
    </cfRule>
    <cfRule type="cellIs" dxfId="1116" priority="1007" stopIfTrue="1" operator="equal">
      <formula>"X"</formula>
    </cfRule>
    <cfRule type="cellIs" dxfId="1115" priority="1008" operator="equal">
      <formula>"H"</formula>
    </cfRule>
  </conditionalFormatting>
  <conditionalFormatting sqref="D119:AH119">
    <cfRule type="cellIs" dxfId="1114" priority="1002" operator="equal">
      <formula>"SP"</formula>
    </cfRule>
    <cfRule type="cellIs" dxfId="1113" priority="1003" operator="equal">
      <formula>"."</formula>
    </cfRule>
  </conditionalFormatting>
  <conditionalFormatting sqref="D121:AH121">
    <cfRule type="cellIs" dxfId="1112" priority="997" operator="equal">
      <formula>"AL"</formula>
    </cfRule>
    <cfRule type="cellIs" dxfId="1111" priority="998" operator="equal">
      <formula>"NA"</formula>
    </cfRule>
    <cfRule type="cellIs" dxfId="1110" priority="999" operator="equal">
      <formula>"SL"</formula>
    </cfRule>
    <cfRule type="cellIs" dxfId="1109" priority="1000" stopIfTrue="1" operator="equal">
      <formula>"X"</formula>
    </cfRule>
    <cfRule type="cellIs" dxfId="1108" priority="1001" operator="equal">
      <formula>"H"</formula>
    </cfRule>
  </conditionalFormatting>
  <conditionalFormatting sqref="D121:AH121">
    <cfRule type="cellIs" dxfId="1107" priority="995" operator="equal">
      <formula>"SP"</formula>
    </cfRule>
    <cfRule type="cellIs" dxfId="1106" priority="996" operator="equal">
      <formula>"."</formula>
    </cfRule>
  </conditionalFormatting>
  <conditionalFormatting sqref="D123:AH123">
    <cfRule type="cellIs" dxfId="1105" priority="990" operator="equal">
      <formula>"AL"</formula>
    </cfRule>
    <cfRule type="cellIs" dxfId="1104" priority="991" operator="equal">
      <formula>"NA"</formula>
    </cfRule>
    <cfRule type="cellIs" dxfId="1103" priority="992" operator="equal">
      <formula>"SL"</formula>
    </cfRule>
    <cfRule type="cellIs" dxfId="1102" priority="993" stopIfTrue="1" operator="equal">
      <formula>"X"</formula>
    </cfRule>
    <cfRule type="cellIs" dxfId="1101" priority="994" operator="equal">
      <formula>"H"</formula>
    </cfRule>
  </conditionalFormatting>
  <conditionalFormatting sqref="D123:AH123">
    <cfRule type="cellIs" dxfId="1100" priority="988" operator="equal">
      <formula>"SP"</formula>
    </cfRule>
    <cfRule type="cellIs" dxfId="1099" priority="989" operator="equal">
      <formula>"."</formula>
    </cfRule>
  </conditionalFormatting>
  <conditionalFormatting sqref="D125:AH125">
    <cfRule type="cellIs" dxfId="1098" priority="983" operator="equal">
      <formula>"AL"</formula>
    </cfRule>
    <cfRule type="cellIs" dxfId="1097" priority="984" operator="equal">
      <formula>"NA"</formula>
    </cfRule>
    <cfRule type="cellIs" dxfId="1096" priority="985" operator="equal">
      <formula>"SL"</formula>
    </cfRule>
    <cfRule type="cellIs" dxfId="1095" priority="986" stopIfTrue="1" operator="equal">
      <formula>"X"</formula>
    </cfRule>
    <cfRule type="cellIs" dxfId="1094" priority="987" operator="equal">
      <formula>"H"</formula>
    </cfRule>
  </conditionalFormatting>
  <conditionalFormatting sqref="D125:AH125">
    <cfRule type="cellIs" dxfId="1093" priority="981" operator="equal">
      <formula>"SP"</formula>
    </cfRule>
    <cfRule type="cellIs" dxfId="1092" priority="982" operator="equal">
      <formula>"."</formula>
    </cfRule>
  </conditionalFormatting>
  <conditionalFormatting sqref="D127:AH127">
    <cfRule type="cellIs" dxfId="1091" priority="976" operator="equal">
      <formula>"AL"</formula>
    </cfRule>
    <cfRule type="cellIs" dxfId="1090" priority="977" operator="equal">
      <formula>"NA"</formula>
    </cfRule>
    <cfRule type="cellIs" dxfId="1089" priority="978" operator="equal">
      <formula>"SL"</formula>
    </cfRule>
    <cfRule type="cellIs" dxfId="1088" priority="979" stopIfTrue="1" operator="equal">
      <formula>"X"</formula>
    </cfRule>
    <cfRule type="cellIs" dxfId="1087" priority="980" operator="equal">
      <formula>"H"</formula>
    </cfRule>
  </conditionalFormatting>
  <conditionalFormatting sqref="D127:AH127">
    <cfRule type="cellIs" dxfId="1086" priority="974" operator="equal">
      <formula>"SP"</formula>
    </cfRule>
    <cfRule type="cellIs" dxfId="1085" priority="975" operator="equal">
      <formula>"."</formula>
    </cfRule>
  </conditionalFormatting>
  <conditionalFormatting sqref="D129:AH129">
    <cfRule type="cellIs" dxfId="1084" priority="969" operator="equal">
      <formula>"AL"</formula>
    </cfRule>
    <cfRule type="cellIs" dxfId="1083" priority="970" operator="equal">
      <formula>"NA"</formula>
    </cfRule>
    <cfRule type="cellIs" dxfId="1082" priority="971" operator="equal">
      <formula>"SL"</formula>
    </cfRule>
    <cfRule type="cellIs" dxfId="1081" priority="972" stopIfTrue="1" operator="equal">
      <formula>"X"</formula>
    </cfRule>
    <cfRule type="cellIs" dxfId="1080" priority="973" operator="equal">
      <formula>"H"</formula>
    </cfRule>
  </conditionalFormatting>
  <conditionalFormatting sqref="D129:AH129">
    <cfRule type="cellIs" dxfId="1079" priority="967" operator="equal">
      <formula>"SP"</formula>
    </cfRule>
    <cfRule type="cellIs" dxfId="1078" priority="968" operator="equal">
      <formula>"."</formula>
    </cfRule>
  </conditionalFormatting>
  <conditionalFormatting sqref="D131:AH131">
    <cfRule type="cellIs" dxfId="1077" priority="962" operator="equal">
      <formula>"AL"</formula>
    </cfRule>
    <cfRule type="cellIs" dxfId="1076" priority="963" operator="equal">
      <formula>"NA"</formula>
    </cfRule>
    <cfRule type="cellIs" dxfId="1075" priority="964" operator="equal">
      <formula>"SL"</formula>
    </cfRule>
    <cfRule type="cellIs" dxfId="1074" priority="965" stopIfTrue="1" operator="equal">
      <formula>"X"</formula>
    </cfRule>
    <cfRule type="cellIs" dxfId="1073" priority="966" operator="equal">
      <formula>"H"</formula>
    </cfRule>
  </conditionalFormatting>
  <conditionalFormatting sqref="D131:AH131">
    <cfRule type="cellIs" dxfId="1072" priority="960" operator="equal">
      <formula>"SP"</formula>
    </cfRule>
    <cfRule type="cellIs" dxfId="1071" priority="961" operator="equal">
      <formula>"."</formula>
    </cfRule>
  </conditionalFormatting>
  <conditionalFormatting sqref="D133:AH133">
    <cfRule type="cellIs" dxfId="1070" priority="955" operator="equal">
      <formula>"AL"</formula>
    </cfRule>
    <cfRule type="cellIs" dxfId="1069" priority="956" operator="equal">
      <formula>"NA"</formula>
    </cfRule>
    <cfRule type="cellIs" dxfId="1068" priority="957" operator="equal">
      <formula>"SL"</formula>
    </cfRule>
    <cfRule type="cellIs" dxfId="1067" priority="958" stopIfTrue="1" operator="equal">
      <formula>"X"</formula>
    </cfRule>
    <cfRule type="cellIs" dxfId="1066" priority="959" operator="equal">
      <formula>"H"</formula>
    </cfRule>
  </conditionalFormatting>
  <conditionalFormatting sqref="D133:AH133">
    <cfRule type="cellIs" dxfId="1065" priority="953" operator="equal">
      <formula>"SP"</formula>
    </cfRule>
    <cfRule type="cellIs" dxfId="1064" priority="954" operator="equal">
      <formula>"."</formula>
    </cfRule>
  </conditionalFormatting>
  <conditionalFormatting sqref="D120:AH120">
    <cfRule type="cellIs" dxfId="1063" priority="948" operator="equal">
      <formula>"AL"</formula>
    </cfRule>
    <cfRule type="cellIs" dxfId="1062" priority="949" operator="equal">
      <formula>"NA"</formula>
    </cfRule>
    <cfRule type="cellIs" dxfId="1061" priority="950" operator="equal">
      <formula>"SL"</formula>
    </cfRule>
    <cfRule type="cellIs" dxfId="1060" priority="951" stopIfTrue="1" operator="equal">
      <formula>"X"</formula>
    </cfRule>
    <cfRule type="cellIs" dxfId="1059" priority="952" operator="equal">
      <formula>"H"</formula>
    </cfRule>
  </conditionalFormatting>
  <conditionalFormatting sqref="D120:AH120">
    <cfRule type="cellIs" dxfId="1058" priority="946" operator="equal">
      <formula>"SP"</formula>
    </cfRule>
    <cfRule type="cellIs" dxfId="1057" priority="947" operator="equal">
      <formula>"."</formula>
    </cfRule>
  </conditionalFormatting>
  <conditionalFormatting sqref="D122:AH122">
    <cfRule type="cellIs" dxfId="1056" priority="941" operator="equal">
      <formula>"AL"</formula>
    </cfRule>
    <cfRule type="cellIs" dxfId="1055" priority="942" operator="equal">
      <formula>"NA"</formula>
    </cfRule>
    <cfRule type="cellIs" dxfId="1054" priority="943" operator="equal">
      <formula>"SL"</formula>
    </cfRule>
    <cfRule type="cellIs" dxfId="1053" priority="944" stopIfTrue="1" operator="equal">
      <formula>"X"</formula>
    </cfRule>
    <cfRule type="cellIs" dxfId="1052" priority="945" operator="equal">
      <formula>"H"</formula>
    </cfRule>
  </conditionalFormatting>
  <conditionalFormatting sqref="D122:AH122">
    <cfRule type="cellIs" dxfId="1051" priority="939" operator="equal">
      <formula>"SP"</formula>
    </cfRule>
    <cfRule type="cellIs" dxfId="1050" priority="940" operator="equal">
      <formula>"."</formula>
    </cfRule>
  </conditionalFormatting>
  <conditionalFormatting sqref="D124:AH124">
    <cfRule type="cellIs" dxfId="1049" priority="934" operator="equal">
      <formula>"AL"</formula>
    </cfRule>
    <cfRule type="cellIs" dxfId="1048" priority="935" operator="equal">
      <formula>"NA"</formula>
    </cfRule>
    <cfRule type="cellIs" dxfId="1047" priority="936" operator="equal">
      <formula>"SL"</formula>
    </cfRule>
    <cfRule type="cellIs" dxfId="1046" priority="937" stopIfTrue="1" operator="equal">
      <formula>"X"</formula>
    </cfRule>
    <cfRule type="cellIs" dxfId="1045" priority="938" operator="equal">
      <formula>"H"</formula>
    </cfRule>
  </conditionalFormatting>
  <conditionalFormatting sqref="D124:AH124">
    <cfRule type="cellIs" dxfId="1044" priority="932" operator="equal">
      <formula>"SP"</formula>
    </cfRule>
    <cfRule type="cellIs" dxfId="1043" priority="933" operator="equal">
      <formula>"."</formula>
    </cfRule>
  </conditionalFormatting>
  <conditionalFormatting sqref="D126:AH126">
    <cfRule type="cellIs" dxfId="1042" priority="927" operator="equal">
      <formula>"AL"</formula>
    </cfRule>
    <cfRule type="cellIs" dxfId="1041" priority="928" operator="equal">
      <formula>"NA"</formula>
    </cfRule>
    <cfRule type="cellIs" dxfId="1040" priority="929" operator="equal">
      <formula>"SL"</formula>
    </cfRule>
    <cfRule type="cellIs" dxfId="1039" priority="930" stopIfTrue="1" operator="equal">
      <formula>"X"</formula>
    </cfRule>
    <cfRule type="cellIs" dxfId="1038" priority="931" operator="equal">
      <formula>"H"</formula>
    </cfRule>
  </conditionalFormatting>
  <conditionalFormatting sqref="D126:AH126">
    <cfRule type="cellIs" dxfId="1037" priority="925" operator="equal">
      <formula>"SP"</formula>
    </cfRule>
    <cfRule type="cellIs" dxfId="1036" priority="926" operator="equal">
      <formula>"."</formula>
    </cfRule>
  </conditionalFormatting>
  <conditionalFormatting sqref="D128:AH128">
    <cfRule type="cellIs" dxfId="1035" priority="920" operator="equal">
      <formula>"AL"</formula>
    </cfRule>
    <cfRule type="cellIs" dxfId="1034" priority="921" operator="equal">
      <formula>"NA"</formula>
    </cfRule>
    <cfRule type="cellIs" dxfId="1033" priority="922" operator="equal">
      <formula>"SL"</formula>
    </cfRule>
    <cfRule type="cellIs" dxfId="1032" priority="923" stopIfTrue="1" operator="equal">
      <formula>"X"</formula>
    </cfRule>
    <cfRule type="cellIs" dxfId="1031" priority="924" operator="equal">
      <formula>"H"</formula>
    </cfRule>
  </conditionalFormatting>
  <conditionalFormatting sqref="D128:AH128">
    <cfRule type="cellIs" dxfId="1030" priority="918" operator="equal">
      <formula>"SP"</formula>
    </cfRule>
    <cfRule type="cellIs" dxfId="1029" priority="919" operator="equal">
      <formula>"."</formula>
    </cfRule>
  </conditionalFormatting>
  <conditionalFormatting sqref="D130:AH130">
    <cfRule type="cellIs" dxfId="1028" priority="913" operator="equal">
      <formula>"AL"</formula>
    </cfRule>
    <cfRule type="cellIs" dxfId="1027" priority="914" operator="equal">
      <formula>"NA"</formula>
    </cfRule>
    <cfRule type="cellIs" dxfId="1026" priority="915" operator="equal">
      <formula>"SL"</formula>
    </cfRule>
    <cfRule type="cellIs" dxfId="1025" priority="916" stopIfTrue="1" operator="equal">
      <formula>"X"</formula>
    </cfRule>
    <cfRule type="cellIs" dxfId="1024" priority="917" operator="equal">
      <formula>"H"</formula>
    </cfRule>
  </conditionalFormatting>
  <conditionalFormatting sqref="D130:AH130">
    <cfRule type="cellIs" dxfId="1023" priority="911" operator="equal">
      <formula>"SP"</formula>
    </cfRule>
    <cfRule type="cellIs" dxfId="1022" priority="912" operator="equal">
      <formula>"."</formula>
    </cfRule>
  </conditionalFormatting>
  <conditionalFormatting sqref="D132:AH132">
    <cfRule type="cellIs" dxfId="1021" priority="906" operator="equal">
      <formula>"AL"</formula>
    </cfRule>
    <cfRule type="cellIs" dxfId="1020" priority="907" operator="equal">
      <formula>"NA"</formula>
    </cfRule>
    <cfRule type="cellIs" dxfId="1019" priority="908" operator="equal">
      <formula>"SL"</formula>
    </cfRule>
    <cfRule type="cellIs" dxfId="1018" priority="909" stopIfTrue="1" operator="equal">
      <formula>"X"</formula>
    </cfRule>
    <cfRule type="cellIs" dxfId="1017" priority="910" operator="equal">
      <formula>"H"</formula>
    </cfRule>
  </conditionalFormatting>
  <conditionalFormatting sqref="D132:AH132">
    <cfRule type="cellIs" dxfId="1016" priority="904" operator="equal">
      <formula>"SP"</formula>
    </cfRule>
    <cfRule type="cellIs" dxfId="1015" priority="905" operator="equal">
      <formula>"."</formula>
    </cfRule>
  </conditionalFormatting>
  <conditionalFormatting sqref="D134:AH134">
    <cfRule type="cellIs" dxfId="1014" priority="899" operator="equal">
      <formula>"AL"</formula>
    </cfRule>
    <cfRule type="cellIs" dxfId="1013" priority="900" operator="equal">
      <formula>"NA"</formula>
    </cfRule>
    <cfRule type="cellIs" dxfId="1012" priority="901" operator="equal">
      <formula>"SL"</formula>
    </cfRule>
    <cfRule type="cellIs" dxfId="1011" priority="902" stopIfTrue="1" operator="equal">
      <formula>"X"</formula>
    </cfRule>
    <cfRule type="cellIs" dxfId="1010" priority="903" operator="equal">
      <formula>"H"</formula>
    </cfRule>
  </conditionalFormatting>
  <conditionalFormatting sqref="D134:AH134">
    <cfRule type="cellIs" dxfId="1009" priority="897" operator="equal">
      <formula>"SP"</formula>
    </cfRule>
    <cfRule type="cellIs" dxfId="1008" priority="898" operator="equal">
      <formula>"."</formula>
    </cfRule>
  </conditionalFormatting>
  <conditionalFormatting sqref="D165:AG166">
    <cfRule type="cellIs" dxfId="1007" priority="785" operator="equal">
      <formula>"SP"</formula>
    </cfRule>
    <cfRule type="cellIs" dxfId="1006" priority="786" operator="equal">
      <formula>"."</formula>
    </cfRule>
  </conditionalFormatting>
  <conditionalFormatting sqref="D150:AG150">
    <cfRule type="cellIs" dxfId="1005" priority="892" operator="equal">
      <formula>"AL"</formula>
    </cfRule>
    <cfRule type="cellIs" dxfId="1004" priority="893" operator="equal">
      <formula>"NA"</formula>
    </cfRule>
    <cfRule type="cellIs" dxfId="1003" priority="894" operator="equal">
      <formula>"SL"</formula>
    </cfRule>
    <cfRule type="cellIs" dxfId="1002" priority="895" stopIfTrue="1" operator="equal">
      <formula>"X"</formula>
    </cfRule>
    <cfRule type="cellIs" dxfId="1001" priority="896" operator="equal">
      <formula>"H"</formula>
    </cfRule>
  </conditionalFormatting>
  <conditionalFormatting sqref="D150:AG150">
    <cfRule type="cellIs" dxfId="1000" priority="890" operator="equal">
      <formula>"SP"</formula>
    </cfRule>
    <cfRule type="cellIs" dxfId="999" priority="891" operator="equal">
      <formula>"."</formula>
    </cfRule>
  </conditionalFormatting>
  <conditionalFormatting sqref="D152:AG152">
    <cfRule type="cellIs" dxfId="998" priority="885" operator="equal">
      <formula>"AL"</formula>
    </cfRule>
    <cfRule type="cellIs" dxfId="997" priority="886" operator="equal">
      <formula>"NA"</formula>
    </cfRule>
    <cfRule type="cellIs" dxfId="996" priority="887" operator="equal">
      <formula>"SL"</formula>
    </cfRule>
    <cfRule type="cellIs" dxfId="995" priority="888" stopIfTrue="1" operator="equal">
      <formula>"X"</formula>
    </cfRule>
    <cfRule type="cellIs" dxfId="994" priority="889" operator="equal">
      <formula>"H"</formula>
    </cfRule>
  </conditionalFormatting>
  <conditionalFormatting sqref="D152:AG152">
    <cfRule type="cellIs" dxfId="993" priority="883" operator="equal">
      <formula>"SP"</formula>
    </cfRule>
    <cfRule type="cellIs" dxfId="992" priority="884" operator="equal">
      <formula>"."</formula>
    </cfRule>
  </conditionalFormatting>
  <conditionalFormatting sqref="D154:AG154">
    <cfRule type="cellIs" dxfId="991" priority="878" operator="equal">
      <formula>"AL"</formula>
    </cfRule>
    <cfRule type="cellIs" dxfId="990" priority="879" operator="equal">
      <formula>"NA"</formula>
    </cfRule>
    <cfRule type="cellIs" dxfId="989" priority="880" operator="equal">
      <formula>"SL"</formula>
    </cfRule>
    <cfRule type="cellIs" dxfId="988" priority="881" stopIfTrue="1" operator="equal">
      <formula>"X"</formula>
    </cfRule>
    <cfRule type="cellIs" dxfId="987" priority="882" operator="equal">
      <formula>"H"</formula>
    </cfRule>
  </conditionalFormatting>
  <conditionalFormatting sqref="D154:AG154">
    <cfRule type="cellIs" dxfId="986" priority="876" operator="equal">
      <formula>"SP"</formula>
    </cfRule>
    <cfRule type="cellIs" dxfId="985" priority="877" operator="equal">
      <formula>"."</formula>
    </cfRule>
  </conditionalFormatting>
  <conditionalFormatting sqref="D156:AG156">
    <cfRule type="cellIs" dxfId="984" priority="871" operator="equal">
      <formula>"AL"</formula>
    </cfRule>
    <cfRule type="cellIs" dxfId="983" priority="872" operator="equal">
      <formula>"NA"</formula>
    </cfRule>
    <cfRule type="cellIs" dxfId="982" priority="873" operator="equal">
      <formula>"SL"</formula>
    </cfRule>
    <cfRule type="cellIs" dxfId="981" priority="874" stopIfTrue="1" operator="equal">
      <formula>"X"</formula>
    </cfRule>
    <cfRule type="cellIs" dxfId="980" priority="875" operator="equal">
      <formula>"H"</formula>
    </cfRule>
  </conditionalFormatting>
  <conditionalFormatting sqref="D156:AG156">
    <cfRule type="cellIs" dxfId="979" priority="869" operator="equal">
      <formula>"SP"</formula>
    </cfRule>
    <cfRule type="cellIs" dxfId="978" priority="870" operator="equal">
      <formula>"."</formula>
    </cfRule>
  </conditionalFormatting>
  <conditionalFormatting sqref="D158:AG158">
    <cfRule type="cellIs" dxfId="977" priority="864" operator="equal">
      <formula>"AL"</formula>
    </cfRule>
    <cfRule type="cellIs" dxfId="976" priority="865" operator="equal">
      <formula>"NA"</formula>
    </cfRule>
    <cfRule type="cellIs" dxfId="975" priority="866" operator="equal">
      <formula>"SL"</formula>
    </cfRule>
    <cfRule type="cellIs" dxfId="974" priority="867" stopIfTrue="1" operator="equal">
      <formula>"X"</formula>
    </cfRule>
    <cfRule type="cellIs" dxfId="973" priority="868" operator="equal">
      <formula>"H"</formula>
    </cfRule>
  </conditionalFormatting>
  <conditionalFormatting sqref="D158:AG158">
    <cfRule type="cellIs" dxfId="972" priority="862" operator="equal">
      <formula>"SP"</formula>
    </cfRule>
    <cfRule type="cellIs" dxfId="971" priority="863" operator="equal">
      <formula>"."</formula>
    </cfRule>
  </conditionalFormatting>
  <conditionalFormatting sqref="D160:AG160">
    <cfRule type="cellIs" dxfId="970" priority="857" operator="equal">
      <formula>"AL"</formula>
    </cfRule>
    <cfRule type="cellIs" dxfId="969" priority="858" operator="equal">
      <formula>"NA"</formula>
    </cfRule>
    <cfRule type="cellIs" dxfId="968" priority="859" operator="equal">
      <formula>"SL"</formula>
    </cfRule>
    <cfRule type="cellIs" dxfId="967" priority="860" stopIfTrue="1" operator="equal">
      <formula>"X"</formula>
    </cfRule>
    <cfRule type="cellIs" dxfId="966" priority="861" operator="equal">
      <formula>"H"</formula>
    </cfRule>
  </conditionalFormatting>
  <conditionalFormatting sqref="D160:AG160">
    <cfRule type="cellIs" dxfId="965" priority="855" operator="equal">
      <formula>"SP"</formula>
    </cfRule>
    <cfRule type="cellIs" dxfId="964" priority="856" operator="equal">
      <formula>"."</formula>
    </cfRule>
  </conditionalFormatting>
  <conditionalFormatting sqref="D162:AG162">
    <cfRule type="cellIs" dxfId="963" priority="850" operator="equal">
      <formula>"AL"</formula>
    </cfRule>
    <cfRule type="cellIs" dxfId="962" priority="851" operator="equal">
      <formula>"NA"</formula>
    </cfRule>
    <cfRule type="cellIs" dxfId="961" priority="852" operator="equal">
      <formula>"SL"</formula>
    </cfRule>
    <cfRule type="cellIs" dxfId="960" priority="853" stopIfTrue="1" operator="equal">
      <formula>"X"</formula>
    </cfRule>
    <cfRule type="cellIs" dxfId="959" priority="854" operator="equal">
      <formula>"H"</formula>
    </cfRule>
  </conditionalFormatting>
  <conditionalFormatting sqref="D162:AG162">
    <cfRule type="cellIs" dxfId="958" priority="848" operator="equal">
      <formula>"SP"</formula>
    </cfRule>
    <cfRule type="cellIs" dxfId="957" priority="849" operator="equal">
      <formula>"."</formula>
    </cfRule>
  </conditionalFormatting>
  <conditionalFormatting sqref="D164:AG164">
    <cfRule type="cellIs" dxfId="956" priority="843" operator="equal">
      <formula>"AL"</formula>
    </cfRule>
    <cfRule type="cellIs" dxfId="955" priority="844" operator="equal">
      <formula>"NA"</formula>
    </cfRule>
    <cfRule type="cellIs" dxfId="954" priority="845" operator="equal">
      <formula>"SL"</formula>
    </cfRule>
    <cfRule type="cellIs" dxfId="953" priority="846" stopIfTrue="1" operator="equal">
      <formula>"X"</formula>
    </cfRule>
    <cfRule type="cellIs" dxfId="952" priority="847" operator="equal">
      <formula>"H"</formula>
    </cfRule>
  </conditionalFormatting>
  <conditionalFormatting sqref="D164:AG164">
    <cfRule type="cellIs" dxfId="951" priority="841" operator="equal">
      <formula>"SP"</formula>
    </cfRule>
    <cfRule type="cellIs" dxfId="950" priority="842" operator="equal">
      <formula>"."</formula>
    </cfRule>
  </conditionalFormatting>
  <conditionalFormatting sqref="D151:AG151">
    <cfRule type="cellIs" dxfId="949" priority="836" operator="equal">
      <formula>"AL"</formula>
    </cfRule>
    <cfRule type="cellIs" dxfId="948" priority="837" operator="equal">
      <formula>"NA"</formula>
    </cfRule>
    <cfRule type="cellIs" dxfId="947" priority="838" operator="equal">
      <formula>"SL"</formula>
    </cfRule>
    <cfRule type="cellIs" dxfId="946" priority="839" stopIfTrue="1" operator="equal">
      <formula>"X"</formula>
    </cfRule>
    <cfRule type="cellIs" dxfId="945" priority="840" operator="equal">
      <formula>"H"</formula>
    </cfRule>
  </conditionalFormatting>
  <conditionalFormatting sqref="D151:AG151">
    <cfRule type="cellIs" dxfId="944" priority="834" operator="equal">
      <formula>"SP"</formula>
    </cfRule>
    <cfRule type="cellIs" dxfId="943" priority="835" operator="equal">
      <formula>"."</formula>
    </cfRule>
  </conditionalFormatting>
  <conditionalFormatting sqref="D153:AG153">
    <cfRule type="cellIs" dxfId="942" priority="829" operator="equal">
      <formula>"AL"</formula>
    </cfRule>
    <cfRule type="cellIs" dxfId="941" priority="830" operator="equal">
      <formula>"NA"</formula>
    </cfRule>
    <cfRule type="cellIs" dxfId="940" priority="831" operator="equal">
      <formula>"SL"</formula>
    </cfRule>
    <cfRule type="cellIs" dxfId="939" priority="832" stopIfTrue="1" operator="equal">
      <formula>"X"</formula>
    </cfRule>
    <cfRule type="cellIs" dxfId="938" priority="833" operator="equal">
      <formula>"H"</formula>
    </cfRule>
  </conditionalFormatting>
  <conditionalFormatting sqref="D153:AG153">
    <cfRule type="cellIs" dxfId="937" priority="827" operator="equal">
      <formula>"SP"</formula>
    </cfRule>
    <cfRule type="cellIs" dxfId="936" priority="828" operator="equal">
      <formula>"."</formula>
    </cfRule>
  </conditionalFormatting>
  <conditionalFormatting sqref="D155:AG155">
    <cfRule type="cellIs" dxfId="935" priority="822" operator="equal">
      <formula>"AL"</formula>
    </cfRule>
    <cfRule type="cellIs" dxfId="934" priority="823" operator="equal">
      <formula>"NA"</formula>
    </cfRule>
    <cfRule type="cellIs" dxfId="933" priority="824" operator="equal">
      <formula>"SL"</formula>
    </cfRule>
    <cfRule type="cellIs" dxfId="932" priority="825" stopIfTrue="1" operator="equal">
      <formula>"X"</formula>
    </cfRule>
    <cfRule type="cellIs" dxfId="931" priority="826" operator="equal">
      <formula>"H"</formula>
    </cfRule>
  </conditionalFormatting>
  <conditionalFormatting sqref="D155:AG155">
    <cfRule type="cellIs" dxfId="930" priority="820" operator="equal">
      <formula>"SP"</formula>
    </cfRule>
    <cfRule type="cellIs" dxfId="929" priority="821" operator="equal">
      <formula>"."</formula>
    </cfRule>
  </conditionalFormatting>
  <conditionalFormatting sqref="D157:AG157">
    <cfRule type="cellIs" dxfId="928" priority="815" operator="equal">
      <formula>"AL"</formula>
    </cfRule>
    <cfRule type="cellIs" dxfId="927" priority="816" operator="equal">
      <formula>"NA"</formula>
    </cfRule>
    <cfRule type="cellIs" dxfId="926" priority="817" operator="equal">
      <formula>"SL"</formula>
    </cfRule>
    <cfRule type="cellIs" dxfId="925" priority="818" stopIfTrue="1" operator="equal">
      <formula>"X"</formula>
    </cfRule>
    <cfRule type="cellIs" dxfId="924" priority="819" operator="equal">
      <formula>"H"</formula>
    </cfRule>
  </conditionalFormatting>
  <conditionalFormatting sqref="D157:AG157">
    <cfRule type="cellIs" dxfId="923" priority="813" operator="equal">
      <formula>"SP"</formula>
    </cfRule>
    <cfRule type="cellIs" dxfId="922" priority="814" operator="equal">
      <formula>"."</formula>
    </cfRule>
  </conditionalFormatting>
  <conditionalFormatting sqref="D159:AG159">
    <cfRule type="cellIs" dxfId="921" priority="808" operator="equal">
      <formula>"AL"</formula>
    </cfRule>
    <cfRule type="cellIs" dxfId="920" priority="809" operator="equal">
      <formula>"NA"</formula>
    </cfRule>
    <cfRule type="cellIs" dxfId="919" priority="810" operator="equal">
      <formula>"SL"</formula>
    </cfRule>
    <cfRule type="cellIs" dxfId="918" priority="811" stopIfTrue="1" operator="equal">
      <formula>"X"</formula>
    </cfRule>
    <cfRule type="cellIs" dxfId="917" priority="812" operator="equal">
      <formula>"H"</formula>
    </cfRule>
  </conditionalFormatting>
  <conditionalFormatting sqref="D159:AG159">
    <cfRule type="cellIs" dxfId="916" priority="806" operator="equal">
      <formula>"SP"</formula>
    </cfRule>
    <cfRule type="cellIs" dxfId="915" priority="807" operator="equal">
      <formula>"."</formula>
    </cfRule>
  </conditionalFormatting>
  <conditionalFormatting sqref="D161:AG161">
    <cfRule type="cellIs" dxfId="914" priority="801" operator="equal">
      <formula>"AL"</formula>
    </cfRule>
    <cfRule type="cellIs" dxfId="913" priority="802" operator="equal">
      <formula>"NA"</formula>
    </cfRule>
    <cfRule type="cellIs" dxfId="912" priority="803" operator="equal">
      <formula>"SL"</formula>
    </cfRule>
    <cfRule type="cellIs" dxfId="911" priority="804" stopIfTrue="1" operator="equal">
      <formula>"X"</formula>
    </cfRule>
    <cfRule type="cellIs" dxfId="910" priority="805" operator="equal">
      <formula>"H"</formula>
    </cfRule>
  </conditionalFormatting>
  <conditionalFormatting sqref="D161:AG161">
    <cfRule type="cellIs" dxfId="909" priority="799" operator="equal">
      <formula>"SP"</formula>
    </cfRule>
    <cfRule type="cellIs" dxfId="908" priority="800" operator="equal">
      <formula>"."</formula>
    </cfRule>
  </conditionalFormatting>
  <conditionalFormatting sqref="D163:AG163">
    <cfRule type="cellIs" dxfId="907" priority="794" operator="equal">
      <formula>"AL"</formula>
    </cfRule>
    <cfRule type="cellIs" dxfId="906" priority="795" operator="equal">
      <formula>"NA"</formula>
    </cfRule>
    <cfRule type="cellIs" dxfId="905" priority="796" operator="equal">
      <formula>"SL"</formula>
    </cfRule>
    <cfRule type="cellIs" dxfId="904" priority="797" stopIfTrue="1" operator="equal">
      <formula>"X"</formula>
    </cfRule>
    <cfRule type="cellIs" dxfId="903" priority="798" operator="equal">
      <formula>"H"</formula>
    </cfRule>
  </conditionalFormatting>
  <conditionalFormatting sqref="D163:AG163">
    <cfRule type="cellIs" dxfId="902" priority="792" operator="equal">
      <formula>"SP"</formula>
    </cfRule>
    <cfRule type="cellIs" dxfId="901" priority="793" operator="equal">
      <formula>"."</formula>
    </cfRule>
  </conditionalFormatting>
  <conditionalFormatting sqref="D165:AG166">
    <cfRule type="cellIs" dxfId="900" priority="787" operator="equal">
      <formula>"AL"</formula>
    </cfRule>
    <cfRule type="cellIs" dxfId="899" priority="788" operator="equal">
      <formula>"NA"</formula>
    </cfRule>
    <cfRule type="cellIs" dxfId="898" priority="789" operator="equal">
      <formula>"SL"</formula>
    </cfRule>
    <cfRule type="cellIs" dxfId="897" priority="790" stopIfTrue="1" operator="equal">
      <formula>"X"</formula>
    </cfRule>
    <cfRule type="cellIs" dxfId="896" priority="791" operator="equal">
      <formula>"H"</formula>
    </cfRule>
  </conditionalFormatting>
  <conditionalFormatting sqref="D181:AH181">
    <cfRule type="cellIs" dxfId="895" priority="780" operator="equal">
      <formula>"AL"</formula>
    </cfRule>
    <cfRule type="cellIs" dxfId="894" priority="781" operator="equal">
      <formula>"NA"</formula>
    </cfRule>
    <cfRule type="cellIs" dxfId="893" priority="782" operator="equal">
      <formula>"SL"</formula>
    </cfRule>
    <cfRule type="cellIs" dxfId="892" priority="783" stopIfTrue="1" operator="equal">
      <formula>"X"</formula>
    </cfRule>
    <cfRule type="cellIs" dxfId="891" priority="784" operator="equal">
      <formula>"H"</formula>
    </cfRule>
  </conditionalFormatting>
  <conditionalFormatting sqref="D181:AH181">
    <cfRule type="cellIs" dxfId="890" priority="778" operator="equal">
      <formula>"SP"</formula>
    </cfRule>
    <cfRule type="cellIs" dxfId="889" priority="779" operator="equal">
      <formula>"."</formula>
    </cfRule>
  </conditionalFormatting>
  <conditionalFormatting sqref="D183:AH183">
    <cfRule type="cellIs" dxfId="888" priority="773" operator="equal">
      <formula>"AL"</formula>
    </cfRule>
    <cfRule type="cellIs" dxfId="887" priority="774" operator="equal">
      <formula>"NA"</formula>
    </cfRule>
    <cfRule type="cellIs" dxfId="886" priority="775" operator="equal">
      <formula>"SL"</formula>
    </cfRule>
    <cfRule type="cellIs" dxfId="885" priority="776" stopIfTrue="1" operator="equal">
      <formula>"X"</formula>
    </cfRule>
    <cfRule type="cellIs" dxfId="884" priority="777" operator="equal">
      <formula>"H"</formula>
    </cfRule>
  </conditionalFormatting>
  <conditionalFormatting sqref="D183:AH183">
    <cfRule type="cellIs" dxfId="883" priority="771" operator="equal">
      <formula>"SP"</formula>
    </cfRule>
    <cfRule type="cellIs" dxfId="882" priority="772" operator="equal">
      <formula>"."</formula>
    </cfRule>
  </conditionalFormatting>
  <conditionalFormatting sqref="D185:AH185">
    <cfRule type="cellIs" dxfId="881" priority="766" operator="equal">
      <formula>"AL"</formula>
    </cfRule>
    <cfRule type="cellIs" dxfId="880" priority="767" operator="equal">
      <formula>"NA"</formula>
    </cfRule>
    <cfRule type="cellIs" dxfId="879" priority="768" operator="equal">
      <formula>"SL"</formula>
    </cfRule>
    <cfRule type="cellIs" dxfId="878" priority="769" stopIfTrue="1" operator="equal">
      <formula>"X"</formula>
    </cfRule>
    <cfRule type="cellIs" dxfId="877" priority="770" operator="equal">
      <formula>"H"</formula>
    </cfRule>
  </conditionalFormatting>
  <conditionalFormatting sqref="D185:AH185">
    <cfRule type="cellIs" dxfId="876" priority="764" operator="equal">
      <formula>"SP"</formula>
    </cfRule>
    <cfRule type="cellIs" dxfId="875" priority="765" operator="equal">
      <formula>"."</formula>
    </cfRule>
  </conditionalFormatting>
  <conditionalFormatting sqref="D187:AH187">
    <cfRule type="cellIs" dxfId="874" priority="759" operator="equal">
      <formula>"AL"</formula>
    </cfRule>
    <cfRule type="cellIs" dxfId="873" priority="760" operator="equal">
      <formula>"NA"</formula>
    </cfRule>
    <cfRule type="cellIs" dxfId="872" priority="761" operator="equal">
      <formula>"SL"</formula>
    </cfRule>
    <cfRule type="cellIs" dxfId="871" priority="762" stopIfTrue="1" operator="equal">
      <formula>"X"</formula>
    </cfRule>
    <cfRule type="cellIs" dxfId="870" priority="763" operator="equal">
      <formula>"H"</formula>
    </cfRule>
  </conditionalFormatting>
  <conditionalFormatting sqref="D187:AH187">
    <cfRule type="cellIs" dxfId="869" priority="757" operator="equal">
      <formula>"SP"</formula>
    </cfRule>
    <cfRule type="cellIs" dxfId="868" priority="758" operator="equal">
      <formula>"."</formula>
    </cfRule>
  </conditionalFormatting>
  <conditionalFormatting sqref="D189:AH189">
    <cfRule type="cellIs" dxfId="867" priority="752" operator="equal">
      <formula>"AL"</formula>
    </cfRule>
    <cfRule type="cellIs" dxfId="866" priority="753" operator="equal">
      <formula>"NA"</formula>
    </cfRule>
    <cfRule type="cellIs" dxfId="865" priority="754" operator="equal">
      <formula>"SL"</formula>
    </cfRule>
    <cfRule type="cellIs" dxfId="864" priority="755" stopIfTrue="1" operator="equal">
      <formula>"X"</formula>
    </cfRule>
    <cfRule type="cellIs" dxfId="863" priority="756" operator="equal">
      <formula>"H"</formula>
    </cfRule>
  </conditionalFormatting>
  <conditionalFormatting sqref="D189:AH189">
    <cfRule type="cellIs" dxfId="862" priority="750" operator="equal">
      <formula>"SP"</formula>
    </cfRule>
    <cfRule type="cellIs" dxfId="861" priority="751" operator="equal">
      <formula>"."</formula>
    </cfRule>
  </conditionalFormatting>
  <conditionalFormatting sqref="D191:AH191">
    <cfRule type="cellIs" dxfId="860" priority="745" operator="equal">
      <formula>"AL"</formula>
    </cfRule>
    <cfRule type="cellIs" dxfId="859" priority="746" operator="equal">
      <formula>"NA"</formula>
    </cfRule>
    <cfRule type="cellIs" dxfId="858" priority="747" operator="equal">
      <formula>"SL"</formula>
    </cfRule>
    <cfRule type="cellIs" dxfId="857" priority="748" stopIfTrue="1" operator="equal">
      <formula>"X"</formula>
    </cfRule>
    <cfRule type="cellIs" dxfId="856" priority="749" operator="equal">
      <formula>"H"</formula>
    </cfRule>
  </conditionalFormatting>
  <conditionalFormatting sqref="D191:AH191">
    <cfRule type="cellIs" dxfId="855" priority="743" operator="equal">
      <formula>"SP"</formula>
    </cfRule>
    <cfRule type="cellIs" dxfId="854" priority="744" operator="equal">
      <formula>"."</formula>
    </cfRule>
  </conditionalFormatting>
  <conditionalFormatting sqref="D193:AH193">
    <cfRule type="cellIs" dxfId="853" priority="738" operator="equal">
      <formula>"AL"</formula>
    </cfRule>
    <cfRule type="cellIs" dxfId="852" priority="739" operator="equal">
      <formula>"NA"</formula>
    </cfRule>
    <cfRule type="cellIs" dxfId="851" priority="740" operator="equal">
      <formula>"SL"</formula>
    </cfRule>
    <cfRule type="cellIs" dxfId="850" priority="741" stopIfTrue="1" operator="equal">
      <formula>"X"</formula>
    </cfRule>
    <cfRule type="cellIs" dxfId="849" priority="742" operator="equal">
      <formula>"H"</formula>
    </cfRule>
  </conditionalFormatting>
  <conditionalFormatting sqref="D193:AH193">
    <cfRule type="cellIs" dxfId="848" priority="736" operator="equal">
      <formula>"SP"</formula>
    </cfRule>
    <cfRule type="cellIs" dxfId="847" priority="737" operator="equal">
      <formula>"."</formula>
    </cfRule>
  </conditionalFormatting>
  <conditionalFormatting sqref="D195:AH195">
    <cfRule type="cellIs" dxfId="846" priority="731" operator="equal">
      <formula>"AL"</formula>
    </cfRule>
    <cfRule type="cellIs" dxfId="845" priority="732" operator="equal">
      <formula>"NA"</formula>
    </cfRule>
    <cfRule type="cellIs" dxfId="844" priority="733" operator="equal">
      <formula>"SL"</formula>
    </cfRule>
    <cfRule type="cellIs" dxfId="843" priority="734" stopIfTrue="1" operator="equal">
      <formula>"X"</formula>
    </cfRule>
    <cfRule type="cellIs" dxfId="842" priority="735" operator="equal">
      <formula>"H"</formula>
    </cfRule>
  </conditionalFormatting>
  <conditionalFormatting sqref="D195:AH195">
    <cfRule type="cellIs" dxfId="841" priority="729" operator="equal">
      <formula>"SP"</formula>
    </cfRule>
    <cfRule type="cellIs" dxfId="840" priority="730" operator="equal">
      <formula>"."</formula>
    </cfRule>
  </conditionalFormatting>
  <conditionalFormatting sqref="D182:AH182">
    <cfRule type="cellIs" dxfId="839" priority="724" operator="equal">
      <formula>"AL"</formula>
    </cfRule>
    <cfRule type="cellIs" dxfId="838" priority="725" operator="equal">
      <formula>"NA"</formula>
    </cfRule>
    <cfRule type="cellIs" dxfId="837" priority="726" operator="equal">
      <formula>"SL"</formula>
    </cfRule>
    <cfRule type="cellIs" dxfId="836" priority="727" stopIfTrue="1" operator="equal">
      <formula>"X"</formula>
    </cfRule>
    <cfRule type="cellIs" dxfId="835" priority="728" operator="equal">
      <formula>"H"</formula>
    </cfRule>
  </conditionalFormatting>
  <conditionalFormatting sqref="D182:AH182">
    <cfRule type="cellIs" dxfId="834" priority="722" operator="equal">
      <formula>"SP"</formula>
    </cfRule>
    <cfRule type="cellIs" dxfId="833" priority="723" operator="equal">
      <formula>"."</formula>
    </cfRule>
  </conditionalFormatting>
  <conditionalFormatting sqref="D184:AH184">
    <cfRule type="cellIs" dxfId="832" priority="717" operator="equal">
      <formula>"AL"</formula>
    </cfRule>
    <cfRule type="cellIs" dxfId="831" priority="718" operator="equal">
      <formula>"NA"</formula>
    </cfRule>
    <cfRule type="cellIs" dxfId="830" priority="719" operator="equal">
      <formula>"SL"</formula>
    </cfRule>
    <cfRule type="cellIs" dxfId="829" priority="720" stopIfTrue="1" operator="equal">
      <formula>"X"</formula>
    </cfRule>
    <cfRule type="cellIs" dxfId="828" priority="721" operator="equal">
      <formula>"H"</formula>
    </cfRule>
  </conditionalFormatting>
  <conditionalFormatting sqref="D184:AH184">
    <cfRule type="cellIs" dxfId="827" priority="715" operator="equal">
      <formula>"SP"</formula>
    </cfRule>
    <cfRule type="cellIs" dxfId="826" priority="716" operator="equal">
      <formula>"."</formula>
    </cfRule>
  </conditionalFormatting>
  <conditionalFormatting sqref="D186:AH186">
    <cfRule type="cellIs" dxfId="825" priority="710" operator="equal">
      <formula>"AL"</formula>
    </cfRule>
    <cfRule type="cellIs" dxfId="824" priority="711" operator="equal">
      <formula>"NA"</formula>
    </cfRule>
    <cfRule type="cellIs" dxfId="823" priority="712" operator="equal">
      <formula>"SL"</formula>
    </cfRule>
    <cfRule type="cellIs" dxfId="822" priority="713" stopIfTrue="1" operator="equal">
      <formula>"X"</formula>
    </cfRule>
    <cfRule type="cellIs" dxfId="821" priority="714" operator="equal">
      <formula>"H"</formula>
    </cfRule>
  </conditionalFormatting>
  <conditionalFormatting sqref="D186:AH186">
    <cfRule type="cellIs" dxfId="820" priority="708" operator="equal">
      <formula>"SP"</formula>
    </cfRule>
    <cfRule type="cellIs" dxfId="819" priority="709" operator="equal">
      <formula>"."</formula>
    </cfRule>
  </conditionalFormatting>
  <conditionalFormatting sqref="D188:AH188">
    <cfRule type="cellIs" dxfId="818" priority="703" operator="equal">
      <formula>"AL"</formula>
    </cfRule>
    <cfRule type="cellIs" dxfId="817" priority="704" operator="equal">
      <formula>"NA"</formula>
    </cfRule>
    <cfRule type="cellIs" dxfId="816" priority="705" operator="equal">
      <formula>"SL"</formula>
    </cfRule>
    <cfRule type="cellIs" dxfId="815" priority="706" stopIfTrue="1" operator="equal">
      <formula>"X"</formula>
    </cfRule>
    <cfRule type="cellIs" dxfId="814" priority="707" operator="equal">
      <formula>"H"</formula>
    </cfRule>
  </conditionalFormatting>
  <conditionalFormatting sqref="D188:AH188">
    <cfRule type="cellIs" dxfId="813" priority="701" operator="equal">
      <formula>"SP"</formula>
    </cfRule>
    <cfRule type="cellIs" dxfId="812" priority="702" operator="equal">
      <formula>"."</formula>
    </cfRule>
  </conditionalFormatting>
  <conditionalFormatting sqref="D190:AH190">
    <cfRule type="cellIs" dxfId="811" priority="696" operator="equal">
      <formula>"AL"</formula>
    </cfRule>
    <cfRule type="cellIs" dxfId="810" priority="697" operator="equal">
      <formula>"NA"</formula>
    </cfRule>
    <cfRule type="cellIs" dxfId="809" priority="698" operator="equal">
      <formula>"SL"</formula>
    </cfRule>
    <cfRule type="cellIs" dxfId="808" priority="699" stopIfTrue="1" operator="equal">
      <formula>"X"</formula>
    </cfRule>
    <cfRule type="cellIs" dxfId="807" priority="700" operator="equal">
      <formula>"H"</formula>
    </cfRule>
  </conditionalFormatting>
  <conditionalFormatting sqref="D190:AH190">
    <cfRule type="cellIs" dxfId="806" priority="694" operator="equal">
      <formula>"SP"</formula>
    </cfRule>
    <cfRule type="cellIs" dxfId="805" priority="695" operator="equal">
      <formula>"."</formula>
    </cfRule>
  </conditionalFormatting>
  <conditionalFormatting sqref="D192:AH192">
    <cfRule type="cellIs" dxfId="804" priority="689" operator="equal">
      <formula>"AL"</formula>
    </cfRule>
    <cfRule type="cellIs" dxfId="803" priority="690" operator="equal">
      <formula>"NA"</formula>
    </cfRule>
    <cfRule type="cellIs" dxfId="802" priority="691" operator="equal">
      <formula>"SL"</formula>
    </cfRule>
    <cfRule type="cellIs" dxfId="801" priority="692" stopIfTrue="1" operator="equal">
      <formula>"X"</formula>
    </cfRule>
    <cfRule type="cellIs" dxfId="800" priority="693" operator="equal">
      <formula>"H"</formula>
    </cfRule>
  </conditionalFormatting>
  <conditionalFormatting sqref="D192:AH192">
    <cfRule type="cellIs" dxfId="799" priority="687" operator="equal">
      <formula>"SP"</formula>
    </cfRule>
    <cfRule type="cellIs" dxfId="798" priority="688" operator="equal">
      <formula>"."</formula>
    </cfRule>
  </conditionalFormatting>
  <conditionalFormatting sqref="D194:AH194">
    <cfRule type="cellIs" dxfId="797" priority="682" operator="equal">
      <formula>"AL"</formula>
    </cfRule>
    <cfRule type="cellIs" dxfId="796" priority="683" operator="equal">
      <formula>"NA"</formula>
    </cfRule>
    <cfRule type="cellIs" dxfId="795" priority="684" operator="equal">
      <formula>"SL"</formula>
    </cfRule>
    <cfRule type="cellIs" dxfId="794" priority="685" stopIfTrue="1" operator="equal">
      <formula>"X"</formula>
    </cfRule>
    <cfRule type="cellIs" dxfId="793" priority="686" operator="equal">
      <formula>"H"</formula>
    </cfRule>
  </conditionalFormatting>
  <conditionalFormatting sqref="D194:AH194">
    <cfRule type="cellIs" dxfId="792" priority="680" operator="equal">
      <formula>"SP"</formula>
    </cfRule>
    <cfRule type="cellIs" dxfId="791" priority="681" operator="equal">
      <formula>"."</formula>
    </cfRule>
  </conditionalFormatting>
  <conditionalFormatting sqref="D196:AH196">
    <cfRule type="cellIs" dxfId="790" priority="675" operator="equal">
      <formula>"AL"</formula>
    </cfRule>
    <cfRule type="cellIs" dxfId="789" priority="676" operator="equal">
      <formula>"NA"</formula>
    </cfRule>
    <cfRule type="cellIs" dxfId="788" priority="677" operator="equal">
      <formula>"SL"</formula>
    </cfRule>
    <cfRule type="cellIs" dxfId="787" priority="678" stopIfTrue="1" operator="equal">
      <formula>"X"</formula>
    </cfRule>
    <cfRule type="cellIs" dxfId="786" priority="679" operator="equal">
      <formula>"H"</formula>
    </cfRule>
  </conditionalFormatting>
  <conditionalFormatting sqref="D196:AH196">
    <cfRule type="cellIs" dxfId="785" priority="673" operator="equal">
      <formula>"SP"</formula>
    </cfRule>
    <cfRule type="cellIs" dxfId="784" priority="674" operator="equal">
      <formula>"."</formula>
    </cfRule>
  </conditionalFormatting>
  <conditionalFormatting sqref="D212:AH212">
    <cfRule type="cellIs" dxfId="783" priority="668" operator="equal">
      <formula>"AL"</formula>
    </cfRule>
    <cfRule type="cellIs" dxfId="782" priority="669" operator="equal">
      <formula>"NA"</formula>
    </cfRule>
    <cfRule type="cellIs" dxfId="781" priority="670" operator="equal">
      <formula>"SL"</formula>
    </cfRule>
    <cfRule type="cellIs" dxfId="780" priority="671" stopIfTrue="1" operator="equal">
      <formula>"X"</formula>
    </cfRule>
    <cfRule type="cellIs" dxfId="779" priority="672" operator="equal">
      <formula>"H"</formula>
    </cfRule>
  </conditionalFormatting>
  <conditionalFormatting sqref="D212:AH212">
    <cfRule type="cellIs" dxfId="778" priority="666" operator="equal">
      <formula>"SP"</formula>
    </cfRule>
    <cfRule type="cellIs" dxfId="777" priority="667" operator="equal">
      <formula>"."</formula>
    </cfRule>
  </conditionalFormatting>
  <conditionalFormatting sqref="D214:AH214">
    <cfRule type="cellIs" dxfId="776" priority="661" operator="equal">
      <formula>"AL"</formula>
    </cfRule>
    <cfRule type="cellIs" dxfId="775" priority="662" operator="equal">
      <formula>"NA"</formula>
    </cfRule>
    <cfRule type="cellIs" dxfId="774" priority="663" operator="equal">
      <formula>"SL"</formula>
    </cfRule>
    <cfRule type="cellIs" dxfId="773" priority="664" stopIfTrue="1" operator="equal">
      <formula>"X"</formula>
    </cfRule>
    <cfRule type="cellIs" dxfId="772" priority="665" operator="equal">
      <formula>"H"</formula>
    </cfRule>
  </conditionalFormatting>
  <conditionalFormatting sqref="D214:AH214">
    <cfRule type="cellIs" dxfId="771" priority="659" operator="equal">
      <formula>"SP"</formula>
    </cfRule>
    <cfRule type="cellIs" dxfId="770" priority="660" operator="equal">
      <formula>"."</formula>
    </cfRule>
  </conditionalFormatting>
  <conditionalFormatting sqref="D216:AH216">
    <cfRule type="cellIs" dxfId="769" priority="654" operator="equal">
      <formula>"AL"</formula>
    </cfRule>
    <cfRule type="cellIs" dxfId="768" priority="655" operator="equal">
      <formula>"NA"</formula>
    </cfRule>
    <cfRule type="cellIs" dxfId="767" priority="656" operator="equal">
      <formula>"SL"</formula>
    </cfRule>
    <cfRule type="cellIs" dxfId="766" priority="657" stopIfTrue="1" operator="equal">
      <formula>"X"</formula>
    </cfRule>
    <cfRule type="cellIs" dxfId="765" priority="658" operator="equal">
      <formula>"H"</formula>
    </cfRule>
  </conditionalFormatting>
  <conditionalFormatting sqref="D216:AH216">
    <cfRule type="cellIs" dxfId="764" priority="652" operator="equal">
      <formula>"SP"</formula>
    </cfRule>
    <cfRule type="cellIs" dxfId="763" priority="653" operator="equal">
      <formula>"."</formula>
    </cfRule>
  </conditionalFormatting>
  <conditionalFormatting sqref="D218:AH218">
    <cfRule type="cellIs" dxfId="762" priority="647" operator="equal">
      <formula>"AL"</formula>
    </cfRule>
    <cfRule type="cellIs" dxfId="761" priority="648" operator="equal">
      <formula>"NA"</formula>
    </cfRule>
    <cfRule type="cellIs" dxfId="760" priority="649" operator="equal">
      <formula>"SL"</formula>
    </cfRule>
    <cfRule type="cellIs" dxfId="759" priority="650" stopIfTrue="1" operator="equal">
      <formula>"X"</formula>
    </cfRule>
    <cfRule type="cellIs" dxfId="758" priority="651" operator="equal">
      <formula>"H"</formula>
    </cfRule>
  </conditionalFormatting>
  <conditionalFormatting sqref="D218:AH218">
    <cfRule type="cellIs" dxfId="757" priority="645" operator="equal">
      <formula>"SP"</formula>
    </cfRule>
    <cfRule type="cellIs" dxfId="756" priority="646" operator="equal">
      <formula>"."</formula>
    </cfRule>
  </conditionalFormatting>
  <conditionalFormatting sqref="D220:AH220">
    <cfRule type="cellIs" dxfId="755" priority="640" operator="equal">
      <formula>"AL"</formula>
    </cfRule>
    <cfRule type="cellIs" dxfId="754" priority="641" operator="equal">
      <formula>"NA"</formula>
    </cfRule>
    <cfRule type="cellIs" dxfId="753" priority="642" operator="equal">
      <formula>"SL"</formula>
    </cfRule>
    <cfRule type="cellIs" dxfId="752" priority="643" stopIfTrue="1" operator="equal">
      <formula>"X"</formula>
    </cfRule>
    <cfRule type="cellIs" dxfId="751" priority="644" operator="equal">
      <formula>"H"</formula>
    </cfRule>
  </conditionalFormatting>
  <conditionalFormatting sqref="D220:AH220">
    <cfRule type="cellIs" dxfId="750" priority="638" operator="equal">
      <formula>"SP"</formula>
    </cfRule>
    <cfRule type="cellIs" dxfId="749" priority="639" operator="equal">
      <formula>"."</formula>
    </cfRule>
  </conditionalFormatting>
  <conditionalFormatting sqref="D222:AH222">
    <cfRule type="cellIs" dxfId="748" priority="633" operator="equal">
      <formula>"AL"</formula>
    </cfRule>
    <cfRule type="cellIs" dxfId="747" priority="634" operator="equal">
      <formula>"NA"</formula>
    </cfRule>
    <cfRule type="cellIs" dxfId="746" priority="635" operator="equal">
      <formula>"SL"</formula>
    </cfRule>
    <cfRule type="cellIs" dxfId="745" priority="636" stopIfTrue="1" operator="equal">
      <formula>"X"</formula>
    </cfRule>
    <cfRule type="cellIs" dxfId="744" priority="637" operator="equal">
      <formula>"H"</formula>
    </cfRule>
  </conditionalFormatting>
  <conditionalFormatting sqref="D222:AH222">
    <cfRule type="cellIs" dxfId="743" priority="631" operator="equal">
      <formula>"SP"</formula>
    </cfRule>
    <cfRule type="cellIs" dxfId="742" priority="632" operator="equal">
      <formula>"."</formula>
    </cfRule>
  </conditionalFormatting>
  <conditionalFormatting sqref="D224:AH224">
    <cfRule type="cellIs" dxfId="741" priority="626" operator="equal">
      <formula>"AL"</formula>
    </cfRule>
    <cfRule type="cellIs" dxfId="740" priority="627" operator="equal">
      <formula>"NA"</formula>
    </cfRule>
    <cfRule type="cellIs" dxfId="739" priority="628" operator="equal">
      <formula>"SL"</formula>
    </cfRule>
    <cfRule type="cellIs" dxfId="738" priority="629" stopIfTrue="1" operator="equal">
      <formula>"X"</formula>
    </cfRule>
    <cfRule type="cellIs" dxfId="737" priority="630" operator="equal">
      <formula>"H"</formula>
    </cfRule>
  </conditionalFormatting>
  <conditionalFormatting sqref="D224:AH224">
    <cfRule type="cellIs" dxfId="736" priority="624" operator="equal">
      <formula>"SP"</formula>
    </cfRule>
    <cfRule type="cellIs" dxfId="735" priority="625" operator="equal">
      <formula>"."</formula>
    </cfRule>
  </conditionalFormatting>
  <conditionalFormatting sqref="D226:AH226">
    <cfRule type="cellIs" dxfId="734" priority="619" operator="equal">
      <formula>"AL"</formula>
    </cfRule>
    <cfRule type="cellIs" dxfId="733" priority="620" operator="equal">
      <formula>"NA"</formula>
    </cfRule>
    <cfRule type="cellIs" dxfId="732" priority="621" operator="equal">
      <formula>"SL"</formula>
    </cfRule>
    <cfRule type="cellIs" dxfId="731" priority="622" stopIfTrue="1" operator="equal">
      <formula>"X"</formula>
    </cfRule>
    <cfRule type="cellIs" dxfId="730" priority="623" operator="equal">
      <formula>"H"</formula>
    </cfRule>
  </conditionalFormatting>
  <conditionalFormatting sqref="D226:AH226">
    <cfRule type="cellIs" dxfId="729" priority="617" operator="equal">
      <formula>"SP"</formula>
    </cfRule>
    <cfRule type="cellIs" dxfId="728" priority="618" operator="equal">
      <formula>"."</formula>
    </cfRule>
  </conditionalFormatting>
  <conditionalFormatting sqref="D213:AH213">
    <cfRule type="cellIs" dxfId="727" priority="612" operator="equal">
      <formula>"AL"</formula>
    </cfRule>
    <cfRule type="cellIs" dxfId="726" priority="613" operator="equal">
      <formula>"NA"</formula>
    </cfRule>
    <cfRule type="cellIs" dxfId="725" priority="614" operator="equal">
      <formula>"SL"</formula>
    </cfRule>
    <cfRule type="cellIs" dxfId="724" priority="615" stopIfTrue="1" operator="equal">
      <formula>"X"</formula>
    </cfRule>
    <cfRule type="cellIs" dxfId="723" priority="616" operator="equal">
      <formula>"H"</formula>
    </cfRule>
  </conditionalFormatting>
  <conditionalFormatting sqref="D213:AH213">
    <cfRule type="cellIs" dxfId="722" priority="610" operator="equal">
      <formula>"SP"</formula>
    </cfRule>
    <cfRule type="cellIs" dxfId="721" priority="611" operator="equal">
      <formula>"."</formula>
    </cfRule>
  </conditionalFormatting>
  <conditionalFormatting sqref="D215:AH215">
    <cfRule type="cellIs" dxfId="720" priority="605" operator="equal">
      <formula>"AL"</formula>
    </cfRule>
    <cfRule type="cellIs" dxfId="719" priority="606" operator="equal">
      <formula>"NA"</formula>
    </cfRule>
    <cfRule type="cellIs" dxfId="718" priority="607" operator="equal">
      <formula>"SL"</formula>
    </cfRule>
    <cfRule type="cellIs" dxfId="717" priority="608" stopIfTrue="1" operator="equal">
      <formula>"X"</formula>
    </cfRule>
    <cfRule type="cellIs" dxfId="716" priority="609" operator="equal">
      <formula>"H"</formula>
    </cfRule>
  </conditionalFormatting>
  <conditionalFormatting sqref="D215:AH215">
    <cfRule type="cellIs" dxfId="715" priority="603" operator="equal">
      <formula>"SP"</formula>
    </cfRule>
    <cfRule type="cellIs" dxfId="714" priority="604" operator="equal">
      <formula>"."</formula>
    </cfRule>
  </conditionalFormatting>
  <conditionalFormatting sqref="D217:AH217">
    <cfRule type="cellIs" dxfId="713" priority="598" operator="equal">
      <formula>"AL"</formula>
    </cfRule>
    <cfRule type="cellIs" dxfId="712" priority="599" operator="equal">
      <formula>"NA"</formula>
    </cfRule>
    <cfRule type="cellIs" dxfId="711" priority="600" operator="equal">
      <formula>"SL"</formula>
    </cfRule>
    <cfRule type="cellIs" dxfId="710" priority="601" stopIfTrue="1" operator="equal">
      <formula>"X"</formula>
    </cfRule>
    <cfRule type="cellIs" dxfId="709" priority="602" operator="equal">
      <formula>"H"</formula>
    </cfRule>
  </conditionalFormatting>
  <conditionalFormatting sqref="D217:AH217">
    <cfRule type="cellIs" dxfId="708" priority="596" operator="equal">
      <formula>"SP"</formula>
    </cfRule>
    <cfRule type="cellIs" dxfId="707" priority="597" operator="equal">
      <formula>"."</formula>
    </cfRule>
  </conditionalFormatting>
  <conditionalFormatting sqref="D219:AH219">
    <cfRule type="cellIs" dxfId="706" priority="591" operator="equal">
      <formula>"AL"</formula>
    </cfRule>
    <cfRule type="cellIs" dxfId="705" priority="592" operator="equal">
      <formula>"NA"</formula>
    </cfRule>
    <cfRule type="cellIs" dxfId="704" priority="593" operator="equal">
      <formula>"SL"</formula>
    </cfRule>
    <cfRule type="cellIs" dxfId="703" priority="594" stopIfTrue="1" operator="equal">
      <formula>"X"</formula>
    </cfRule>
    <cfRule type="cellIs" dxfId="702" priority="595" operator="equal">
      <formula>"H"</formula>
    </cfRule>
  </conditionalFormatting>
  <conditionalFormatting sqref="D219:AH219">
    <cfRule type="cellIs" dxfId="701" priority="589" operator="equal">
      <formula>"SP"</formula>
    </cfRule>
    <cfRule type="cellIs" dxfId="700" priority="590" operator="equal">
      <formula>"."</formula>
    </cfRule>
  </conditionalFormatting>
  <conditionalFormatting sqref="D221:AH221">
    <cfRule type="cellIs" dxfId="699" priority="584" operator="equal">
      <formula>"AL"</formula>
    </cfRule>
    <cfRule type="cellIs" dxfId="698" priority="585" operator="equal">
      <formula>"NA"</formula>
    </cfRule>
    <cfRule type="cellIs" dxfId="697" priority="586" operator="equal">
      <formula>"SL"</formula>
    </cfRule>
    <cfRule type="cellIs" dxfId="696" priority="587" stopIfTrue="1" operator="equal">
      <formula>"X"</formula>
    </cfRule>
    <cfRule type="cellIs" dxfId="695" priority="588" operator="equal">
      <formula>"H"</formula>
    </cfRule>
  </conditionalFormatting>
  <conditionalFormatting sqref="D221:AH221">
    <cfRule type="cellIs" dxfId="694" priority="582" operator="equal">
      <formula>"SP"</formula>
    </cfRule>
    <cfRule type="cellIs" dxfId="693" priority="583" operator="equal">
      <formula>"."</formula>
    </cfRule>
  </conditionalFormatting>
  <conditionalFormatting sqref="D223:AH223">
    <cfRule type="cellIs" dxfId="692" priority="577" operator="equal">
      <formula>"AL"</formula>
    </cfRule>
    <cfRule type="cellIs" dxfId="691" priority="578" operator="equal">
      <formula>"NA"</formula>
    </cfRule>
    <cfRule type="cellIs" dxfId="690" priority="579" operator="equal">
      <formula>"SL"</formula>
    </cfRule>
    <cfRule type="cellIs" dxfId="689" priority="580" stopIfTrue="1" operator="equal">
      <formula>"X"</formula>
    </cfRule>
    <cfRule type="cellIs" dxfId="688" priority="581" operator="equal">
      <formula>"H"</formula>
    </cfRule>
  </conditionalFormatting>
  <conditionalFormatting sqref="D223:AH223">
    <cfRule type="cellIs" dxfId="687" priority="575" operator="equal">
      <formula>"SP"</formula>
    </cfRule>
    <cfRule type="cellIs" dxfId="686" priority="576" operator="equal">
      <formula>"."</formula>
    </cfRule>
  </conditionalFormatting>
  <conditionalFormatting sqref="D225:AH225">
    <cfRule type="cellIs" dxfId="685" priority="570" operator="equal">
      <formula>"AL"</formula>
    </cfRule>
    <cfRule type="cellIs" dxfId="684" priority="571" operator="equal">
      <formula>"NA"</formula>
    </cfRule>
    <cfRule type="cellIs" dxfId="683" priority="572" operator="equal">
      <formula>"SL"</formula>
    </cfRule>
    <cfRule type="cellIs" dxfId="682" priority="573" stopIfTrue="1" operator="equal">
      <formula>"X"</formula>
    </cfRule>
    <cfRule type="cellIs" dxfId="681" priority="574" operator="equal">
      <formula>"H"</formula>
    </cfRule>
  </conditionalFormatting>
  <conditionalFormatting sqref="D225:AH225">
    <cfRule type="cellIs" dxfId="680" priority="568" operator="equal">
      <formula>"SP"</formula>
    </cfRule>
    <cfRule type="cellIs" dxfId="679" priority="569" operator="equal">
      <formula>"."</formula>
    </cfRule>
  </conditionalFormatting>
  <conditionalFormatting sqref="D227:AH227">
    <cfRule type="cellIs" dxfId="678" priority="563" operator="equal">
      <formula>"AL"</formula>
    </cfRule>
    <cfRule type="cellIs" dxfId="677" priority="564" operator="equal">
      <formula>"NA"</formula>
    </cfRule>
    <cfRule type="cellIs" dxfId="676" priority="565" operator="equal">
      <formula>"SL"</formula>
    </cfRule>
    <cfRule type="cellIs" dxfId="675" priority="566" stopIfTrue="1" operator="equal">
      <formula>"X"</formula>
    </cfRule>
    <cfRule type="cellIs" dxfId="674" priority="567" operator="equal">
      <formula>"H"</formula>
    </cfRule>
  </conditionalFormatting>
  <conditionalFormatting sqref="D227:AH227">
    <cfRule type="cellIs" dxfId="673" priority="561" operator="equal">
      <formula>"SP"</formula>
    </cfRule>
    <cfRule type="cellIs" dxfId="672" priority="562" operator="equal">
      <formula>"."</formula>
    </cfRule>
  </conditionalFormatting>
  <conditionalFormatting sqref="D243:AF243">
    <cfRule type="cellIs" dxfId="671" priority="556" operator="equal">
      <formula>"AL"</formula>
    </cfRule>
    <cfRule type="cellIs" dxfId="670" priority="557" operator="equal">
      <formula>"NA"</formula>
    </cfRule>
    <cfRule type="cellIs" dxfId="669" priority="558" operator="equal">
      <formula>"SL"</formula>
    </cfRule>
    <cfRule type="cellIs" dxfId="668" priority="559" stopIfTrue="1" operator="equal">
      <formula>"X"</formula>
    </cfRule>
    <cfRule type="cellIs" dxfId="667" priority="560" operator="equal">
      <formula>"H"</formula>
    </cfRule>
  </conditionalFormatting>
  <conditionalFormatting sqref="D243:AF243">
    <cfRule type="cellIs" dxfId="666" priority="554" operator="equal">
      <formula>"SP"</formula>
    </cfRule>
    <cfRule type="cellIs" dxfId="665" priority="555" operator="equal">
      <formula>"."</formula>
    </cfRule>
  </conditionalFormatting>
  <conditionalFormatting sqref="D245:AF245">
    <cfRule type="cellIs" dxfId="664" priority="549" operator="equal">
      <formula>"AL"</formula>
    </cfRule>
    <cfRule type="cellIs" dxfId="663" priority="550" operator="equal">
      <formula>"NA"</formula>
    </cfRule>
    <cfRule type="cellIs" dxfId="662" priority="551" operator="equal">
      <formula>"SL"</formula>
    </cfRule>
    <cfRule type="cellIs" dxfId="661" priority="552" stopIfTrue="1" operator="equal">
      <formula>"X"</formula>
    </cfRule>
    <cfRule type="cellIs" dxfId="660" priority="553" operator="equal">
      <formula>"H"</formula>
    </cfRule>
  </conditionalFormatting>
  <conditionalFormatting sqref="D245:AF245">
    <cfRule type="cellIs" dxfId="659" priority="547" operator="equal">
      <formula>"SP"</formula>
    </cfRule>
    <cfRule type="cellIs" dxfId="658" priority="548" operator="equal">
      <formula>"."</formula>
    </cfRule>
  </conditionalFormatting>
  <conditionalFormatting sqref="D247:AF247">
    <cfRule type="cellIs" dxfId="657" priority="542" operator="equal">
      <formula>"AL"</formula>
    </cfRule>
    <cfRule type="cellIs" dxfId="656" priority="543" operator="equal">
      <formula>"NA"</formula>
    </cfRule>
    <cfRule type="cellIs" dxfId="655" priority="544" operator="equal">
      <formula>"SL"</formula>
    </cfRule>
    <cfRule type="cellIs" dxfId="654" priority="545" stopIfTrue="1" operator="equal">
      <formula>"X"</formula>
    </cfRule>
    <cfRule type="cellIs" dxfId="653" priority="546" operator="equal">
      <formula>"H"</formula>
    </cfRule>
  </conditionalFormatting>
  <conditionalFormatting sqref="D247:AF247">
    <cfRule type="cellIs" dxfId="652" priority="540" operator="equal">
      <formula>"SP"</formula>
    </cfRule>
    <cfRule type="cellIs" dxfId="651" priority="541" operator="equal">
      <formula>"."</formula>
    </cfRule>
  </conditionalFormatting>
  <conditionalFormatting sqref="D249:AF249">
    <cfRule type="cellIs" dxfId="650" priority="535" operator="equal">
      <formula>"AL"</formula>
    </cfRule>
    <cfRule type="cellIs" dxfId="649" priority="536" operator="equal">
      <formula>"NA"</formula>
    </cfRule>
    <cfRule type="cellIs" dxfId="648" priority="537" operator="equal">
      <formula>"SL"</formula>
    </cfRule>
    <cfRule type="cellIs" dxfId="647" priority="538" stopIfTrue="1" operator="equal">
      <formula>"X"</formula>
    </cfRule>
    <cfRule type="cellIs" dxfId="646" priority="539" operator="equal">
      <formula>"H"</formula>
    </cfRule>
  </conditionalFormatting>
  <conditionalFormatting sqref="D249:AF249">
    <cfRule type="cellIs" dxfId="645" priority="533" operator="equal">
      <formula>"SP"</formula>
    </cfRule>
    <cfRule type="cellIs" dxfId="644" priority="534" operator="equal">
      <formula>"."</formula>
    </cfRule>
  </conditionalFormatting>
  <conditionalFormatting sqref="D251:AF251">
    <cfRule type="cellIs" dxfId="643" priority="528" operator="equal">
      <formula>"AL"</formula>
    </cfRule>
    <cfRule type="cellIs" dxfId="642" priority="529" operator="equal">
      <formula>"NA"</formula>
    </cfRule>
    <cfRule type="cellIs" dxfId="641" priority="530" operator="equal">
      <formula>"SL"</formula>
    </cfRule>
    <cfRule type="cellIs" dxfId="640" priority="531" stopIfTrue="1" operator="equal">
      <formula>"X"</formula>
    </cfRule>
    <cfRule type="cellIs" dxfId="639" priority="532" operator="equal">
      <formula>"H"</formula>
    </cfRule>
  </conditionalFormatting>
  <conditionalFormatting sqref="D251:AF251">
    <cfRule type="cellIs" dxfId="638" priority="526" operator="equal">
      <formula>"SP"</formula>
    </cfRule>
    <cfRule type="cellIs" dxfId="637" priority="527" operator="equal">
      <formula>"."</formula>
    </cfRule>
  </conditionalFormatting>
  <conditionalFormatting sqref="D253:AF253">
    <cfRule type="cellIs" dxfId="636" priority="521" operator="equal">
      <formula>"AL"</formula>
    </cfRule>
    <cfRule type="cellIs" dxfId="635" priority="522" operator="equal">
      <formula>"NA"</formula>
    </cfRule>
    <cfRule type="cellIs" dxfId="634" priority="523" operator="equal">
      <formula>"SL"</formula>
    </cfRule>
    <cfRule type="cellIs" dxfId="633" priority="524" stopIfTrue="1" operator="equal">
      <formula>"X"</formula>
    </cfRule>
    <cfRule type="cellIs" dxfId="632" priority="525" operator="equal">
      <formula>"H"</formula>
    </cfRule>
  </conditionalFormatting>
  <conditionalFormatting sqref="D253:AF253">
    <cfRule type="cellIs" dxfId="631" priority="519" operator="equal">
      <formula>"SP"</formula>
    </cfRule>
    <cfRule type="cellIs" dxfId="630" priority="520" operator="equal">
      <formula>"."</formula>
    </cfRule>
  </conditionalFormatting>
  <conditionalFormatting sqref="D255:AF255">
    <cfRule type="cellIs" dxfId="629" priority="514" operator="equal">
      <formula>"AL"</formula>
    </cfRule>
    <cfRule type="cellIs" dxfId="628" priority="515" operator="equal">
      <formula>"NA"</formula>
    </cfRule>
    <cfRule type="cellIs" dxfId="627" priority="516" operator="equal">
      <formula>"SL"</formula>
    </cfRule>
    <cfRule type="cellIs" dxfId="626" priority="517" stopIfTrue="1" operator="equal">
      <formula>"X"</formula>
    </cfRule>
    <cfRule type="cellIs" dxfId="625" priority="518" operator="equal">
      <formula>"H"</formula>
    </cfRule>
  </conditionalFormatting>
  <conditionalFormatting sqref="D255:AF255">
    <cfRule type="cellIs" dxfId="624" priority="512" operator="equal">
      <formula>"SP"</formula>
    </cfRule>
    <cfRule type="cellIs" dxfId="623" priority="513" operator="equal">
      <formula>"."</formula>
    </cfRule>
  </conditionalFormatting>
  <conditionalFormatting sqref="D257:AF257">
    <cfRule type="cellIs" dxfId="622" priority="507" operator="equal">
      <formula>"AL"</formula>
    </cfRule>
    <cfRule type="cellIs" dxfId="621" priority="508" operator="equal">
      <formula>"NA"</formula>
    </cfRule>
    <cfRule type="cellIs" dxfId="620" priority="509" operator="equal">
      <formula>"SL"</formula>
    </cfRule>
    <cfRule type="cellIs" dxfId="619" priority="510" stopIfTrue="1" operator="equal">
      <formula>"X"</formula>
    </cfRule>
    <cfRule type="cellIs" dxfId="618" priority="511" operator="equal">
      <formula>"H"</formula>
    </cfRule>
  </conditionalFormatting>
  <conditionalFormatting sqref="D257:AF257">
    <cfRule type="cellIs" dxfId="617" priority="505" operator="equal">
      <formula>"SP"</formula>
    </cfRule>
    <cfRule type="cellIs" dxfId="616" priority="506" operator="equal">
      <formula>"."</formula>
    </cfRule>
  </conditionalFormatting>
  <conditionalFormatting sqref="D244:AF244">
    <cfRule type="cellIs" dxfId="615" priority="500" operator="equal">
      <formula>"AL"</formula>
    </cfRule>
    <cfRule type="cellIs" dxfId="614" priority="501" operator="equal">
      <formula>"NA"</formula>
    </cfRule>
    <cfRule type="cellIs" dxfId="613" priority="502" operator="equal">
      <formula>"SL"</formula>
    </cfRule>
    <cfRule type="cellIs" dxfId="612" priority="503" stopIfTrue="1" operator="equal">
      <formula>"X"</formula>
    </cfRule>
    <cfRule type="cellIs" dxfId="611" priority="504" operator="equal">
      <formula>"H"</formula>
    </cfRule>
  </conditionalFormatting>
  <conditionalFormatting sqref="D244:AF244">
    <cfRule type="cellIs" dxfId="610" priority="498" operator="equal">
      <formula>"SP"</formula>
    </cfRule>
    <cfRule type="cellIs" dxfId="609" priority="499" operator="equal">
      <formula>"."</formula>
    </cfRule>
  </conditionalFormatting>
  <conditionalFormatting sqref="D246:AF246">
    <cfRule type="cellIs" dxfId="608" priority="493" operator="equal">
      <formula>"AL"</formula>
    </cfRule>
    <cfRule type="cellIs" dxfId="607" priority="494" operator="equal">
      <formula>"NA"</formula>
    </cfRule>
    <cfRule type="cellIs" dxfId="606" priority="495" operator="equal">
      <formula>"SL"</formula>
    </cfRule>
    <cfRule type="cellIs" dxfId="605" priority="496" stopIfTrue="1" operator="equal">
      <formula>"X"</formula>
    </cfRule>
    <cfRule type="cellIs" dxfId="604" priority="497" operator="equal">
      <formula>"H"</formula>
    </cfRule>
  </conditionalFormatting>
  <conditionalFormatting sqref="D246:AF246">
    <cfRule type="cellIs" dxfId="603" priority="491" operator="equal">
      <formula>"SP"</formula>
    </cfRule>
    <cfRule type="cellIs" dxfId="602" priority="492" operator="equal">
      <formula>"."</formula>
    </cfRule>
  </conditionalFormatting>
  <conditionalFormatting sqref="D248:AF248">
    <cfRule type="cellIs" dxfId="601" priority="486" operator="equal">
      <formula>"AL"</formula>
    </cfRule>
    <cfRule type="cellIs" dxfId="600" priority="487" operator="equal">
      <formula>"NA"</formula>
    </cfRule>
    <cfRule type="cellIs" dxfId="599" priority="488" operator="equal">
      <formula>"SL"</formula>
    </cfRule>
    <cfRule type="cellIs" dxfId="598" priority="489" stopIfTrue="1" operator="equal">
      <formula>"X"</formula>
    </cfRule>
    <cfRule type="cellIs" dxfId="597" priority="490" operator="equal">
      <formula>"H"</formula>
    </cfRule>
  </conditionalFormatting>
  <conditionalFormatting sqref="D248:AF248">
    <cfRule type="cellIs" dxfId="596" priority="484" operator="equal">
      <formula>"SP"</formula>
    </cfRule>
    <cfRule type="cellIs" dxfId="595" priority="485" operator="equal">
      <formula>"."</formula>
    </cfRule>
  </conditionalFormatting>
  <conditionalFormatting sqref="D250:AF250">
    <cfRule type="cellIs" dxfId="594" priority="479" operator="equal">
      <formula>"AL"</formula>
    </cfRule>
    <cfRule type="cellIs" dxfId="593" priority="480" operator="equal">
      <formula>"NA"</formula>
    </cfRule>
    <cfRule type="cellIs" dxfId="592" priority="481" operator="equal">
      <formula>"SL"</formula>
    </cfRule>
    <cfRule type="cellIs" dxfId="591" priority="482" stopIfTrue="1" operator="equal">
      <formula>"X"</formula>
    </cfRule>
    <cfRule type="cellIs" dxfId="590" priority="483" operator="equal">
      <formula>"H"</formula>
    </cfRule>
  </conditionalFormatting>
  <conditionalFormatting sqref="D250:AF250">
    <cfRule type="cellIs" dxfId="589" priority="477" operator="equal">
      <formula>"SP"</formula>
    </cfRule>
    <cfRule type="cellIs" dxfId="588" priority="478" operator="equal">
      <formula>"."</formula>
    </cfRule>
  </conditionalFormatting>
  <conditionalFormatting sqref="D252:AF252">
    <cfRule type="cellIs" dxfId="587" priority="472" operator="equal">
      <formula>"AL"</formula>
    </cfRule>
    <cfRule type="cellIs" dxfId="586" priority="473" operator="equal">
      <formula>"NA"</formula>
    </cfRule>
    <cfRule type="cellIs" dxfId="585" priority="474" operator="equal">
      <formula>"SL"</formula>
    </cfRule>
    <cfRule type="cellIs" dxfId="584" priority="475" stopIfTrue="1" operator="equal">
      <formula>"X"</formula>
    </cfRule>
    <cfRule type="cellIs" dxfId="583" priority="476" operator="equal">
      <formula>"H"</formula>
    </cfRule>
  </conditionalFormatting>
  <conditionalFormatting sqref="D252:AF252">
    <cfRule type="cellIs" dxfId="582" priority="470" operator="equal">
      <formula>"SP"</formula>
    </cfRule>
    <cfRule type="cellIs" dxfId="581" priority="471" operator="equal">
      <formula>"."</formula>
    </cfRule>
  </conditionalFormatting>
  <conditionalFormatting sqref="D254:AF254">
    <cfRule type="cellIs" dxfId="580" priority="465" operator="equal">
      <formula>"AL"</formula>
    </cfRule>
    <cfRule type="cellIs" dxfId="579" priority="466" operator="equal">
      <formula>"NA"</formula>
    </cfRule>
    <cfRule type="cellIs" dxfId="578" priority="467" operator="equal">
      <formula>"SL"</formula>
    </cfRule>
    <cfRule type="cellIs" dxfId="577" priority="468" stopIfTrue="1" operator="equal">
      <formula>"X"</formula>
    </cfRule>
    <cfRule type="cellIs" dxfId="576" priority="469" operator="equal">
      <formula>"H"</formula>
    </cfRule>
  </conditionalFormatting>
  <conditionalFormatting sqref="D254:AF254">
    <cfRule type="cellIs" dxfId="575" priority="463" operator="equal">
      <formula>"SP"</formula>
    </cfRule>
    <cfRule type="cellIs" dxfId="574" priority="464" operator="equal">
      <formula>"."</formula>
    </cfRule>
  </conditionalFormatting>
  <conditionalFormatting sqref="D256:AF256">
    <cfRule type="cellIs" dxfId="573" priority="458" operator="equal">
      <formula>"AL"</formula>
    </cfRule>
    <cfRule type="cellIs" dxfId="572" priority="459" operator="equal">
      <formula>"NA"</formula>
    </cfRule>
    <cfRule type="cellIs" dxfId="571" priority="460" operator="equal">
      <formula>"SL"</formula>
    </cfRule>
    <cfRule type="cellIs" dxfId="570" priority="461" stopIfTrue="1" operator="equal">
      <formula>"X"</formula>
    </cfRule>
    <cfRule type="cellIs" dxfId="569" priority="462" operator="equal">
      <formula>"H"</formula>
    </cfRule>
  </conditionalFormatting>
  <conditionalFormatting sqref="D256:AF256">
    <cfRule type="cellIs" dxfId="568" priority="456" operator="equal">
      <formula>"SP"</formula>
    </cfRule>
    <cfRule type="cellIs" dxfId="567" priority="457" operator="equal">
      <formula>"."</formula>
    </cfRule>
  </conditionalFormatting>
  <conditionalFormatting sqref="D258:AF259">
    <cfRule type="cellIs" dxfId="566" priority="451" operator="equal">
      <formula>"AL"</formula>
    </cfRule>
    <cfRule type="cellIs" dxfId="565" priority="452" operator="equal">
      <formula>"NA"</formula>
    </cfRule>
    <cfRule type="cellIs" dxfId="564" priority="453" operator="equal">
      <formula>"SL"</formula>
    </cfRule>
    <cfRule type="cellIs" dxfId="563" priority="454" stopIfTrue="1" operator="equal">
      <formula>"X"</formula>
    </cfRule>
    <cfRule type="cellIs" dxfId="562" priority="455" operator="equal">
      <formula>"H"</formula>
    </cfRule>
  </conditionalFormatting>
  <conditionalFormatting sqref="D258:AF259">
    <cfRule type="cellIs" dxfId="561" priority="449" operator="equal">
      <formula>"SP"</formula>
    </cfRule>
    <cfRule type="cellIs" dxfId="560" priority="450" operator="equal">
      <formula>"."</formula>
    </cfRule>
  </conditionalFormatting>
  <conditionalFormatting sqref="D274:AH274">
    <cfRule type="cellIs" dxfId="559" priority="444" operator="equal">
      <formula>"AL"</formula>
    </cfRule>
    <cfRule type="cellIs" dxfId="558" priority="445" operator="equal">
      <formula>"NA"</formula>
    </cfRule>
    <cfRule type="cellIs" dxfId="557" priority="446" operator="equal">
      <formula>"SL"</formula>
    </cfRule>
    <cfRule type="cellIs" dxfId="556" priority="447" stopIfTrue="1" operator="equal">
      <formula>"X"</formula>
    </cfRule>
    <cfRule type="cellIs" dxfId="555" priority="448" operator="equal">
      <formula>"H"</formula>
    </cfRule>
  </conditionalFormatting>
  <conditionalFormatting sqref="D274:AH274">
    <cfRule type="cellIs" dxfId="554" priority="442" operator="equal">
      <formula>"SP"</formula>
    </cfRule>
    <cfRule type="cellIs" dxfId="553" priority="443" operator="equal">
      <formula>"."</formula>
    </cfRule>
  </conditionalFormatting>
  <conditionalFormatting sqref="D276:AH276">
    <cfRule type="cellIs" dxfId="552" priority="437" operator="equal">
      <formula>"AL"</formula>
    </cfRule>
    <cfRule type="cellIs" dxfId="551" priority="438" operator="equal">
      <formula>"NA"</formula>
    </cfRule>
    <cfRule type="cellIs" dxfId="550" priority="439" operator="equal">
      <formula>"SL"</formula>
    </cfRule>
    <cfRule type="cellIs" dxfId="549" priority="440" stopIfTrue="1" operator="equal">
      <formula>"X"</formula>
    </cfRule>
    <cfRule type="cellIs" dxfId="548" priority="441" operator="equal">
      <formula>"H"</formula>
    </cfRule>
  </conditionalFormatting>
  <conditionalFormatting sqref="D276:AH276">
    <cfRule type="cellIs" dxfId="547" priority="435" operator="equal">
      <formula>"SP"</formula>
    </cfRule>
    <cfRule type="cellIs" dxfId="546" priority="436" operator="equal">
      <formula>"."</formula>
    </cfRule>
  </conditionalFormatting>
  <conditionalFormatting sqref="D278:AH278">
    <cfRule type="cellIs" dxfId="545" priority="430" operator="equal">
      <formula>"AL"</formula>
    </cfRule>
    <cfRule type="cellIs" dxfId="544" priority="431" operator="equal">
      <formula>"NA"</formula>
    </cfRule>
    <cfRule type="cellIs" dxfId="543" priority="432" operator="equal">
      <formula>"SL"</formula>
    </cfRule>
    <cfRule type="cellIs" dxfId="542" priority="433" stopIfTrue="1" operator="equal">
      <formula>"X"</formula>
    </cfRule>
    <cfRule type="cellIs" dxfId="541" priority="434" operator="equal">
      <formula>"H"</formula>
    </cfRule>
  </conditionalFormatting>
  <conditionalFormatting sqref="D278:AH278">
    <cfRule type="cellIs" dxfId="540" priority="428" operator="equal">
      <formula>"SP"</formula>
    </cfRule>
    <cfRule type="cellIs" dxfId="539" priority="429" operator="equal">
      <formula>"."</formula>
    </cfRule>
  </conditionalFormatting>
  <conditionalFormatting sqref="D280:AH280">
    <cfRule type="cellIs" dxfId="538" priority="423" operator="equal">
      <formula>"AL"</formula>
    </cfRule>
    <cfRule type="cellIs" dxfId="537" priority="424" operator="equal">
      <formula>"NA"</formula>
    </cfRule>
    <cfRule type="cellIs" dxfId="536" priority="425" operator="equal">
      <formula>"SL"</formula>
    </cfRule>
    <cfRule type="cellIs" dxfId="535" priority="426" stopIfTrue="1" operator="equal">
      <formula>"X"</formula>
    </cfRule>
    <cfRule type="cellIs" dxfId="534" priority="427" operator="equal">
      <formula>"H"</formula>
    </cfRule>
  </conditionalFormatting>
  <conditionalFormatting sqref="D280:AH280">
    <cfRule type="cellIs" dxfId="533" priority="421" operator="equal">
      <formula>"SP"</formula>
    </cfRule>
    <cfRule type="cellIs" dxfId="532" priority="422" operator="equal">
      <formula>"."</formula>
    </cfRule>
  </conditionalFormatting>
  <conditionalFormatting sqref="D282:AH282">
    <cfRule type="cellIs" dxfId="531" priority="416" operator="equal">
      <formula>"AL"</formula>
    </cfRule>
    <cfRule type="cellIs" dxfId="530" priority="417" operator="equal">
      <formula>"NA"</formula>
    </cfRule>
    <cfRule type="cellIs" dxfId="529" priority="418" operator="equal">
      <formula>"SL"</formula>
    </cfRule>
    <cfRule type="cellIs" dxfId="528" priority="419" stopIfTrue="1" operator="equal">
      <formula>"X"</formula>
    </cfRule>
    <cfRule type="cellIs" dxfId="527" priority="420" operator="equal">
      <formula>"H"</formula>
    </cfRule>
  </conditionalFormatting>
  <conditionalFormatting sqref="D282:AH282">
    <cfRule type="cellIs" dxfId="526" priority="414" operator="equal">
      <formula>"SP"</formula>
    </cfRule>
    <cfRule type="cellIs" dxfId="525" priority="415" operator="equal">
      <formula>"."</formula>
    </cfRule>
  </conditionalFormatting>
  <conditionalFormatting sqref="D284:AH284">
    <cfRule type="cellIs" dxfId="524" priority="409" operator="equal">
      <formula>"AL"</formula>
    </cfRule>
    <cfRule type="cellIs" dxfId="523" priority="410" operator="equal">
      <formula>"NA"</formula>
    </cfRule>
    <cfRule type="cellIs" dxfId="522" priority="411" operator="equal">
      <formula>"SL"</formula>
    </cfRule>
    <cfRule type="cellIs" dxfId="521" priority="412" stopIfTrue="1" operator="equal">
      <formula>"X"</formula>
    </cfRule>
    <cfRule type="cellIs" dxfId="520" priority="413" operator="equal">
      <formula>"H"</formula>
    </cfRule>
  </conditionalFormatting>
  <conditionalFormatting sqref="D284:AH284">
    <cfRule type="cellIs" dxfId="519" priority="407" operator="equal">
      <formula>"SP"</formula>
    </cfRule>
    <cfRule type="cellIs" dxfId="518" priority="408" operator="equal">
      <formula>"."</formula>
    </cfRule>
  </conditionalFormatting>
  <conditionalFormatting sqref="D286:AH286">
    <cfRule type="cellIs" dxfId="517" priority="402" operator="equal">
      <formula>"AL"</formula>
    </cfRule>
    <cfRule type="cellIs" dxfId="516" priority="403" operator="equal">
      <formula>"NA"</formula>
    </cfRule>
    <cfRule type="cellIs" dxfId="515" priority="404" operator="equal">
      <formula>"SL"</formula>
    </cfRule>
    <cfRule type="cellIs" dxfId="514" priority="405" stopIfTrue="1" operator="equal">
      <formula>"X"</formula>
    </cfRule>
    <cfRule type="cellIs" dxfId="513" priority="406" operator="equal">
      <formula>"H"</formula>
    </cfRule>
  </conditionalFormatting>
  <conditionalFormatting sqref="D286:AH286">
    <cfRule type="cellIs" dxfId="512" priority="400" operator="equal">
      <formula>"SP"</formula>
    </cfRule>
    <cfRule type="cellIs" dxfId="511" priority="401" operator="equal">
      <formula>"."</formula>
    </cfRule>
  </conditionalFormatting>
  <conditionalFormatting sqref="D288:AH288">
    <cfRule type="cellIs" dxfId="510" priority="395" operator="equal">
      <formula>"AL"</formula>
    </cfRule>
    <cfRule type="cellIs" dxfId="509" priority="396" operator="equal">
      <formula>"NA"</formula>
    </cfRule>
    <cfRule type="cellIs" dxfId="508" priority="397" operator="equal">
      <formula>"SL"</formula>
    </cfRule>
    <cfRule type="cellIs" dxfId="507" priority="398" stopIfTrue="1" operator="equal">
      <formula>"X"</formula>
    </cfRule>
    <cfRule type="cellIs" dxfId="506" priority="399" operator="equal">
      <formula>"H"</formula>
    </cfRule>
  </conditionalFormatting>
  <conditionalFormatting sqref="D288:AH288">
    <cfRule type="cellIs" dxfId="505" priority="393" operator="equal">
      <formula>"SP"</formula>
    </cfRule>
    <cfRule type="cellIs" dxfId="504" priority="394" operator="equal">
      <formula>"."</formula>
    </cfRule>
  </conditionalFormatting>
  <conditionalFormatting sqref="D275:AH275">
    <cfRule type="cellIs" dxfId="503" priority="388" operator="equal">
      <formula>"AL"</formula>
    </cfRule>
    <cfRule type="cellIs" dxfId="502" priority="389" operator="equal">
      <formula>"NA"</formula>
    </cfRule>
    <cfRule type="cellIs" dxfId="501" priority="390" operator="equal">
      <formula>"SL"</formula>
    </cfRule>
    <cfRule type="cellIs" dxfId="500" priority="391" stopIfTrue="1" operator="equal">
      <formula>"X"</formula>
    </cfRule>
    <cfRule type="cellIs" dxfId="499" priority="392" operator="equal">
      <formula>"H"</formula>
    </cfRule>
  </conditionalFormatting>
  <conditionalFormatting sqref="D275:AH275">
    <cfRule type="cellIs" dxfId="498" priority="386" operator="equal">
      <formula>"SP"</formula>
    </cfRule>
    <cfRule type="cellIs" dxfId="497" priority="387" operator="equal">
      <formula>"."</formula>
    </cfRule>
  </conditionalFormatting>
  <conditionalFormatting sqref="D277:AH277">
    <cfRule type="cellIs" dxfId="496" priority="381" operator="equal">
      <formula>"AL"</formula>
    </cfRule>
    <cfRule type="cellIs" dxfId="495" priority="382" operator="equal">
      <formula>"NA"</formula>
    </cfRule>
    <cfRule type="cellIs" dxfId="494" priority="383" operator="equal">
      <formula>"SL"</formula>
    </cfRule>
    <cfRule type="cellIs" dxfId="493" priority="384" stopIfTrue="1" operator="equal">
      <formula>"X"</formula>
    </cfRule>
    <cfRule type="cellIs" dxfId="492" priority="385" operator="equal">
      <formula>"H"</formula>
    </cfRule>
  </conditionalFormatting>
  <conditionalFormatting sqref="D277:AH277">
    <cfRule type="cellIs" dxfId="491" priority="379" operator="equal">
      <formula>"SP"</formula>
    </cfRule>
    <cfRule type="cellIs" dxfId="490" priority="380" operator="equal">
      <formula>"."</formula>
    </cfRule>
  </conditionalFormatting>
  <conditionalFormatting sqref="D279:AH279">
    <cfRule type="cellIs" dxfId="489" priority="374" operator="equal">
      <formula>"AL"</formula>
    </cfRule>
    <cfRule type="cellIs" dxfId="488" priority="375" operator="equal">
      <formula>"NA"</formula>
    </cfRule>
    <cfRule type="cellIs" dxfId="487" priority="376" operator="equal">
      <formula>"SL"</formula>
    </cfRule>
    <cfRule type="cellIs" dxfId="486" priority="377" stopIfTrue="1" operator="equal">
      <formula>"X"</formula>
    </cfRule>
    <cfRule type="cellIs" dxfId="485" priority="378" operator="equal">
      <formula>"H"</formula>
    </cfRule>
  </conditionalFormatting>
  <conditionalFormatting sqref="D279:AH279">
    <cfRule type="cellIs" dxfId="484" priority="372" operator="equal">
      <formula>"SP"</formula>
    </cfRule>
    <cfRule type="cellIs" dxfId="483" priority="373" operator="equal">
      <formula>"."</formula>
    </cfRule>
  </conditionalFormatting>
  <conditionalFormatting sqref="D281:AH281">
    <cfRule type="cellIs" dxfId="482" priority="367" operator="equal">
      <formula>"AL"</formula>
    </cfRule>
    <cfRule type="cellIs" dxfId="481" priority="368" operator="equal">
      <formula>"NA"</formula>
    </cfRule>
    <cfRule type="cellIs" dxfId="480" priority="369" operator="equal">
      <formula>"SL"</formula>
    </cfRule>
    <cfRule type="cellIs" dxfId="479" priority="370" stopIfTrue="1" operator="equal">
      <formula>"X"</formula>
    </cfRule>
    <cfRule type="cellIs" dxfId="478" priority="371" operator="equal">
      <formula>"H"</formula>
    </cfRule>
  </conditionalFormatting>
  <conditionalFormatting sqref="D281:AH281">
    <cfRule type="cellIs" dxfId="477" priority="365" operator="equal">
      <formula>"SP"</formula>
    </cfRule>
    <cfRule type="cellIs" dxfId="476" priority="366" operator="equal">
      <formula>"."</formula>
    </cfRule>
  </conditionalFormatting>
  <conditionalFormatting sqref="D283:AH283">
    <cfRule type="cellIs" dxfId="475" priority="360" operator="equal">
      <formula>"AL"</formula>
    </cfRule>
    <cfRule type="cellIs" dxfId="474" priority="361" operator="equal">
      <formula>"NA"</formula>
    </cfRule>
    <cfRule type="cellIs" dxfId="473" priority="362" operator="equal">
      <formula>"SL"</formula>
    </cfRule>
    <cfRule type="cellIs" dxfId="472" priority="363" stopIfTrue="1" operator="equal">
      <formula>"X"</formula>
    </cfRule>
    <cfRule type="cellIs" dxfId="471" priority="364" operator="equal">
      <formula>"H"</formula>
    </cfRule>
  </conditionalFormatting>
  <conditionalFormatting sqref="D283:AH283">
    <cfRule type="cellIs" dxfId="470" priority="358" operator="equal">
      <formula>"SP"</formula>
    </cfRule>
    <cfRule type="cellIs" dxfId="469" priority="359" operator="equal">
      <formula>"."</formula>
    </cfRule>
  </conditionalFormatting>
  <conditionalFormatting sqref="D285:AH285">
    <cfRule type="cellIs" dxfId="468" priority="353" operator="equal">
      <formula>"AL"</formula>
    </cfRule>
    <cfRule type="cellIs" dxfId="467" priority="354" operator="equal">
      <formula>"NA"</formula>
    </cfRule>
    <cfRule type="cellIs" dxfId="466" priority="355" operator="equal">
      <formula>"SL"</formula>
    </cfRule>
    <cfRule type="cellIs" dxfId="465" priority="356" stopIfTrue="1" operator="equal">
      <formula>"X"</formula>
    </cfRule>
    <cfRule type="cellIs" dxfId="464" priority="357" operator="equal">
      <formula>"H"</formula>
    </cfRule>
  </conditionalFormatting>
  <conditionalFormatting sqref="D285:AH285">
    <cfRule type="cellIs" dxfId="463" priority="351" operator="equal">
      <formula>"SP"</formula>
    </cfRule>
    <cfRule type="cellIs" dxfId="462" priority="352" operator="equal">
      <formula>"."</formula>
    </cfRule>
  </conditionalFormatting>
  <conditionalFormatting sqref="D287:AH287">
    <cfRule type="cellIs" dxfId="461" priority="346" operator="equal">
      <formula>"AL"</formula>
    </cfRule>
    <cfRule type="cellIs" dxfId="460" priority="347" operator="equal">
      <formula>"NA"</formula>
    </cfRule>
    <cfRule type="cellIs" dxfId="459" priority="348" operator="equal">
      <formula>"SL"</formula>
    </cfRule>
    <cfRule type="cellIs" dxfId="458" priority="349" stopIfTrue="1" operator="equal">
      <formula>"X"</formula>
    </cfRule>
    <cfRule type="cellIs" dxfId="457" priority="350" operator="equal">
      <formula>"H"</formula>
    </cfRule>
  </conditionalFormatting>
  <conditionalFormatting sqref="D287:AH287">
    <cfRule type="cellIs" dxfId="456" priority="344" operator="equal">
      <formula>"SP"</formula>
    </cfRule>
    <cfRule type="cellIs" dxfId="455" priority="345" operator="equal">
      <formula>"."</formula>
    </cfRule>
  </conditionalFormatting>
  <conditionalFormatting sqref="D289:AH289">
    <cfRule type="cellIs" dxfId="454" priority="339" operator="equal">
      <formula>"AL"</formula>
    </cfRule>
    <cfRule type="cellIs" dxfId="453" priority="340" operator="equal">
      <formula>"NA"</formula>
    </cfRule>
    <cfRule type="cellIs" dxfId="452" priority="341" operator="equal">
      <formula>"SL"</formula>
    </cfRule>
    <cfRule type="cellIs" dxfId="451" priority="342" stopIfTrue="1" operator="equal">
      <formula>"X"</formula>
    </cfRule>
    <cfRule type="cellIs" dxfId="450" priority="343" operator="equal">
      <formula>"H"</formula>
    </cfRule>
  </conditionalFormatting>
  <conditionalFormatting sqref="D289:AH289">
    <cfRule type="cellIs" dxfId="449" priority="337" operator="equal">
      <formula>"SP"</formula>
    </cfRule>
    <cfRule type="cellIs" dxfId="448" priority="338" operator="equal">
      <formula>"."</formula>
    </cfRule>
  </conditionalFormatting>
  <conditionalFormatting sqref="D320:AG320">
    <cfRule type="cellIs" dxfId="447" priority="225" operator="equal">
      <formula>"SP"</formula>
    </cfRule>
    <cfRule type="cellIs" dxfId="446" priority="226" operator="equal">
      <formula>"."</formula>
    </cfRule>
  </conditionalFormatting>
  <conditionalFormatting sqref="D305:AG305">
    <cfRule type="cellIs" dxfId="445" priority="332" operator="equal">
      <formula>"AL"</formula>
    </cfRule>
    <cfRule type="cellIs" dxfId="444" priority="333" operator="equal">
      <formula>"NA"</formula>
    </cfRule>
    <cfRule type="cellIs" dxfId="443" priority="334" operator="equal">
      <formula>"SL"</formula>
    </cfRule>
    <cfRule type="cellIs" dxfId="442" priority="335" stopIfTrue="1" operator="equal">
      <formula>"X"</formula>
    </cfRule>
    <cfRule type="cellIs" dxfId="441" priority="336" operator="equal">
      <formula>"H"</formula>
    </cfRule>
  </conditionalFormatting>
  <conditionalFormatting sqref="D305:AG305">
    <cfRule type="cellIs" dxfId="440" priority="330" operator="equal">
      <formula>"SP"</formula>
    </cfRule>
    <cfRule type="cellIs" dxfId="439" priority="331" operator="equal">
      <formula>"."</formula>
    </cfRule>
  </conditionalFormatting>
  <conditionalFormatting sqref="D307:AG307">
    <cfRule type="cellIs" dxfId="438" priority="325" operator="equal">
      <formula>"AL"</formula>
    </cfRule>
    <cfRule type="cellIs" dxfId="437" priority="326" operator="equal">
      <formula>"NA"</formula>
    </cfRule>
    <cfRule type="cellIs" dxfId="436" priority="327" operator="equal">
      <formula>"SL"</formula>
    </cfRule>
    <cfRule type="cellIs" dxfId="435" priority="328" stopIfTrue="1" operator="equal">
      <formula>"X"</formula>
    </cfRule>
    <cfRule type="cellIs" dxfId="434" priority="329" operator="equal">
      <formula>"H"</formula>
    </cfRule>
  </conditionalFormatting>
  <conditionalFormatting sqref="D307:AG307">
    <cfRule type="cellIs" dxfId="433" priority="323" operator="equal">
      <formula>"SP"</formula>
    </cfRule>
    <cfRule type="cellIs" dxfId="432" priority="324" operator="equal">
      <formula>"."</formula>
    </cfRule>
  </conditionalFormatting>
  <conditionalFormatting sqref="D309:AG309">
    <cfRule type="cellIs" dxfId="431" priority="318" operator="equal">
      <formula>"AL"</formula>
    </cfRule>
    <cfRule type="cellIs" dxfId="430" priority="319" operator="equal">
      <formula>"NA"</formula>
    </cfRule>
    <cfRule type="cellIs" dxfId="429" priority="320" operator="equal">
      <formula>"SL"</formula>
    </cfRule>
    <cfRule type="cellIs" dxfId="428" priority="321" stopIfTrue="1" operator="equal">
      <formula>"X"</formula>
    </cfRule>
    <cfRule type="cellIs" dxfId="427" priority="322" operator="equal">
      <formula>"H"</formula>
    </cfRule>
  </conditionalFormatting>
  <conditionalFormatting sqref="D309:AG309">
    <cfRule type="cellIs" dxfId="426" priority="316" operator="equal">
      <formula>"SP"</formula>
    </cfRule>
    <cfRule type="cellIs" dxfId="425" priority="317" operator="equal">
      <formula>"."</formula>
    </cfRule>
  </conditionalFormatting>
  <conditionalFormatting sqref="D311:AG311">
    <cfRule type="cellIs" dxfId="424" priority="311" operator="equal">
      <formula>"AL"</formula>
    </cfRule>
    <cfRule type="cellIs" dxfId="423" priority="312" operator="equal">
      <formula>"NA"</formula>
    </cfRule>
    <cfRule type="cellIs" dxfId="422" priority="313" operator="equal">
      <formula>"SL"</formula>
    </cfRule>
    <cfRule type="cellIs" dxfId="421" priority="314" stopIfTrue="1" operator="equal">
      <formula>"X"</formula>
    </cfRule>
    <cfRule type="cellIs" dxfId="420" priority="315" operator="equal">
      <formula>"H"</formula>
    </cfRule>
  </conditionalFormatting>
  <conditionalFormatting sqref="D311:AG311">
    <cfRule type="cellIs" dxfId="419" priority="309" operator="equal">
      <formula>"SP"</formula>
    </cfRule>
    <cfRule type="cellIs" dxfId="418" priority="310" operator="equal">
      <formula>"."</formula>
    </cfRule>
  </conditionalFormatting>
  <conditionalFormatting sqref="D313:AG313">
    <cfRule type="cellIs" dxfId="417" priority="304" operator="equal">
      <formula>"AL"</formula>
    </cfRule>
    <cfRule type="cellIs" dxfId="416" priority="305" operator="equal">
      <formula>"NA"</formula>
    </cfRule>
    <cfRule type="cellIs" dxfId="415" priority="306" operator="equal">
      <formula>"SL"</formula>
    </cfRule>
    <cfRule type="cellIs" dxfId="414" priority="307" stopIfTrue="1" operator="equal">
      <formula>"X"</formula>
    </cfRule>
    <cfRule type="cellIs" dxfId="413" priority="308" operator="equal">
      <formula>"H"</formula>
    </cfRule>
  </conditionalFormatting>
  <conditionalFormatting sqref="D313:AG313">
    <cfRule type="cellIs" dxfId="412" priority="302" operator="equal">
      <formula>"SP"</formula>
    </cfRule>
    <cfRule type="cellIs" dxfId="411" priority="303" operator="equal">
      <formula>"."</formula>
    </cfRule>
  </conditionalFormatting>
  <conditionalFormatting sqref="D315:AG315">
    <cfRule type="cellIs" dxfId="410" priority="297" operator="equal">
      <formula>"AL"</formula>
    </cfRule>
    <cfRule type="cellIs" dxfId="409" priority="298" operator="equal">
      <formula>"NA"</formula>
    </cfRule>
    <cfRule type="cellIs" dxfId="408" priority="299" operator="equal">
      <formula>"SL"</formula>
    </cfRule>
    <cfRule type="cellIs" dxfId="407" priority="300" stopIfTrue="1" operator="equal">
      <formula>"X"</formula>
    </cfRule>
    <cfRule type="cellIs" dxfId="406" priority="301" operator="equal">
      <formula>"H"</formula>
    </cfRule>
  </conditionalFormatting>
  <conditionalFormatting sqref="D315:AG315">
    <cfRule type="cellIs" dxfId="405" priority="295" operator="equal">
      <formula>"SP"</formula>
    </cfRule>
    <cfRule type="cellIs" dxfId="404" priority="296" operator="equal">
      <formula>"."</formula>
    </cfRule>
  </conditionalFormatting>
  <conditionalFormatting sqref="D317:AG317">
    <cfRule type="cellIs" dxfId="403" priority="290" operator="equal">
      <formula>"AL"</formula>
    </cfRule>
    <cfRule type="cellIs" dxfId="402" priority="291" operator="equal">
      <formula>"NA"</formula>
    </cfRule>
    <cfRule type="cellIs" dxfId="401" priority="292" operator="equal">
      <formula>"SL"</formula>
    </cfRule>
    <cfRule type="cellIs" dxfId="400" priority="293" stopIfTrue="1" operator="equal">
      <formula>"X"</formula>
    </cfRule>
    <cfRule type="cellIs" dxfId="399" priority="294" operator="equal">
      <formula>"H"</formula>
    </cfRule>
  </conditionalFormatting>
  <conditionalFormatting sqref="D317:AG317">
    <cfRule type="cellIs" dxfId="398" priority="288" operator="equal">
      <formula>"SP"</formula>
    </cfRule>
    <cfRule type="cellIs" dxfId="397" priority="289" operator="equal">
      <formula>"."</formula>
    </cfRule>
  </conditionalFormatting>
  <conditionalFormatting sqref="D319:AG319">
    <cfRule type="cellIs" dxfId="396" priority="283" operator="equal">
      <formula>"AL"</formula>
    </cfRule>
    <cfRule type="cellIs" dxfId="395" priority="284" operator="equal">
      <formula>"NA"</formula>
    </cfRule>
    <cfRule type="cellIs" dxfId="394" priority="285" operator="equal">
      <formula>"SL"</formula>
    </cfRule>
    <cfRule type="cellIs" dxfId="393" priority="286" stopIfTrue="1" operator="equal">
      <formula>"X"</formula>
    </cfRule>
    <cfRule type="cellIs" dxfId="392" priority="287" operator="equal">
      <formula>"H"</formula>
    </cfRule>
  </conditionalFormatting>
  <conditionalFormatting sqref="D319:AG319">
    <cfRule type="cellIs" dxfId="391" priority="281" operator="equal">
      <formula>"SP"</formula>
    </cfRule>
    <cfRule type="cellIs" dxfId="390" priority="282" operator="equal">
      <formula>"."</formula>
    </cfRule>
  </conditionalFormatting>
  <conditionalFormatting sqref="D306:AG306">
    <cfRule type="cellIs" dxfId="389" priority="276" operator="equal">
      <formula>"AL"</formula>
    </cfRule>
    <cfRule type="cellIs" dxfId="388" priority="277" operator="equal">
      <formula>"NA"</formula>
    </cfRule>
    <cfRule type="cellIs" dxfId="387" priority="278" operator="equal">
      <formula>"SL"</formula>
    </cfRule>
    <cfRule type="cellIs" dxfId="386" priority="279" stopIfTrue="1" operator="equal">
      <formula>"X"</formula>
    </cfRule>
    <cfRule type="cellIs" dxfId="385" priority="280" operator="equal">
      <formula>"H"</formula>
    </cfRule>
  </conditionalFormatting>
  <conditionalFormatting sqref="D306:AG306">
    <cfRule type="cellIs" dxfId="384" priority="274" operator="equal">
      <formula>"SP"</formula>
    </cfRule>
    <cfRule type="cellIs" dxfId="383" priority="275" operator="equal">
      <formula>"."</formula>
    </cfRule>
  </conditionalFormatting>
  <conditionalFormatting sqref="D308:AG308">
    <cfRule type="cellIs" dxfId="382" priority="269" operator="equal">
      <formula>"AL"</formula>
    </cfRule>
    <cfRule type="cellIs" dxfId="381" priority="270" operator="equal">
      <formula>"NA"</formula>
    </cfRule>
    <cfRule type="cellIs" dxfId="380" priority="271" operator="equal">
      <formula>"SL"</formula>
    </cfRule>
    <cfRule type="cellIs" dxfId="379" priority="272" stopIfTrue="1" operator="equal">
      <formula>"X"</formula>
    </cfRule>
    <cfRule type="cellIs" dxfId="378" priority="273" operator="equal">
      <formula>"H"</formula>
    </cfRule>
  </conditionalFormatting>
  <conditionalFormatting sqref="D308:AG308">
    <cfRule type="cellIs" dxfId="377" priority="267" operator="equal">
      <formula>"SP"</formula>
    </cfRule>
    <cfRule type="cellIs" dxfId="376" priority="268" operator="equal">
      <formula>"."</formula>
    </cfRule>
  </conditionalFormatting>
  <conditionalFormatting sqref="D310:AG310">
    <cfRule type="cellIs" dxfId="375" priority="262" operator="equal">
      <formula>"AL"</formula>
    </cfRule>
    <cfRule type="cellIs" dxfId="374" priority="263" operator="equal">
      <formula>"NA"</formula>
    </cfRule>
    <cfRule type="cellIs" dxfId="373" priority="264" operator="equal">
      <formula>"SL"</formula>
    </cfRule>
    <cfRule type="cellIs" dxfId="372" priority="265" stopIfTrue="1" operator="equal">
      <formula>"X"</formula>
    </cfRule>
    <cfRule type="cellIs" dxfId="371" priority="266" operator="equal">
      <formula>"H"</formula>
    </cfRule>
  </conditionalFormatting>
  <conditionalFormatting sqref="D310:AG310">
    <cfRule type="cellIs" dxfId="370" priority="260" operator="equal">
      <formula>"SP"</formula>
    </cfRule>
    <cfRule type="cellIs" dxfId="369" priority="261" operator="equal">
      <formula>"."</formula>
    </cfRule>
  </conditionalFormatting>
  <conditionalFormatting sqref="D312:AG312">
    <cfRule type="cellIs" dxfId="368" priority="255" operator="equal">
      <formula>"AL"</formula>
    </cfRule>
    <cfRule type="cellIs" dxfId="367" priority="256" operator="equal">
      <formula>"NA"</formula>
    </cfRule>
    <cfRule type="cellIs" dxfId="366" priority="257" operator="equal">
      <formula>"SL"</formula>
    </cfRule>
    <cfRule type="cellIs" dxfId="365" priority="258" stopIfTrue="1" operator="equal">
      <formula>"X"</formula>
    </cfRule>
    <cfRule type="cellIs" dxfId="364" priority="259" operator="equal">
      <formula>"H"</formula>
    </cfRule>
  </conditionalFormatting>
  <conditionalFormatting sqref="D312:AG312">
    <cfRule type="cellIs" dxfId="363" priority="253" operator="equal">
      <formula>"SP"</formula>
    </cfRule>
    <cfRule type="cellIs" dxfId="362" priority="254" operator="equal">
      <formula>"."</formula>
    </cfRule>
  </conditionalFormatting>
  <conditionalFormatting sqref="D314:AG314">
    <cfRule type="cellIs" dxfId="361" priority="248" operator="equal">
      <formula>"AL"</formula>
    </cfRule>
    <cfRule type="cellIs" dxfId="360" priority="249" operator="equal">
      <formula>"NA"</formula>
    </cfRule>
    <cfRule type="cellIs" dxfId="359" priority="250" operator="equal">
      <formula>"SL"</formula>
    </cfRule>
    <cfRule type="cellIs" dxfId="358" priority="251" stopIfTrue="1" operator="equal">
      <formula>"X"</formula>
    </cfRule>
    <cfRule type="cellIs" dxfId="357" priority="252" operator="equal">
      <formula>"H"</formula>
    </cfRule>
  </conditionalFormatting>
  <conditionalFormatting sqref="D314:AG314">
    <cfRule type="cellIs" dxfId="356" priority="246" operator="equal">
      <formula>"SP"</formula>
    </cfRule>
    <cfRule type="cellIs" dxfId="355" priority="247" operator="equal">
      <formula>"."</formula>
    </cfRule>
  </conditionalFormatting>
  <conditionalFormatting sqref="D316:AG316">
    <cfRule type="cellIs" dxfId="354" priority="241" operator="equal">
      <formula>"AL"</formula>
    </cfRule>
    <cfRule type="cellIs" dxfId="353" priority="242" operator="equal">
      <formula>"NA"</formula>
    </cfRule>
    <cfRule type="cellIs" dxfId="352" priority="243" operator="equal">
      <formula>"SL"</formula>
    </cfRule>
    <cfRule type="cellIs" dxfId="351" priority="244" stopIfTrue="1" operator="equal">
      <formula>"X"</formula>
    </cfRule>
    <cfRule type="cellIs" dxfId="350" priority="245" operator="equal">
      <formula>"H"</formula>
    </cfRule>
  </conditionalFormatting>
  <conditionalFormatting sqref="D316:AG316">
    <cfRule type="cellIs" dxfId="349" priority="239" operator="equal">
      <formula>"SP"</formula>
    </cfRule>
    <cfRule type="cellIs" dxfId="348" priority="240" operator="equal">
      <formula>"."</formula>
    </cfRule>
  </conditionalFormatting>
  <conditionalFormatting sqref="D318:AG318">
    <cfRule type="cellIs" dxfId="347" priority="234" operator="equal">
      <formula>"AL"</formula>
    </cfRule>
    <cfRule type="cellIs" dxfId="346" priority="235" operator="equal">
      <formula>"NA"</formula>
    </cfRule>
    <cfRule type="cellIs" dxfId="345" priority="236" operator="equal">
      <formula>"SL"</formula>
    </cfRule>
    <cfRule type="cellIs" dxfId="344" priority="237" stopIfTrue="1" operator="equal">
      <formula>"X"</formula>
    </cfRule>
    <cfRule type="cellIs" dxfId="343" priority="238" operator="equal">
      <formula>"H"</formula>
    </cfRule>
  </conditionalFormatting>
  <conditionalFormatting sqref="D318:AG318">
    <cfRule type="cellIs" dxfId="342" priority="232" operator="equal">
      <formula>"SP"</formula>
    </cfRule>
    <cfRule type="cellIs" dxfId="341" priority="233" operator="equal">
      <formula>"."</formula>
    </cfRule>
  </conditionalFormatting>
  <conditionalFormatting sqref="D320:AG320">
    <cfRule type="cellIs" dxfId="340" priority="227" operator="equal">
      <formula>"AL"</formula>
    </cfRule>
    <cfRule type="cellIs" dxfId="339" priority="228" operator="equal">
      <formula>"NA"</formula>
    </cfRule>
    <cfRule type="cellIs" dxfId="338" priority="229" operator="equal">
      <formula>"SL"</formula>
    </cfRule>
    <cfRule type="cellIs" dxfId="337" priority="230" stopIfTrue="1" operator="equal">
      <formula>"X"</formula>
    </cfRule>
    <cfRule type="cellIs" dxfId="336" priority="231" operator="equal">
      <formula>"H"</formula>
    </cfRule>
  </conditionalFormatting>
  <conditionalFormatting sqref="D336:AH336">
    <cfRule type="cellIs" dxfId="335" priority="220" operator="equal">
      <formula>"AL"</formula>
    </cfRule>
    <cfRule type="cellIs" dxfId="334" priority="221" operator="equal">
      <formula>"NA"</formula>
    </cfRule>
    <cfRule type="cellIs" dxfId="333" priority="222" operator="equal">
      <formula>"SL"</formula>
    </cfRule>
    <cfRule type="cellIs" dxfId="332" priority="223" stopIfTrue="1" operator="equal">
      <formula>"X"</formula>
    </cfRule>
    <cfRule type="cellIs" dxfId="331" priority="224" operator="equal">
      <formula>"H"</formula>
    </cfRule>
  </conditionalFormatting>
  <conditionalFormatting sqref="D336:AH336">
    <cfRule type="cellIs" dxfId="330" priority="218" operator="equal">
      <formula>"SP"</formula>
    </cfRule>
    <cfRule type="cellIs" dxfId="329" priority="219" operator="equal">
      <formula>"."</formula>
    </cfRule>
  </conditionalFormatting>
  <conditionalFormatting sqref="D338:AH338">
    <cfRule type="cellIs" dxfId="328" priority="213" operator="equal">
      <formula>"AL"</formula>
    </cfRule>
    <cfRule type="cellIs" dxfId="327" priority="214" operator="equal">
      <formula>"NA"</formula>
    </cfRule>
    <cfRule type="cellIs" dxfId="326" priority="215" operator="equal">
      <formula>"SL"</formula>
    </cfRule>
    <cfRule type="cellIs" dxfId="325" priority="216" stopIfTrue="1" operator="equal">
      <formula>"X"</formula>
    </cfRule>
    <cfRule type="cellIs" dxfId="324" priority="217" operator="equal">
      <formula>"H"</formula>
    </cfRule>
  </conditionalFormatting>
  <conditionalFormatting sqref="D338:AH338">
    <cfRule type="cellIs" dxfId="323" priority="211" operator="equal">
      <formula>"SP"</formula>
    </cfRule>
    <cfRule type="cellIs" dxfId="322" priority="212" operator="equal">
      <formula>"."</formula>
    </cfRule>
  </conditionalFormatting>
  <conditionalFormatting sqref="D340:AH340">
    <cfRule type="cellIs" dxfId="321" priority="206" operator="equal">
      <formula>"AL"</formula>
    </cfRule>
    <cfRule type="cellIs" dxfId="320" priority="207" operator="equal">
      <formula>"NA"</formula>
    </cfRule>
    <cfRule type="cellIs" dxfId="319" priority="208" operator="equal">
      <formula>"SL"</formula>
    </cfRule>
    <cfRule type="cellIs" dxfId="318" priority="209" stopIfTrue="1" operator="equal">
      <formula>"X"</formula>
    </cfRule>
    <cfRule type="cellIs" dxfId="317" priority="210" operator="equal">
      <formula>"H"</formula>
    </cfRule>
  </conditionalFormatting>
  <conditionalFormatting sqref="D340:AH340">
    <cfRule type="cellIs" dxfId="316" priority="204" operator="equal">
      <formula>"SP"</formula>
    </cfRule>
    <cfRule type="cellIs" dxfId="315" priority="205" operator="equal">
      <formula>"."</formula>
    </cfRule>
  </conditionalFormatting>
  <conditionalFormatting sqref="D342:AH342">
    <cfRule type="cellIs" dxfId="314" priority="199" operator="equal">
      <formula>"AL"</formula>
    </cfRule>
    <cfRule type="cellIs" dxfId="313" priority="200" operator="equal">
      <formula>"NA"</formula>
    </cfRule>
    <cfRule type="cellIs" dxfId="312" priority="201" operator="equal">
      <formula>"SL"</formula>
    </cfRule>
    <cfRule type="cellIs" dxfId="311" priority="202" stopIfTrue="1" operator="equal">
      <formula>"X"</formula>
    </cfRule>
    <cfRule type="cellIs" dxfId="310" priority="203" operator="equal">
      <formula>"H"</formula>
    </cfRule>
  </conditionalFormatting>
  <conditionalFormatting sqref="D342:AH342">
    <cfRule type="cellIs" dxfId="309" priority="197" operator="equal">
      <formula>"SP"</formula>
    </cfRule>
    <cfRule type="cellIs" dxfId="308" priority="198" operator="equal">
      <formula>"."</formula>
    </cfRule>
  </conditionalFormatting>
  <conditionalFormatting sqref="D344:AH344">
    <cfRule type="cellIs" dxfId="307" priority="192" operator="equal">
      <formula>"AL"</formula>
    </cfRule>
    <cfRule type="cellIs" dxfId="306" priority="193" operator="equal">
      <formula>"NA"</formula>
    </cfRule>
    <cfRule type="cellIs" dxfId="305" priority="194" operator="equal">
      <formula>"SL"</formula>
    </cfRule>
    <cfRule type="cellIs" dxfId="304" priority="195" stopIfTrue="1" operator="equal">
      <formula>"X"</formula>
    </cfRule>
    <cfRule type="cellIs" dxfId="303" priority="196" operator="equal">
      <formula>"H"</formula>
    </cfRule>
  </conditionalFormatting>
  <conditionalFormatting sqref="D344:AH344">
    <cfRule type="cellIs" dxfId="302" priority="190" operator="equal">
      <formula>"SP"</formula>
    </cfRule>
    <cfRule type="cellIs" dxfId="301" priority="191" operator="equal">
      <formula>"."</formula>
    </cfRule>
  </conditionalFormatting>
  <conditionalFormatting sqref="D346:AH346">
    <cfRule type="cellIs" dxfId="300" priority="185" operator="equal">
      <formula>"AL"</formula>
    </cfRule>
    <cfRule type="cellIs" dxfId="299" priority="186" operator="equal">
      <formula>"NA"</formula>
    </cfRule>
    <cfRule type="cellIs" dxfId="298" priority="187" operator="equal">
      <formula>"SL"</formula>
    </cfRule>
    <cfRule type="cellIs" dxfId="297" priority="188" stopIfTrue="1" operator="equal">
      <formula>"X"</formula>
    </cfRule>
    <cfRule type="cellIs" dxfId="296" priority="189" operator="equal">
      <formula>"H"</formula>
    </cfRule>
  </conditionalFormatting>
  <conditionalFormatting sqref="D346:AH346">
    <cfRule type="cellIs" dxfId="295" priority="183" operator="equal">
      <formula>"SP"</formula>
    </cfRule>
    <cfRule type="cellIs" dxfId="294" priority="184" operator="equal">
      <formula>"."</formula>
    </cfRule>
  </conditionalFormatting>
  <conditionalFormatting sqref="D348:AH348">
    <cfRule type="cellIs" dxfId="293" priority="178" operator="equal">
      <formula>"AL"</formula>
    </cfRule>
    <cfRule type="cellIs" dxfId="292" priority="179" operator="equal">
      <formula>"NA"</formula>
    </cfRule>
    <cfRule type="cellIs" dxfId="291" priority="180" operator="equal">
      <formula>"SL"</formula>
    </cfRule>
    <cfRule type="cellIs" dxfId="290" priority="181" stopIfTrue="1" operator="equal">
      <formula>"X"</formula>
    </cfRule>
    <cfRule type="cellIs" dxfId="289" priority="182" operator="equal">
      <formula>"H"</formula>
    </cfRule>
  </conditionalFormatting>
  <conditionalFormatting sqref="D348:AH348">
    <cfRule type="cellIs" dxfId="288" priority="176" operator="equal">
      <formula>"SP"</formula>
    </cfRule>
    <cfRule type="cellIs" dxfId="287" priority="177" operator="equal">
      <formula>"."</formula>
    </cfRule>
  </conditionalFormatting>
  <conditionalFormatting sqref="D350:AH350">
    <cfRule type="cellIs" dxfId="286" priority="171" operator="equal">
      <formula>"AL"</formula>
    </cfRule>
    <cfRule type="cellIs" dxfId="285" priority="172" operator="equal">
      <formula>"NA"</formula>
    </cfRule>
    <cfRule type="cellIs" dxfId="284" priority="173" operator="equal">
      <formula>"SL"</formula>
    </cfRule>
    <cfRule type="cellIs" dxfId="283" priority="174" stopIfTrue="1" operator="equal">
      <formula>"X"</formula>
    </cfRule>
    <cfRule type="cellIs" dxfId="282" priority="175" operator="equal">
      <formula>"H"</formula>
    </cfRule>
  </conditionalFormatting>
  <conditionalFormatting sqref="D350:AH350">
    <cfRule type="cellIs" dxfId="281" priority="169" operator="equal">
      <formula>"SP"</formula>
    </cfRule>
    <cfRule type="cellIs" dxfId="280" priority="170" operator="equal">
      <formula>"."</formula>
    </cfRule>
  </conditionalFormatting>
  <conditionalFormatting sqref="D337:AH337">
    <cfRule type="cellIs" dxfId="279" priority="164" operator="equal">
      <formula>"AL"</formula>
    </cfRule>
    <cfRule type="cellIs" dxfId="278" priority="165" operator="equal">
      <formula>"NA"</formula>
    </cfRule>
    <cfRule type="cellIs" dxfId="277" priority="166" operator="equal">
      <formula>"SL"</formula>
    </cfRule>
    <cfRule type="cellIs" dxfId="276" priority="167" stopIfTrue="1" operator="equal">
      <formula>"X"</formula>
    </cfRule>
    <cfRule type="cellIs" dxfId="275" priority="168" operator="equal">
      <formula>"H"</formula>
    </cfRule>
  </conditionalFormatting>
  <conditionalFormatting sqref="D337:AH337">
    <cfRule type="cellIs" dxfId="274" priority="162" operator="equal">
      <formula>"SP"</formula>
    </cfRule>
    <cfRule type="cellIs" dxfId="273" priority="163" operator="equal">
      <formula>"."</formula>
    </cfRule>
  </conditionalFormatting>
  <conditionalFormatting sqref="D339:AH339">
    <cfRule type="cellIs" dxfId="272" priority="157" operator="equal">
      <formula>"AL"</formula>
    </cfRule>
    <cfRule type="cellIs" dxfId="271" priority="158" operator="equal">
      <formula>"NA"</formula>
    </cfRule>
    <cfRule type="cellIs" dxfId="270" priority="159" operator="equal">
      <formula>"SL"</formula>
    </cfRule>
    <cfRule type="cellIs" dxfId="269" priority="160" stopIfTrue="1" operator="equal">
      <formula>"X"</formula>
    </cfRule>
    <cfRule type="cellIs" dxfId="268" priority="161" operator="equal">
      <formula>"H"</formula>
    </cfRule>
  </conditionalFormatting>
  <conditionalFormatting sqref="D339:AH339">
    <cfRule type="cellIs" dxfId="267" priority="155" operator="equal">
      <formula>"SP"</formula>
    </cfRule>
    <cfRule type="cellIs" dxfId="266" priority="156" operator="equal">
      <formula>"."</formula>
    </cfRule>
  </conditionalFormatting>
  <conditionalFormatting sqref="D341:AH341">
    <cfRule type="cellIs" dxfId="265" priority="150" operator="equal">
      <formula>"AL"</formula>
    </cfRule>
    <cfRule type="cellIs" dxfId="264" priority="151" operator="equal">
      <formula>"NA"</formula>
    </cfRule>
    <cfRule type="cellIs" dxfId="263" priority="152" operator="equal">
      <formula>"SL"</formula>
    </cfRule>
    <cfRule type="cellIs" dxfId="262" priority="153" stopIfTrue="1" operator="equal">
      <formula>"X"</formula>
    </cfRule>
    <cfRule type="cellIs" dxfId="261" priority="154" operator="equal">
      <formula>"H"</formula>
    </cfRule>
  </conditionalFormatting>
  <conditionalFormatting sqref="D341:AH341">
    <cfRule type="cellIs" dxfId="260" priority="148" operator="equal">
      <formula>"SP"</formula>
    </cfRule>
    <cfRule type="cellIs" dxfId="259" priority="149" operator="equal">
      <formula>"."</formula>
    </cfRule>
  </conditionalFormatting>
  <conditionalFormatting sqref="D343:AH343">
    <cfRule type="cellIs" dxfId="258" priority="143" operator="equal">
      <formula>"AL"</formula>
    </cfRule>
    <cfRule type="cellIs" dxfId="257" priority="144" operator="equal">
      <formula>"NA"</formula>
    </cfRule>
    <cfRule type="cellIs" dxfId="256" priority="145" operator="equal">
      <formula>"SL"</formula>
    </cfRule>
    <cfRule type="cellIs" dxfId="255" priority="146" stopIfTrue="1" operator="equal">
      <formula>"X"</formula>
    </cfRule>
    <cfRule type="cellIs" dxfId="254" priority="147" operator="equal">
      <formula>"H"</formula>
    </cfRule>
  </conditionalFormatting>
  <conditionalFormatting sqref="D343:AH343">
    <cfRule type="cellIs" dxfId="253" priority="141" operator="equal">
      <formula>"SP"</formula>
    </cfRule>
    <cfRule type="cellIs" dxfId="252" priority="142" operator="equal">
      <formula>"."</formula>
    </cfRule>
  </conditionalFormatting>
  <conditionalFormatting sqref="D345:AH345">
    <cfRule type="cellIs" dxfId="251" priority="136" operator="equal">
      <formula>"AL"</formula>
    </cfRule>
    <cfRule type="cellIs" dxfId="250" priority="137" operator="equal">
      <formula>"NA"</formula>
    </cfRule>
    <cfRule type="cellIs" dxfId="249" priority="138" operator="equal">
      <formula>"SL"</formula>
    </cfRule>
    <cfRule type="cellIs" dxfId="248" priority="139" stopIfTrue="1" operator="equal">
      <formula>"X"</formula>
    </cfRule>
    <cfRule type="cellIs" dxfId="247" priority="140" operator="equal">
      <formula>"H"</formula>
    </cfRule>
  </conditionalFormatting>
  <conditionalFormatting sqref="D345:AH345">
    <cfRule type="cellIs" dxfId="246" priority="134" operator="equal">
      <formula>"SP"</formula>
    </cfRule>
    <cfRule type="cellIs" dxfId="245" priority="135" operator="equal">
      <formula>"."</formula>
    </cfRule>
  </conditionalFormatting>
  <conditionalFormatting sqref="D347:AH347">
    <cfRule type="cellIs" dxfId="244" priority="129" operator="equal">
      <formula>"AL"</formula>
    </cfRule>
    <cfRule type="cellIs" dxfId="243" priority="130" operator="equal">
      <formula>"NA"</formula>
    </cfRule>
    <cfRule type="cellIs" dxfId="242" priority="131" operator="equal">
      <formula>"SL"</formula>
    </cfRule>
    <cfRule type="cellIs" dxfId="241" priority="132" stopIfTrue="1" operator="equal">
      <formula>"X"</formula>
    </cfRule>
    <cfRule type="cellIs" dxfId="240" priority="133" operator="equal">
      <formula>"H"</formula>
    </cfRule>
  </conditionalFormatting>
  <conditionalFormatting sqref="D347:AH347">
    <cfRule type="cellIs" dxfId="239" priority="127" operator="equal">
      <formula>"SP"</formula>
    </cfRule>
    <cfRule type="cellIs" dxfId="238" priority="128" operator="equal">
      <formula>"."</formula>
    </cfRule>
  </conditionalFormatting>
  <conditionalFormatting sqref="D349:AH349">
    <cfRule type="cellIs" dxfId="237" priority="122" operator="equal">
      <formula>"AL"</formula>
    </cfRule>
    <cfRule type="cellIs" dxfId="236" priority="123" operator="equal">
      <formula>"NA"</formula>
    </cfRule>
    <cfRule type="cellIs" dxfId="235" priority="124" operator="equal">
      <formula>"SL"</formula>
    </cfRule>
    <cfRule type="cellIs" dxfId="234" priority="125" stopIfTrue="1" operator="equal">
      <formula>"X"</formula>
    </cfRule>
    <cfRule type="cellIs" dxfId="233" priority="126" operator="equal">
      <formula>"H"</formula>
    </cfRule>
  </conditionalFormatting>
  <conditionalFormatting sqref="D349:AH349">
    <cfRule type="cellIs" dxfId="232" priority="120" operator="equal">
      <formula>"SP"</formula>
    </cfRule>
    <cfRule type="cellIs" dxfId="231" priority="121" operator="equal">
      <formula>"."</formula>
    </cfRule>
  </conditionalFormatting>
  <conditionalFormatting sqref="D351:AH351">
    <cfRule type="cellIs" dxfId="230" priority="115" operator="equal">
      <formula>"AL"</formula>
    </cfRule>
    <cfRule type="cellIs" dxfId="229" priority="116" operator="equal">
      <formula>"NA"</formula>
    </cfRule>
    <cfRule type="cellIs" dxfId="228" priority="117" operator="equal">
      <formula>"SL"</formula>
    </cfRule>
    <cfRule type="cellIs" dxfId="227" priority="118" stopIfTrue="1" operator="equal">
      <formula>"X"</formula>
    </cfRule>
    <cfRule type="cellIs" dxfId="226" priority="119" operator="equal">
      <formula>"H"</formula>
    </cfRule>
  </conditionalFormatting>
  <conditionalFormatting sqref="D351:AH351">
    <cfRule type="cellIs" dxfId="225" priority="113" operator="equal">
      <formula>"SP"</formula>
    </cfRule>
    <cfRule type="cellIs" dxfId="224" priority="114" operator="equal">
      <formula>"."</formula>
    </cfRule>
  </conditionalFormatting>
  <conditionalFormatting sqref="D382:AG382">
    <cfRule type="cellIs" dxfId="223" priority="1" operator="equal">
      <formula>"SP"</formula>
    </cfRule>
    <cfRule type="cellIs" dxfId="222" priority="2" operator="equal">
      <formula>"."</formula>
    </cfRule>
  </conditionalFormatting>
  <conditionalFormatting sqref="D367:AG367">
    <cfRule type="cellIs" dxfId="219" priority="108" operator="equal">
      <formula>"AL"</formula>
    </cfRule>
    <cfRule type="cellIs" dxfId="218" priority="109" operator="equal">
      <formula>"NA"</formula>
    </cfRule>
    <cfRule type="cellIs" dxfId="217" priority="110" operator="equal">
      <formula>"SL"</formula>
    </cfRule>
    <cfRule type="cellIs" dxfId="216" priority="111" stopIfTrue="1" operator="equal">
      <formula>"X"</formula>
    </cfRule>
    <cfRule type="cellIs" dxfId="215" priority="112" operator="equal">
      <formula>"H"</formula>
    </cfRule>
  </conditionalFormatting>
  <conditionalFormatting sqref="D367:AG367">
    <cfRule type="cellIs" dxfId="209" priority="106" operator="equal">
      <formula>"SP"</formula>
    </cfRule>
    <cfRule type="cellIs" dxfId="208" priority="107" operator="equal">
      <formula>"."</formula>
    </cfRule>
  </conditionalFormatting>
  <conditionalFormatting sqref="D369:AG369">
    <cfRule type="cellIs" dxfId="205" priority="101" operator="equal">
      <formula>"AL"</formula>
    </cfRule>
    <cfRule type="cellIs" dxfId="204" priority="102" operator="equal">
      <formula>"NA"</formula>
    </cfRule>
    <cfRule type="cellIs" dxfId="203" priority="103" operator="equal">
      <formula>"SL"</formula>
    </cfRule>
    <cfRule type="cellIs" dxfId="202" priority="104" stopIfTrue="1" operator="equal">
      <formula>"X"</formula>
    </cfRule>
    <cfRule type="cellIs" dxfId="201" priority="105" operator="equal">
      <formula>"H"</formula>
    </cfRule>
  </conditionalFormatting>
  <conditionalFormatting sqref="D369:AG369">
    <cfRule type="cellIs" dxfId="195" priority="99" operator="equal">
      <formula>"SP"</formula>
    </cfRule>
    <cfRule type="cellIs" dxfId="194" priority="100" operator="equal">
      <formula>"."</formula>
    </cfRule>
  </conditionalFormatting>
  <conditionalFormatting sqref="D371:AG371">
    <cfRule type="cellIs" dxfId="191" priority="94" operator="equal">
      <formula>"AL"</formula>
    </cfRule>
    <cfRule type="cellIs" dxfId="190" priority="95" operator="equal">
      <formula>"NA"</formula>
    </cfRule>
    <cfRule type="cellIs" dxfId="189" priority="96" operator="equal">
      <formula>"SL"</formula>
    </cfRule>
    <cfRule type="cellIs" dxfId="188" priority="97" stopIfTrue="1" operator="equal">
      <formula>"X"</formula>
    </cfRule>
    <cfRule type="cellIs" dxfId="187" priority="98" operator="equal">
      <formula>"H"</formula>
    </cfRule>
  </conditionalFormatting>
  <conditionalFormatting sqref="D371:AG371">
    <cfRule type="cellIs" dxfId="181" priority="92" operator="equal">
      <formula>"SP"</formula>
    </cfRule>
    <cfRule type="cellIs" dxfId="180" priority="93" operator="equal">
      <formula>"."</formula>
    </cfRule>
  </conditionalFormatting>
  <conditionalFormatting sqref="D373:AG373">
    <cfRule type="cellIs" dxfId="177" priority="87" operator="equal">
      <formula>"AL"</formula>
    </cfRule>
    <cfRule type="cellIs" dxfId="176" priority="88" operator="equal">
      <formula>"NA"</formula>
    </cfRule>
    <cfRule type="cellIs" dxfId="175" priority="89" operator="equal">
      <formula>"SL"</formula>
    </cfRule>
    <cfRule type="cellIs" dxfId="174" priority="90" stopIfTrue="1" operator="equal">
      <formula>"X"</formula>
    </cfRule>
    <cfRule type="cellIs" dxfId="173" priority="91" operator="equal">
      <formula>"H"</formula>
    </cfRule>
  </conditionalFormatting>
  <conditionalFormatting sqref="D373:AG373">
    <cfRule type="cellIs" dxfId="167" priority="85" operator="equal">
      <formula>"SP"</formula>
    </cfRule>
    <cfRule type="cellIs" dxfId="166" priority="86" operator="equal">
      <formula>"."</formula>
    </cfRule>
  </conditionalFormatting>
  <conditionalFormatting sqref="D375:AG375">
    <cfRule type="cellIs" dxfId="163" priority="80" operator="equal">
      <formula>"AL"</formula>
    </cfRule>
    <cfRule type="cellIs" dxfId="162" priority="81" operator="equal">
      <formula>"NA"</formula>
    </cfRule>
    <cfRule type="cellIs" dxfId="161" priority="82" operator="equal">
      <formula>"SL"</formula>
    </cfRule>
    <cfRule type="cellIs" dxfId="160" priority="83" stopIfTrue="1" operator="equal">
      <formula>"X"</formula>
    </cfRule>
    <cfRule type="cellIs" dxfId="159" priority="84" operator="equal">
      <formula>"H"</formula>
    </cfRule>
  </conditionalFormatting>
  <conditionalFormatting sqref="D375:AG375">
    <cfRule type="cellIs" dxfId="153" priority="78" operator="equal">
      <formula>"SP"</formula>
    </cfRule>
    <cfRule type="cellIs" dxfId="152" priority="79" operator="equal">
      <formula>"."</formula>
    </cfRule>
  </conditionalFormatting>
  <conditionalFormatting sqref="D377:AG377">
    <cfRule type="cellIs" dxfId="149" priority="73" operator="equal">
      <formula>"AL"</formula>
    </cfRule>
    <cfRule type="cellIs" dxfId="148" priority="74" operator="equal">
      <formula>"NA"</formula>
    </cfRule>
    <cfRule type="cellIs" dxfId="147" priority="75" operator="equal">
      <formula>"SL"</formula>
    </cfRule>
    <cfRule type="cellIs" dxfId="146" priority="76" stopIfTrue="1" operator="equal">
      <formula>"X"</formula>
    </cfRule>
    <cfRule type="cellIs" dxfId="145" priority="77" operator="equal">
      <formula>"H"</formula>
    </cfRule>
  </conditionalFormatting>
  <conditionalFormatting sqref="D377:AG377">
    <cfRule type="cellIs" dxfId="139" priority="71" operator="equal">
      <formula>"SP"</formula>
    </cfRule>
    <cfRule type="cellIs" dxfId="138" priority="72" operator="equal">
      <formula>"."</formula>
    </cfRule>
  </conditionalFormatting>
  <conditionalFormatting sqref="D379:AG379">
    <cfRule type="cellIs" dxfId="135" priority="66" operator="equal">
      <formula>"AL"</formula>
    </cfRule>
    <cfRule type="cellIs" dxfId="134" priority="67" operator="equal">
      <formula>"NA"</formula>
    </cfRule>
    <cfRule type="cellIs" dxfId="133" priority="68" operator="equal">
      <formula>"SL"</formula>
    </cfRule>
    <cfRule type="cellIs" dxfId="132" priority="69" stopIfTrue="1" operator="equal">
      <formula>"X"</formula>
    </cfRule>
    <cfRule type="cellIs" dxfId="131" priority="70" operator="equal">
      <formula>"H"</formula>
    </cfRule>
  </conditionalFormatting>
  <conditionalFormatting sqref="D379:AG379">
    <cfRule type="cellIs" dxfId="125" priority="64" operator="equal">
      <formula>"SP"</formula>
    </cfRule>
    <cfRule type="cellIs" dxfId="124" priority="65" operator="equal">
      <formula>"."</formula>
    </cfRule>
  </conditionalFormatting>
  <conditionalFormatting sqref="D381:AG381">
    <cfRule type="cellIs" dxfId="121" priority="59" operator="equal">
      <formula>"AL"</formula>
    </cfRule>
    <cfRule type="cellIs" dxfId="120" priority="60" operator="equal">
      <formula>"NA"</formula>
    </cfRule>
    <cfRule type="cellIs" dxfId="119" priority="61" operator="equal">
      <formula>"SL"</formula>
    </cfRule>
    <cfRule type="cellIs" dxfId="118" priority="62" stopIfTrue="1" operator="equal">
      <formula>"X"</formula>
    </cfRule>
    <cfRule type="cellIs" dxfId="117" priority="63" operator="equal">
      <formula>"H"</formula>
    </cfRule>
  </conditionalFormatting>
  <conditionalFormatting sqref="D381:AG381">
    <cfRule type="cellIs" dxfId="111" priority="57" operator="equal">
      <formula>"SP"</formula>
    </cfRule>
    <cfRule type="cellIs" dxfId="110" priority="58" operator="equal">
      <formula>"."</formula>
    </cfRule>
  </conditionalFormatting>
  <conditionalFormatting sqref="D368:AG368">
    <cfRule type="cellIs" dxfId="107" priority="52" operator="equal">
      <formula>"AL"</formula>
    </cfRule>
    <cfRule type="cellIs" dxfId="106" priority="53" operator="equal">
      <formula>"NA"</formula>
    </cfRule>
    <cfRule type="cellIs" dxfId="105" priority="54" operator="equal">
      <formula>"SL"</formula>
    </cfRule>
    <cfRule type="cellIs" dxfId="104" priority="55" stopIfTrue="1" operator="equal">
      <formula>"X"</formula>
    </cfRule>
    <cfRule type="cellIs" dxfId="103" priority="56" operator="equal">
      <formula>"H"</formula>
    </cfRule>
  </conditionalFormatting>
  <conditionalFormatting sqref="D368:AG368">
    <cfRule type="cellIs" dxfId="97" priority="50" operator="equal">
      <formula>"SP"</formula>
    </cfRule>
    <cfRule type="cellIs" dxfId="96" priority="51" operator="equal">
      <formula>"."</formula>
    </cfRule>
  </conditionalFormatting>
  <conditionalFormatting sqref="D370:AG370">
    <cfRule type="cellIs" dxfId="93" priority="45" operator="equal">
      <formula>"AL"</formula>
    </cfRule>
    <cfRule type="cellIs" dxfId="92" priority="46" operator="equal">
      <formula>"NA"</formula>
    </cfRule>
    <cfRule type="cellIs" dxfId="91" priority="47" operator="equal">
      <formula>"SL"</formula>
    </cfRule>
    <cfRule type="cellIs" dxfId="90" priority="48" stopIfTrue="1" operator="equal">
      <formula>"X"</formula>
    </cfRule>
    <cfRule type="cellIs" dxfId="89" priority="49" operator="equal">
      <formula>"H"</formula>
    </cfRule>
  </conditionalFormatting>
  <conditionalFormatting sqref="D370:AG370">
    <cfRule type="cellIs" dxfId="83" priority="43" operator="equal">
      <formula>"SP"</formula>
    </cfRule>
    <cfRule type="cellIs" dxfId="82" priority="44" operator="equal">
      <formula>"."</formula>
    </cfRule>
  </conditionalFormatting>
  <conditionalFormatting sqref="D372:AG372">
    <cfRule type="cellIs" dxfId="79" priority="38" operator="equal">
      <formula>"AL"</formula>
    </cfRule>
    <cfRule type="cellIs" dxfId="78" priority="39" operator="equal">
      <formula>"NA"</formula>
    </cfRule>
    <cfRule type="cellIs" dxfId="77" priority="40" operator="equal">
      <formula>"SL"</formula>
    </cfRule>
    <cfRule type="cellIs" dxfId="76" priority="41" stopIfTrue="1" operator="equal">
      <formula>"X"</formula>
    </cfRule>
    <cfRule type="cellIs" dxfId="75" priority="42" operator="equal">
      <formula>"H"</formula>
    </cfRule>
  </conditionalFormatting>
  <conditionalFormatting sqref="D372:AG372">
    <cfRule type="cellIs" dxfId="69" priority="36" operator="equal">
      <formula>"SP"</formula>
    </cfRule>
    <cfRule type="cellIs" dxfId="68" priority="37" operator="equal">
      <formula>"."</formula>
    </cfRule>
  </conditionalFormatting>
  <conditionalFormatting sqref="D374:AG374">
    <cfRule type="cellIs" dxfId="65" priority="31" operator="equal">
      <formula>"AL"</formula>
    </cfRule>
    <cfRule type="cellIs" dxfId="64" priority="32" operator="equal">
      <formula>"NA"</formula>
    </cfRule>
    <cfRule type="cellIs" dxfId="63" priority="33" operator="equal">
      <formula>"SL"</formula>
    </cfRule>
    <cfRule type="cellIs" dxfId="62" priority="34" stopIfTrue="1" operator="equal">
      <formula>"X"</formula>
    </cfRule>
    <cfRule type="cellIs" dxfId="61" priority="35" operator="equal">
      <formula>"H"</formula>
    </cfRule>
  </conditionalFormatting>
  <conditionalFormatting sqref="D374:AG374">
    <cfRule type="cellIs" dxfId="55" priority="29" operator="equal">
      <formula>"SP"</formula>
    </cfRule>
    <cfRule type="cellIs" dxfId="54" priority="30" operator="equal">
      <formula>"."</formula>
    </cfRule>
  </conditionalFormatting>
  <conditionalFormatting sqref="D376:AG376">
    <cfRule type="cellIs" dxfId="51" priority="24" operator="equal">
      <formula>"AL"</formula>
    </cfRule>
    <cfRule type="cellIs" dxfId="50" priority="25" operator="equal">
      <formula>"NA"</formula>
    </cfRule>
    <cfRule type="cellIs" dxfId="49" priority="26" operator="equal">
      <formula>"SL"</formula>
    </cfRule>
    <cfRule type="cellIs" dxfId="48" priority="27" stopIfTrue="1" operator="equal">
      <formula>"X"</formula>
    </cfRule>
    <cfRule type="cellIs" dxfId="47" priority="28" operator="equal">
      <formula>"H"</formula>
    </cfRule>
  </conditionalFormatting>
  <conditionalFormatting sqref="D376:AG376">
    <cfRule type="cellIs" dxfId="41" priority="22" operator="equal">
      <formula>"SP"</formula>
    </cfRule>
    <cfRule type="cellIs" dxfId="40" priority="23" operator="equal">
      <formula>"."</formula>
    </cfRule>
  </conditionalFormatting>
  <conditionalFormatting sqref="D378:AG378">
    <cfRule type="cellIs" dxfId="37" priority="17" operator="equal">
      <formula>"AL"</formula>
    </cfRule>
    <cfRule type="cellIs" dxfId="36" priority="18" operator="equal">
      <formula>"NA"</formula>
    </cfRule>
    <cfRule type="cellIs" dxfId="35" priority="19" operator="equal">
      <formula>"SL"</formula>
    </cfRule>
    <cfRule type="cellIs" dxfId="34" priority="20" stopIfTrue="1" operator="equal">
      <formula>"X"</formula>
    </cfRule>
    <cfRule type="cellIs" dxfId="33" priority="21" operator="equal">
      <formula>"H"</formula>
    </cfRule>
  </conditionalFormatting>
  <conditionalFormatting sqref="D378:AG378">
    <cfRule type="cellIs" dxfId="27" priority="15" operator="equal">
      <formula>"SP"</formula>
    </cfRule>
    <cfRule type="cellIs" dxfId="26" priority="16" operator="equal">
      <formula>"."</formula>
    </cfRule>
  </conditionalFormatting>
  <conditionalFormatting sqref="D380:AG380">
    <cfRule type="cellIs" dxfId="23" priority="10" operator="equal">
      <formula>"AL"</formula>
    </cfRule>
    <cfRule type="cellIs" dxfId="22" priority="11" operator="equal">
      <formula>"NA"</formula>
    </cfRule>
    <cfRule type="cellIs" dxfId="21" priority="12" operator="equal">
      <formula>"SL"</formula>
    </cfRule>
    <cfRule type="cellIs" dxfId="20" priority="13" stopIfTrue="1" operator="equal">
      <formula>"X"</formula>
    </cfRule>
    <cfRule type="cellIs" dxfId="19" priority="14" operator="equal">
      <formula>"H"</formula>
    </cfRule>
  </conditionalFormatting>
  <conditionalFormatting sqref="D380:AG380">
    <cfRule type="cellIs" dxfId="13" priority="8" operator="equal">
      <formula>"SP"</formula>
    </cfRule>
    <cfRule type="cellIs" dxfId="12" priority="9" operator="equal">
      <formula>"."</formula>
    </cfRule>
  </conditionalFormatting>
  <conditionalFormatting sqref="D382:AG382">
    <cfRule type="cellIs" dxfId="9" priority="3" operator="equal">
      <formula>"AL"</formula>
    </cfRule>
    <cfRule type="cellIs" dxfId="8" priority="4" operator="equal">
      <formula>"NA"</formula>
    </cfRule>
    <cfRule type="cellIs" dxfId="7" priority="5" operator="equal">
      <formula>"SL"</formula>
    </cfRule>
    <cfRule type="cellIs" dxfId="6" priority="6" stopIfTrue="1" operator="equal">
      <formula>"X"</formula>
    </cfRule>
    <cfRule type="cellIs" dxfId="5" priority="7" operator="equal">
      <formula>"H"</formula>
    </cfRule>
  </conditionalFormatting>
  <dataValidations count="4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00:AH227 D169:AH196 D262:AH289 D14:AH41 D45:AH72 D76:AG104 D107:AH134 D138:AG166 D231:AF259 D293:AG320 D324:AH351 D355:AG382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5"/>
  <sheetViews>
    <sheetView topLeftCell="A8" workbookViewId="0">
      <selection activeCell="G8" sqref="G8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6" t="s">
        <v>24</v>
      </c>
      <c r="D3" s="147" t="s">
        <v>53</v>
      </c>
    </row>
    <row r="4" spans="2:13">
      <c r="G4" s="20" t="s">
        <v>52</v>
      </c>
    </row>
    <row r="5" spans="2:13" ht="13.8" thickBot="1"/>
    <row r="6" spans="2:13" ht="14.4" customHeight="1" thickBot="1">
      <c r="B6" s="200" t="s">
        <v>0</v>
      </c>
      <c r="C6" s="201"/>
      <c r="D6" s="201"/>
      <c r="E6" s="202"/>
      <c r="G6" s="198" t="s">
        <v>7</v>
      </c>
      <c r="I6" s="198" t="s">
        <v>12</v>
      </c>
      <c r="K6" s="198" t="s">
        <v>72</v>
      </c>
      <c r="M6" s="203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99"/>
      <c r="I7" s="199"/>
      <c r="K7" s="199"/>
      <c r="M7" s="203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8" t="s">
        <v>10</v>
      </c>
      <c r="K8" s="172">
        <v>43287</v>
      </c>
      <c r="M8" s="171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9" t="s">
        <v>11</v>
      </c>
      <c r="M9" s="171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9" t="s">
        <v>9</v>
      </c>
      <c r="M10" s="171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9" t="s">
        <v>58</v>
      </c>
      <c r="M11" s="171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9" t="s">
        <v>39</v>
      </c>
      <c r="M12" s="171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9" t="s">
        <v>40</v>
      </c>
      <c r="M13" s="171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9" t="s">
        <v>45</v>
      </c>
      <c r="M14" s="171">
        <f t="shared" si="0"/>
        <v>43371</v>
      </c>
    </row>
    <row r="15" spans="2:13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9" t="s">
        <v>46</v>
      </c>
      <c r="M15" s="171">
        <f t="shared" si="0"/>
        <v>43385</v>
      </c>
    </row>
    <row r="16" spans="2:13" ht="14.4" thickBot="1">
      <c r="B16" s="50" t="s">
        <v>38</v>
      </c>
      <c r="C16" s="58" t="s">
        <v>92</v>
      </c>
      <c r="D16" s="58" t="s">
        <v>112</v>
      </c>
      <c r="E16" s="63" t="str">
        <f>LEFT(EmpGName09)&amp;" " &amp; LEFT(EmpSName09)</f>
        <v>1 O</v>
      </c>
      <c r="I16" s="169" t="s">
        <v>51</v>
      </c>
      <c r="M16" s="171">
        <f t="shared" si="0"/>
        <v>43399</v>
      </c>
    </row>
    <row r="17" spans="2:13" ht="14.4" thickBot="1">
      <c r="B17" s="66" t="s">
        <v>47</v>
      </c>
      <c r="C17" s="58" t="s">
        <v>93</v>
      </c>
      <c r="D17" s="58" t="s">
        <v>113</v>
      </c>
      <c r="E17" s="63" t="str">
        <f>LEFT(EmpGName10)&amp;" " &amp; LEFT(EmpSName10)</f>
        <v>2 O</v>
      </c>
      <c r="I17" s="169" t="s">
        <v>62</v>
      </c>
      <c r="M17" s="171">
        <f t="shared" si="0"/>
        <v>43413</v>
      </c>
    </row>
    <row r="18" spans="2:13" ht="14.4" thickBot="1">
      <c r="B18" s="66" t="s">
        <v>48</v>
      </c>
      <c r="C18" s="58" t="s">
        <v>94</v>
      </c>
      <c r="D18" s="58" t="s">
        <v>113</v>
      </c>
      <c r="E18" s="63" t="str">
        <f>LEFT(EmpGName11)&amp;" " &amp; LEFT(EmpSName11)</f>
        <v>2 O</v>
      </c>
      <c r="I18" s="170"/>
      <c r="M18" s="171">
        <f t="shared" si="0"/>
        <v>43427</v>
      </c>
    </row>
    <row r="19" spans="2:13" ht="14.4" thickBot="1">
      <c r="B19" s="66" t="s">
        <v>49</v>
      </c>
      <c r="C19" s="174" t="s">
        <v>95</v>
      </c>
      <c r="D19" s="174" t="s">
        <v>114</v>
      </c>
      <c r="E19" s="63" t="str">
        <f>LEFT(EmpGName12)&amp;" " &amp; LEFT(EmpSName12)</f>
        <v>4 O</v>
      </c>
      <c r="M19" s="171">
        <f>M18+7*2</f>
        <v>43441</v>
      </c>
    </row>
    <row r="20" spans="2:13" ht="14.4" thickBot="1">
      <c r="B20" s="66" t="s">
        <v>74</v>
      </c>
      <c r="C20" s="174" t="s">
        <v>96</v>
      </c>
      <c r="D20" s="174" t="s">
        <v>115</v>
      </c>
      <c r="E20" s="63" t="str">
        <f>LEFT(EmpGName13)&amp;" " &amp; LEFT(EmpSName13)</f>
        <v>A O</v>
      </c>
      <c r="M20" s="171">
        <f t="shared" si="0"/>
        <v>43455</v>
      </c>
    </row>
    <row r="21" spans="2:13" ht="14.4" thickBot="1">
      <c r="B21" s="66" t="s">
        <v>75</v>
      </c>
      <c r="C21" s="174" t="s">
        <v>97</v>
      </c>
      <c r="D21" s="174" t="s">
        <v>116</v>
      </c>
      <c r="E21" s="63" t="str">
        <f>LEFT(EmpGName14)&amp;" " &amp; LEFT(EmpSName14)</f>
        <v>B O</v>
      </c>
      <c r="M21" s="171">
        <f t="shared" si="0"/>
        <v>43469</v>
      </c>
    </row>
    <row r="22" spans="2:13" ht="14.4" thickBot="1">
      <c r="B22" s="66" t="s">
        <v>76</v>
      </c>
      <c r="C22" s="174" t="s">
        <v>98</v>
      </c>
      <c r="D22" s="174" t="s">
        <v>117</v>
      </c>
      <c r="E22" s="63" t="str">
        <f>LEFT(EmpGName15)&amp;" " &amp; LEFT(EmpSName15)</f>
        <v>C O</v>
      </c>
      <c r="M22" s="171">
        <f t="shared" si="0"/>
        <v>43483</v>
      </c>
    </row>
    <row r="23" spans="2:13" ht="14.4" thickBot="1">
      <c r="B23" s="66" t="s">
        <v>77</v>
      </c>
      <c r="C23" s="174" t="s">
        <v>99</v>
      </c>
      <c r="D23" s="174" t="s">
        <v>118</v>
      </c>
      <c r="E23" s="63" t="str">
        <f>LEFT(EmpGName16)&amp;" " &amp; LEFT(EmpSName16)</f>
        <v>D O</v>
      </c>
      <c r="M23" s="171">
        <f t="shared" si="0"/>
        <v>43497</v>
      </c>
    </row>
    <row r="24" spans="2:13" ht="14.4" thickBot="1">
      <c r="B24" s="66" t="s">
        <v>78</v>
      </c>
      <c r="C24" s="174" t="s">
        <v>100</v>
      </c>
      <c r="D24" s="174" t="s">
        <v>119</v>
      </c>
      <c r="E24" s="63" t="str">
        <f>LEFT(EmpGName17)&amp;" " &amp; LEFT(EmpSName17)</f>
        <v>E O</v>
      </c>
      <c r="M24" s="171">
        <f t="shared" si="0"/>
        <v>43511</v>
      </c>
    </row>
    <row r="25" spans="2:13" ht="14.4" thickBot="1">
      <c r="B25" s="66" t="s">
        <v>79</v>
      </c>
      <c r="C25" s="174" t="s">
        <v>101</v>
      </c>
      <c r="D25" s="174" t="s">
        <v>120</v>
      </c>
      <c r="E25" s="63" t="str">
        <f>LEFT(EmpGName18)&amp;" " &amp; LEFT(EmpSName18)</f>
        <v>F O</v>
      </c>
      <c r="M25" s="171">
        <f t="shared" si="0"/>
        <v>43525</v>
      </c>
    </row>
    <row r="26" spans="2:13" ht="14.4" thickBot="1">
      <c r="B26" s="66" t="s">
        <v>80</v>
      </c>
      <c r="C26" s="174" t="s">
        <v>102</v>
      </c>
      <c r="D26" s="174" t="s">
        <v>121</v>
      </c>
      <c r="E26" s="63" t="str">
        <f>LEFT(EmpGName19)&amp;" " &amp; LEFT(EmpSName19)</f>
        <v>G O</v>
      </c>
      <c r="M26" s="171">
        <f t="shared" si="0"/>
        <v>43539</v>
      </c>
    </row>
    <row r="27" spans="2:13" ht="14.4" thickBot="1">
      <c r="B27" s="66" t="s">
        <v>81</v>
      </c>
      <c r="C27" s="174" t="s">
        <v>103</v>
      </c>
      <c r="D27" s="174" t="s">
        <v>122</v>
      </c>
      <c r="E27" s="63" t="str">
        <f>LEFT(EmpGName20)&amp;" " &amp; LEFT(EmpSName20)</f>
        <v>H O</v>
      </c>
      <c r="M27" s="171">
        <f t="shared" si="0"/>
        <v>43553</v>
      </c>
    </row>
    <row r="28" spans="2:13" ht="14.4" thickBot="1">
      <c r="B28" s="66" t="s">
        <v>82</v>
      </c>
      <c r="C28" s="174" t="s">
        <v>104</v>
      </c>
      <c r="D28" s="174" t="s">
        <v>123</v>
      </c>
      <c r="E28" s="63" t="str">
        <f>LEFT(EmpGName21)&amp;" " &amp; LEFT(EmpSName21)</f>
        <v>I O</v>
      </c>
      <c r="M28" s="171">
        <f t="shared" si="0"/>
        <v>43567</v>
      </c>
    </row>
    <row r="29" spans="2:13" ht="14.4" thickBot="1">
      <c r="B29" s="66" t="s">
        <v>83</v>
      </c>
      <c r="C29" s="174" t="s">
        <v>105</v>
      </c>
      <c r="D29" s="174" t="s">
        <v>124</v>
      </c>
      <c r="E29" s="63" t="str">
        <f>LEFT(EmpGName22)&amp;" " &amp; LEFT(EmpSName22)</f>
        <v>J O</v>
      </c>
      <c r="M29" s="171">
        <f t="shared" si="0"/>
        <v>43581</v>
      </c>
    </row>
    <row r="30" spans="2:13" ht="14.4" thickBot="1">
      <c r="B30" s="66" t="s">
        <v>84</v>
      </c>
      <c r="C30" s="174" t="s">
        <v>106</v>
      </c>
      <c r="D30" s="174" t="s">
        <v>125</v>
      </c>
      <c r="E30" s="63" t="str">
        <f>LEFT(EmpGName23)&amp;" " &amp; LEFT(EmpSName23)</f>
        <v>K O</v>
      </c>
      <c r="M30" s="171">
        <f t="shared" si="0"/>
        <v>43595</v>
      </c>
    </row>
    <row r="31" spans="2:13" ht="14.4" thickBot="1">
      <c r="B31" s="66" t="s">
        <v>85</v>
      </c>
      <c r="C31" s="174" t="s">
        <v>107</v>
      </c>
      <c r="D31" s="174" t="s">
        <v>126</v>
      </c>
      <c r="E31" s="63" t="str">
        <f>LEFT(EmpGName24)&amp;" " &amp; LEFT(EmpSName24)</f>
        <v>L O</v>
      </c>
      <c r="M31" s="171">
        <f t="shared" si="0"/>
        <v>43609</v>
      </c>
    </row>
    <row r="32" spans="2:13" ht="14.4" thickBot="1">
      <c r="B32" s="66" t="s">
        <v>86</v>
      </c>
      <c r="C32" s="174" t="s">
        <v>108</v>
      </c>
      <c r="D32" s="174" t="s">
        <v>127</v>
      </c>
      <c r="E32" s="63" t="str">
        <f>LEFT(EmpGName25)&amp;" " &amp; LEFT(EmpSName25)</f>
        <v>M O</v>
      </c>
      <c r="M32" s="171">
        <f t="shared" si="0"/>
        <v>43623</v>
      </c>
    </row>
    <row r="33" spans="2:13" ht="14.4" thickBot="1">
      <c r="B33" s="66" t="s">
        <v>87</v>
      </c>
      <c r="C33" s="174" t="s">
        <v>109</v>
      </c>
      <c r="D33" s="174" t="s">
        <v>128</v>
      </c>
      <c r="E33" s="63" t="str">
        <f>LEFT(EmpGName26)&amp;" " &amp; LEFT(EmpSName26)</f>
        <v>N O</v>
      </c>
      <c r="M33" s="171">
        <f t="shared" si="0"/>
        <v>43637</v>
      </c>
    </row>
    <row r="34" spans="2:13" ht="14.4" thickBot="1">
      <c r="B34" s="66" t="s">
        <v>88</v>
      </c>
      <c r="C34" s="174" t="s">
        <v>110</v>
      </c>
      <c r="D34" s="174" t="s">
        <v>129</v>
      </c>
      <c r="E34" s="63" t="str">
        <f>LEFT(EmpGName27)&amp;" " &amp; LEFT(EmpSName27)</f>
        <v>O O</v>
      </c>
      <c r="M34" s="171">
        <f t="shared" si="0"/>
        <v>43651</v>
      </c>
    </row>
    <row r="35" spans="2:13" ht="14.4" thickBot="1">
      <c r="B35" s="67" t="s">
        <v>89</v>
      </c>
      <c r="C35" s="175" t="s">
        <v>111</v>
      </c>
      <c r="D35" s="175" t="s">
        <v>130</v>
      </c>
      <c r="E35" s="93" t="str">
        <f>LEFT(EmpGName28)&amp;" " &amp; LEFT(EmpSName28)</f>
        <v>P O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6" t="str">
        <f>Location</f>
        <v>Oodlawirra Quarantine Station</v>
      </c>
      <c r="J2" s="109"/>
      <c r="K2" s="109"/>
      <c r="L2" s="109"/>
      <c r="M2" s="109"/>
      <c r="N2" s="109"/>
      <c r="O2" s="109"/>
      <c r="P2" s="109"/>
      <c r="Q2" s="109"/>
      <c r="R2" s="126" t="str">
        <f xml:space="preserve"> "Financial Year Commencing 1st July, " &amp; CurYear -1</f>
        <v>Financial Year Commencing 1st July, 2015</v>
      </c>
      <c r="S2" s="34"/>
      <c r="T2" s="109"/>
      <c r="U2" s="109"/>
      <c r="V2" s="34"/>
      <c r="W2" s="109"/>
      <c r="X2" s="109"/>
      <c r="Y2" s="109"/>
      <c r="Z2" s="109"/>
      <c r="AA2" s="109"/>
      <c r="AB2" s="109"/>
      <c r="AC2" s="109"/>
      <c r="AD2" s="109"/>
      <c r="AE2" s="109"/>
      <c r="AF2" s="109"/>
    </row>
    <row r="3" spans="2:33" s="26" customFormat="1" ht="27" customHeight="1">
      <c r="B3" s="47"/>
      <c r="I3" s="127" t="s">
        <v>25</v>
      </c>
      <c r="R3" s="127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6" customFormat="1" ht="13.8" thickBot="1">
      <c r="B4" s="107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6" t="str">
        <f t="shared" si="0"/>
        <v>Fr</v>
      </c>
    </row>
    <row r="5" spans="2:33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3" ht="14.4" thickTop="1" thickBot="1">
      <c r="B6" s="110">
        <f>CurYear-1</f>
        <v>2015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3" ht="14.4" thickTop="1" thickBot="1">
      <c r="B9" s="110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7"/>
    </row>
    <row r="11" spans="2:33" ht="14.4" thickTop="1" thickBot="1">
      <c r="B11" s="110" t="str">
        <f>Roster!C75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</row>
    <row r="12" spans="2:33" ht="14.4" thickTop="1" thickBot="1">
      <c r="B12" s="110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10" t="str">
        <f>Roster!C106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3" ht="14.4" thickTop="1" thickBot="1">
      <c r="B15" s="110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7"/>
    </row>
    <row r="17" spans="2:33" ht="14.4" thickTop="1" thickBot="1">
      <c r="B17" s="110" t="str">
        <f>Roster!C137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</row>
    <row r="18" spans="2:33" ht="14.4" thickTop="1" thickBot="1">
      <c r="B18" s="110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21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10" t="str">
        <f>Roster!C168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10" t="str">
        <f>Roster!$C$199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8" t="str">
        <f t="shared" si="7"/>
        <v>Tu</v>
      </c>
      <c r="E25" s="128" t="str">
        <f t="shared" si="7"/>
        <v>We</v>
      </c>
      <c r="F25" s="128" t="str">
        <f t="shared" si="7"/>
        <v>Th</v>
      </c>
      <c r="G25" s="128" t="str">
        <f t="shared" si="7"/>
        <v>Fr</v>
      </c>
      <c r="H25" s="128" t="str">
        <f t="shared" si="7"/>
        <v>Sa</v>
      </c>
      <c r="I25" s="128" t="str">
        <f t="shared" si="7"/>
        <v>Su</v>
      </c>
      <c r="J25" s="128" t="str">
        <f t="shared" si="7"/>
        <v>Mo</v>
      </c>
      <c r="K25" s="128" t="str">
        <f t="shared" si="7"/>
        <v>Tu</v>
      </c>
      <c r="L25" s="128" t="str">
        <f t="shared" si="7"/>
        <v>We</v>
      </c>
      <c r="M25" s="128" t="str">
        <f t="shared" si="7"/>
        <v>Th</v>
      </c>
      <c r="N25" s="128" t="str">
        <f t="shared" si="7"/>
        <v>Fr</v>
      </c>
      <c r="O25" s="128" t="str">
        <f t="shared" si="7"/>
        <v>Sa</v>
      </c>
      <c r="P25" s="128" t="str">
        <f t="shared" si="7"/>
        <v>Su</v>
      </c>
      <c r="Q25" s="128" t="str">
        <f t="shared" si="7"/>
        <v>Mo</v>
      </c>
      <c r="R25" s="128" t="str">
        <f t="shared" si="7"/>
        <v>Tu</v>
      </c>
      <c r="S25" s="128" t="str">
        <f t="shared" si="7"/>
        <v>We</v>
      </c>
      <c r="T25" s="128" t="str">
        <f t="shared" si="7"/>
        <v>Th</v>
      </c>
      <c r="U25" s="128" t="str">
        <f t="shared" si="7"/>
        <v>Fr</v>
      </c>
      <c r="V25" s="128" t="str">
        <f t="shared" si="7"/>
        <v>Sa</v>
      </c>
      <c r="W25" s="128" t="str">
        <f t="shared" si="7"/>
        <v>Su</v>
      </c>
      <c r="X25" s="128" t="str">
        <f t="shared" si="7"/>
        <v>Mo</v>
      </c>
      <c r="Y25" s="128" t="str">
        <f t="shared" si="7"/>
        <v>Tu</v>
      </c>
      <c r="Z25" s="128" t="str">
        <f t="shared" si="7"/>
        <v>We</v>
      </c>
      <c r="AA25" s="128" t="str">
        <f t="shared" si="7"/>
        <v>Th</v>
      </c>
      <c r="AB25" s="128" t="str">
        <f t="shared" si="7"/>
        <v>Fr</v>
      </c>
      <c r="AC25" s="128" t="str">
        <f t="shared" si="7"/>
        <v>Sa</v>
      </c>
      <c r="AD25" s="128" t="str">
        <f t="shared" si="7"/>
        <v>Su</v>
      </c>
      <c r="AE25" s="144" t="str">
        <f t="shared" si="7"/>
        <v>Mo</v>
      </c>
      <c r="AF25" s="123"/>
      <c r="AG25" s="123"/>
    </row>
    <row r="26" spans="2:33" ht="14.4" thickTop="1" thickBot="1">
      <c r="B26" s="110" t="str">
        <f>Roster!$C$230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</row>
    <row r="27" spans="2:33" ht="14.4" thickTop="1" thickBot="1">
      <c r="B27" s="110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30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10" t="str">
        <f>Roster!$C$261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5"/>
    </row>
    <row r="32" spans="2:33" ht="14.4" thickTop="1" thickBot="1">
      <c r="B32" s="110" t="str">
        <f>Roster!$C$292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</row>
    <row r="33" spans="2:33" ht="14.4" thickTop="1" thickBot="1">
      <c r="B33" s="110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10" t="str">
        <f>Roster!$C$323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2016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7"/>
    </row>
    <row r="38" spans="2:33" ht="14.4" thickTop="1" thickBot="1">
      <c r="B38" s="110" t="str">
        <f>Roster!C354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</row>
    <row r="39" spans="2:33" ht="14.4" thickTop="1" thickBot="1">
      <c r="B39" s="110" t="str">
        <f>CurYear</f>
        <v>2016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4" customFormat="1" ht="17.399999999999999">
      <c r="B1" s="133"/>
    </row>
    <row r="2" spans="2:35" s="134" customFormat="1" ht="24.75" customHeight="1">
      <c r="B2" s="133"/>
      <c r="I2" s="138" t="str">
        <f>Location</f>
        <v>Oodlawirra Quarantine Station</v>
      </c>
      <c r="J2" s="136"/>
      <c r="K2" s="136"/>
      <c r="L2" s="136"/>
      <c r="M2" s="136"/>
      <c r="N2" s="136"/>
      <c r="O2" s="136"/>
      <c r="P2" s="136"/>
      <c r="Q2" s="136"/>
      <c r="R2" s="138" t="str">
        <f xml:space="preserve"> "Financial Year Commencing 1st July, " &amp; CurYear -1</f>
        <v>Financial Year Commencing 1st July, 2015</v>
      </c>
      <c r="S2" s="135"/>
      <c r="T2" s="136"/>
      <c r="U2" s="136"/>
      <c r="V2" s="135"/>
      <c r="W2" s="136"/>
      <c r="X2" s="136"/>
      <c r="Y2" s="136"/>
      <c r="Z2" s="136"/>
      <c r="AA2" s="136"/>
      <c r="AB2" s="136"/>
      <c r="AC2" s="136"/>
      <c r="AD2" s="136"/>
      <c r="AE2" s="136"/>
      <c r="AF2" s="136"/>
    </row>
    <row r="3" spans="2:35" s="134" customFormat="1" ht="27" customHeight="1">
      <c r="B3" s="133"/>
      <c r="I3" s="139" t="s">
        <v>25</v>
      </c>
      <c r="R3" s="139" t="str">
        <f>EmpGName02 &amp;" " &amp; EmpSName02</f>
        <v>Kevin Stone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</row>
    <row r="4" spans="2:35" s="44" customFormat="1" ht="13.8" thickBot="1">
      <c r="B4" s="107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7" t="str">
        <f t="shared" si="0"/>
        <v>Fr</v>
      </c>
    </row>
    <row r="5" spans="2:35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5" ht="14.4" thickTop="1" thickBot="1">
      <c r="B6" s="110">
        <f>CurYear-1</f>
        <v>2015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14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5" ht="14.4" thickTop="1" thickBot="1">
      <c r="B9" s="110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7"/>
      <c r="AI10" s="108"/>
    </row>
    <row r="11" spans="2:35" ht="14.4" thickTop="1" thickBot="1">
      <c r="B11" s="110" t="str">
        <f>Roster!C75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  <c r="AG11" s="20"/>
    </row>
    <row r="12" spans="2:35" ht="14.4" thickTop="1" thickBot="1">
      <c r="B12" s="110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10" t="str">
        <f>Roster!C106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5" ht="14.4" thickTop="1" thickBot="1">
      <c r="B15" s="110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7"/>
    </row>
    <row r="17" spans="2:33" ht="14.4" thickTop="1" thickBot="1">
      <c r="B17" s="110" t="str">
        <f>Roster!C137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  <c r="AG17" s="20"/>
    </row>
    <row r="18" spans="2:33" ht="14.4" thickTop="1" thickBot="1">
      <c r="B18" s="110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21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10" t="str">
        <f>Roster!C168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10" t="str">
        <f>Roster!$C$199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122"/>
      <c r="AG25" s="123"/>
    </row>
    <row r="26" spans="2:33" ht="14.4" thickTop="1" thickBot="1">
      <c r="B26" s="110" t="str">
        <f>Roster!$C$230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  <c r="AG26" s="20"/>
    </row>
    <row r="27" spans="2:33" ht="14.4" thickTop="1" thickBot="1">
      <c r="B27" s="110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30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10" t="str">
        <f>Roster!$C$261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5"/>
    </row>
    <row r="32" spans="2:33" ht="14.4" thickTop="1" thickBot="1">
      <c r="B32" s="110" t="str">
        <f>Roster!$C$292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  <c r="AG32" s="20"/>
    </row>
    <row r="33" spans="2:33" ht="14.4" thickTop="1" thickBot="1">
      <c r="B33" s="110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10" t="str">
        <f>Roster!$C$323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2016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7"/>
    </row>
    <row r="38" spans="2:33" ht="14.4" thickTop="1" thickBot="1">
      <c r="B38" s="110" t="str">
        <f>Roster!C354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  <c r="AG38" s="20"/>
    </row>
    <row r="39" spans="2:33" ht="14.4" thickTop="1" thickBot="1">
      <c r="B39" s="110" t="str">
        <f>CurYear</f>
        <v>2016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132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EmpGName03 &amp;" " &amp; EmpSName03</f>
        <v>Ian Thelning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30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30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EmpGName05 &amp;" " &amp; EmpSName05</f>
        <v>David Castle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30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30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EmpGName07 &amp;" " &amp; EmpSName07</f>
        <v>Troy Sorensen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30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EmpGName08 &amp;" " &amp; EmpSName08</f>
        <v xml:space="preserve">Bodd Odd 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3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EmpGName11 &amp;" " &amp; EmpSName11</f>
        <v>2Bod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30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zoomScale="198" zoomScaleNormal="198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204" t="str">
        <f>CurYear-1 &amp; "/"&amp;CurYear</f>
        <v>2015/2016</v>
      </c>
      <c r="C3" s="204"/>
      <c r="D3" s="98" t="s">
        <v>9</v>
      </c>
      <c r="E3" s="98" t="s">
        <v>11</v>
      </c>
      <c r="F3" s="98" t="s">
        <v>10</v>
      </c>
      <c r="G3" s="98" t="s">
        <v>71</v>
      </c>
      <c r="H3" s="98" t="s">
        <v>39</v>
      </c>
      <c r="I3" s="98" t="s">
        <v>40</v>
      </c>
      <c r="J3" s="98" t="s">
        <v>45</v>
      </c>
      <c r="K3" s="103" t="s">
        <v>51</v>
      </c>
      <c r="L3" s="98" t="s">
        <v>46</v>
      </c>
      <c r="M3" s="98" t="s">
        <v>29</v>
      </c>
    </row>
    <row r="4" spans="2:13" s="55" customFormat="1">
      <c r="B4" s="99" t="str">
        <f>EmpGName01</f>
        <v>Luciano</v>
      </c>
      <c r="C4" s="99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0" t="str">
        <f>EmpGName02</f>
        <v>Kevin</v>
      </c>
      <c r="C5" s="100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99" t="str">
        <f>EmpGName03</f>
        <v>Ian</v>
      </c>
      <c r="C6" s="99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0" t="str">
        <f>EmpGName04</f>
        <v>Leon</v>
      </c>
      <c r="C7" s="100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99" t="str">
        <f>EmpGName05</f>
        <v>David</v>
      </c>
      <c r="C8" s="99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0" t="str">
        <f>EmpGName06</f>
        <v>Robin</v>
      </c>
      <c r="C9" s="100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99" t="str">
        <f>EmpGName07</f>
        <v>Troy</v>
      </c>
      <c r="C10" s="99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>
      <c r="B11" s="100" t="str">
        <f>EmpGName08</f>
        <v>Bodd</v>
      </c>
      <c r="C11" s="100" t="str">
        <f>EmpSName08</f>
        <v xml:space="preserve">Odd 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99" t="str">
        <f>EmpGName09</f>
        <v>1Bod</v>
      </c>
      <c r="C12" s="99" t="str">
        <f>EmpSName09</f>
        <v>Odd1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0" t="str">
        <f>EmpSName10</f>
        <v>Odd2</v>
      </c>
      <c r="C13" s="100" t="str">
        <f>EmpGName10</f>
        <v>2Bod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99" t="str">
        <f>EmpSName11</f>
        <v>Odd3</v>
      </c>
      <c r="C14" s="99" t="str">
        <f>EmpGName11</f>
        <v>2Bod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customHeight="1">
      <c r="B15" s="100" t="str">
        <f>EmpSName12</f>
        <v>Odd4</v>
      </c>
      <c r="C15" s="100" t="str">
        <f>EmpGName12</f>
        <v>4Bod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2" t="s">
        <v>50</v>
      </c>
      <c r="D17" s="101">
        <f>SUM(D4:D15)</f>
        <v>0</v>
      </c>
      <c r="E17" s="101">
        <f t="shared" ref="E17:M17" si="2">SUM(E4:E15)</f>
        <v>0</v>
      </c>
      <c r="F17" s="101">
        <f t="shared" si="2"/>
        <v>0</v>
      </c>
      <c r="G17" s="101">
        <f t="shared" si="2"/>
        <v>0</v>
      </c>
      <c r="H17" s="101">
        <f t="shared" si="2"/>
        <v>0</v>
      </c>
      <c r="I17" s="101">
        <f t="shared" si="2"/>
        <v>0</v>
      </c>
      <c r="J17" s="101">
        <f t="shared" si="2"/>
        <v>0</v>
      </c>
      <c r="K17" s="104">
        <f t="shared" si="2"/>
        <v>0</v>
      </c>
      <c r="L17" s="101">
        <f t="shared" si="2"/>
        <v>0</v>
      </c>
      <c r="M17" s="101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466</vt:i4>
      </vt:variant>
    </vt:vector>
  </HeadingPairs>
  <TitlesOfParts>
    <vt:vector size="481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2019-03-19T04:26:45Z</dcterms:modified>
</cp:coreProperties>
</file>